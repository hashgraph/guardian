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R 2.2.1 Stakeholder Consultat" state="visible" r:id="rId4"/>
    <sheet sheetId="2" name="MR 1.9 Double Counting and Par" state="visible" r:id="rId5"/>
    <sheet sheetId="3" name="1.10 Project Scale (VCS PD 1.1" state="visible" r:id="rId6"/>
    <sheet sheetId="4" name="5.2 Monitoring Plan (VCS PD 5." state="visible" r:id="rId7"/>
    <sheet sheetId="5" name="5. Monitoring" state="visible" r:id="rId8"/>
    <sheet sheetId="6" name="2. Stakeholder Engagement and" state="visible" r:id="rId9"/>
    <sheet sheetId="7" name="MR 3.3.2 New Project Activity" state="visible" r:id="rId10"/>
    <sheet sheetId="8" name="MR 3.3.1 Grouped Project Desig" state="visible" r:id="rId11"/>
    <sheet sheetId="9" name="1.2 Audit History (VCS PD 1.2)" state="visible" r:id="rId12"/>
    <sheet sheetId="10" name="MR 5.3 Leakage Emissions (VCS" state="visible" r:id="rId13"/>
    <sheet sheetId="11" name="VVB Verification Report" state="visible" r:id="rId14"/>
    <sheet sheetId="12" name="MR 1.7 Project Crediting Perio" state="visible" r:id="rId15"/>
    <sheet sheetId="13" name="3.2 Applicability and Eligibil" state="visible" r:id="rId16"/>
    <sheet sheetId="14" name="1.3 Sectoral Scope and Project" state="visible" r:id="rId17"/>
    <sheet sheetId="15" name="5.2.2 Procedures for Calibrati" state="visible" r:id="rId18"/>
    <sheet sheetId="16" name="Other GHG Program Row (VCS PD" state="visible" r:id="rId19"/>
    <sheet sheetId="17" name="MR 2.1 Stakeholder Identificat" state="visible" r:id="rId20"/>
    <sheet sheetId="18" name="VCS Monitoring Report" state="visible" r:id="rId21"/>
    <sheet sheetId="19" name="REDD+ Double Counting Assessme" state="visible" r:id="rId22"/>
    <sheet sheetId="20" name="4.5 Estimated GHG Emission Red" state="visible" r:id="rId23"/>
    <sheet sheetId="21" name="MR 4.2.6 Sampling Approaches (" state="visible" r:id="rId24"/>
    <sheet sheetId="22" name="3.5.1 Regulatory Surplus (VCS" state="visible" r:id="rId25"/>
    <sheet sheetId="23" name="5.1 Data and Parameters (VCS P" state="visible" r:id="rId26"/>
    <sheet sheetId="24" name="MR 3.2.2 Loss Events (VCS MR 3" state="visible" r:id="rId27"/>
    <sheet sheetId="25" name="ESG Risk Assessment (VCS PD 2." state="visible" r:id="rId28"/>
    <sheet sheetId="26" name="1.13 Description of the Projec" state="visible" r:id="rId29"/>
    <sheet sheetId="27" name="PP Profile" state="visible" r:id="rId30"/>
    <sheet sheetId="28" name="SDW Public Distribution Networ" state="visible" r:id="rId31"/>
    <sheet sheetId="29" name="5.2.6 Sampling Approaches (VCS" state="visible" r:id="rId32"/>
    <sheet sheetId="30" name="2.3 Stakeholder Input Tracker" state="visible" r:id="rId33"/>
    <sheet sheetId="31" name="MR 1.11 Sustainable Developmen" state="visible" r:id="rId34"/>
    <sheet sheetId="32" name="MR 3.1 Methodology Details (VC" state="visible" r:id="rId35"/>
    <sheet sheetId="33" name="MR 5.1 Baseline Emissions (VCS" state="visible" r:id="rId36"/>
    <sheet sheetId="34" name="2.4 Grievance Redress Mechanis" state="visible" r:id="rId37"/>
    <sheet sheetId="35" name="MR 5.5 GHG Emission Reductions" state="visible" r:id="rId38"/>
    <sheet sheetId="36" name="4.5.1 Quantification of Estima" state="visible" r:id="rId39"/>
    <sheet sheetId="37" name="5.2.5 Procedures for Handling" state="visible" r:id="rId40"/>
    <sheet sheetId="38" name="Stakeholder Identification Row" state="visible" r:id="rId41"/>
    <sheet sheetId="39" name="1.18 Sustainable Development C" state="visible" r:id="rId42"/>
    <sheet sheetId="40" name="Project Proponent Contact (VCS" state="visible" r:id="rId43"/>
    <sheet sheetId="41" name="MR 2.3 Benefit-Sharing Mechani" state="visible" r:id="rId44"/>
    <sheet sheetId="42" name="3.2.1 Eligibility of Methodolo" state="visible" r:id="rId45"/>
    <sheet sheetId="43" name="MR 1.2 Audit History (VCS MR 1" state="visible" r:id="rId46"/>
    <sheet sheetId="44" name="MR 3.4.1 Methodology Deviation" state="visible" r:id="rId47"/>
    <sheet sheetId="45" name="4.1 Baseline Emissions (VCS PD" state="visible" r:id="rId48"/>
    <sheet sheetId="46" name="4.4 Other Relevant Quantificat" state="visible" r:id="rId49"/>
    <sheet sheetId="47" name="MR 5.4.1 Non-Permanence Risk A" state="visible" r:id="rId50"/>
    <sheet sheetId="48" name="2.1.2 Free Prior and Informed" state="visible" r:id="rId51"/>
    <sheet sheetId="49" name="MR 4.2.4 Procedures for Intern" state="visible" r:id="rId52"/>
    <sheet sheetId="50" name="MR 3.5 Baseline Reassessment (" state="visible" r:id="rId53"/>
    <sheet sheetId="51" name="1.12 Conditions Prior to Proje" state="visible" r:id="rId54"/>
    <sheet sheetId="52" name="VCS Project Description" state="visible" r:id="rId55"/>
    <sheet sheetId="53" name="MR 4.2.1 GHG Data Collection a" state="visible" r:id="rId56"/>
    <sheet sheetId="54" name="3.4.1 Baseline Reassessment (V" state="visible" r:id="rId57"/>
    <sheet sheetId="55" name="1.16 Double Counting and Parti" state="visible" r:id="rId58"/>
    <sheet sheetId="56" name="MR 2.5 Grievance Redress Mecha" state="visible" r:id="rId59"/>
    <sheet sheetId="57" name="Estimated GHG Year Row (VCS PD" state="visible" r:id="rId60"/>
    <sheet sheetId="58" name="4.4.1 Non-Permanence Risk Anal" state="visible" r:id="rId61"/>
    <sheet sheetId="59" name="MR 1.4 Project Proponent (VCS" state="visible" r:id="rId62"/>
    <sheet sheetId="60" name="2.5.3 Legal Compliance (VCS PD" state="visible" r:id="rId63"/>
    <sheet sheetId="61" name="4.5.2 Summary of Estimated Red" state="visible" r:id="rId64"/>
    <sheet sheetId="62" name="Sensitive Information Row (VCS" state="visible" r:id="rId65"/>
    <sheet sheetId="63" name="MR 5.4.4 De Minimis Quantifica" state="visible" r:id="rId66"/>
    <sheet sheetId="64" name="MR 1.12 Additional Information" state="visible" r:id="rId67"/>
    <sheet sheetId="65" name="MR 5.2 Project Emissions (VCS" state="visible" r:id="rId68"/>
    <sheet sheetId="66" name="2.5.2 Management Experience (V" state="visible" r:id="rId69"/>
    <sheet sheetId="67" name="4.4.2 Long-Term Average (VCS P" state="visible" r:id="rId70"/>
    <sheet sheetId="68" name="MR 2.6.1 Management Experience" state="visible" r:id="rId71"/>
    <sheet sheetId="69" name="2.5.1 Ecosystem Restoration (V" state="visible" r:id="rId72"/>
    <sheet sheetId="70" name="Data and Parameters Available" state="visible" r:id="rId73"/>
    <sheet sheetId="71" name="4.3 Leakage Emissions (VCS PD" state="visible" r:id="rId74"/>
    <sheet sheetId="72" name="MR 2.2.2 Free Prior and Inform" state="visible" r:id="rId75"/>
    <sheet sheetId="73" name="MR 4.2 Monitoring Plan (VCS MR" state="visible" r:id="rId76"/>
    <sheet sheetId="74" name="3.5 Additionality (VCS PD 3.5)" state="visible" r:id="rId77"/>
    <sheet sheetId="75" name="3.2.2 Applicability of Methodo" state="visible" r:id="rId78"/>
    <sheet sheetId="76" name="MR 5.5.3 Ex-Ante vs Ex-Post Co" state="visible" r:id="rId79"/>
    <sheet sheetId="77" name="1. Project Details" state="visible" r:id="rId80"/>
    <sheet sheetId="78" name="4.2 Project Emissions (VCS PD" state="visible" r:id="rId81"/>
    <sheet sheetId="79" name="MR 5.4.3 Long-Term Average (VC" state="visible" r:id="rId82"/>
    <sheet sheetId="80" name="GHG Source Row (VCS PD 3.3)" state="visible" r:id="rId83"/>
    <sheet sheetId="81" name="2.4.2 Project Grievances (VCS" state="visible" r:id="rId84"/>
    <sheet sheetId="82" name="1.6 Other Entities Involved in" state="visible" r:id="rId85"/>
    <sheet sheetId="83" name="MR 4.2.5 Procedures for Handli" state="visible" r:id="rId86"/>
    <sheet sheetId="84" name="1.17 Double Claiming Other For" state="visible" r:id="rId87"/>
    <sheet sheetId="85" name="3.5.2 Additionality Methods (V" state="visible" r:id="rId88"/>
    <sheet sheetId="86" name="Project Location Entry (VCS PD" state="visible" r:id="rId89"/>
    <sheet sheetId="87" name="MR 4.2.2 Procedures for Calibr" state="visible" r:id="rId90"/>
    <sheet sheetId="88" name="2.1.1 Stakeholder Consultation" state="visible" r:id="rId91"/>
    <sheet sheetId="89" name="3.1 Methodology Details (VCS P" state="visible" r:id="rId92"/>
    <sheet sheetId="90" name="MR 3.2 Implementation Status o" state="visible" r:id="rId93"/>
    <sheet sheetId="91" name="MR 4.2.3 Monitoring Personnel" state="visible" r:id="rId94"/>
    <sheet sheetId="92" name="MR 1.3 Sectoral Scope and Proj" state="visible" r:id="rId95"/>
    <sheet sheetId="93" name="1.14 Project Location (VCS PD" state="visible" r:id="rId96"/>
    <sheet sheetId="94" name="2.4.1 Design Process and Summa" state="visible" r:id="rId97"/>
    <sheet sheetId="95" name="Grievance Entry (VCS PD 2.4.2)" state="visible" r:id="rId98"/>
    <sheet sheetId="96" name="2.1 Stakeholder Engagement and" state="visible" r:id="rId99"/>
    <sheet sheetId="97" name="1.7 Right to Operate and Right" state="visible" r:id="rId100"/>
    <sheet sheetId="98" name="2.5 Environmental Social and G" state="visible" r:id="rId101"/>
    <sheet sheetId="99" name="3.3 Project Boundary (VCS PD 3" state="visible" r:id="rId102"/>
    <sheet sheetId="100" name="Validation Report" state="visible" r:id="rId103"/>
    <sheet sheetId="101" name="MR 4.1 Summary of DataParamete" state="visible" r:id="rId104"/>
    <sheet sheetId="102" name="MR 2.6.2 Legal Compliance (VCS" state="visible" r:id="rId105"/>
    <sheet sheetId="103" name="4. Quantification of GHG Emiss" state="visible" r:id="rId106"/>
    <sheet sheetId="104" name="MR 3.2.1 General Implementatio" state="visible" r:id="rId107"/>
    <sheet sheetId="105" name="MR 1.6 Project Start Date and" state="visible" r:id="rId108"/>
    <sheet sheetId="106" name="1.5 Project Proponent (VCS PD" state="visible" r:id="rId109"/>
    <sheet sheetId="107" name="MR 2.6 Environmental Social an" state="visible" r:id="rId110"/>
    <sheet sheetId="108" name="5.2.3 Monitoring Personnel (VC" state="visible" r:id="rId111"/>
    <sheet sheetId="109" name="MR 1.8 Project Location (VCS M" state="visible" r:id="rId112"/>
    <sheet sheetId="110" name="MR 1.1 Summary of Project Impl" state="visible" r:id="rId113"/>
    <sheet sheetId="111" name="1.19 Additional Information (V" state="visible" r:id="rId114"/>
    <sheet sheetId="112" name="3.6 Methodology Deviations (VC" state="visible" r:id="rId115"/>
    <sheet sheetId="113" name="MR 5.4 Other Relevant Quantifi" state="visible" r:id="rId116"/>
    <sheet sheetId="114" name="MR 1.10 Double Claiming Other" state="visible" r:id="rId117"/>
    <sheet sheetId="115" name="5.2.4 Procedures for Internal" state="visible" r:id="rId118"/>
    <sheet sheetId="116" name="VVB Profile" state="visible" r:id="rId119"/>
    <sheet sheetId="117" name="MR 1.13 Right to Operate and R" state="visible" r:id="rId120"/>
    <sheet sheetId="118" name="3.3.1 De Minimis GHG Sources a" state="visible" r:id="rId121"/>
    <sheet sheetId="119" name="MR 4.2.7 Updates to Monitoring" state="visible" r:id="rId122"/>
    <sheet sheetId="120" name="MR 3.4.2 Project Description D" state="visible" r:id="rId123"/>
    <sheet sheetId="121" name="Audit History Entry (VCS PD 1." state="visible" r:id="rId124"/>
    <sheet sheetId="122" name="MR 2.2 Stakeholder Engagement" state="visible" r:id="rId125"/>
    <sheet sheetId="123" name="1.7.2 Land or Resource Rights" state="visible" r:id="rId126"/>
    <sheet sheetId="124" name="1.15 Compliance with Laws and" state="visible" r:id="rId127"/>
    <sheet sheetId="125" name="1.8 Project Start Date and Ini" state="visible" r:id="rId128"/>
    <sheet sheetId="126" name="5.2.1 GHG Data Collection and" state="visible" r:id="rId129"/>
    <sheet sheetId="127" name="Biennial Water Quality Check (" state="visible" r:id="rId130"/>
    <sheet sheetId="128" name="1.4 Project Eligibility (VCS P" state="visible" r:id="rId131"/>
    <sheet sheetId="129" name="MR 3.4 Deviations (VCS MR 3.4)" state="visible" r:id="rId132"/>
    <sheet sheetId="130" name="1.9 Project Crediting Period (" state="visible" r:id="rId133"/>
    <sheet sheetId="131" name="SDG Contribution Row (VCS PD 1" state="visible" r:id="rId134"/>
    <sheet sheetId="132" name="3.4 Baseline Scenario (VCS PD" state="visible" r:id="rId135"/>
    <sheet sheetId="133" name="MR 2.4 Stakeholder Input Track" state="visible" r:id="rId136"/>
    <sheet sheetId="134" name="3. Application of Methodology" state="visible" r:id="rId137"/>
    <sheet sheetId="135" name="MR 5.4.2 Buffer Pool Allocatio" state="visible" r:id="rId138"/>
    <sheet sheetId="136" name="MR 3.3 Grouped Projects (VCS M" state="visible" r:id="rId139"/>
    <sheet sheetId="137" name="1.1 Summary Description of the" state="visible" r:id="rId140"/>
    <sheet sheetId="138" name="2.2 Benefit-Sharing Mechanism" state="visible" r:id="rId141"/>
    <sheet sheetId="139" name="1.11 Project Design (VCS PD 1." state="visible" r:id="rId142"/>
    <sheet sheetId="140" name="MR 1.5 Other Entities Involved" state="visible" r:id="rId143"/>
    <sheet sheetId="141" name="VMR0015 Baseline Fuel Row (fue" state="visible" r:id="rId144"/>
    <sheet sheetId="142" name="VMR0015 Survey Device Use Row" state="visible" r:id="rId145"/>
    <sheet sheetId="143" name="VMR0015 Survey Household Row" state="visible" r:id="rId146"/>
    <sheet sheetId="144" name="VMR0015 Project Section - PD (" state="visible" r:id="rId147"/>
    <sheet sheetId="145" name="VMR0015 Water Quantity Record" state="visible" r:id="rId148"/>
    <sheet sheetId="146" name="VMR0015 Water Quantity Reco 2" state="visible" r:id="rId149"/>
    <sheet sheetId="147" name="VMR0015 Water Quantity Reco 3" state="visible" r:id="rId150"/>
    <sheet sheetId="148" name="VMR0015 Appliance Functionalit" state="visible" r:id="rId151"/>
    <sheet sheetId="149" name="VMR0015 Sampling Plan and Resu" state="visible" r:id="rId152"/>
    <sheet sheetId="150" name="VMR0015 fNRB Determination" state="visible" r:id="rId153"/>
    <sheet sheetId="151" name="VMR0015 Leakage Adjustment Det" state="visible" r:id="rId154"/>
    <sheet sheetId="152" name="VMR0015 Additionality" state="visible" r:id="rId155"/>
    <sheet sheetId="153" name="VMR0015 A2.1 DataParameter Ava" state="visible" r:id="rId156"/>
    <sheet sheetId="154" name="VMR0015 A2.2 DataParameter Mon" state="visible" r:id="rId157"/>
    <sheet sheetId="155" name="VMR0015 A2.2 DataParameter  2" state="visible" r:id="rId158"/>
    <sheet sheetId="156" name="VMR0015 A2.1.1 VMR0015  AMS-II" state="visible" r:id="rId159"/>
    <sheet sheetId="157" name="VMR0015 A2.1.2 TOOL03 paramete" state="visible" r:id="rId160"/>
    <sheet sheetId="158" name="VMR0015 A2.1.3 VT0010  VT0011" state="visible" r:id="rId161"/>
    <sheet sheetId="159" name="VMR0015 A2.1.4 AMS-I.E paramet" state="visible" r:id="rId162"/>
    <sheet sheetId="160" name="VMR0015 A2.2.1 VMR0015  AMS-II" state="visible" r:id="rId163"/>
    <sheet sheetId="161" name="VMR0015 A2.2.2 TOOL03 monitore" state="visible" r:id="rId164"/>
    <sheet sheetId="162" name="VMR0015 A2.2.3 VT0010  VT0011" state="visible" r:id="rId165"/>
    <sheet sheetId="163" name="VMR0015 A2.2.4 fNRB monitored" state="visible" r:id="rId166"/>
    <sheet sheetId="164" name="VMR0015 A2.2.1 VMR0015  AMS 2" state="visible" r:id="rId167"/>
    <sheet sheetId="165" name="VMR0015 A2.2.2 TOOL03 monit 2" state="visible" r:id="rId168"/>
    <sheet sheetId="166" name="VMR0015 A2.2.3 VT0010  VT00 2" state="visible" r:id="rId169"/>
    <sheet sheetId="167" name="VMR0015 A2.2.4 fNRB monitor 2" state="visible" r:id="rId170"/>
    <sheet sheetId="168" name="VMR0015 Appendix 2 - Monitorin" state="visible" r:id="rId171"/>
    <sheet sheetId="169" name="VMR0015 Appendix 2 - Monito 2" state="visible" r:id="rId172"/>
    <sheet sheetId="170" name="VMR0015 Project Section - MR (" state="visible" r:id="rId173"/>
    <sheet sheetId="171" name="VMR0015 Methodology Records -" state="visible" r:id="rId174"/>
    <sheet sheetId="172" name="VMR0015 Methodology Records 2" state="visible" r:id="rId175"/>
    <sheet sheetId="173" name="VMR0015 ERR Vintage Row (PD 4." state="visible" r:id="rId176"/>
    <sheet sheetId="174" name="VMR0015 ERR Ex-Post Section Re" state="visible" r:id="rId177"/>
    <sheet sheetId="175" name="VMR0015 ERR Ex-Ante Result (PD" state="visible" r:id="rId178"/>
    <sheet sheetId="176" name="VMR0015 ERR Ex-Post Result (MR" state="visible" r:id="rId179"/>
    <sheet sheetId="177" name="VMR0015 Emission Reductions (E" state="visible" r:id="rId180"/>
    <sheet sheetId="178" name="VMR0015 MR 4.1 Summary row (VC" state="visible" r:id="rId181"/>
    <sheet sheetId="179" name="1.7 Right to Operate and Ri 2" state="visible" r:id="rId182"/>
    <sheet sheetId="180" name="VMR0015 VCU Issuance Request" state="visible" r:id="rId183"/>
    <sheet sheetId="181" name="Report file row" state="visible" r:id="rId184"/>
    <sheet sheetId="182" name="1. Introduction (VCS Verificat" state="visible" r:id="rId185"/>
    <sheet sheetId="183" name="2.1 Method and Criteria (VCS V" state="visible" r:id="rId186"/>
    <sheet sheetId="184" name="2.2 Document Review (VCS Verif" state="visible" r:id="rId187"/>
    <sheet sheetId="185" name="Interviews (Verification)" state="visible" r:id="rId188"/>
    <sheet sheetId="186" name="Resolution of CARs CLs and FAR" state="visible" r:id="rId189"/>
    <sheet sheetId="187" name="2. Verification Process (VCS V" state="visible" r:id="rId190"/>
    <sheet sheetId="188" name="3.1 Methodology Deviations" state="visible" r:id="rId191"/>
    <sheet sheetId="189" name="3.2 Project Description Deviat" state="visible" r:id="rId192"/>
    <sheet sheetId="190" name="3.3 New Project Activity Insta" state="visible" r:id="rId193"/>
    <sheet sheetId="191" name="3.4 Baseline Reassessment" state="visible" r:id="rId194"/>
    <sheet sheetId="192" name="3. Validation Findings (VCS Ve" state="visible" r:id="rId195"/>
    <sheet sheetId="193" name="4.1.1 General Implementation S" state="visible" r:id="rId196"/>
    <sheet sheetId="194" name="4.1.2 Loss Events" state="visible" r:id="rId197"/>
    <sheet sheetId="195" name="4.1 Implementation Status of t" state="visible" r:id="rId198"/>
    <sheet sheetId="196" name="4.2.1 Audit History" state="visible" r:id="rId199"/>
    <sheet sheetId="197" name="4.2.2 Sectoral Scope and Proje" state="visible" r:id="rId200"/>
    <sheet sheetId="198" name="4.2.3 Project Location" state="visible" r:id="rId201"/>
    <sheet sheetId="199" name="4.2.4.1 No Double Issuance" state="visible" r:id="rId202"/>
    <sheet sheetId="200" name="4.2.4.2 Registration with Othe" state="visible" r:id="rId203"/>
    <sheet sheetId="201" name="4.2.4 Double Counting and Part" state="visible" r:id="rId204"/>
    <sheet sheetId="202" name="4.2.5.1 No Double Claiming wit" state="visible" r:id="rId205"/>
    <sheet sheetId="203" name="4.2.5.2 No Double Claiming wit" state="visible" r:id="rId206"/>
    <sheet sheetId="204" name="4.2.5.3 Supply chain (Scope 3)" state="visible" r:id="rId207"/>
    <sheet sheetId="205" name="4.2.5 Double Claiming Other Fo" state="visible" r:id="rId208"/>
    <sheet sheetId="206" name="4.2.6 Sustainable Development" state="visible" r:id="rId209"/>
    <sheet sheetId="207" name="4.2.7.1 Sensitive Information" state="visible" r:id="rId210"/>
    <sheet sheetId="208" name="4.2.7.2 Core Carbon Principles" state="visible" r:id="rId211"/>
    <sheet sheetId="209" name="4.2.7.3 CORSIA Label Eligibili" state="visible" r:id="rId212"/>
    <sheet sheetId="210" name="4.2.7 Additional Information (" state="visible" r:id="rId213"/>
    <sheet sheetId="211" name="4.2 Project Details (VCS Verif" state="visible" r:id="rId214"/>
    <sheet sheetId="212" name="4.4.1 Accuracy of Reduction an" state="visible" r:id="rId215"/>
    <sheet sheetId="213" name="4.4.2 Quality of Evidence to D" state="visible" r:id="rId216"/>
    <sheet sheetId="214" name="4.4.3.1 Non-Permanence Risk An" state="visible" r:id="rId217"/>
    <sheet sheetId="215" name="4.4.3.2 Buffer Pool Allocation" state="visible" r:id="rId218"/>
    <sheet sheetId="216" name="4.4.3.3 Long-Term Average" state="visible" r:id="rId219"/>
    <sheet sheetId="217" name="4.4.3.4 De Minimis Quantificat" state="visible" r:id="rId220"/>
    <sheet sheetId="218" name="4.4.3 Other Relevant Quantific" state="visible" r:id="rId221"/>
    <sheet sheetId="219" name="4.4 Quantification of Reductio" state="visible" r:id="rId222"/>
    <sheet sheetId="220" name="Data and parameter row (Verifi" state="visible" r:id="rId223"/>
    <sheet sheetId="221" name="4.5.2 Monitoring Plan" state="visible" r:id="rId224"/>
    <sheet sheetId="222" name="4.5 Monitoring (VCS Verificati" state="visible" r:id="rId225"/>
    <sheet sheetId="223" name="4. Verification Findings (VCS" state="visible" r:id="rId226"/>
    <sheet sheetId="224" name="4.3 Stakeholder Engagement and" state="visible" r:id="rId227"/>
    <sheet sheetId="225" name="5.1 Verification Conclusion Su" state="visible" r:id="rId228"/>
    <sheet sheetId="226" name="Achieved reductions by vintage" state="visible" r:id="rId229"/>
    <sheet sheetId="227" name="Buffer pool allocation by vint" state="visible" r:id="rId230"/>
    <sheet sheetId="228" name="Vintage summary row" state="visible" r:id="rId231"/>
    <sheet sheetId="229" name="5.2 Conclusion on Achieved Red" state="visible" r:id="rId232"/>
    <sheet sheetId="230" name="Ex-ante vs ex-post row" state="visible" r:id="rId233"/>
    <sheet sheetId="231" name="5.3 Ex-Ante vs Ex-Post Compari" state="visible" r:id="rId234"/>
    <sheet sheetId="232" name="5. Verification Opinion (VCS V" state="visible" r:id="rId235"/>
    <sheet sheetId="233" name="Appendix 1 row (Validation and" state="visible" r:id="rId236"/>
    <sheet sheetId="234" name="Appendix 2 row (Validation and" state="visible" r:id="rId237"/>
    <sheet sheetId="235" name="Appendix 3 row (Validation and" state="visible" r:id="rId238"/>
    <sheet sheetId="236" name="Report file row (Validation)" state="visible" r:id="rId239"/>
    <sheet sheetId="237" name="1. Introduction (VCS Validatio" state="visible" r:id="rId240"/>
    <sheet sheetId="238" name="Schedule milestone (Validation" state="visible" r:id="rId241"/>
    <sheet sheetId="239" name="2.1 Method and Criteria (VC 2" state="visible" r:id="rId242"/>
    <sheet sheetId="240" name="Document review summary (Valid" state="visible" r:id="rId243"/>
    <sheet sheetId="241" name="Document list row (Validation" state="visible" r:id="rId244"/>
    <sheet sheetId="242" name="2.2 Document Review (VCS Valid" state="visible" r:id="rId245"/>
    <sheet sheetId="243" name="Interviewee row (Validation an" state="visible" r:id="rId246"/>
    <sheet sheetId="244" name="Interviews (Validation)" state="visible" r:id="rId247"/>
    <sheet sheetId="245" name="Site visits (Validation and Ve" state="visible" r:id="rId248"/>
    <sheet sheetId="246" name="CARCLFAR reference row (Valida" state="visible" r:id="rId249"/>
    <sheet sheetId="247" name="Resolution of CARs CLs and  2" state="visible" r:id="rId250"/>
    <sheet sheetId="248" name="2. Validation Process (VCS Val" state="visible" r:id="rId251"/>
    <sheet sheetId="249" name="3.1.1 Summary Description of P" state="visible" r:id="rId252"/>
    <sheet sheetId="250" name="3.1.2 Audit History" state="visible" r:id="rId253"/>
    <sheet sheetId="251" name="3.1.3 Sectoral Scope and Proje" state="visible" r:id="rId254"/>
    <sheet sheetId="252" name="3.1.4 Project Eligibility" state="visible" r:id="rId255"/>
    <sheet sheetId="253" name="3.1.6 Project Start Date and I" state="visible" r:id="rId256"/>
    <sheet sheetId="254" name="3.1.7 Project Crediting Period" state="visible" r:id="rId257"/>
    <sheet sheetId="255" name="3.1.8 Project Scale" state="visible" r:id="rId258"/>
    <sheet sheetId="256" name="3.1.9 Project Design" state="visible" r:id="rId259"/>
    <sheet sheetId="257" name="3.1.10 Conditions Prior to Pro" state="visible" r:id="rId260"/>
    <sheet sheetId="258" name="3.1.11 Description of the Proj" state="visible" r:id="rId261"/>
    <sheet sheetId="259" name="3.1.12 Project Location" state="visible" r:id="rId262"/>
    <sheet sheetId="260" name="3.1.13 Compliance with Laws an" state="visible" r:id="rId263"/>
    <sheet sheetId="261" name="3.1.14 Double Counting and Par" state="visible" r:id="rId264"/>
    <sheet sheetId="262" name="3.1.15 Double Claiming Other F" state="visible" r:id="rId265"/>
    <sheet sheetId="263" name="3.1.16 Sustainable Development" state="visible" r:id="rId266"/>
    <sheet sheetId="264" name="3.1.17 Additional Information" state="visible" r:id="rId267"/>
    <sheet sheetId="265" name="3.1 Project Details (VCS Valid" state="visible" r:id="rId268"/>
    <sheet sheetId="266" name="3.3.1 Methodology Details" state="visible" r:id="rId269"/>
    <sheet sheetId="267" name="3.3.2 Applicability and Eligib" state="visible" r:id="rId270"/>
    <sheet sheetId="268" name="3.3.3 Project Boundary" state="visible" r:id="rId271"/>
    <sheet sheetId="269" name="3.3.4 Baseline Scenario" state="visible" r:id="rId272"/>
    <sheet sheetId="270" name="3.3.5 Additionality" state="visible" r:id="rId273"/>
    <sheet sheetId="271" name="3.3.6 Methodology Deviations" state="visible" r:id="rId274"/>
    <sheet sheetId="272" name="3.3 Application of Methodology" state="visible" r:id="rId275"/>
    <sheet sheetId="273" name="3.4.1 Quantification of Baseli" state="visible" r:id="rId276"/>
    <sheet sheetId="274" name="3.4.2 Other Relevant Quantific" state="visible" r:id="rId277"/>
    <sheet sheetId="275" name="3.4 Quantification of Estimate" state="visible" r:id="rId278"/>
    <sheet sheetId="276" name="Data and parameter row (Valida" state="visible" r:id="rId279"/>
    <sheet sheetId="277" name="3.5.2 Monitoring Plan" state="visible" r:id="rId280"/>
    <sheet sheetId="278" name="3.5 Monitoring (VCS Validation" state="visible" r:id="rId281"/>
    <sheet sheetId="279" name="3. Validation Findings (VCS Va" state="visible" r:id="rId282"/>
    <sheet sheetId="280" name="Safeguards assessment row item" state="visible" r:id="rId283"/>
    <sheet sheetId="281" name="3.2 Stakeholder Engagement and" state="visible" r:id="rId284"/>
    <sheet sheetId="282" name="4.1 Validation Conclusion Summ" state="visible" r:id="rId285"/>
    <sheet sheetId="283" name="Estimated reductions by vintag" state="visible" r:id="rId286"/>
    <sheet sheetId="284" name="4.2 Conclusion on Estimated Re" state="visible" r:id="rId287"/>
    <sheet sheetId="285" name="4. Validation Opinion (VCS Val" state="visible" r:id="rId288"/>
    <sheet sheetId="286" name="Appendix X row (Validation and" state="visible" r:id="rId289"/>
    <sheet sheetId="287" name="Evidence item" state="visible" r:id="rId290"/>
    <sheet sheetId="288" name="Project device record (VMR0015" state="visible" r:id="rId291"/>
    <sheet sheetId="289" name="Interactive effects survey res" state="visible" r:id="rId292"/>
    <sheet sheetId="290" name="Summary of reductions and remo" state="visible" r:id="rId293"/>
    <sheet sheetId="291" name="Sampling check row (ERR)" state="visible" r:id="rId294"/>
    <sheet sheetId="292" name="3.1.5 Right to Operate and Rig" state="visible" r:id="rId295"/>
    <sheet sheetId="293" name="4.2.8 Right to Operate and Rig" state="visible" r:id="rId296"/>
    <sheet sheetId="294" name="3.1.4.1 Deadlines for Particip" state="visible" r:id="rId297"/>
    <sheet sheetId="295" name="3.1.4.2 AFOLU Project Eligibil" state="visible" r:id="rId298"/>
    <sheet sheetId="296" name="3.1.4.3 Eligibility of Project" state="visible" r:id="rId299"/>
    <sheet sheetId="297" name="3.1.4.4 Capacity Limit Eligibi" state="visible" r:id="rId300"/>
    <sheet sheetId="298" name="3.1.14.1 No Double Issuance (V" state="visible" r:id="rId301"/>
    <sheet sheetId="299" name="3.1.14.2 Registration with Oth" state="visible" r:id="rId302"/>
    <sheet sheetId="300" name="3.1.14.3 Projects Rejected by" state="visible" r:id="rId303"/>
    <sheet sheetId="301" name="3.1.15.1 No Double Claiming wi" state="visible" r:id="rId304"/>
    <sheet sheetId="302" name="3.1.15.2 No Double Claiming wi" state="visible" r:id="rId305"/>
    <sheet sheetId="303" name="3.1.15.3 Supply Chain (Scope 3" state="visible" r:id="rId306"/>
    <sheet sheetId="304" name="3.1.17.1 Leakage Management (V" state="visible" r:id="rId307"/>
    <sheet sheetId="305" name="3.1.17.2 Sensitive Information" state="visible" r:id="rId308"/>
    <sheet sheetId="306" name="3.1.17.3 Further Information (" state="visible" r:id="rId309"/>
    <sheet sheetId="307" name="3.3.2.1 Eligibility of Methodo" state="visible" r:id="rId310"/>
    <sheet sheetId="308" name="3.3.2.2 Applicability conditio" state="visible" r:id="rId311"/>
    <sheet sheetId="309" name="3.3.2.2 Applicability of Metho" state="visible" r:id="rId312"/>
    <sheet sheetId="310" name="3.3.3.1 De Minimis GHG Sources" state="visible" r:id="rId313"/>
    <sheet sheetId="311" name="3.3.4.1 Baseline Reassessment" state="visible" r:id="rId314"/>
    <sheet sheetId="312" name="3.3.5.1 Regulatory Surplus (VC" state="visible" r:id="rId315"/>
    <sheet sheetId="313" name="3.3.5.2 Additionality Methods" state="visible" r:id="rId316"/>
    <sheet sheetId="314" name="3.4.2.1 Non-Permanence Risk An" state="visible" r:id="rId317"/>
    <sheet sheetId="315" name="3.4.2.2 Buffer Pool Allocation" state="visible" r:id="rId318"/>
    <sheet sheetId="316" name="3.4.2.3 Long-Term Average (VCS" state="visible" r:id="rId319"/>
    <sheet sheetId="317" name="4.4.2 Buffer pool allocation r" state="visible" r:id="rId320"/>
    <sheet sheetId="318" name="4.4.2 Buffer pool allocatio 2" state="visible" r:id="rId321"/>
    <sheet sheetId="319" name="4.4.1.1 Buffer Pool Allocation" state="visible" r:id="rId322"/>
    <sheet sheetId="320" name="Leakage Management (VCS Valida" state="visible" r:id="rId323"/>
    <sheet sheetId="321" name="Benefit-Sharing Mechanism (Oth" state="visible" r:id="rId324"/>
    <sheet sheetId="322" name="Right to Operate and Right to" state="visible" r:id="rId325"/>
    <sheet sheetId="323" name="Regulatory Surplus (VCS Valida" state="visible" r:id="rId326"/>
    <sheet sheetId="324" name="Project boundary carbon pools" state="visible" r:id="rId327"/>
    <sheet sheetId="325" name="De minimis quantification per" state="visible" r:id="rId328"/>
    <sheet sheetId="326" name="Sensitive information row ( 2" state="visible" r:id="rId329"/>
    <sheet sheetId="327" name="Laws and other regulatory fram" state="visible" r:id="rId330"/>
    <sheet sheetId="328" name="Deadlines for Participation ro" state="visible" r:id="rId331"/>
    <sheet sheetId="329" name="1.13 Evidence of right to oper" state="visible" r:id="rId332"/>
    <sheet sheetId="330" name="Grievance Redress Mechanism (V" state="visible" r:id="rId333"/>
    <sheet sheetId="331" name="Laws reviewed for regulatory s" state="visible" r:id="rId334"/>
    <sheet sheetId="332" name="Reductions and removals claime" state="visible" r:id="rId335"/>
    <sheet sheetId="333" name="Benefit-sharing mechanism row" state="visible" r:id="rId336"/>
    <sheet sheetId="334" name="Project Description Deviations" state="visible" r:id="rId337"/>
    <sheet sheetId="335" name="Ecosystem Restoration (VCS Val" state="visible" r:id="rId338"/>
    <sheet sheetId="336" name="CORSIA Label Eligibility (VCS" state="visible" r:id="rId339"/>
    <sheet sheetId="337" name="1.7 Evidence of right to opera" state="visible" r:id="rId340"/>
    <sheet sheetId="338" name="No Double Issuance (VCS Valida" state="visible" r:id="rId341"/>
    <sheet sheetId="339" name="3.3 Methodology details row (V" state="visible" r:id="rId342"/>
    <sheet sheetId="340" name="Registration with Other GHG Pr" state="visible" r:id="rId343"/>
    <sheet sheetId="341" name="Supply Chain (Scope 3) Emissio" state="visible" r:id="rId344"/>
    <sheet sheetId="342" name="4.4 Buffer pool allocation (re" state="visible" r:id="rId345"/>
    <sheet sheetId="343" name="Sensitive Information (VCS Val" state="visible" r:id="rId346"/>
    <sheet sheetId="344" name="1.11 Sustainable development c" state="visible" r:id="rId347"/>
    <sheet sheetId="345" name="Core Carbon Principles Label E" state="visible" r:id="rId348"/>
    <sheet sheetId="346" name="Grievance Redress Mechanism 2" state="visible" r:id="rId349"/>
    <sheet sheetId="347" name="3.3 Applicability of methodolo" state="visible" r:id="rId350"/>
    <sheet sheetId="348" name="Right to Operate and Right  2" state="visible" r:id="rId351"/>
    <sheet sheetId="349" name="Sensitive Information (VCS Ver" state="visible" r:id="rId352"/>
    <sheet sheetId="350" name="2.1 Stakeholder consultation a" state="visible" r:id="rId353"/>
    <sheet sheetId="351" name="Methodology details row (VCS P" state="visible" r:id="rId354"/>
    <sheet sheetId="352" name="Estimated reductions and remov" state="visible" r:id="rId355"/>
    <sheet sheetId="353" name="Supply Chain (Scope 3) Emis 2" state="visible" r:id="rId356"/>
    <sheet sheetId="354" name="Baseline Reassessment (VCS Val" state="visible" r:id="rId357"/>
    <sheet sheetId="355" name="De Minimis Quantification (VCS" state="visible" r:id="rId358"/>
    <sheet sheetId="356" name="Document history row (VCS v5.0" state="visible" r:id="rId359"/>
    <sheet sheetId="357" name="Further Information (VCS Valid" state="visible" r:id="rId360"/>
    <sheet sheetId="358" name="Methodology Deviations (VCS Ve" state="visible" r:id="rId361"/>
    <sheet sheetId="359" name="Stakeholder Input Tracker (VCS" state="visible" r:id="rId362"/>
    <sheet sheetId="360" name="2.2 Stakeholder consultation a" state="visible" r:id="rId363"/>
    <sheet sheetId="361" name="Management Expertise (VCS Vali" state="visible" r:id="rId364"/>
    <sheet sheetId="362" name="No Double Claiming with Emissi" state="visible" r:id="rId365"/>
    <sheet sheetId="363" name="Benefit-Sharing for Other Righ" state="visible" r:id="rId366"/>
    <sheet sheetId="364" name="Implementation schedule row (V" state="visible" r:id="rId367"/>
    <sheet sheetId="365" name="Free Prior and Informed Consen" state="visible" r:id="rId368"/>
    <sheet sheetId="366" name="Stakeholder Identification (VC" state="visible" r:id="rId369"/>
    <sheet sheetId="367" name="Estimated net reductions and r" state="visible" r:id="rId370"/>
    <sheet sheetId="368" name="Capacity Limit Eligibility (VC" state="visible" r:id="rId371"/>
    <sheet sheetId="369" name="Environmental Social and Gover" state="visible" r:id="rId372"/>
    <sheet sheetId="370" name="Land or Resource Rights Analys" state="visible" r:id="rId373"/>
    <sheet sheetId="371" name="Eligibility criteria per eligi" state="visible" r:id="rId374"/>
    <sheet sheetId="372" name="Stakeholder Input Tracker ( 2" state="visible" r:id="rId375"/>
    <sheet sheetId="373" name="Stakeholder Consultation and O" state="visible" r:id="rId376"/>
    <sheet sheetId="374" name="No Double Claiming with Emi 2" state="visible" r:id="rId377"/>
    <sheet sheetId="375" name="Project activity instances row" state="visible" r:id="rId378"/>
    <sheet sheetId="376" name="Baseline Reassessment (VCS Ver" state="visible" r:id="rId379"/>
    <sheet sheetId="377" name="Technology system or equipment" state="visible" r:id="rId380"/>
    <sheet sheetId="378" name="Stakeholder Consultation an 2" state="visible" r:id="rId381"/>
    <sheet sheetId="379" name="De Minimis GHG Sources and Car" state="visible" r:id="rId382"/>
    <sheet sheetId="380" name="Management Expertise (VCS Veri" state="visible" r:id="rId383"/>
    <sheet sheetId="381" name="Registration with Other GHG 2" state="visible" r:id="rId384"/>
    <sheet sheetId="382" name="Environmental Social and Go 2" state="visible" r:id="rId385"/>
    <sheet sheetId="383" name="Deadlines for Participation (V" state="visible" r:id="rId386"/>
    <sheet sheetId="384" name="Ex-ante vs ex-post comparison" state="visible" r:id="rId387"/>
    <sheet sheetId="385" name="De minimis comparison period r" state="visible" r:id="rId388"/>
    <sheet sheetId="386" name="3.2 Applicability of methodolo" state="visible" r:id="rId389"/>
    <sheet sheetId="387" name="No Double Issuance (VCS Verifi" state="visible" r:id="rId390"/>
    <sheet sheetId="388" name="General implementation status" state="visible" r:id="rId391"/>
    <sheet sheetId="389" name="Non-permanence risk rating row" state="visible" r:id="rId392"/>
    <sheet sheetId="390" name="Grouped project eligibility ar" state="visible" r:id="rId393"/>
    <sheet sheetId="391" name="Document review details row (V" state="visible" r:id="rId394"/>
    <sheet sheetId="392" name="Stakeholder Identification  2" state="visible" r:id="rId395"/>
    <sheet sheetId="393" name="Eligibility of Projects Regist" state="visible" r:id="rId396"/>
    <sheet sheetId="394" name="New Project Activity Instances" state="visible" r:id="rId397"/>
    <sheet sheetId="395" name="Free prior and informed con 2" state="visible" r:id="rId398"/>
    <sheet sheetId="396" name="Methodology deviation row (VCS" state="visible" r:id="rId399"/>
    <sheet sheetId="397" name="Project boundary GHG sources a" state="visible" r:id="rId400"/>
    <sheet sheetId="398" name="Additionality Methods (VCS Val" state="visible" r:id="rId401"/>
    <sheet sheetId="399" name="Project description deviation" state="visible" r:id="rId402"/>
    <sheet sheetId="400" name="Land or Resource Rights Ana 2" state="visible" r:id="rId403"/>
    <sheet sheetId="401" name="Loss events row (VCS v5.0B)" state="visible" r:id="rId404"/>
    <sheet sheetId="402" name="5.4 Buffer pool allocation (re" state="visible" r:id="rId405"/>
    <sheet sheetId="403" name="Free Prior and Informed Con 3" state="visible" r:id="rId406"/>
    <sheet sheetId="404" name="1.18 Sustainable developmen 2" state="visible" r:id="rId407"/>
    <sheet sheetId="405" name="Document history row (VVB Veri" state="visible" r:id="rId408"/>
    <sheet sheetId="406" name="5.4 Buffer pool allocation (co" state="visible" r:id="rId409"/>
    <sheet sheetId="407" name="Document history row (Validati" state="visible" r:id="rId410"/>
    <sheet sheetId="408" name="Document history row (VCS Moni" state="visible" r:id="rId411"/>
    <sheet sheetId="409" name="VT0010 grid load row (load L;" state="visible" r:id="rId412"/>
    <sheet sheetId="410" name="TOOL03 fuel combustion row (fu" state="visible" r:id="rId413"/>
    <sheet sheetId="411" name="VT0010 shared plant fuel row (" state="visible" r:id="rId414"/>
    <sheet sheetId="412" name="Enums" state="visible" r:id="rId415"/>
  </sheets>
  <calcPr calcId="171027"/>
</workbook>
</file>

<file path=xl/sharedStrings.xml><?xml version="1.0" encoding="utf-8"?>
<sst xmlns="http://schemas.openxmlformats.org/spreadsheetml/2006/main" count="97889" uniqueCount="4211">
  <si>
    <t>MR 2.2.1 Stakeholder Consultation and Ongoing Communication (VCS MR 2.2.1)</t>
  </si>
  <si>
    <t>Schema Description</t>
  </si>
  <si>
    <t>VCS MR v5.0 Section 2.2.1 - consultation and communication with stakeholders during this monitoring period.</t>
  </si>
  <si>
    <t>Schema Type</t>
  </si>
  <si>
    <t>Sub-Schema</t>
  </si>
  <si>
    <t>Required Field</t>
  </si>
  <si>
    <t>Field Type</t>
  </si>
  <si>
    <t>Parameter</t>
  </si>
  <si>
    <t>Visibility</t>
  </si>
  <si>
    <t>Description</t>
  </si>
  <si>
    <t>Allow Multiple Answers</t>
  </si>
  <si>
    <t>Test Value</t>
  </si>
  <si>
    <t>Default Value</t>
  </si>
  <si>
    <t>Suggest Value</t>
  </si>
  <si>
    <t>Key</t>
  </si>
  <si>
    <t>Yes</t>
  </si>
  <si>
    <t>String</t>
  </si>
  <si>
    <t/>
  </si>
  <si>
    <t>Consultation and communication this period: Describe consultations held, communication channels used and any change from the validated plan.</t>
  </si>
  <si>
    <t>No</t>
  </si>
  <si>
    <t>Quarterly community meetings held in all four zones; the published phone line operated throughout the period.</t>
  </si>
  <si>
    <t>consultationThisPeriod</t>
  </si>
  <si>
    <t>MR 1.9 Double Counting and Participation with Other GHG Programs (VCS MR 1.9)</t>
  </si>
  <si>
    <t>MR 1.9 Double Counting and Participation with Other GHG Programs</t>
  </si>
  <si>
    <t>1.9.1 No Double Issuance: Controls preventing double issuance across programs</t>
  </si>
  <si>
    <t>Project is not registered under any other GHG programme.</t>
  </si>
  <si>
    <t>doubleIssuanceControls</t>
  </si>
  <si>
    <t>Reductions and removals claime</t>
  </si>
  <si>
    <t>Reductions and removals claimed under another GHG program</t>
  </si>
  <si>
    <t>reductionsAndRemovalsClaimedUnderAnother</t>
  </si>
  <si>
    <t>Vintage period start</t>
  </si>
  <si>
    <t>example</t>
  </si>
  <si>
    <t>vintagePeriodStart</t>
  </si>
  <si>
    <t>Vintage period end</t>
  </si>
  <si>
    <t>vintagePeriodEnd</t>
  </si>
  <si>
    <t>Volume</t>
  </si>
  <si>
    <t>volume</t>
  </si>
  <si>
    <t>Serial number(s)</t>
  </si>
  <si>
    <t>serialNumberS</t>
  </si>
  <si>
    <t>Other relevant identification information</t>
  </si>
  <si>
    <t>otherRelevantIdentificationInformation</t>
  </si>
  <si>
    <t>Name and contact information of program administrator</t>
  </si>
  <si>
    <t>nameAndContactInformationOfProgramAdmini</t>
  </si>
  <si>
    <t>Details of participation</t>
  </si>
  <si>
    <t>detailsOfParticipation</t>
  </si>
  <si>
    <t>Evidence of no double counting</t>
  </si>
  <si>
    <t>evidenceOfNoDoubleCounting</t>
  </si>
  <si>
    <t>Name of other GHG program</t>
  </si>
  <si>
    <t>nameOfOtherGHGProgram</t>
  </si>
  <si>
    <t>Project ID</t>
  </si>
  <si>
    <t>projectID</t>
  </si>
  <si>
    <t>Date of project inactivity</t>
  </si>
  <si>
    <t>dateOfProjectInactivity</t>
  </si>
  <si>
    <t>Evidence that the project is considered inactive in the other GHG Program</t>
  </si>
  <si>
    <t>evidenceThatTheProjectIsConsideredInacti</t>
  </si>
  <si>
    <t>1.10 Project Scale (VCS PD 1.10)</t>
  </si>
  <si>
    <t>VCS PD 1.10: project scale (small or large) and the estimated annual GHG emission reductions that determine it.</t>
  </si>
  <si>
    <t>Project Scale: Project / Large Project, as classified under the VCS Program</t>
  </si>
  <si>
    <t>Small-scale</t>
  </si>
  <si>
    <t>projectScale</t>
  </si>
  <si>
    <t>Estimated net reductions and r</t>
  </si>
  <si>
    <t>Estimated net reductions and removals by vintage</t>
  </si>
  <si>
    <t>estimatedNetReductionsAndRemovalsByVinta</t>
  </si>
  <si>
    <t>Number</t>
  </si>
  <si>
    <t>Estimated net reductions and removals (tCO2e)</t>
  </si>
  <si>
    <t>estimatedNetReductionsAndRemovalsTCO2e</t>
  </si>
  <si>
    <t>Total estimated net reductions and removals in this crediting period</t>
  </si>
  <si>
    <t>totalEstimatedNetReductionsAndRemovalsIn</t>
  </si>
  <si>
    <t>Total number of years in this crediting period</t>
  </si>
  <si>
    <t>totalNumberOfYearsInThisCreditingPeriod</t>
  </si>
  <si>
    <t>Average annual net reductions and removals in this crediting period</t>
  </si>
  <si>
    <t>averageAnnualNetReductionsAndRemovalsInT</t>
  </si>
  <si>
    <t>5.2 Monitoring Plan (VCS PD 5.2)</t>
  </si>
  <si>
    <t>VCS PD 5.2: monitoring plan - data collection and management, calibration, personnel, internal auditing and QA/QC, non-conformances and sampling.</t>
  </si>
  <si>
    <t>5.2.1 GHG Data Collection and</t>
  </si>
  <si>
    <t>5.2.1 GHG Data Collection and Management System: VCS PD 5.2.1: how monitoring data are recorded, transferred, stored and archived.</t>
  </si>
  <si>
    <t>dataCollection</t>
  </si>
  <si>
    <t>Data Collection, Recording, Storage, Aggregation and Reporting: Methods used to measure, record, store, aggregate, and report monitoring data</t>
  </si>
  <si>
    <t>Meter readings recorded on standard field forms, entered centrally within 5 working days, reconciled quarterly.</t>
  </si>
  <si>
    <t>dataFlow</t>
  </si>
  <si>
    <t>Monitoring Line Diagram Reference: Reference to an optional diagram illustrating the monitoring system/data flow</t>
  </si>
  <si>
    <t>Annex 3 - Monitoring system data flow diagram</t>
  </si>
  <si>
    <t>diagramRef</t>
  </si>
  <si>
    <t>5.2.2 Procedures for Calibrati</t>
  </si>
  <si>
    <t>5.2.2 Procedures for Calibration: VCS PD 5.2.2: calibration of measurement equipment.</t>
  </si>
  <si>
    <t>calibration</t>
  </si>
  <si>
    <t>Calibration procedures and frequency for monitoring equipment VCS PD 5.2.2: procedures and frequency for calibration of monitoring equipment (e.g. water quality meters, flow meters), where relevant. State why if not applicable - do not leave blank.</t>
  </si>
  <si>
    <t>Flow meters calibrated annually by an accredited service provider.</t>
  </si>
  <si>
    <t>calibrationProcedures</t>
  </si>
  <si>
    <t>5.2.3 Monitoring Personnel (VC</t>
  </si>
  <si>
    <t>5.2.3 Monitoring Personnel: VCS PD 5.2.3: roles and responsibilities of monitoring personnel.</t>
  </si>
  <si>
    <t>personnel</t>
  </si>
  <si>
    <t>Organizational Structure and Responsibilities</t>
  </si>
  <si>
    <t>The Operations Manager is responsible for monitoring. Four zone technicians collect meter readings monthly.</t>
  </si>
  <si>
    <t>orgStructure</t>
  </si>
  <si>
    <t>5.2.4 Procedures for Internal</t>
  </si>
  <si>
    <t>5.2.4 Procedures for Internal Auditing and QA/QC: VCS PD 5.2.4: internal auditing and quality assurance/quality control.</t>
  </si>
  <si>
    <t>internalAudit</t>
  </si>
  <si>
    <t>Internal Auditing and QA/QC Procedures: Internal auditing and quality assurance/quality control procedures applied</t>
  </si>
  <si>
    <t>Quarterly internal audit of 10% of records against source field forms.</t>
  </si>
  <si>
    <t>internalAuditQAQC</t>
  </si>
  <si>
    <t>5.2.5 Procedures for Handling</t>
  </si>
  <si>
    <t>5.2.5 Procedures for Handling Non-Conformances: VCS PD 5.2.5: identification and correction of non-conformances.</t>
  </si>
  <si>
    <t>nonConformances</t>
  </si>
  <si>
    <t>Non-Conformance Handling: Procedures for identifying and addressing non-conformances in monitoring data</t>
  </si>
  <si>
    <t>Logged, assigned an owner, corrective action tracked to closure.</t>
  </si>
  <si>
    <t>nonConformanceHandling</t>
  </si>
  <si>
    <t>5.2.6 Sampling Approaches (VCS</t>
  </si>
  <si>
    <t>5.2.6 Sampling Approaches: VCS PD 5.2.6: sampling design, confidence and precision, per the CDM Sampling Standard.</t>
  </si>
  <si>
    <t>sampling</t>
  </si>
  <si>
    <t>Sampling approach for appliance functionality checks, water quality testing and household surveys - must comply with the sampling standard applicable to small-scale CDM project activities, stating sample size, stratification, confidence and precision achieved. VMR0015 Sec9.3(1): BOTH the baseline AND the project survey questionnaires must contain a question capturing any interactive effects between the safe drinking water system/device and improved thermal energy generation technologies (e.g. improved cookstoves) in the residence or institution. Survey results on this aspect must be applied PROPORTIONALLY across the population of households when determining emission reductions. Per VMR0015 Sec8.1, n_wb must be the usage-weighted average across boiling technologies (worked example: a household boiling 7 times/week on a three-stone fire at 10% and 3 times/week on an improved cookstove at 35% gives n_wb = (0.7 x 10%) + (0.3 x 35%) = 17.5%).</t>
  </si>
  <si>
    <t>Stratified random sampling by zone per the CDM sampling standard.</t>
  </si>
  <si>
    <t>samplingApproach</t>
  </si>
  <si>
    <t>5. Monitoring</t>
  </si>
  <si>
    <t>VCS PD v5.0 Section 5: data and parameters available at validation and monitored, and the monitoring plan.</t>
  </si>
  <si>
    <t>5.1 Data and Parameters (VCS P</t>
  </si>
  <si>
    <t>5.1 Data and Parameters: Parameters available at validation and parameters monitored (VCS PD 5.1).</t>
  </si>
  <si>
    <t>dataAndParameters</t>
  </si>
  <si>
    <t>Data and Parameters Available</t>
  </si>
  <si>
    <t>Data and parameters (cross-reference to Appendix 2)</t>
  </si>
  <si>
    <t>availableAtValidation</t>
  </si>
  <si>
    <t>Cross-reference to Appendix 2: Where the data and parameters available at validation are reported</t>
  </si>
  <si>
    <t>Data and parameters available at validation are reported in Appendix 2, table A2.1 (A2.1.1 VMR0015/AMS-III.AV, A2.1.2 TOOL03, A2.1.3 VT0010/VT0011, A2.1.5 AMS-I.E); monitored data and parameters in A2.2 (A2.2.1-A2.2.4) and section 5.2.</t>
  </si>
  <si>
    <t>appendix2CrossReference</t>
  </si>
  <si>
    <t>5.2 Monitoring Plan (VCS PD 5.</t>
  </si>
  <si>
    <t>5.2 Monitoring Plan: Data collection, calibration, personnel, QA/QC, non-conformances and sampling (VCS PD 5.2).</t>
  </si>
  <si>
    <t>monitoringPlan</t>
  </si>
  <si>
    <t>2. Stakeholder Engagement and Safeguards</t>
  </si>
  <si>
    <t>VCS PD v5.0 Section 2: stakeholder engagement and FPIC, benefit sharing, stakeholder input tracker, grievance redress mechanism and ESG safeguards.</t>
  </si>
  <si>
    <t>2.1 Stakeholder Engagement and</t>
  </si>
  <si>
    <t>2.1 Stakeholder Engagement and FPIC Processes: Stakeholder identification, consultation and FPIC (VCS PD 2.1).</t>
  </si>
  <si>
    <t>stakeholderEngagement</t>
  </si>
  <si>
    <t>2.1 Stakeholder consultation a</t>
  </si>
  <si>
    <t>Stakeholder consultation and ongoing communication</t>
  </si>
  <si>
    <t>stakeholderConsultationAndOngoingCommuni</t>
  </si>
  <si>
    <t>Stakeholder group</t>
  </si>
  <si>
    <t>stakeholderGroup</t>
  </si>
  <si>
    <t>Outcomes of activities to consult and communicate with stakeholders</t>
  </si>
  <si>
    <t>outcomesOfActivitiesToConsultAndCommunic</t>
  </si>
  <si>
    <t>Influence of women, marginalized people, and vulnerable people</t>
  </si>
  <si>
    <t>influenceOfWomenMarginalizedPeopleAndVul</t>
  </si>
  <si>
    <t>Prohibition of retaliation</t>
  </si>
  <si>
    <t>prohibitionOfRetaliation</t>
  </si>
  <si>
    <t>Explanation of any changes to the plan</t>
  </si>
  <si>
    <t>explanationOfAnyChangesToThePlan</t>
  </si>
  <si>
    <t>FPIC process</t>
  </si>
  <si>
    <t>fpicProcess</t>
  </si>
  <si>
    <t>Protection from retaliation</t>
  </si>
  <si>
    <t>protectionFromRetaliation</t>
  </si>
  <si>
    <t>Project implementation agreement</t>
  </si>
  <si>
    <t>projectImplementationAgreement</t>
  </si>
  <si>
    <t>2.2 Benefit-Sharing Mechanism</t>
  </si>
  <si>
    <t>2.2 Benefit-Sharing Mechanism: How benefits are shared with affected stakeholders (VCS PD 2.2).</t>
  </si>
  <si>
    <t>benefitSharing</t>
  </si>
  <si>
    <t>Stakeholder group: Group name matching Step 1.2 of the engagement plan.</t>
  </si>
  <si>
    <t>Participating households</t>
  </si>
  <si>
    <t>Mechanism design: How participants were engaged in mechanism design (VCS §3.17.12(1), §3.17.14(5)).</t>
  </si>
  <si>
    <t>Filters, replacement elements and maintenance are provided free of charge, funded from carbon revenue; a share of revenue funds the zone technician network.</t>
  </si>
  <si>
    <t>mechanismDesign</t>
  </si>
  <si>
    <t>Boolean</t>
  </si>
  <si>
    <t>Benefit-sharing mechanism required?: Whether one was identified as required for this group.</t>
  </si>
  <si>
    <t>mechanismRequired</t>
  </si>
  <si>
    <t>Summary of the mechanism</t>
  </si>
  <si>
    <t>summaryOfTheMechanism</t>
  </si>
  <si>
    <t>Financial information</t>
  </si>
  <si>
    <t>financialInformation</t>
  </si>
  <si>
    <t>Infrastructure</t>
  </si>
  <si>
    <t>infrastructure</t>
  </si>
  <si>
    <t>2.3 Stakeholder Input Tracker</t>
  </si>
  <si>
    <t>2.3 Stakeholder Input Tracker: Stakeholder input received and how it was taken into account (VCS PD 2.3).</t>
  </si>
  <si>
    <t>stakeholderInputTracker</t>
  </si>
  <si>
    <t>Summary of stakeholder input: Summary excluding private/sensitive information.</t>
  </si>
  <si>
    <t>Requests for faster replacement of failed filters and a published maintenance schedule.</t>
  </si>
  <si>
    <t>inputSummary</t>
  </si>
  <si>
    <t>Broad categories of common topics: Broad categories of the topics stakeholders raised.</t>
  </si>
  <si>
    <t>Replacement timing; maintenance visibility; water taste.</t>
  </si>
  <si>
    <t>commonTopics</t>
  </si>
  <si>
    <t>Influence on land/resource rights analysis: If applicable (VCS §3.6.3).</t>
  </si>
  <si>
    <t>None - the project raises no land or resource rights issues.</t>
  </si>
  <si>
    <t>landRightsInfluence</t>
  </si>
  <si>
    <t>Influence on risk assessment: How the stakeholder input changed the risk assessment, if at all.</t>
  </si>
  <si>
    <t>Led to the filter-downtime risk being added to the ESG risk register with a 14-day replacement mitigation.</t>
  </si>
  <si>
    <t>riskAssessmentInfluence</t>
  </si>
  <si>
    <t>2.4 Grievance Redress Mechanis</t>
  </si>
  <si>
    <t>2.4 Grievance Redress Mechanism: Grievance mechanism design and project grievances (VCS PD 2.4).</t>
  </si>
  <si>
    <t>grievanceRedress</t>
  </si>
  <si>
    <t>2.4.1 Design Process and Summa</t>
  </si>
  <si>
    <t>2.4.1 Design Process and Summary of the Grievance Redress Mechanism: How the mechanism was designed, how grievances are submitted, timelines, reviewers and appeals (VCS PD 2.4.1).</t>
  </si>
  <si>
    <t>grmDesign</t>
  </si>
  <si>
    <t>Submission method: How stakeholders can submit grievances, e.g. in person, phone, written (VCS Standard 3.17.23).</t>
  </si>
  <si>
    <t>In person to any zone technician, by phone to a published number, or in writing at the ward office.</t>
  </si>
  <si>
    <t>submissionMethod</t>
  </si>
  <si>
    <t>Timelines and processes: Responding to grievances.</t>
  </si>
  <si>
    <t>Acknowledged within 7 days; resolved within 30 days; outcome communicated to the complainant.</t>
  </si>
  <si>
    <t>timelinesProcess</t>
  </si>
  <si>
    <t>Reviewers and follow-up: Who reviews and follow-up process.</t>
  </si>
  <si>
    <t>Logged by the Operations Manager, who assigns an owner and confirms resolution with the complainant.</t>
  </si>
  <si>
    <t>reviewersFollowUp</t>
  </si>
  <si>
    <t>IT systems: Any IT system used to log and track grievances, or 'None' if records are kept manually.</t>
  </si>
  <si>
    <t>Paper log reconciled monthly into a spreadsheet register; no dedicated IT system is needed at this scale.</t>
  </si>
  <si>
    <t>itSystem</t>
  </si>
  <si>
    <t>Appeal process: Process to appeal resolutions.</t>
  </si>
  <si>
    <t>Unresolved grievances escalate to the Managing Director, then to the District Council if still unresolved.</t>
  </si>
  <si>
    <t>appealProcess</t>
  </si>
  <si>
    <t>Process to establish the grievance redress mechanism</t>
  </si>
  <si>
    <t>processToEstablishTheGrievanceRedressMec</t>
  </si>
  <si>
    <t>Confidentiality of information</t>
  </si>
  <si>
    <t>confidentialityOfInformation</t>
  </si>
  <si>
    <t>Grievances received</t>
  </si>
  <si>
    <t>grievancesReceived</t>
  </si>
  <si>
    <t>Appropriateness of the grievance redress mechanism</t>
  </si>
  <si>
    <t>appropriatenessOfTheGrievanceRedressMechanism</t>
  </si>
  <si>
    <t>2.5 Environmental Social and G</t>
  </si>
  <si>
    <t>2.5 Environmental, Social, and Governance Safeguards: ESG risks, no-net-harm, ecosystem restoration, management experience and legal compliance (VCS PD 2.5).</t>
  </si>
  <si>
    <t>esgSafeguards</t>
  </si>
  <si>
    <t>2.5.1 Ecosystem Restoration (V</t>
  </si>
  <si>
    <t>2.5.1 Ecosystem Restoration: Applicability of ecosystem restoration requirements (VCS PD 2.5.1).</t>
  </si>
  <si>
    <t>ecosystemRestoration</t>
  </si>
  <si>
    <t>Does the project involve ecosystem restoration?: VCS PD 2.5.1 applies to AFOLU restoration activities. A household safe-drinking-water project does not restore or convert ecosystems.</t>
  </si>
  <si>
    <t>ecosystemRestorationApplicable</t>
  </si>
  <si>
    <t>Ecosystem restoration statement: Explain applicability. Where not applicable, state why.</t>
  </si>
  <si>
    <t>Not applicable - VMR0015/AMS-III.AV is an energy demand-side activity (point-of-use water treatment displacing water boiling). It involves no land use, ecosystem restoration or ecosystem conversion.</t>
  </si>
  <si>
    <t>ecosystemRestorationStatement</t>
  </si>
  <si>
    <t>2.5.2 Management Experience (V</t>
  </si>
  <si>
    <t>2.5.2 Management Experience: Experience of the management team in delivering comparable projects (VCS PD 2.5.2).</t>
  </si>
  <si>
    <t>managementExperience</t>
  </si>
  <si>
    <t>Management team experience: Describe the management team's experience delivering similar projects and how it supports successful implementation.</t>
  </si>
  <si>
    <t>The management team has delivered water and sanitation programmes in Kilimanjaro Region since 2018, including two prior filter distribution programmes.</t>
  </si>
  <si>
    <t>2.5.3 Legal Compliance (VCS PD</t>
  </si>
  <si>
    <t>2.5.3 Legal Compliance: Legal and regulatory inquiries and their disclosure to Verra (VCS PD 2.5.3).</t>
  </si>
  <si>
    <t>legalCompliance</t>
  </si>
  <si>
    <t>Legal/regulatory inquiry received?: True if any legal or regulatory inquiry about the project was received.</t>
  </si>
  <si>
    <t>legalInquiryReceived</t>
  </si>
  <si>
    <t>Legal inquiry detail: Describe any legal or regulatory inquiry, proceeding or finding involving the project or proponent during the period</t>
  </si>
  <si>
    <t>No legal or regulatory inquiry received.</t>
  </si>
  <si>
    <t>legalInquiryDetail</t>
  </si>
  <si>
    <t>How this was made known to Verra: State how and when this matter was disclosed to Verra, as required by the VCS Standard</t>
  </si>
  <si>
    <t>Not applicable - no matter to disclose.</t>
  </si>
  <si>
    <t>verraDisclosure</t>
  </si>
  <si>
    <t>MR 3.3.2 New Project Activity Instances (VCS MR 3.3.2)</t>
  </si>
  <si>
    <t>VCS MR v5.0 Section 3.3.2 - new instances added to a grouped project during the monitoring period.</t>
  </si>
  <si>
    <t>New Instances Added This Period?: Whether new project instances (appliance cohorts / distribution areas) were added to the grouped project during this monitoring period.</t>
  </si>
  <si>
    <t>isGroupedAddition</t>
  </si>
  <si>
    <t>Description of new instances added: location, appliance type and count, commissioning date, and confirmation each meets the grouped-project inclusion criteria in PD 1.4.</t>
  </si>
  <si>
    <t>No new instances added this period.</t>
  </si>
  <si>
    <t>newInstancesDescription</t>
  </si>
  <si>
    <t>MR 3.3.1 Grouped Project Design (VCS MR 3.3.1)</t>
  </si>
  <si>
    <t>VCS MR v5.0 Section 3.3.1 - grouped project design, where the project is a grouped project.</t>
  </si>
  <si>
    <t>Grouped project design: Describe the grouped project design and inclusion criteria, or state that the project is not grouped.</t>
  </si>
  <si>
    <t>Not applicable - this is a single project, not a grouped project.</t>
  </si>
  <si>
    <t>groupedDesignStatement</t>
  </si>
  <si>
    <t>1.2 Audit History (VCS PD 1.2)</t>
  </si>
  <si>
    <t>VCS PD 1.2: every validation and verification of the project to date, one row per audit.</t>
  </si>
  <si>
    <t>Audit type: Validation / verification / joint validation and verification</t>
  </si>
  <si>
    <t>None - first validation</t>
  </si>
  <si>
    <t>auditType</t>
  </si>
  <si>
    <t>Program: GHG program under which the audit was conducted</t>
  </si>
  <si>
    <t>VCS</t>
  </si>
  <si>
    <t>program</t>
  </si>
  <si>
    <t>Validation/ verification body name: Name of the VVB that conducted the audit</t>
  </si>
  <si>
    <t>To be appointed for validation</t>
  </si>
  <si>
    <t>vvbName</t>
  </si>
  <si>
    <t>Date of opening meeting</t>
  </si>
  <si>
    <t>dateOfOpeningMeeting</t>
  </si>
  <si>
    <t>Monitoring period start</t>
  </si>
  <si>
    <t>monitoringPeriodStart</t>
  </si>
  <si>
    <t>Monitoring period end</t>
  </si>
  <si>
    <t>monitoringPeriodEnd</t>
  </si>
  <si>
    <t>Number of years</t>
  </si>
  <si>
    <t>numberOfYears</t>
  </si>
  <si>
    <t>MR 5.3 Leakage Emissions (VCS MR 5.3)</t>
  </si>
  <si>
    <t>VCS MR 5.3 - reproducible leakage calculation for this monitoring period</t>
  </si>
  <si>
    <t>VVB Verification Report</t>
  </si>
  <si>
    <t>VCS Verification Report (template v5.0B) prepared by the VVB for a VMR0015 monitoring report. ERverified is entered by the VVB; the VCUs issued are the lower of ERverified and the policy-calculated ER (floor).</t>
  </si>
  <si>
    <t>Verifiable Credentials</t>
  </si>
  <si>
    <t>Report ID: VVB's identification number of this verification report</t>
  </si>
  <si>
    <t>VER-KSW-2026-001</t>
  </si>
  <si>
    <t>verificationId</t>
  </si>
  <si>
    <t>Monitoring report ID: Monitoring report verified (read-only, set from the emission reductions record).</t>
  </si>
  <si>
    <t>MR-2026-001</t>
  </si>
  <si>
    <t>monitoringReportRef</t>
  </si>
  <si>
    <t>Project ID: Project this report belongs to (read-only, set from the emission reductions record).</t>
  </si>
  <si>
    <t>PD-KSW-2025-001</t>
  </si>
  <si>
    <t>projectRef</t>
  </si>
  <si>
    <t>Enum</t>
  </si>
  <si>
    <t>VCS Verification Report template version: Locked to v5.0B in this policy file (one file per VCS v5.0 template set). v5.0A: projects under VCS Standard v5.0 before 1 Jan 2027; v5.0B: from 1 Jan 2027 (adds right to operate, benefit-sharing, GRM, input tracker, ESG risk monitoring). To be confirmed with Verra for requests submitted before 1 Jan 2027.</t>
  </si>
  <si>
    <t>v5.0B</t>
  </si>
  <si>
    <t>templateVersion</t>
  </si>
  <si>
    <t>Project name</t>
  </si>
  <si>
    <t>Safe drinking water - Moshi</t>
  </si>
  <si>
    <t>projectName</t>
  </si>
  <si>
    <t>Date</t>
  </si>
  <si>
    <t>Verification period start: DD-MMM-YYYY</t>
  </si>
  <si>
    <t>2026-01-01</t>
  </si>
  <si>
    <t>verificationPeriodStart</t>
  </si>
  <si>
    <t>Verification period end: DD-MMM-YYYY</t>
  </si>
  <si>
    <t>verificationPeriodEnd</t>
  </si>
  <si>
    <t>Document completion date: Date of completion of the submitted version</t>
  </si>
  <si>
    <t>documentCompletionDate</t>
  </si>
  <si>
    <t>Document version: Version number of this report, matching the file name</t>
  </si>
  <si>
    <t>v1</t>
  </si>
  <si>
    <t>documentVersion</t>
  </si>
  <si>
    <t>VCS Standard version used for verification: e.g. VCS Standard, v5.0</t>
  </si>
  <si>
    <t>VCS Standard v5.0</t>
  </si>
  <si>
    <t>vcsStandardVersion</t>
  </si>
  <si>
    <t>Methodology ID and version: Methodology and version applied</t>
  </si>
  <si>
    <t>VMR0015 v1.0 (Revision to AMS-III.AV v09.0)</t>
  </si>
  <si>
    <t>methodologyIdVersion</t>
  </si>
  <si>
    <t>Client name and contact: Client for whom the report was prepared and primary contact (email)</t>
  </si>
  <si>
    <t>Rural Access Water Ltd., contact@example.org</t>
  </si>
  <si>
    <t>clientNameContact</t>
  </si>
  <si>
    <t>Validation/verification body ID: Identifier of the VVB, e.g. its Verra VVB ID (the signing DID is recorded by the platform on the credential).</t>
  </si>
  <si>
    <t>VVB-001</t>
  </si>
  <si>
    <t>vvbId</t>
  </si>
  <si>
    <t>Validation/verification body name and contact: Name of the VVB that prepared this report and primary contact (email).</t>
  </si>
  <si>
    <t>Earthwise Verification Services Ltd., audit@example.org</t>
  </si>
  <si>
    <t>Approved by: Individual at the VVB who approved this report</t>
  </si>
  <si>
    <t>J. Mwangi</t>
  </si>
  <si>
    <t>approvedBy</t>
  </si>
  <si>
    <t>Team lead of the site visit (add other roles in brackets)</t>
  </si>
  <si>
    <t>J. Doe (technical expert)</t>
  </si>
  <si>
    <t>teamLead</t>
  </si>
  <si>
    <t>Team member(s) and technical reviewer(s): Members of the site visit and the technical reviewer(s) with their roles</t>
  </si>
  <si>
    <t>A. Auditor (auditor); B. Reviewer (technical reviewer)</t>
  </si>
  <si>
    <t>teamMembers</t>
  </si>
  <si>
    <t>Report file row</t>
  </si>
  <si>
    <t>Report file names</t>
  </si>
  <si>
    <t>reportFiles</t>
  </si>
  <si>
    <t>File name: e.g. VCS VerR_[ProjectID]_DDMMMYYYY-DDMMMYYYY_v1</t>
  </si>
  <si>
    <t>VCS VerR_PD-KSW_01JAN2026-31DEC2026_v1</t>
  </si>
  <si>
    <t>fileName</t>
  </si>
  <si>
    <t>Description: e.g. Final verification report submitted for verification approval to Verra</t>
  </si>
  <si>
    <t>Final verification report</t>
  </si>
  <si>
    <t>fileDescription</t>
  </si>
  <si>
    <t>Summary</t>
  </si>
  <si>
    <t>Verification of the safe-drinking-water project; no open CARs.</t>
  </si>
  <si>
    <t>summary</t>
  </si>
  <si>
    <t>1. Introduction (VCS Verificat</t>
  </si>
  <si>
    <t>1. Introduction</t>
  </si>
  <si>
    <t>s1_introduction</t>
  </si>
  <si>
    <t>1.1 Objective: Objective of the verification</t>
  </si>
  <si>
    <t>Verify the GHG emission reductions of the monitoring period.</t>
  </si>
  <si>
    <t>objective</t>
  </si>
  <si>
    <t>1.2 Scope and Criteria: Scope and criteria (VCS Standard, VMR0015, AMS-III.AV and tools)</t>
  </si>
  <si>
    <t>VCS Standard v5.0, VMR0015 v1.0, AMS-III.AV v09.0.</t>
  </si>
  <si>
    <t>scopeAndCriteria</t>
  </si>
  <si>
    <t>1.3 Level of Assurance: Level of assurance and materiality threshold applied (1)</t>
  </si>
  <si>
    <t>1.3 Level of Assurance: Level of assurance and materiality threshold applied</t>
  </si>
  <si>
    <t>Reasonable assurance</t>
  </si>
  <si>
    <t>levelOfAssurance</t>
  </si>
  <si>
    <t>1.3 Materiality threshold: Materiality threshold applied (VCS: 5% for projects below 300,000 tCO2e/yr; 1% above)</t>
  </si>
  <si>
    <t>5%</t>
  </si>
  <si>
    <t>materialityThreshold</t>
  </si>
  <si>
    <t>1.4 Summary Description of the Project</t>
  </si>
  <si>
    <t>Distribution of household water treatment appliances displacing boiling.</t>
  </si>
  <si>
    <t>summaryDescriptionOfProject</t>
  </si>
  <si>
    <t>2. Verification Process (VCS V</t>
  </si>
  <si>
    <t>2. Verification Process</t>
  </si>
  <si>
    <t>s2_process</t>
  </si>
  <si>
    <t>2.1 Method and Criteria (VCS V</t>
  </si>
  <si>
    <t>2.1 Method and Criteria</t>
  </si>
  <si>
    <t>methodAndCriteria</t>
  </si>
  <si>
    <t>2.1 Method and Criteria: Method and criteria used</t>
  </si>
  <si>
    <t>Risk-based verification against the VCS Program rules.</t>
  </si>
  <si>
    <t>Schedule milestone (Validation</t>
  </si>
  <si>
    <t>2.1.1 Verification Schedule: Verification Schedule</t>
  </si>
  <si>
    <t>schedule</t>
  </si>
  <si>
    <t>Milestone: e.g. Contract signed; Opening meeting; Closing meeting; First CARs/CLs/FARs issued; All closed; First draft report issued</t>
  </si>
  <si>
    <t>Opening meeting</t>
  </si>
  <si>
    <t>milestone</t>
  </si>
  <si>
    <t>Date: DD-MMM-YYYY</t>
  </si>
  <si>
    <t>date</t>
  </si>
  <si>
    <t>2.2 Document Review (VCS Verif</t>
  </si>
  <si>
    <t>2.2 Document Review</t>
  </si>
  <si>
    <t>documentReview</t>
  </si>
  <si>
    <t>Document review summary (Valid</t>
  </si>
  <si>
    <t>Review summary</t>
  </si>
  <si>
    <t>reviewSummary</t>
  </si>
  <si>
    <t>Review start date</t>
  </si>
  <si>
    <t>reviewStartDate</t>
  </si>
  <si>
    <t>Review completion date</t>
  </si>
  <si>
    <t>reviewCompletionDate</t>
  </si>
  <si>
    <t>Number of days worked: Days worked by all team members</t>
  </si>
  <si>
    <t>daysWorked</t>
  </si>
  <si>
    <t>Description of review: e.g. pre-review of monitoring report documents, remote satellite imagery</t>
  </si>
  <si>
    <t>Review of the monitoring report and records.</t>
  </si>
  <si>
    <t>descriptionOfReview</t>
  </si>
  <si>
    <t>Audit team member(s): Names and roles</t>
  </si>
  <si>
    <t>A. Auditor (lead), B. Reviewer (technical reviewer)</t>
  </si>
  <si>
    <t>auditTeamMembers</t>
  </si>
  <si>
    <t>Document list row (Validation</t>
  </si>
  <si>
    <t>Documents reviewed</t>
  </si>
  <si>
    <t>documentsReviewed</t>
  </si>
  <si>
    <t>Ref number</t>
  </si>
  <si>
    <t>D1</t>
  </si>
  <si>
    <t>refNumber</t>
  </si>
  <si>
    <t>Title, author(s), version, date</t>
  </si>
  <si>
    <t>Monitoring Report, PP, v1, 01-Jan-2027</t>
  </si>
  <si>
    <t>titleAuthorVersionDate</t>
  </si>
  <si>
    <t>Electronic filename</t>
  </si>
  <si>
    <t>MR_v1.pdf</t>
  </si>
  <si>
    <t>electronicFilename</t>
  </si>
  <si>
    <t>Date provided to VVB</t>
  </si>
  <si>
    <t>dateProvided</t>
  </si>
  <si>
    <t>Document review details row (V</t>
  </si>
  <si>
    <t>Document review details</t>
  </si>
  <si>
    <t>documentReviewDetails</t>
  </si>
  <si>
    <t>Number of days worked</t>
  </si>
  <si>
    <t>numberOfDaysWorked</t>
  </si>
  <si>
    <t>Description of review</t>
  </si>
  <si>
    <t>Audit team member(s)</t>
  </si>
  <si>
    <t>auditTeamMemberS</t>
  </si>
  <si>
    <t>Interviews (Verification)</t>
  </si>
  <si>
    <t>2.3 Interviews</t>
  </si>
  <si>
    <t>interviews</t>
  </si>
  <si>
    <t>Description of interview process: project proponent: Process for determining the interview format and conducting interviews with the project proponent.</t>
  </si>
  <si>
    <t>Remote interviews with the proponent management and field staff.</t>
  </si>
  <si>
    <t>processProjectProponent</t>
  </si>
  <si>
    <t>Description of interview process: stakeholder groups: Process for selecting interviewees (including sampling), format and conduct of interviews with stakeholder groups.</t>
  </si>
  <si>
    <t>Households selected by random sampling.</t>
  </si>
  <si>
    <t>processStakeholderGroups</t>
  </si>
  <si>
    <t>Description of interview process: other groups: Interviews with other groups (government, NGOs, experts).</t>
  </si>
  <si>
    <t>Local health office interviewed.</t>
  </si>
  <si>
    <t>processOtherGroups</t>
  </si>
  <si>
    <t>Interviewee row (Validation an</t>
  </si>
  <si>
    <t>Interviewees</t>
  </si>
  <si>
    <t>interviewees</t>
  </si>
  <si>
    <t>Interviewee details: Names or anonymised identifiers, role in or relation to the project</t>
  </si>
  <si>
    <t>Interviewee 1 - household member</t>
  </si>
  <si>
    <t>interviewee</t>
  </si>
  <si>
    <t>Interview details: Location and format (remote/in person), date</t>
  </si>
  <si>
    <t>Village hall, in person, 02-Feb-2027</t>
  </si>
  <si>
    <t>interviewDetails</t>
  </si>
  <si>
    <t>Interview topics: Topics discussed</t>
  </si>
  <si>
    <t>Appliance use, water quality, fuel use</t>
  </si>
  <si>
    <t>interviewTopics</t>
  </si>
  <si>
    <t>Site visits (Validation and Ve</t>
  </si>
  <si>
    <t>2.4 Site Visits</t>
  </si>
  <si>
    <t>siteVisits</t>
  </si>
  <si>
    <t>Site visit start date</t>
  </si>
  <si>
    <t>siteVisitStart</t>
  </si>
  <si>
    <t>Site visit end date</t>
  </si>
  <si>
    <t>siteVisitEnd</t>
  </si>
  <si>
    <t>Did the site visit include a visit to facilities and/or project areas?: If no, explain how the visit objectives were achieved remotely.</t>
  </si>
  <si>
    <t>visitIncludedFacilities</t>
  </si>
  <si>
    <t>Justification where the visit was not on site: Why a remote or desk-based approach was appropriate and how it achieved the objectives.</t>
  </si>
  <si>
    <t>remoteJustification</t>
  </si>
  <si>
    <t>Methods and objectives: Method and objectives, including the physical and organisational aspects assessed.</t>
  </si>
  <si>
    <t>Inspection of water treatment appliances and interviews.</t>
  </si>
  <si>
    <t>methodsAndObjectives</t>
  </si>
  <si>
    <t>Location(s) of site visit: Facilities and project areas visited (farms, plots, project activity instances, communities).</t>
  </si>
  <si>
    <t>Moshi Rural District villages A and B</t>
  </si>
  <si>
    <t>locationsVisited</t>
  </si>
  <si>
    <t>Team members: Names and roles of all audit team members present.</t>
  </si>
  <si>
    <t>A. Auditor (lead)</t>
  </si>
  <si>
    <t>Site visit format</t>
  </si>
  <si>
    <t>siteVisitFormat</t>
  </si>
  <si>
    <t>Resolution of CARs CLs and FAR</t>
  </si>
  <si>
    <t>2.5 Resolution of Corrective Action Requests, Clarification Requests, and Forward Action Requests</t>
  </si>
  <si>
    <t>carResolution</t>
  </si>
  <si>
    <t>Process for resolution of CARs, CLs, and FARs: Describe the resolution process.</t>
  </si>
  <si>
    <t>Each finding was documented, responded to by the proponent and reassessed.</t>
  </si>
  <si>
    <t>resolutionProcess</t>
  </si>
  <si>
    <t>Total CARs raised</t>
  </si>
  <si>
    <t>totalCARs</t>
  </si>
  <si>
    <t>Total CLs raised</t>
  </si>
  <si>
    <t>totalCLs</t>
  </si>
  <si>
    <t>Total FARs raised</t>
  </si>
  <si>
    <t>totalFARs</t>
  </si>
  <si>
    <t>Total CARs, CLs, and FARs raised</t>
  </si>
  <si>
    <t>totalAll</t>
  </si>
  <si>
    <t>CARCLFAR reference row (Valida</t>
  </si>
  <si>
    <t>CAR / CL / FAR list</t>
  </si>
  <si>
    <t>items</t>
  </si>
  <si>
    <t>Reference number</t>
  </si>
  <si>
    <t>CAR-01</t>
  </si>
  <si>
    <t>referenceNumber</t>
  </si>
  <si>
    <t>Type (6)</t>
  </si>
  <si>
    <t>Type</t>
  </si>
  <si>
    <t>CAR</t>
  </si>
  <si>
    <t>findingType</t>
  </si>
  <si>
    <t>Related VCS Program rules</t>
  </si>
  <si>
    <t>VCS Standard 3.1</t>
  </si>
  <si>
    <t>relatedRules</t>
  </si>
  <si>
    <t>2.6 Eligibility for Validation Activities: Whether the VVB is eligible to perform validation activities in this verification (VCS Standard) and the basis</t>
  </si>
  <si>
    <t>The VVB is accredited for validation and verification in the sectoral scope.</t>
  </si>
  <si>
    <t>eligibilityForValidationActivities</t>
  </si>
  <si>
    <t>3. Validation Findings (VCS Ve</t>
  </si>
  <si>
    <t>3. Validation Findings</t>
  </si>
  <si>
    <t>s3_validationFindings</t>
  </si>
  <si>
    <t>3.1 Methodology Deviations</t>
  </si>
  <si>
    <t>methodologyDeviations</t>
  </si>
  <si>
    <t>Assessment conclusion: State the VVB's conclusion (see the VCS template guidance for this section).</t>
  </si>
  <si>
    <t>The project conforms to the applicable VCS Program rules and VMR0015.</t>
  </si>
  <si>
    <t>assessmentConclusion</t>
  </si>
  <si>
    <t>Assessment process: Describe the process and steps taken, including an overall description of the evidence-gathering activities and the evidence reviewed.</t>
  </si>
  <si>
    <t>Document review, interviews with the project proponent and review of the monitoring records.</t>
  </si>
  <si>
    <t>assessmentProcess</t>
  </si>
  <si>
    <t>Methodology Deviations (VCS Ve</t>
  </si>
  <si>
    <t>Methodology Deviations</t>
  </si>
  <si>
    <t>Assessment conclusion</t>
  </si>
  <si>
    <t>Assessment process</t>
  </si>
  <si>
    <t>Deadlines for Participation ro</t>
  </si>
  <si>
    <t>Evidence gathered</t>
  </si>
  <si>
    <t>evidenceGathered</t>
  </si>
  <si>
    <t>Evidence description and type</t>
  </si>
  <si>
    <t>evidenceDescriptionAndType</t>
  </si>
  <si>
    <t>3.2 Project Description Deviat</t>
  </si>
  <si>
    <t>3.2 Project Description Deviations</t>
  </si>
  <si>
    <t>projectDescriptionDeviations</t>
  </si>
  <si>
    <t>Project Description Deviations</t>
  </si>
  <si>
    <t>3.3 New Project Activity Insta</t>
  </si>
  <si>
    <t>3.3 New Project Activity Instances in Grouped Projects</t>
  </si>
  <si>
    <t>newProjectActivityInstances</t>
  </si>
  <si>
    <t>New Project Activity Instances</t>
  </si>
  <si>
    <t>New Project Activity Instances in Grouped Projects</t>
  </si>
  <si>
    <t>newProjectActivityInstancesInGroupedProj</t>
  </si>
  <si>
    <t>3.4 Baseline Reassessment</t>
  </si>
  <si>
    <t>baselineReassessment</t>
  </si>
  <si>
    <t>Baseline Reassessment (VCS Ver</t>
  </si>
  <si>
    <t>Baseline Reassessment</t>
  </si>
  <si>
    <t>4. Verification Findings (VCS</t>
  </si>
  <si>
    <t>4. Verification Findings</t>
  </si>
  <si>
    <t>s4_verificationFindings</t>
  </si>
  <si>
    <t>4.1 Implementation Status of t</t>
  </si>
  <si>
    <t>4.1 Implementation Status of the Project Activity</t>
  </si>
  <si>
    <t>implementationStatus</t>
  </si>
  <si>
    <t>4.1.1 General Implementation S</t>
  </si>
  <si>
    <t>4.1.1 General Implementation Status</t>
  </si>
  <si>
    <t>generalImplementationStatus</t>
  </si>
  <si>
    <t>4.1.2 Loss Events</t>
  </si>
  <si>
    <t>lossEvents</t>
  </si>
  <si>
    <t>4.2 Project Details (VCS Verif</t>
  </si>
  <si>
    <t>4.2 Project Details</t>
  </si>
  <si>
    <t>projectDetails</t>
  </si>
  <si>
    <t>4.2.1 Audit History</t>
  </si>
  <si>
    <t>auditHistory</t>
  </si>
  <si>
    <t>Assessment conclusion: State the VVB's conclusion.</t>
  </si>
  <si>
    <t>Conforms.</t>
  </si>
  <si>
    <t>Justification and assessment conclusion</t>
  </si>
  <si>
    <t>justificationAndAssessmentConclusion</t>
  </si>
  <si>
    <t>4.2.2 Sectoral Scope and Proje</t>
  </si>
  <si>
    <t>4.2.2 Sectoral Scope and Project Classification</t>
  </si>
  <si>
    <t>sectoralScopeAndClassification</t>
  </si>
  <si>
    <t>4.2.3 Project Location</t>
  </si>
  <si>
    <t>projectLocation</t>
  </si>
  <si>
    <t>4.2.4 Double Counting and Part</t>
  </si>
  <si>
    <t>4.2.4 Double Counting and Participation with Other GHG Programs</t>
  </si>
  <si>
    <t>doubleCounting</t>
  </si>
  <si>
    <t>4.2.4.1 No Double Issuance</t>
  </si>
  <si>
    <t>noDoubleIssuance</t>
  </si>
  <si>
    <t>4.2.4.2 Registration with Othe</t>
  </si>
  <si>
    <t>4.2.4.2 Registration with Other GHG Programs</t>
  </si>
  <si>
    <t>registrationOtherGhgPrograms</t>
  </si>
  <si>
    <t>4.2.5 Double Claiming Other Fo</t>
  </si>
  <si>
    <t>4.2.5 Double Claiming, Other Forms of Credit, and Scope 3 Emissions</t>
  </si>
  <si>
    <t>doubleClaiming</t>
  </si>
  <si>
    <t>4.2.5.1 No Double Claiming wit</t>
  </si>
  <si>
    <t>4.2.5.1 No Double Claiming with Emissions Trading Programs or Binding Emissions Limits</t>
  </si>
  <si>
    <t>noDoubleClaimingEts</t>
  </si>
  <si>
    <t>4.2.5.2 No Double Claiming wit</t>
  </si>
  <si>
    <t>4.2.5.2 No Double Claiming with Other Forms of Environmental Credit</t>
  </si>
  <si>
    <t>noDoubleClaimingOtherCredit</t>
  </si>
  <si>
    <t>4.2.5.3 Supply chain (Scope 3)</t>
  </si>
  <si>
    <t>4.2.5.3 Supply chain (Scope 3) Emissions</t>
  </si>
  <si>
    <t>scope3Emissions</t>
  </si>
  <si>
    <t>4.2.6 Sustainable Development</t>
  </si>
  <si>
    <t>4.2.6 Sustainable Development Contributions</t>
  </si>
  <si>
    <t>sustainableDevelopmentContributions</t>
  </si>
  <si>
    <t>4.2.7 Additional Information (</t>
  </si>
  <si>
    <t>4.2.7 Additional Information</t>
  </si>
  <si>
    <t>additionalInformation</t>
  </si>
  <si>
    <t>4.2.7.1 Sensitive Information</t>
  </si>
  <si>
    <t>sensitiveInformation</t>
  </si>
  <si>
    <t>4.2.7.2 Core Carbon Principles</t>
  </si>
  <si>
    <t>4.2.7.2 Core Carbon Principles Label Eligibility</t>
  </si>
  <si>
    <t>ccpLabelEligibility</t>
  </si>
  <si>
    <t>4.2.7.3 CORSIA Label Eligibili</t>
  </si>
  <si>
    <t>4.2.7.3 CORSIA Label Eligibility</t>
  </si>
  <si>
    <t>corsiaLabelEligibility</t>
  </si>
  <si>
    <t>Sensitive Information (VCS Ver</t>
  </si>
  <si>
    <t>Sensitive Information</t>
  </si>
  <si>
    <t>Core Carbon Principles Label E</t>
  </si>
  <si>
    <t>Core Carbon Principles Label Eligibility</t>
  </si>
  <si>
    <t>coreCarbonPrinciplesLabelEligibility</t>
  </si>
  <si>
    <t>CORSIA Label Eligibility (VCS</t>
  </si>
  <si>
    <t>CORSIA Label Eligibility</t>
  </si>
  <si>
    <t>No Double Issuance (VCS Verifi</t>
  </si>
  <si>
    <t>No Double Issuance</t>
  </si>
  <si>
    <t>Registration with Other GHG Pr</t>
  </si>
  <si>
    <t>Registration with Other GHG Programs</t>
  </si>
  <si>
    <t>registrationWithOtherGHGPrograms</t>
  </si>
  <si>
    <t>No Double Claiming with Emissi</t>
  </si>
  <si>
    <t>No Double Claiming with Emissions Trading Programs or Binding Emission Limits</t>
  </si>
  <si>
    <t>noDoubleClaimingWithEmissionsTradingProg</t>
  </si>
  <si>
    <t>Supply Chain (Scope 3) Emis 2</t>
  </si>
  <si>
    <t>Supply Chain (Scope 3) Emissions</t>
  </si>
  <si>
    <t>supplyChainScope3Emissions</t>
  </si>
  <si>
    <t>Right to Operate and Right  2</t>
  </si>
  <si>
    <t>Right to Operate and Right to Reductions and Removals</t>
  </si>
  <si>
    <t>rightToOperateAndRightToReductionsAndRem</t>
  </si>
  <si>
    <t>Land or Resource Rights Ana 2</t>
  </si>
  <si>
    <t>Land or Resource Rights Analysis</t>
  </si>
  <si>
    <t>landOrResourceRightsAnalysis</t>
  </si>
  <si>
    <t>4.4 Quantification of Reductio</t>
  </si>
  <si>
    <t>4.4 Quantification of Reductions and Removals</t>
  </si>
  <si>
    <t>quantification</t>
  </si>
  <si>
    <t>4.4.1 Accuracy of Reduction an</t>
  </si>
  <si>
    <t>4.4.1 Accuracy of Reduction and Removal Calculations</t>
  </si>
  <si>
    <t>accuracyOfCalculations</t>
  </si>
  <si>
    <t>4.4.2 Quality of Evidence to D</t>
  </si>
  <si>
    <t>4.4.2 Quality of Evidence to Determine Reductions and Removals</t>
  </si>
  <si>
    <t>qualityOfEvidence</t>
  </si>
  <si>
    <t>4.4.3 Other Relevant Quantific</t>
  </si>
  <si>
    <t>4.4.3 Other Relevant Quantification</t>
  </si>
  <si>
    <t>otherRelevantQuantification</t>
  </si>
  <si>
    <t>4.4.3.1 Non-Permanence Risk An</t>
  </si>
  <si>
    <t>4.4.3.1 Non-Permanence Risk Analysis</t>
  </si>
  <si>
    <t>nonPermanenceRiskAnalysis</t>
  </si>
  <si>
    <t>4.4.3.2 Buffer Pool Allocation</t>
  </si>
  <si>
    <t>4.4.3.2 Buffer Pool Allocation Calculation</t>
  </si>
  <si>
    <t>bufferPoolAllocation</t>
  </si>
  <si>
    <t>4.4.3.3 Long-Term Average</t>
  </si>
  <si>
    <t>longTermAverage</t>
  </si>
  <si>
    <t>4.4.3.4 De Minimis Quantificat</t>
  </si>
  <si>
    <t>4.4.3.4 De Minimis Quantification</t>
  </si>
  <si>
    <t>deMinimisQuantification</t>
  </si>
  <si>
    <t>De Minimis Quantification (VCS</t>
  </si>
  <si>
    <t>De Minimis Quantification</t>
  </si>
  <si>
    <t>4.5 Monitoring (VCS Verificati</t>
  </si>
  <si>
    <t>4.5 Monitoring</t>
  </si>
  <si>
    <t>monitoring</t>
  </si>
  <si>
    <t>Data and parameter row (Verifi</t>
  </si>
  <si>
    <t>4.5.1 Data and Parameters Used</t>
  </si>
  <si>
    <t>dataAndParametersUsed</t>
  </si>
  <si>
    <t>Data/Parameter: Name of the data/parameter used</t>
  </si>
  <si>
    <t>QPW_y</t>
  </si>
  <si>
    <t>dataParameter</t>
  </si>
  <si>
    <t>Data unit</t>
  </si>
  <si>
    <t>L</t>
  </si>
  <si>
    <t>dataUnit</t>
  </si>
  <si>
    <t>Assessment process: Steps taken to assess the appropriateness of the data/parameter</t>
  </si>
  <si>
    <t>Checked flow-meter records against sales receipts.</t>
  </si>
  <si>
    <t>Assessment conclusion: Whether the values applied are reasonable and in conformance to the VCS Program rules and the methodology</t>
  </si>
  <si>
    <t>Appropriate.</t>
  </si>
  <si>
    <t>4.5.2 Monitoring Plan</t>
  </si>
  <si>
    <t>4.2.8 Right to Operate and Rig</t>
  </si>
  <si>
    <t>4.2.8 Right to Operate and Right to Reductions and Removals (v5.0B)</t>
  </si>
  <si>
    <t>s4_2_8_v50B</t>
  </si>
  <si>
    <t>Safeguards assessment row item</t>
  </si>
  <si>
    <t>4.2.8.1 Demonstration of the Right to Operate and Right to Reductions and Removals</t>
  </si>
  <si>
    <t>demonstration</t>
  </si>
  <si>
    <t>Item assessed.</t>
  </si>
  <si>
    <t>Stakeholder identification</t>
  </si>
  <si>
    <t>item</t>
  </si>
  <si>
    <t>Assessment conclusion and assessment process: VVB conclusion and the process followed to reach it.</t>
  </si>
  <si>
    <t>Conforms; evidence reviewed.</t>
  </si>
  <si>
    <t>conclusionAndProcess</t>
  </si>
  <si>
    <t>4.2.8.2 Land or Resource Rights Analysis</t>
  </si>
  <si>
    <t>landOrResourceRights</t>
  </si>
  <si>
    <t>4.3 Stakeholder Engagement and</t>
  </si>
  <si>
    <t>4.3 Stakeholder Engagement and Safeguards (v5.0B)</t>
  </si>
  <si>
    <t>s4_3_v50B</t>
  </si>
  <si>
    <t>4.3.1 Stakeholder Identification</t>
  </si>
  <si>
    <t>stakeholderIdentification</t>
  </si>
  <si>
    <t>4.3.2 Stakeholder Consultation and Ongoing Communication</t>
  </si>
  <si>
    <t>stakeholderConsultation</t>
  </si>
  <si>
    <t>4.3.3 Free, Prior, and Informed Consent and Benefit-Sharing Mechanism for Customary Rights Holders and IPs</t>
  </si>
  <si>
    <t>fpicAndBenefitSharingCustomary</t>
  </si>
  <si>
    <t>4.3.4 Benefit-Sharing Mechanism for Rights Holders Other Than Customary Rights Holders and IPs</t>
  </si>
  <si>
    <t>benefitSharingOthers</t>
  </si>
  <si>
    <t>4.3.5 Stakeholder Input Tracker</t>
  </si>
  <si>
    <t>4.3.6 Grievance Redress Mechanism</t>
  </si>
  <si>
    <t>grievanceRedressMechanism</t>
  </si>
  <si>
    <t>4.3.7 Management Expertise</t>
  </si>
  <si>
    <t>managementExpertise</t>
  </si>
  <si>
    <t>4.3.8 Environmental, Social, and Governance Risk Monitoring</t>
  </si>
  <si>
    <t>esgRiskMonitoring</t>
  </si>
  <si>
    <t>Stakeholder Identification (VC</t>
  </si>
  <si>
    <t>Stakeholder Identification</t>
  </si>
  <si>
    <t>stakeholderIdentification2</t>
  </si>
  <si>
    <t>Stakeholder Consultation and O</t>
  </si>
  <si>
    <t>Stakeholder Consultation and Ongoing Communication</t>
  </si>
  <si>
    <t>Free Prior and Informed Consen</t>
  </si>
  <si>
    <t>Free, Prior, and Informed Consent and Benefit-Sharing (Customary Rights Holders and Indigenous Peoples)</t>
  </si>
  <si>
    <t>freePriorAndInformedConsentAndBenefitSha</t>
  </si>
  <si>
    <t>Benefit-Sharing for Other Righ</t>
  </si>
  <si>
    <t>Benefit-Sharing for Other Rights Holders</t>
  </si>
  <si>
    <t>benefitSharingForOtherRightsHolders</t>
  </si>
  <si>
    <t>Stakeholder Input Tracker (VCS</t>
  </si>
  <si>
    <t>Stakeholder Input Tracker</t>
  </si>
  <si>
    <t>stakeholderInputTracker2</t>
  </si>
  <si>
    <t>Grievance Redress Mechanism 2</t>
  </si>
  <si>
    <t>Grievance Redress Mechanism</t>
  </si>
  <si>
    <t>grievanceRedressMechanism2</t>
  </si>
  <si>
    <t>Management Expertise (VCS Veri</t>
  </si>
  <si>
    <t>Management Expertise</t>
  </si>
  <si>
    <t>managementExpertise2</t>
  </si>
  <si>
    <t>Environmental Social and Go 2</t>
  </si>
  <si>
    <t>Environmental, Social, and Governance Risk Monitoring</t>
  </si>
  <si>
    <t>environmentalSocialAndGovernanceRiskMoni</t>
  </si>
  <si>
    <t>5. Verification Opinion (VCS V</t>
  </si>
  <si>
    <t>5. Verification Opinion</t>
  </si>
  <si>
    <t>s5_verificationOpinion</t>
  </si>
  <si>
    <t>5.1 Verification Conclusion Su</t>
  </si>
  <si>
    <t>5.1 Verification Conclusion Summary</t>
  </si>
  <si>
    <t>conclusionSummary</t>
  </si>
  <si>
    <t>Date of the opinion</t>
  </si>
  <si>
    <t>dateOfOpinion</t>
  </si>
  <si>
    <t>GHG statement subject to verification, date and period; the statement is the responsibility of the project proponent.</t>
  </si>
  <si>
    <t>The GHG statement of the proponent for the period was verified.</t>
  </si>
  <si>
    <t>ghgStatement</t>
  </si>
  <si>
    <t>Objectives, scope, and criteria: Summary of the objectives, scope and criteria used to compile and assess the GHG statement</t>
  </si>
  <si>
    <t>objectivesScopeCriteria</t>
  </si>
  <si>
    <t>Non-permanence risk assessment: For AFOLU and GCS projects only; not applicable to this methodology.</t>
  </si>
  <si>
    <t>Not applicable (non-AFOLU).</t>
  </si>
  <si>
    <t>nonPermanenceRiskAssessment</t>
  </si>
  <si>
    <t>Data and information supporting the GHG statement: Whether the data and information were hypothetical, projected or historical</t>
  </si>
  <si>
    <t>Historical (measured) data.</t>
  </si>
  <si>
    <t>dataAndInformationSupportingStatement</t>
  </si>
  <si>
    <t>5.2 Conclusion on Achieved Red</t>
  </si>
  <si>
    <t>5.2 Conclusion on Achieved Reductions and Removals</t>
  </si>
  <si>
    <t>conclusionOnAchievedReductions</t>
  </si>
  <si>
    <t>Verification period start</t>
  </si>
  <si>
    <t>Verification period end</t>
  </si>
  <si>
    <t>Achieved reductions by vintage</t>
  </si>
  <si>
    <t>Achieved reductions and removals by vintage</t>
  </si>
  <si>
    <t>achievedByVintage</t>
  </si>
  <si>
    <t>Country</t>
  </si>
  <si>
    <t>Tanzania</t>
  </si>
  <si>
    <t>country</t>
  </si>
  <si>
    <t>Methodology</t>
  </si>
  <si>
    <t>VMR0015</t>
  </si>
  <si>
    <t>methodology</t>
  </si>
  <si>
    <t>vintageStart</t>
  </si>
  <si>
    <t>vintageEnd</t>
  </si>
  <si>
    <t>Net baseline emissions (tCO2e)</t>
  </si>
  <si>
    <t>netBaselineEmissions</t>
  </si>
  <si>
    <t>Net project emissions (tCO2e)</t>
  </si>
  <si>
    <t>netProjectEmissions</t>
  </si>
  <si>
    <t>Leakage emissions (tCO2e)</t>
  </si>
  <si>
    <t>leakageEmissions</t>
  </si>
  <si>
    <t>Total net reductions (tCO2e)</t>
  </si>
  <si>
    <t>totalNetReductions</t>
  </si>
  <si>
    <t>Total net removals (tCO2e)</t>
  </si>
  <si>
    <t>totalNetRemovals</t>
  </si>
  <si>
    <t>Total net reductions and removals (tCO2e)</t>
  </si>
  <si>
    <t>totalNetReductionsAndRemovals</t>
  </si>
  <si>
    <t>Buffer pool allocation by vint</t>
  </si>
  <si>
    <t>Buffer pool allocation by vintage (not applicable to this methodology)</t>
  </si>
  <si>
    <t>bufferPoolByVintage</t>
  </si>
  <si>
    <t>Total buffer pool allocation (tCO2e)</t>
  </si>
  <si>
    <t>totalBufferPoolAllocation</t>
  </si>
  <si>
    <t>Total net reductions minus buffer pool allocation (tCO2e)</t>
  </si>
  <si>
    <t>netReductionsMinusBuffer</t>
  </si>
  <si>
    <t>Total net removals minus buffer pool allocation (tCO2e)</t>
  </si>
  <si>
    <t>netRemovalsMinusBuffer</t>
  </si>
  <si>
    <t>Total net reductions and removals minus buffer pool allocation (tCO2e)</t>
  </si>
  <si>
    <t>netReductionsAndRemovalsMinusBuffer</t>
  </si>
  <si>
    <t>netBaselineEmissionsTCO2e</t>
  </si>
  <si>
    <t>netProjectEmissionsTCO2e</t>
  </si>
  <si>
    <t>leakageEmissionsTCO2e</t>
  </si>
  <si>
    <t>Vintage summary row</t>
  </si>
  <si>
    <t>Verified reductions and removals by vintage</t>
  </si>
  <si>
    <t>verifiedByVintage</t>
  </si>
  <si>
    <t>Total net reductions (minus buffer pool allocation) (tCO2e)</t>
  </si>
  <si>
    <t>Total net removals (minus buffer pool allocation) (tCO2e)</t>
  </si>
  <si>
    <t>Total net reductions and removals (minus buffer pool allocation) (tCO2e)</t>
  </si>
  <si>
    <t>Verified GHG emission reductions and carbon dioxide removals for the verification period (tCO2e)</t>
  </si>
  <si>
    <t>verifiedGHGEmissionReductionsAndCarbonDi</t>
  </si>
  <si>
    <t>5.3 Ex-Ante vs Ex-Post Compari</t>
  </si>
  <si>
    <t>5.3 Ex-Ante vs Ex-Post Comparison</t>
  </si>
  <si>
    <t>exAnteVsExPost</t>
  </si>
  <si>
    <t>Ex-ante vs ex-post row</t>
  </si>
  <si>
    <t>Ex-ante vs ex-post comparison by vintage</t>
  </si>
  <si>
    <t>comparison</t>
  </si>
  <si>
    <t>Ex-ante estimated reductions/removals</t>
  </si>
  <si>
    <t>exAnteReductionsRemovals</t>
  </si>
  <si>
    <t>Achieved reductions/removals</t>
  </si>
  <si>
    <t>achievedReductionsRemovals</t>
  </si>
  <si>
    <t>Percent difference</t>
  </si>
  <si>
    <t>percentDifference</t>
  </si>
  <si>
    <t>Explanation for the difference</t>
  </si>
  <si>
    <t>explanationForDifference</t>
  </si>
  <si>
    <t>5.1 Verification conclusion (issuance gate): Opinion of the VVB. Only "Verified" allows VCU issuance; "Verified with reservations" and "Not verified" never mint. The template does not prescribe these values; they are the policy's controlled choice for the opinion in 5.1.</t>
  </si>
  <si>
    <t>Verified</t>
  </si>
  <si>
    <t>verificationConclusion</t>
  </si>
  <si>
    <t>5.2 ER calculated by the policy (tCO2e): ER_final_total of the emission reductions record (Ex Post) for this monitoring report (read-only, preset).</t>
  </si>
  <si>
    <t>ERcalculated</t>
  </si>
  <si>
    <t>5.2 Verified GHG emission reductions and carbon dioxide removals for the verification period (tCO2e): Figure verified by the VVB (editable; pre-filled with the calculated ER). Enter a lower figure if verification finds one. VCUs issued = floor(min(ERverified, ERcalculated)); zero or empty issues nothing.</t>
  </si>
  <si>
    <t>ERverified</t>
  </si>
  <si>
    <t>Appendix 1 row (Validation and</t>
  </si>
  <si>
    <t>Appendix 1: Sensitive Information</t>
  </si>
  <si>
    <t>appendix1SensitiveInformation</t>
  </si>
  <si>
    <t>Section number</t>
  </si>
  <si>
    <t>1.4</t>
  </si>
  <si>
    <t>sectionNumber</t>
  </si>
  <si>
    <t>Information to be excluded</t>
  </si>
  <si>
    <t>informationExcluded</t>
  </si>
  <si>
    <t>Assessment process and conclusion: VVB conclusion on whether the information meets the VCS Program definition of commercially/program sensitive.</t>
  </si>
  <si>
    <t>assessmentProcessAndConclusion</t>
  </si>
  <si>
    <t>Appendix 2 row (Validation and</t>
  </si>
  <si>
    <t>Appendix 2: List of CARs, CLs, and FARs Raised During Audit</t>
  </si>
  <si>
    <t>appendix2CarsClsFars</t>
  </si>
  <si>
    <t>Finding ID: Reference number of the finding</t>
  </si>
  <si>
    <t>findingId</t>
  </si>
  <si>
    <t>Date raised</t>
  </si>
  <si>
    <t>dateRaised</t>
  </si>
  <si>
    <t>Raised by: Name of auditor and role</t>
  </si>
  <si>
    <t>A. Auditor, lead</t>
  </si>
  <si>
    <t>raisedBy</t>
  </si>
  <si>
    <t>Type of finding (2)</t>
  </si>
  <si>
    <t>Type of finding</t>
  </si>
  <si>
    <t>Document reference: VCS Program document and section the finding is raised against</t>
  </si>
  <si>
    <t>documentReference</t>
  </si>
  <si>
    <t>Summary of finding: Issue raised, how it was determined and why</t>
  </si>
  <si>
    <t>summaryOfFinding</t>
  </si>
  <si>
    <t>Assessment and conclusion: Each round of proponent response and VVB assessment</t>
  </si>
  <si>
    <t>assessmentAndConclusion</t>
  </si>
  <si>
    <t>Appendix 3 row (Validation and</t>
  </si>
  <si>
    <t>Appendix 3: Competence of Team Members and Technical Reviewers</t>
  </si>
  <si>
    <t>appendix3Competence</t>
  </si>
  <si>
    <t>Name of team member or technical reviewer</t>
  </si>
  <si>
    <t>A. Auditor</t>
  </si>
  <si>
    <t>name</t>
  </si>
  <si>
    <t>Role of team member or technical reviewer</t>
  </si>
  <si>
    <t>Lead auditor</t>
  </si>
  <si>
    <t>role</t>
  </si>
  <si>
    <t>Summary of qualifications and technical competencies</t>
  </si>
  <si>
    <t>Accredited lead auditor, sectoral scope 3</t>
  </si>
  <si>
    <t>qualifications</t>
  </si>
  <si>
    <t>Appendix X row (Validation and</t>
  </si>
  <si>
    <t>Appendix X: Additional appendices</t>
  </si>
  <si>
    <t>appendixX</t>
  </si>
  <si>
    <t>Title of appendix</t>
  </si>
  <si>
    <t>appendixTitle</t>
  </si>
  <si>
    <t>Content</t>
  </si>
  <si>
    <t>appendixContent</t>
  </si>
  <si>
    <t>Document history row (VVB Veri</t>
  </si>
  <si>
    <t>Document history</t>
  </si>
  <si>
    <t>documentHistory</t>
  </si>
  <si>
    <t>File name: Document history - File name</t>
  </si>
  <si>
    <t>Description: Document history - Description</t>
  </si>
  <si>
    <t>description</t>
  </si>
  <si>
    <t>MR 1.7 Project Crediting Period (VCS MR 1.7)</t>
  </si>
  <si>
    <t>VCS MR 1.7: start and end of the crediting period this monitoring period falls within, and its number.</t>
  </si>
  <si>
    <t>Start date of this crediting period: Start date of the crediting period (DD-Month-YYYY).</t>
  </si>
  <si>
    <t>01-March-2025</t>
  </si>
  <si>
    <t>creditingStartDate</t>
  </si>
  <si>
    <t>End date of this crediting period: End date of the crediting period (DD-Month-YYYY).</t>
  </si>
  <si>
    <t>28-February-2030</t>
  </si>
  <si>
    <t>creditingEndDate</t>
  </si>
  <si>
    <t>Crediting period number: Which crediting period this monitoring report falls within</t>
  </si>
  <si>
    <t>creditingPeriodNumber</t>
  </si>
  <si>
    <t>Crediting period length</t>
  </si>
  <si>
    <t>creditingPeriodLength</t>
  </si>
  <si>
    <t>Maximum total project crediting period duration</t>
  </si>
  <si>
    <t>maximumTotalProjectCreditingPeriodDurati</t>
  </si>
  <si>
    <t>3.2 Applicability and Eligibility of Methodology (VCS PD 3.2)</t>
  </si>
  <si>
    <t>VCS PD v5.0 Section 3.2 - eligibility of the methodology and how each applicability condition is met.</t>
  </si>
  <si>
    <t>3.2.1 Eligibility of Methodolo</t>
  </si>
  <si>
    <t>3.2.1 Eligibility of Methodology: Methodology eligibility under the VCS Program (VCS PD 3.2.1).</t>
  </si>
  <si>
    <t>eligibility</t>
  </si>
  <si>
    <t>Methodology eligibility: Confirm the methodology and version are eligible under the current VCS Program, citing the VCS methodology list entry.</t>
  </si>
  <si>
    <t>AMS-III.AV v09.0 as revised by Verra VMR0015 v1.0 is an approved VCS methodology revision for low greenhouse-gas-emitting safe drinking water production systems, eligible for use under the VCS Program.</t>
  </si>
  <si>
    <t>methodologyEligibilityStatement</t>
  </si>
  <si>
    <t>3.2.2 Applicability of Methodo</t>
  </si>
  <si>
    <t>3.2.2 Applicability of Methodology: Each applicability condition addressed individually (VCS PD 3.2.2).</t>
  </si>
  <si>
    <t>applicabilityConditions</t>
  </si>
  <si>
    <t>Para 2: water kiosks using solar disinfection: AMS-III.AV v09.0 para 2: a water kiosk using solar disinfection must implement measures to prevent recontamination (e.g. disinfecting and sealing containers, hygiene training). (3)</t>
  </si>
  <si>
    <t>Para 2: water kiosks using solar disinfection: AMS-III.AV v09.0 para 2: a water kiosk using solar disinfection must implement measures to prevent recontamination (e.g. disinfecting and sealing containers, hygiene training).</t>
  </si>
  <si>
    <t>Not applicable - no water kiosk uses solar disinfection</t>
  </si>
  <si>
    <t>c2KioskSolarDisinfection</t>
  </si>
  <si>
    <t>Para 2: evidence: Evidence for water kiosks using solar disinfection (document references, test reports, records).</t>
  </si>
  <si>
    <t>c2KioskSolarDisinfectionEvidence</t>
  </si>
  <si>
    <t>Para 3: soil filtration schemes (boreholes, wells): AMS-III.AV v09.0 para 3: show ex ante that rehabilitation or construction of the wells complies with national and/or international standards and that water and well are protected from contamination. (3)</t>
  </si>
  <si>
    <t>Para 3: soil filtration schemes (boreholes, wells): AMS-III.AV v09.0 para 3: show ex ante that rehabilitation or construction of the wells complies with national and/or international standards and that water and well are protected from contamination.</t>
  </si>
  <si>
    <t>Not applicable - no boreholes or wells</t>
  </si>
  <si>
    <t>c3SoilFiltrationWells</t>
  </si>
  <si>
    <t>Para 3: evidence: Evidence for soil filtration schemes (boreholes, wells) (document references, test reports, records).</t>
  </si>
  <si>
    <t>c3SoilFiltrationWellsEvidence</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</si>
  <si>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(3)</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</si>
  <si>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t>
  </si>
  <si>
    <t>Met - no public network supplied SDW to the project boundary</t>
  </si>
  <si>
    <t>c4aNoPublicNetwork</t>
  </si>
  <si>
    <t>Para 4(a): evidence: Evidence for no public SDW distribution network before the project (document references, test reports, records).</t>
  </si>
  <si>
    <t>c4aNoPublicNetworkEvidence</t>
  </si>
  <si>
    <t>Para 4(b): technology meets the performance standard: AMS-III.AV v09.0 para 4(b): laboratory testing or an official notification shows the technology meets the WHO Comprehensive Protection target (WHO 2011, 2014) or an applicable national standard based on challenge-water testing. (3)</t>
  </si>
  <si>
    <t>Para 4(b): technology meets the performance standard: AMS-III.AV v09.0 para 4(b): laboratory testing or an official notification shows the technology meets the WHO Comprehensive Protection target (WHO 2011, 2014) or an applicable national standard based on challenge-water testing.</t>
  </si>
  <si>
    <t>Met</t>
  </si>
  <si>
    <t>c4bTechnologyStandard</t>
  </si>
  <si>
    <t>Para 4(b): evidence: Evidence for technology meets the performance standard (document references, test reports, records).</t>
  </si>
  <si>
    <t>c4bTechnologyStandardEvidence</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</si>
  <si>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(3)</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</si>
  <si>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t>
  </si>
  <si>
    <t>Met - replacement measures documented</t>
  </si>
  <si>
    <t>c4cReplacementAccess</t>
  </si>
  <si>
    <t>Para 4(c): evidence: Evidence for replacement systems when the life span is shorter than the crediting period (document references, test reports, records).</t>
  </si>
  <si>
    <t>c4cReplacementAccessEvidence</t>
  </si>
  <si>
    <t>Para 4(d): appliances meet the standard and deliver microbiologically safe water: AMS-III.AV v09.0 para 4(d): the project appliances use technologies meeting the para 4(b) standard and deliver microbiologically safe drinking water. (3)</t>
  </si>
  <si>
    <t>Para 4(d): appliances meet the standard and deliver microbiologically safe water: AMS-III.AV v09.0 para 4(d): the project appliances use technologies meeting the para 4(b) standard and deliver microbiologically safe drinking water.</t>
  </si>
  <si>
    <t>c4dSafeWaterDelivered</t>
  </si>
  <si>
    <t>Para 4(d): evidence: Evidence for appliances meet the standard and deliver microbiologically safe water (document references, test reports, records).</t>
  </si>
  <si>
    <t>c4dSafeWaterDeliveredEvidence</t>
  </si>
  <si>
    <t>VMR0015 s4: REDD+ double-counting assessment: VMR0015 v1.0 section 4: assess at validation and at crediting period renewal whether REDD+ projects or jurisdictional REDD+ programmes overlap the expected fuel source area, and report the findings (table below). (3)</t>
  </si>
  <si>
    <t>VMR0015 s4: REDD+ double-counting assessment: VMR0015 v1.0 section 4: assess at validation and at crediting period renewal whether REDD+ projects or jurisdictional REDD+ programmes overlap the expected fuel source area, and report the findings (table below).</t>
  </si>
  <si>
    <t>Assessed and reported</t>
  </si>
  <si>
    <t>vmrReddAssessment</t>
  </si>
  <si>
    <t>VMR0015 s4: evidence: Evidence for REDD+ double-counting assessment (document references, test reports, records).</t>
  </si>
  <si>
    <t>vmrReddAssessmentEvidence</t>
  </si>
  <si>
    <t>Baseline practice: water boiling with non-renewable biomass or fossil fuel: Survey/statistical evidence of baseline water-boiling practice (X_boil basis)</t>
  </si>
  <si>
    <t>Baseline household survey (n=384, stratified by zone) confirms 88% of the served population boiled drinking water using firewood.</t>
  </si>
  <si>
    <t>cond3BaselineBoiling</t>
  </si>
  <si>
    <t>VMR0015 s8.1 / s9.3(1): interacting technologies: Assessment of interacting technologies at residences/institutions per VMR0015's added requirement (adjust baseline where multiple interventions overlap) VMR0015 Sec9.3(1): BOTH the baseline AND the project survey questionnaires must contain a question capturing any interactive effects between the safe drinking water system/device and improved thermal energy generation technologies (e.g. improved cookstoves) in the residence or institution. Survey results on this aspect must be applied PROPORTIONALLY across the population of households when determining emission reductions. Per VMR0015 Sec8.1, n_wb must be the usage-weighted average across boiling technologies (worked example: a household boiling 7 times/week on a three-stone fire at 10% and 3 times/week on an improved cookstove at 35% gives n_wb = (0.7 x 10%) + (0.3 x 35%) = 17.5%).</t>
  </si>
  <si>
    <t>No participating household received an improved cookstove or other interacting technology during the crediting period, confirmed against the distribution register.</t>
  </si>
  <si>
    <t>cond4VMR0015Interacting</t>
  </si>
  <si>
    <t>REDD+ Double Counting Assessme</t>
  </si>
  <si>
    <t>REDD+ double counting assessment: VMR0015 Section 4 applicability condition - REDD+ project and jurisdictional programme overlap checks.</t>
  </si>
  <si>
    <t>reddDoubleCountingAssessment</t>
  </si>
  <si>
    <t>Assessment date: Date of the VMR0015 §4 REDD+ overlap assessment.</t>
  </si>
  <si>
    <t>15-February-2025</t>
  </si>
  <si>
    <t>assessmentDate</t>
  </si>
  <si>
    <t>REDD+ overlap found?: Whether REDD+ projects/programs overlap the fuel source area.</t>
  </si>
  <si>
    <t>overlapFound</t>
  </si>
  <si>
    <t>REDD+ programs identified: List of any overlapping REDD+ projects/programs.</t>
  </si>
  <si>
    <t>None - no REDD+ project or jurisdictional program overlaps the project area.</t>
  </si>
  <si>
    <t>reddProgramsIdentified</t>
  </si>
  <si>
    <t>Assessment findings: Findings, to be reported in the project description.</t>
  </si>
  <si>
    <t>No overlap identified.</t>
  </si>
  <si>
    <t>findings</t>
  </si>
  <si>
    <t>SDW Public Distribution Networ</t>
  </si>
  <si>
    <t>Public distribution network check: AMS-III.AV Data/Parameter table 13 - annual check for a public safe-drinking-water network in the project area.</t>
  </si>
  <si>
    <t>sdwPublicDistributionNetworkCheck</t>
  </si>
  <si>
    <t>Check date: Annual AMS-III.AV Table 13 check date.</t>
  </si>
  <si>
    <t>checkDate</t>
  </si>
  <si>
    <t>Public SDW network present?: Whether a public SDW distribution network is now installed within the project boundary.</t>
  </si>
  <si>
    <t>networkExists</t>
  </si>
  <si>
    <t>Affected buildings/households: If applicable, buildings/households affected — ER cannot be claimed for these going forward.</t>
  </si>
  <si>
    <t>None - no public distribution network installed in the project area.</t>
  </si>
  <si>
    <t>affectedBuildings</t>
  </si>
  <si>
    <t>Evidence reference: Reference to the authority statement/lab test/survey supporting this check.</t>
  </si>
  <si>
    <t>Annex 4 - District infrastructure register.</t>
  </si>
  <si>
    <t>evidenceRef</t>
  </si>
  <si>
    <t>Project section ID</t>
  </si>
  <si>
    <t>sectionId</t>
  </si>
  <si>
    <t>Households connected to the public SDW network (households): Excluded from QPW and P_y from the date of supply</t>
  </si>
  <si>
    <t>householdsConnected</t>
  </si>
  <si>
    <t>Persons in connected households (persons)</t>
  </si>
  <si>
    <t>personsConnected</t>
  </si>
  <si>
    <t>Date of first SDW supply by the network</t>
  </si>
  <si>
    <t>2000-01-01</t>
  </si>
  <si>
    <t>dateOfSupply</t>
  </si>
  <si>
    <t>Evidence item</t>
  </si>
  <si>
    <t>Evidence documents: Supporting evidence for this record (receipts, meter/flow records, lab reports, photographs, survey data); each item names the file or URL under which it is stored.</t>
  </si>
  <si>
    <t>evidence</t>
  </si>
  <si>
    <t>Evidence title: Title of the evidence document</t>
  </si>
  <si>
    <t>Water sales receipts, kiosk K-12, March 2026</t>
  </si>
  <si>
    <t>documentTitle</t>
  </si>
  <si>
    <t>Evidence type: Kind of evidence (14)</t>
  </si>
  <si>
    <t>Evidence type: Kind of evidence</t>
  </si>
  <si>
    <t>Sales record / receipt</t>
  </si>
  <si>
    <t>documentType</t>
  </si>
  <si>
    <t>File name, URL or IPFS reference: File name, URL or IPFS CID under which the document is stored</t>
  </si>
  <si>
    <t>receipts_K12_2026-03.pdf</t>
  </si>
  <si>
    <t>fileReference</t>
  </si>
  <si>
    <t>Document date: Date of the evidence document</t>
  </si>
  <si>
    <t>documentDate</t>
  </si>
  <si>
    <t>Description: What the document shows and which data it supports</t>
  </si>
  <si>
    <t>Monthly receipts used to cross-check the measured volume.</t>
  </si>
  <si>
    <t>Geographic eligibility</t>
  </si>
  <si>
    <t>geographicEligibility</t>
  </si>
  <si>
    <t>Capacity limit eligibility</t>
  </si>
  <si>
    <t>capacityLimitEligibility</t>
  </si>
  <si>
    <t>3.2 Applicability of methodolo</t>
  </si>
  <si>
    <t>Applicability of methodology</t>
  </si>
  <si>
    <t>applicabilityOfMethodology</t>
  </si>
  <si>
    <t>Methodology, module, or tool ID</t>
  </si>
  <si>
    <t>methodologyModuleOrToolID</t>
  </si>
  <si>
    <t>Applicability condition</t>
  </si>
  <si>
    <t>applicabilityCondition</t>
  </si>
  <si>
    <t>Justification of conformance</t>
  </si>
  <si>
    <t>justificationOfConformance</t>
  </si>
  <si>
    <t>1.3 Sectoral Scope and Project Classification (VCS PD 1.3)</t>
  </si>
  <si>
    <t>VCS PD 1.3: sectoral scope, project activity type, and whether the project is a grouped project.</t>
  </si>
  <si>
    <t>Sectoral scope: UNFCCC sectoral scope. AMS-III.AV falls under Scope 3 (Energy demand) as a Type III 'other project activities' small-scale category.</t>
  </si>
  <si>
    <t>03 - Energy demand</t>
  </si>
  <si>
    <t>sectoralScope</t>
  </si>
  <si>
    <t>Project category</t>
  </si>
  <si>
    <t>projectCategory</t>
  </si>
  <si>
    <t>Project activity type</t>
  </si>
  <si>
    <t>projectActivityType</t>
  </si>
  <si>
    <t>5.2.2 Procedures for Calibration (VCS PD 5.2.2)</t>
  </si>
  <si>
    <t>VCS PD v5.0 Section 5.2.2 - calibration of measurement equipment.</t>
  </si>
  <si>
    <t>Other GHG Program Row (VCS PD 1.16)</t>
  </si>
  <si>
    <t>VCS PD 1.15 table row - one per other GHG program registration or rejection</t>
  </si>
  <si>
    <t>Program name: Name of the other GHG program</t>
  </si>
  <si>
    <t>None</t>
  </si>
  <si>
    <t>programName</t>
  </si>
  <si>
    <t>Status: Registered / seeking registration / rejected</t>
  </si>
  <si>
    <t>Not registered under any other GHG program</t>
  </si>
  <si>
    <t>status</t>
  </si>
  <si>
    <t>Registration number: The project's registration number in the other GHG program, or 'Not applicable' if not registered.</t>
  </si>
  <si>
    <t>Not applicable - no other registration</t>
  </si>
  <si>
    <t>registrationNumber</t>
  </si>
  <si>
    <t>Reason for rejection: Where rejected, the stated reason</t>
  </si>
  <si>
    <t>Not applicable - never submitted to another program</t>
  </si>
  <si>
    <t>rejectionReason</t>
  </si>
  <si>
    <t>VCS eligibility justification: Why the project remains eligible under VCS</t>
  </si>
  <si>
    <t>Eligible under VCS as the project has no registration or rejection under any other GHG program.</t>
  </si>
  <si>
    <t>vcsEligibilityJustification</t>
  </si>
  <si>
    <t>MR 2.1 Stakeholder Identification (VCS MR 2.1)</t>
  </si>
  <si>
    <t>VCS MR 2.1: whether any stakeholder group left or joined during the monitoring period, and how new stakeholders were engaged.</t>
  </si>
  <si>
    <t>Did any stakeholders leave this period?: True if any stakeholder group stopped being engaged during this monitoring period (VCS MR 2.1).</t>
  </si>
  <si>
    <t>stakeholdersLeft</t>
  </si>
  <si>
    <t>Nature of departure, if applicable: Whether the departure was of a whole stakeholder group or partial.</t>
  </si>
  <si>
    <t>Not applicable</t>
  </si>
  <si>
    <t>departureType</t>
  </si>
  <si>
    <t>PD deviation reference number: Reference number of the project description deviation recorded under Section 3.4.2 for this stakeholder change</t>
  </si>
  <si>
    <t>deviationReferenceNumber</t>
  </si>
  <si>
    <t>Were new stakeholders identified?: True if new stakeholders were identified during this monitoring period.</t>
  </si>
  <si>
    <t>newStakeholdersIdentified</t>
  </si>
  <si>
    <t>Description of new stakeholders: Describe any stakeholders newly identified during this monitoring period and how they were engaged</t>
  </si>
  <si>
    <t>No new stakeholders identified this period; engagement continued per the validated Project Description plan.</t>
  </si>
  <si>
    <t>newStakeholdersDescription</t>
  </si>
  <si>
    <t>File name</t>
  </si>
  <si>
    <t>VCS Monitoring Report</t>
  </si>
  <si>
    <t>VMR0015 monitoring period report schema for emission reductions.</t>
  </si>
  <si>
    <t>MR ID: A unique ID for this monitoring report. Example: MR-2026-001.</t>
  </si>
  <si>
    <t>mrId</t>
  </si>
  <si>
    <t>Project ID of the Registered PD (preset read-only when the MR is opened from the Registered PD row; free text no longer accepted - ).</t>
  </si>
  <si>
    <t>Period Reference: Reference to Monitoring Period</t>
  </si>
  <si>
    <t>MP-2026-01</t>
  </si>
  <si>
    <t>periodRef</t>
  </si>
  <si>
    <t>VCS MR template version: Locked to v5.0B in this policy file (one file per VCS v5.0 template set). Must equal the registered PD template version. v5.0A: MR section 2 = PD v5.0A structure, no MR 1.13. v5.0B: MR 1.13 and MR 2.2-2.6 (SE/FPIC, benefit sharing, stakeholder input, grievance, ESG) required.</t>
  </si>
  <si>
    <t>Quantification type: An MR always carries the ex-post result.</t>
  </si>
  <si>
    <t>Ex Post</t>
  </si>
  <si>
    <t>ghgType</t>
  </si>
  <si>
    <t>Document completion date</t>
  </si>
  <si>
    <t>Document version</t>
  </si>
  <si>
    <t>VCS Standard version used for verification</t>
  </si>
  <si>
    <t>vcsStandardVersionUsedForVerification</t>
  </si>
  <si>
    <t>Methodology ID and version</t>
  </si>
  <si>
    <t>methodologyIDAndVersion</t>
  </si>
  <si>
    <t>Project proponent name and contact</t>
  </si>
  <si>
    <t>projectProponentNameAndContact</t>
  </si>
  <si>
    <t>Prepared by</t>
  </si>
  <si>
    <t>preparedBy</t>
  </si>
  <si>
    <t>Sensitive information row ( 2</t>
  </si>
  <si>
    <t>Sensitive information</t>
  </si>
  <si>
    <t>informationToBeExcluded</t>
  </si>
  <si>
    <t>Description and explanation</t>
  </si>
  <si>
    <t>descriptionAndExplanation</t>
  </si>
  <si>
    <t>Document history row (VCS Moni</t>
  </si>
  <si>
    <t>MR 1.1 Summary of Project Impl</t>
  </si>
  <si>
    <t>1.1 Summary of Project Implementation: VCS MR 1.1 - implementation status and audit history</t>
  </si>
  <si>
    <t>mrImplementationSummary</t>
  </si>
  <si>
    <t>Implementation status summary: Summary of project implementation during this monitoring period</t>
  </si>
  <si>
    <t>Project fully operational throughout the monitoring period.</t>
  </si>
  <si>
    <t>statusSummary</t>
  </si>
  <si>
    <t>Commissioning dates: Dates project instances were commissioned or brought into service</t>
  </si>
  <si>
    <t>Zones 1-2 commissioned 01-March-2025; Zones 3-4 commissioned 15-April-2025.</t>
  </si>
  <si>
    <t>commissioningDates</t>
  </si>
  <si>
    <t>MR 1.2 Audit History (VCS MR 1</t>
  </si>
  <si>
    <t>1.2 Audit History: One entry per audit (MR 1.2 Audit History)</t>
  </si>
  <si>
    <t>auditHistorySection</t>
  </si>
  <si>
    <t>Verification</t>
  </si>
  <si>
    <t>Earthwise Verification Services Ltd.</t>
  </si>
  <si>
    <t>MR 1.3 Sectoral Scope and Proj</t>
  </si>
  <si>
    <t>1.3 Sectoral Scope and Project Classification: VCS MR 1.2</t>
  </si>
  <si>
    <t>mrSectoralScope</t>
  </si>
  <si>
    <t>Sectoral scope: Applicable UNFCCC sectoral scope</t>
  </si>
  <si>
    <t>MR 1.4 Project Proponent (VCS</t>
  </si>
  <si>
    <t>1.4 Project Proponent: VCS MR 1.3 - proponent contacts</t>
  </si>
  <si>
    <t>mrProjectProponent</t>
  </si>
  <si>
    <t>Project Proponent Contact (VCS</t>
  </si>
  <si>
    <t>Proponent contacts: One entry per proponent contact</t>
  </si>
  <si>
    <t>contacts</t>
  </si>
  <si>
    <t>Organization name: Legal name of the project proponent organization</t>
  </si>
  <si>
    <t>Rural Access Water Ltd.</t>
  </si>
  <si>
    <t>orgName</t>
  </si>
  <si>
    <t>Contact person: Full name of the contact person.</t>
  </si>
  <si>
    <t>Amara Ndosi</t>
  </si>
  <si>
    <t>contactPerson</t>
  </si>
  <si>
    <t>Title: Job title of the contact person.</t>
  </si>
  <si>
    <t>Managing Director</t>
  </si>
  <si>
    <t>title</t>
  </si>
  <si>
    <t>Address: Full postal address.</t>
  </si>
  <si>
    <t>Moshi, Kilimanjaro Region, Tanzania</t>
  </si>
  <si>
    <t>address</t>
  </si>
  <si>
    <t>Telephone number including country code.</t>
  </si>
  <si>
    <t>+255 22 000 0000</t>
  </si>
  <si>
    <t>telephone</t>
  </si>
  <si>
    <t>Email: Contact email address.</t>
  </si>
  <si>
    <t>contact@ruralaccesswater.co.tz</t>
  </si>
  <si>
    <t>email</t>
  </si>
  <si>
    <t>MR 1.5 Other Entities Involved</t>
  </si>
  <si>
    <t>1.5 Other Entities Involved in the Project: VCS Monitoring Report Section 1.5 - all other entities involved this period (distributors, technology suppliers, consultants) and each entity's role. State explicitly if none.</t>
  </si>
  <si>
    <t>mr15OtherEntitiesInvolvedInTheProject</t>
  </si>
  <si>
    <t>Changes to other entities this period: Describe any change during this period to the other entities involved in the project and their roles, or state that there was none.</t>
  </si>
  <si>
    <t>No other entities involved this period; no change from the Project Description.</t>
  </si>
  <si>
    <t>otherEntitiesUpdate</t>
  </si>
  <si>
    <t>Organization name</t>
  </si>
  <si>
    <t>organizationName</t>
  </si>
  <si>
    <t>Role in the project</t>
  </si>
  <si>
    <t>roleInTheProject</t>
  </si>
  <si>
    <t>Contact person</t>
  </si>
  <si>
    <t>Title</t>
  </si>
  <si>
    <t>Address</t>
  </si>
  <si>
    <t>Telephone</t>
  </si>
  <si>
    <t>Email</t>
  </si>
  <si>
    <t>Description of involvement</t>
  </si>
  <si>
    <t>descriptionOfInvolvement</t>
  </si>
  <si>
    <t>MR 1.6 Project Start Date and</t>
  </si>
  <si>
    <t>1.6 Project Start Date and Initial Crediting Period Start Date: VCS MR 1.5</t>
  </si>
  <si>
    <t>mrStartDate</t>
  </si>
  <si>
    <t>Project start date (DD-Month-YYYY).</t>
  </si>
  <si>
    <t>startDate</t>
  </si>
  <si>
    <t>Initial crediting period start date</t>
  </si>
  <si>
    <t>initialCreditingPeriodStartDate</t>
  </si>
  <si>
    <t>MR 1.7 Project Crediting Perio</t>
  </si>
  <si>
    <t>1.7 Project Crediting Period: VCS MR 1.6</t>
  </si>
  <si>
    <t>mrCreditingPeriod</t>
  </si>
  <si>
    <t>MR 1.8 Project Location (VCS M</t>
  </si>
  <si>
    <t>1.8 Project Location: VCS MR 1.7</t>
  </si>
  <si>
    <t>mrProjectLocation</t>
  </si>
  <si>
    <t>Country: Host country and administrative region</t>
  </si>
  <si>
    <t>Tanzania - Kilimanjaro Region, Moshi Rural District</t>
  </si>
  <si>
    <t>countryRegion</t>
  </si>
  <si>
    <t>Project Location Entry (VCS PD</t>
  </si>
  <si>
    <t>Location entries: One entry per project instance/site active this period</t>
  </si>
  <si>
    <t>locations</t>
  </si>
  <si>
    <t>Instance / site identifier: Identifier of the project instance or distribution site</t>
  </si>
  <si>
    <t>ZONE-1</t>
  </si>
  <si>
    <t>instanceId</t>
  </si>
  <si>
    <t>Administrative area: Region/district/municipality</t>
  </si>
  <si>
    <t>Moshi Rural District, Kilimanjaro Region</t>
  </si>
  <si>
    <t>adminArea</t>
  </si>
  <si>
    <t>Latitude (decimal degrees): Latitude of the instance or site, in decimal degrees.</t>
  </si>
  <si>
    <t>latitude</t>
  </si>
  <si>
    <t>Longitude (decimal degrees): Longitude of the instance or site, in decimal degrees.</t>
  </si>
  <si>
    <t>longitude</t>
  </si>
  <si>
    <t>Boundary description: Description of the site boundary or service area</t>
  </si>
  <si>
    <t>Zone 1 household cluster served by 900 filters</t>
  </si>
  <si>
    <t>boundaryDescription</t>
  </si>
  <si>
    <t>KML file reference: Reference to the geolocation file where required for grouped projects</t>
  </si>
  <si>
    <t>zone1.kml</t>
  </si>
  <si>
    <t>kmlFileRef</t>
  </si>
  <si>
    <t>Region/state/province</t>
  </si>
  <si>
    <t>regionStateProvince</t>
  </si>
  <si>
    <t>District (if applicable)</t>
  </si>
  <si>
    <t>districtIfApplicable</t>
  </si>
  <si>
    <t>Community/ municipality/city</t>
  </si>
  <si>
    <t>communityMunicipalityCity</t>
  </si>
  <si>
    <t>MR 1.9 Double Counting and Par</t>
  </si>
  <si>
    <t>1.9 Double Counting and Participation with Other GHG Programs: VCS MR 1.9</t>
  </si>
  <si>
    <t>mrOtherGhgPrograms</t>
  </si>
  <si>
    <t>MR 1.10 Double Claiming Other</t>
  </si>
  <si>
    <t>1.10 Double Claiming, Other Forms of Credit, and Scope 3 Emissions: VCS MR 1.10</t>
  </si>
  <si>
    <t>mrOtherFormsOfCredit</t>
  </si>
  <si>
    <t>1.10.1 No Double Claiming with Emissions Trading Programs or Binding Emission Limits: Confirm that for this monitoring period the project is not within an emissions trading program or subject to a binding emission limit, or describe the controls applied.</t>
  </si>
  <si>
    <t>During this monitoring period the project was not within any emissions trading program or subject to a binding emission limit.</t>
  </si>
  <si>
    <t>emissionsTradingProgramMR</t>
  </si>
  <si>
    <t>1.10.2 No Double Claiming with Other Forms of Environmental Credit: Other credits sought or received this period</t>
  </si>
  <si>
    <t>None sought or received.</t>
  </si>
  <si>
    <t>otherEnvironmentalCredit</t>
  </si>
  <si>
    <t>1.10.3 Supply Chain (Scope 3) Emissions: Statements and notifications preventing double claiming</t>
  </si>
  <si>
    <t>Written statements obtained from all offtakers.</t>
  </si>
  <si>
    <t>scope3Controls</t>
  </si>
  <si>
    <t>Name and contact information of program or limit administrator</t>
  </si>
  <si>
    <t>nameAndContactInformationOfProgramOrLimi</t>
  </si>
  <si>
    <t>Emissions trading programs or binding emission limits: Details of participation</t>
  </si>
  <si>
    <t>Project activities included</t>
  </si>
  <si>
    <t>projectActivitiesIncluded</t>
  </si>
  <si>
    <t>Reductions and removals included</t>
  </si>
  <si>
    <t>reductionsAndRemovalsIncluded</t>
  </si>
  <si>
    <t>Emissions trading programs or binding emission limits: Vintage period(s)</t>
  </si>
  <si>
    <t>vintagePeriodS</t>
  </si>
  <si>
    <t>Emissions trading programs or binding emission limits: Evidence of no double counting</t>
  </si>
  <si>
    <t>Name and contact information of credit system administrator</t>
  </si>
  <si>
    <t>nameAndContactInformationOfCreditSystemA</t>
  </si>
  <si>
    <t>Other forms of environmental credit: Details of participation</t>
  </si>
  <si>
    <t>detailsOfParticipation2</t>
  </si>
  <si>
    <t>Other forms of environmental credit: Vintage period(s)</t>
  </si>
  <si>
    <t>vintagePeriodS2</t>
  </si>
  <si>
    <t>Project activity scope</t>
  </si>
  <si>
    <t>projectActivityScope</t>
  </si>
  <si>
    <t>Other information</t>
  </si>
  <si>
    <t>otherInformation</t>
  </si>
  <si>
    <t>Other forms of environmental credit: Evidence of no double counting</t>
  </si>
  <si>
    <t>evidenceOfNoDoubleCounting2</t>
  </si>
  <si>
    <t>Supply chain (Scope 3): emissions footprint: Justification</t>
  </si>
  <si>
    <t>justification</t>
  </si>
  <si>
    <t>Supply chain (Scope 3): buyer or seller: Justification</t>
  </si>
  <si>
    <t>justification2</t>
  </si>
  <si>
    <t>MR 1.11 Sustainable Developmen</t>
  </si>
  <si>
    <t>1.11 Sustainable Development Contributions: VCS MR 1.11 - SDG contributions table</t>
  </si>
  <si>
    <t>mrSdContributions</t>
  </si>
  <si>
    <t>1.11 Sustainable development c</t>
  </si>
  <si>
    <t>Sustainable development contribution</t>
  </si>
  <si>
    <t>sustainableDevelopmentContribution</t>
  </si>
  <si>
    <t>SD contribution number</t>
  </si>
  <si>
    <t>sdContributionNumber</t>
  </si>
  <si>
    <t>SDG target</t>
  </si>
  <si>
    <t>sdgTarget</t>
  </si>
  <si>
    <t>SD contribution indicator type and name</t>
  </si>
  <si>
    <t>sdContributionIndicatorTypeAndName</t>
  </si>
  <si>
    <t>Indicator metadata</t>
  </si>
  <si>
    <t>indicatorMetadata</t>
  </si>
  <si>
    <t>Actions taken and contributions delivered</t>
  </si>
  <si>
    <t>actionsTakenAndContributionsDelivered</t>
  </si>
  <si>
    <t>Relevant national SDG objectives</t>
  </si>
  <si>
    <t>relevantNationalSDGObjectives</t>
  </si>
  <si>
    <t>MR 1.12 Additional Information</t>
  </si>
  <si>
    <t>1.12 Additional Information: VCS Monitoring Report Section 1.12 - any further information relevant to this monitoring period, including commercially sensitive information excluded from the public version and the justification for its exclusion.</t>
  </si>
  <si>
    <t>mr112AdditionalInformation</t>
  </si>
  <si>
    <t>1.12.1 Sensitive Information: excluded from public version? True if any commercially sensitive information is excluded from the public version of this report.</t>
  </si>
  <si>
    <t>sensitiveInfoMR</t>
  </si>
  <si>
    <t>1.12.2 Core Carbon Principles Label Eligibility: requesting CCP labels? True if the project requests ICVCM Core Carbon Principles labels on VCUs issued for this period.</t>
  </si>
  <si>
    <t>ccpLabelEligibilityMR</t>
  </si>
  <si>
    <t>1.12.3 CORSIA Label Eligibility: requesting CORSIA labels? True if the project requests CORSIA eligibility labels on VCUs issued for this period.</t>
  </si>
  <si>
    <t>corsiaLabelEligibilityMR</t>
  </si>
  <si>
    <t>MR 1.13 Right to Operate and R</t>
  </si>
  <si>
    <t>MR 1.13 Right to Operate and Right to Reductions and Removals: VCS MR v5.0B section 1.13: confirmation that the right to operate and the right to the reductions remain valid, and any change this period.</t>
  </si>
  <si>
    <t>mr113RightToOperateAndRightToReductionsA</t>
  </si>
  <si>
    <t>1.13.1 Demonstration of the Right to Operate and Right to Reductions and Removals: Evidence that the project proponent continues to hold the right to operate and the right to the reductions for this monitoring period.</t>
  </si>
  <si>
    <t>Signed distribution agreements with all 3,000 participating households remain in force and assign the right to the emission reductions to Rural Access Water Ltd.</t>
  </si>
  <si>
    <t>rightToOperateDemoMR</t>
  </si>
  <si>
    <t>1.13.2 Land or Resource Rights Analysis: Any change during this period affecting land or resource rights of stakeholders, and how it was addressed.</t>
  </si>
  <si>
    <t>No change this period. The filters are installed inside existing dwellings; no land or resource rights of any stakeholder are affected.</t>
  </si>
  <si>
    <t>landRightsAnalysisMR</t>
  </si>
  <si>
    <t>Proponents changed this period?: True if the project proponent(s) changed during this monitoring period.</t>
  </si>
  <si>
    <t>proponentChanged</t>
  </si>
  <si>
    <t>New info affecting right to operate?: Has any new information emerged during this period that affects the right to operate or the right to claim the reductions?</t>
  </si>
  <si>
    <t>newInfoAffectingRTO</t>
  </si>
  <si>
    <t>Detail of change: Describe the change to the right to operate or right to reductions and removals, and the supporting evidence</t>
  </si>
  <si>
    <t>No change to the right to operate or the right to the emission reductions this period.</t>
  </si>
  <si>
    <t>rtoChangeDetail</t>
  </si>
  <si>
    <t>New information and circumstances relevant to the right to operate and the right to reductions and removals</t>
  </si>
  <si>
    <t>newInformationAndCircumstancesRelevantTo</t>
  </si>
  <si>
    <t>1.13 Evidence of right to oper</t>
  </si>
  <si>
    <t>Evidence of right to operate and right to reductions and removals</t>
  </si>
  <si>
    <t>evidenceOfRightToOperateAndRightToReduct</t>
  </si>
  <si>
    <t>Type of evidence</t>
  </si>
  <si>
    <t>typeOfEvidence</t>
  </si>
  <si>
    <t>Type of right demonstrated</t>
  </si>
  <si>
    <t>typeOfRightDemonstrated</t>
  </si>
  <si>
    <t>Scope of the evidence</t>
  </si>
  <si>
    <t>scopeOfTheEvidence</t>
  </si>
  <si>
    <t>New information and circumstances relevant to the land or resource rights analysis</t>
  </si>
  <si>
    <t>newInformationAndCircumstancesRelevantTo2</t>
  </si>
  <si>
    <t>Formal title search</t>
  </si>
  <si>
    <t>formalTitleSearch</t>
  </si>
  <si>
    <t>Land tenure categories</t>
  </si>
  <si>
    <t>landTenureCategories</t>
  </si>
  <si>
    <t>Process to identify customary rights</t>
  </si>
  <si>
    <t>processToIdentifyCustomaryRights</t>
  </si>
  <si>
    <t>Conclusion</t>
  </si>
  <si>
    <t>conclusion</t>
  </si>
  <si>
    <t>Overlapping claims to land or resource rights</t>
  </si>
  <si>
    <t>overlappingClaimsToLandOrResourceRights</t>
  </si>
  <si>
    <t>Violent conflicts</t>
  </si>
  <si>
    <t>violentConflicts</t>
  </si>
  <si>
    <t>Competing claims to land or resource rights</t>
  </si>
  <si>
    <t>competingClaimsToLandOrResourceRights</t>
  </si>
  <si>
    <t>Step 4 (overlapping and competing claims and conflicts): Process: VCS template v5.0B, Step 4: overlapping and competing claims and conflicts - Process</t>
  </si>
  <si>
    <t>step4Process</t>
  </si>
  <si>
    <t>MR 2.1 Stakeholder Identificat</t>
  </si>
  <si>
    <t>2.1 Stakeholder Identification: VCS Monitoring Report Section 2.1 - stakeholders identified and engaged during this monitoring period, including any newly identified groups and the reference number of any related project description deviation.</t>
  </si>
  <si>
    <t>mr21StakeholderIdentification</t>
  </si>
  <si>
    <t>MR 2.2 Stakeholder Engagement</t>
  </si>
  <si>
    <t>MR 2.2 Stakeholder Engagement and FPIC Processes: Engagement and FPIC this period (VCS MR 2.2).</t>
  </si>
  <si>
    <t>2.2 Stakeholder consultation a</t>
  </si>
  <si>
    <t>Changes to the plan</t>
  </si>
  <si>
    <t>changesToThePlan</t>
  </si>
  <si>
    <t>Free prior and informed con 2</t>
  </si>
  <si>
    <t>Free, prior, and informed consent</t>
  </si>
  <si>
    <t>freePriorAndInformedConsent</t>
  </si>
  <si>
    <t>Ongoing consent</t>
  </si>
  <si>
    <t>ongoingConsent</t>
  </si>
  <si>
    <t>Changes to the project implementation agreement</t>
  </si>
  <si>
    <t>changesToTheProjectImplementationAgreeme</t>
  </si>
  <si>
    <t>Changes to the plan to obtain consent</t>
  </si>
  <si>
    <t>changesToThePlanToObtainConsent</t>
  </si>
  <si>
    <t>MR 2.3 Benefit-Sharing Mechani</t>
  </si>
  <si>
    <t>MR 2.3 Benefit-Sharing Mechanism: Benefits shared this period (VCS MR 2.3).</t>
  </si>
  <si>
    <t>Benefit-sharing mechanism row</t>
  </si>
  <si>
    <t>Benefit-sharing mechanism</t>
  </si>
  <si>
    <t>benefitSharingMechanism</t>
  </si>
  <si>
    <t>Mechanism implementation</t>
  </si>
  <si>
    <t>mechanismImplementation</t>
  </si>
  <si>
    <t>Changes to the mechanism</t>
  </si>
  <si>
    <t>changesToTheMechanism</t>
  </si>
  <si>
    <t>MR 2.4 Stakeholder Input Track</t>
  </si>
  <si>
    <t>MR 2.4 Stakeholder Input Tracker: Stakeholder input this period (VCS MR 2.4).</t>
  </si>
  <si>
    <t>Stakeholder input this period: Summarise input received and how it was taken into account.</t>
  </si>
  <si>
    <t>Two requests to speed up replacement were raised and addressed within the 14-day guarantee; no other input received.</t>
  </si>
  <si>
    <t>stakeholderInputThisPeriod</t>
  </si>
  <si>
    <t>MR 2.5 Grievance Redress Mecha</t>
  </si>
  <si>
    <t>MR 2.5 Grievance Redress Mechanism: Grievances this period (VCS MR 2.5).</t>
  </si>
  <si>
    <t>Grievances received: Summary with reference to Grievance Log</t>
  </si>
  <si>
    <t>Two grievances regarding filter replacement timing; resolved within 14 days.</t>
  </si>
  <si>
    <t>Changes to the grievance redress mechanism</t>
  </si>
  <si>
    <t>changesToTheGrievanceRedressMechanism</t>
  </si>
  <si>
    <t>MR 2.6 Environmental Social an</t>
  </si>
  <si>
    <t>MR 2.6 Environmental, Social, and Governance Safeguards: Realized risks, mitigation outcomes, management and legal compliance this period (VCS MR 2.6).</t>
  </si>
  <si>
    <t>MR 2.6.1 Management Experience</t>
  </si>
  <si>
    <t>2.6.1 Management Experience: Management changes this period (VCS MR 2.6.1).</t>
  </si>
  <si>
    <t>Management changes this period: Describe any change to the management team or its experience since the last report.</t>
  </si>
  <si>
    <t>No change to the management team this period.</t>
  </si>
  <si>
    <t>managementChangesThisPeriod</t>
  </si>
  <si>
    <t>MR 2.6.2 Legal Compliance (VCS</t>
  </si>
  <si>
    <t>2.6.2 Legal Compliance: Legal and regulatory inquiries this period (VCS MR 2.6.2).</t>
  </si>
  <si>
    <t>Any legal or regulatory inquiry this period?: Report any inquiry or proceeding relating to the project received during the period.</t>
  </si>
  <si>
    <t>legalInquiryThisPeriod</t>
  </si>
  <si>
    <t>Inquiry detail and disclosure to Verra: Describe the inquiry and how it was disclosed to Verra, or state that none was received.</t>
  </si>
  <si>
    <t>No legal or regulatory inquiry was received this period; nothing to disclose to Verra.</t>
  </si>
  <si>
    <t>legalInquiryDetailMR</t>
  </si>
  <si>
    <t>MR 3.1 Methodology Details (VC</t>
  </si>
  <si>
    <t>3.1 Methodology Details: VCS MR 1.8 - methodology and tool versions applied</t>
  </si>
  <si>
    <t>mrMethodologyRef</t>
  </si>
  <si>
    <t>Methodology details row (VCS P</t>
  </si>
  <si>
    <t>Methodology details</t>
  </si>
  <si>
    <t>methodologyDetails</t>
  </si>
  <si>
    <t>type2</t>
  </si>
  <si>
    <t>Methodology, module, or tool ID number</t>
  </si>
  <si>
    <t>methodologyModuleOrToolIDNumber</t>
  </si>
  <si>
    <t>Version</t>
  </si>
  <si>
    <t>version</t>
  </si>
  <si>
    <t>Name</t>
  </si>
  <si>
    <t>MR 3.2 Implementation Status o</t>
  </si>
  <si>
    <t>3.2 Implementation Status of the Project Activity: Implementation status and loss events (VCS MR 3.2).</t>
  </si>
  <si>
    <t>implementationStatusSection</t>
  </si>
  <si>
    <t>MR 3.2.1 General Implementatio</t>
  </si>
  <si>
    <t>3.2.1 General Implementation Status: Appliances deployed, in service, maintained or retired this period (VCS MR 3.2.1).</t>
  </si>
  <si>
    <t>generalStatus</t>
  </si>
  <si>
    <t>Implementation Status of the Project Activity: Implementation status this period: number of purification appliances deployed and in service, distribution activity undertaken, maintenance/replacement performed, and any appliances retired or found non-functional.</t>
  </si>
  <si>
    <t>3,000 ceramic-membrane filters distributed across 4 zones. Zones 3-4 were commissioned on 15-April-2025, six weeks after zones 1-2. At the annual functionality check 2,790 units (93%) met the full standard; 210 failed and were replaced.</t>
  </si>
  <si>
    <t>MR 3.2.2 Loss Events (VCS MR 3</t>
  </si>
  <si>
    <t>3.2.2 Loss Events: Loss events this period (VCS MR 3.2.2).</t>
  </si>
  <si>
    <t>Did a loss event occur this period?: Loss events apply to projects holding carbon stocks.</t>
  </si>
  <si>
    <t>lossEventOccurred</t>
  </si>
  <si>
    <t>Loss event statement: Describe any loss event, or state why loss events do not apply.</t>
  </si>
  <si>
    <t>Not applicable - the project holds no carbon stock; emission reductions come from avoided combustion.</t>
  </si>
  <si>
    <t>lossEventStatement</t>
  </si>
  <si>
    <t>General implementation status</t>
  </si>
  <si>
    <t>Date from</t>
  </si>
  <si>
    <t>dateFrom</t>
  </si>
  <si>
    <t>Date to</t>
  </si>
  <si>
    <t>dateTo</t>
  </si>
  <si>
    <t>Milestone or action</t>
  </si>
  <si>
    <t>milestoneOrAction</t>
  </si>
  <si>
    <t>Loss events row (VCS v5.0B)</t>
  </si>
  <si>
    <t>Loss events</t>
  </si>
  <si>
    <t>lossEvents2</t>
  </si>
  <si>
    <t>Date of the loss event</t>
  </si>
  <si>
    <t>dateOfTheLossEvent</t>
  </si>
  <si>
    <t>Date of discovery</t>
  </si>
  <si>
    <t>dateOfDiscovery</t>
  </si>
  <si>
    <t>Size (hectares impacted)</t>
  </si>
  <si>
    <t>sizeHectaresImpacted</t>
  </si>
  <si>
    <t>Amount (tCO2e)</t>
  </si>
  <si>
    <t>amountTCO2e</t>
  </si>
  <si>
    <t>Justification</t>
  </si>
  <si>
    <t>MR 3.3 Grouped Projects (VCS M</t>
  </si>
  <si>
    <t>3.3 Grouped Projects: Grouped design and new instances (VCS MR 3.3).</t>
  </si>
  <si>
    <t>groupedProjects</t>
  </si>
  <si>
    <t>MR 3.3.1 Grouped Project Desig</t>
  </si>
  <si>
    <t>3.3.1 Grouped Project Design: Grouped design (VCS MR 3.3.1).</t>
  </si>
  <si>
    <t>groupedDesign</t>
  </si>
  <si>
    <t>MR 3.3.2 New Project Activity</t>
  </si>
  <si>
    <t>3.3.2 New Project Activity Instances: Instances added this period (VCS MR 3.3.2).</t>
  </si>
  <si>
    <t>newInstances</t>
  </si>
  <si>
    <t>Grouped project eligibility ar</t>
  </si>
  <si>
    <t>Grouped project eligibility areas</t>
  </si>
  <si>
    <t>groupedProjectEligibilityAreas</t>
  </si>
  <si>
    <t>Eligibility area ID</t>
  </si>
  <si>
    <t>eligibilityAreaID</t>
  </si>
  <si>
    <t>Summary of characteristics</t>
  </si>
  <si>
    <t>summaryOfCharacteristics</t>
  </si>
  <si>
    <t>Batch ID</t>
  </si>
  <si>
    <t>batchID</t>
  </si>
  <si>
    <t>MR 3.4 Deviations (VCS MR 3.4)</t>
  </si>
  <si>
    <t>3.4 Deviations: Methodology and project description deviations (VCS MR 3.4).</t>
  </si>
  <si>
    <t>deviations</t>
  </si>
  <si>
    <t>Methodology deviation row (VCS</t>
  </si>
  <si>
    <t>Methodology deviation</t>
  </si>
  <si>
    <t>methodologyDeviation</t>
  </si>
  <si>
    <t>Title of deviation</t>
  </si>
  <si>
    <t>titleOfDeviation</t>
  </si>
  <si>
    <t>Methodology, module, or tool details</t>
  </si>
  <si>
    <t>methodologyModuleOrToolDetails</t>
  </si>
  <si>
    <t>Description of deviation</t>
  </si>
  <si>
    <t>descriptionOfDeviation</t>
  </si>
  <si>
    <t>Justification for the deviation</t>
  </si>
  <si>
    <t>justificationForTheDeviation</t>
  </si>
  <si>
    <t>Conformance to VCS Program rules</t>
  </si>
  <si>
    <t>conformanceToVCSProgramRules</t>
  </si>
  <si>
    <t>Project description deviation</t>
  </si>
  <si>
    <t>projectDescriptionDeviation</t>
  </si>
  <si>
    <t>Section numbers</t>
  </si>
  <si>
    <t>sectionNumbers</t>
  </si>
  <si>
    <t>Revised project description</t>
  </si>
  <si>
    <t>revisedProjectDescription</t>
  </si>
  <si>
    <t>Description and justification of deviation</t>
  </si>
  <si>
    <t>descriptionAndJustificationOfDeviation</t>
  </si>
  <si>
    <t>MR 3.5 Baseline Reassessment (</t>
  </si>
  <si>
    <t>3.5 Baseline Reassessment: VCS Monitoring Report Section 3.5 - reassessment of whether the baseline scenario remains valid for this monitoring period, including evaluation of any national or sectoral policy change.</t>
  </si>
  <si>
    <t>mr35BaselineReassessment</t>
  </si>
  <si>
    <t>Reassessment required this period?: True if the VCS rules required the baseline to be reassessed in this monitoring period.</t>
  </si>
  <si>
    <t>reassessmentRequired</t>
  </si>
  <si>
    <t>Application of active methodologies, modules, and tools</t>
  </si>
  <si>
    <t>applicationOfActiveMethodologiesModulesA</t>
  </si>
  <si>
    <t>Demonstration of regulatory surplus</t>
  </si>
  <si>
    <t>demonstrationOfRegulatorySurplus</t>
  </si>
  <si>
    <t>Updated project description</t>
  </si>
  <si>
    <t>updatedProjectDescription</t>
  </si>
  <si>
    <t>MR 4.1 Summary of DataParamete</t>
  </si>
  <si>
    <t>4.1 Summary of Data/Parameters: Monitored parameters and supporting records (VCS MR 4.1).</t>
  </si>
  <si>
    <t>VMR0015 MR 4.1 Summary row (VC</t>
  </si>
  <si>
    <t>Summary of data and parameters: One row per Appendix 2 parameter</t>
  </si>
  <si>
    <t>summaryRows</t>
  </si>
  <si>
    <t>Value applied: Value (or range / reference) applied in the period</t>
  </si>
  <si>
    <t>valueApplied</t>
  </si>
  <si>
    <t>Equation number(s) where the parameter is used</t>
  </si>
  <si>
    <t>equationNumber</t>
  </si>
  <si>
    <t>Monitoring frequency: e.g. continuous, annual, biennial, fixed at validation</t>
  </si>
  <si>
    <t>monitoringFrequency</t>
  </si>
  <si>
    <t>Appendix 2 table: e.g. A2.1.1, A2.2.4 (2)</t>
  </si>
  <si>
    <t>Appendix 2 table: e.g. A2.1.1, A2.2.4</t>
  </si>
  <si>
    <t>A2.1.1</t>
  </si>
  <si>
    <t>appendix2Table</t>
  </si>
  <si>
    <t>Data/parameter name</t>
  </si>
  <si>
    <t>dataParameterName</t>
  </si>
  <si>
    <t>MR 4.2 Monitoring Plan (VCS MR</t>
  </si>
  <si>
    <t>4.2 Monitoring Plan: Application of the monitoring plan this period (VCS MR 4.2).</t>
  </si>
  <si>
    <t>MR 4.2.1 GHG Data Collection a</t>
  </si>
  <si>
    <t>4.2.1 GHG Data Collection and Management System: VCS MR 4.2.1: how data were recorded, transferred, stored and archived this period.</t>
  </si>
  <si>
    <t>dataCollectionSystemSection</t>
  </si>
  <si>
    <t>GHG Data Collection and Management System: Describe how data were recorded, transferred, stored and archived this period.</t>
  </si>
  <si>
    <t>Zone technicians read flow meters monthly onto standard field forms; the Operations Manager enters readings centrally within 5 working days and archives records electronically for at least two years after the last crediting period (AMS-III.AV paragraph 28).</t>
  </si>
  <si>
    <t>dataCollectionSystem</t>
  </si>
  <si>
    <t>MR 4.2.2 Procedures for Calibr</t>
  </si>
  <si>
    <t>4.2.2 Procedures for Calibration: VCS MR 4.2.2: calibration performed on measurement equipment this period.</t>
  </si>
  <si>
    <t>calibrationThisPeriodSection</t>
  </si>
  <si>
    <t>Procedures for Calibration: Describe calibration performed on measurement equipment this period.</t>
  </si>
  <si>
    <t>All four instance flow meters were calibrated in January 2026 by an accredited provider; certificates retained.</t>
  </si>
  <si>
    <t>calibrationThisPeriod</t>
  </si>
  <si>
    <t>MR 4.2.3 Monitoring Personnel</t>
  </si>
  <si>
    <t>4.2.3 Monitoring Personnel: VCS MR 4.2.3: personnel responsible for monitoring this period.</t>
  </si>
  <si>
    <t>monitoringPersonnelSection</t>
  </si>
  <si>
    <t>Monitoring Personnel: Describe personnel responsible for monitoring this period.</t>
  </si>
  <si>
    <t>Operations Manager (responsible for monitoring), four trained zone technicians (data collection), one data clerk (entry and reconciliation).</t>
  </si>
  <si>
    <t>monitoringPersonnel</t>
  </si>
  <si>
    <t>MR 4.2.4 Procedures for Intern</t>
  </si>
  <si>
    <t>4.2.4 Procedures for Internal Auditing: VCS MR 4.2.4: internal audits and QA/QC performed this period.</t>
  </si>
  <si>
    <t>internalAuditingThisPeriodSection</t>
  </si>
  <si>
    <t>Procedures for Internal Auditing: Describe internal audits and QA/QC performed this period.</t>
  </si>
  <si>
    <t>Quarterly internal audit of 10% of field records against the central register; no material discrepancies found.</t>
  </si>
  <si>
    <t>internalAuditingThisPeriod</t>
  </si>
  <si>
    <t>MR 4.2.5 Procedures for Handli</t>
  </si>
  <si>
    <t>4.2.5 Procedures for Handling Non-Conformances: VCS MR 4.2.5: non-conformances found and corrected this period.</t>
  </si>
  <si>
    <t>nonConformancesThisPeriodSection</t>
  </si>
  <si>
    <t>Procedures for Handling Non-Conformances: Describe non-conformances found and corrected this period.</t>
  </si>
  <si>
    <t>One missing monthly reading (Zone 3, July 2025) was logged, traced to a technician absence and corrected from the meter's cumulative register.</t>
  </si>
  <si>
    <t>nonConformancesThisPeriod</t>
  </si>
  <si>
    <t>MR 4.2.6 Sampling Approaches (</t>
  </si>
  <si>
    <t>4.2.6 Sampling Approaches: VCS MR 4.2.6: sampling design applied this period and achieved confidence/precision.</t>
  </si>
  <si>
    <t>samplingThisPeriodSection</t>
  </si>
  <si>
    <t>Sampling Approaches: Describe sampling design applied this period and achieved confidence/precision.</t>
  </si>
  <si>
    <t>Appliance functionality and water quality sampled per the CDM Standard: Sampling and Surveys (384 households for the annual survey; 40 households for the biennial water quality check).</t>
  </si>
  <si>
    <t>samplingThisPeriod</t>
  </si>
  <si>
    <t>MR 4.2.7 Updates to Monitoring</t>
  </si>
  <si>
    <t>4.2.7 Updates to Monitoring Plan: VCS MR 4.2.7: any update to the validated monitoring plan.</t>
  </si>
  <si>
    <t>monitoringPlanUpdatesSection</t>
  </si>
  <si>
    <t>Updates to Monitoring Plan: Describe any update to the validated monitoring plan.</t>
  </si>
  <si>
    <t>No updates to the monitoring plan this period.</t>
  </si>
  <si>
    <t>monitoringPlanUpdates</t>
  </si>
  <si>
    <t>MR 5.1 Baseline Emissions (VCS</t>
  </si>
  <si>
    <t>5.1 Baseline Emissions: VCS MR 5.1 - reproducible baseline calculation this period</t>
  </si>
  <si>
    <t>mrBaselineEmissions</t>
  </si>
  <si>
    <t>MR 5.2 Project Emissions (VCS</t>
  </si>
  <si>
    <t>5.2 Project Emissions: VCS MR 5.2 - reproducible project emissions calculation this period</t>
  </si>
  <si>
    <t>mrProjectEmissions</t>
  </si>
  <si>
    <t>MR 5.3 Leakage Emissions (VCS</t>
  </si>
  <si>
    <t>5.3 Leakage Emissions: VCS MR 5.3 - reproducible leakage calculation this period</t>
  </si>
  <si>
    <t>mrLeakage</t>
  </si>
  <si>
    <t>MR 5.4 Other Relevant Quantifi</t>
  </si>
  <si>
    <t>5.4 Other Relevant Quantification: Non-permanence, buffer, long-term average and de minimis (VCS MR 5.4).</t>
  </si>
  <si>
    <t>otherQuantification</t>
  </si>
  <si>
    <t>MR 5.4.1 Non-Permanence Risk A</t>
  </si>
  <si>
    <t>5.4.1 Non-Permanence Risk Analysis: VCS MR 5.4.1.</t>
  </si>
  <si>
    <t>nonPermanence</t>
  </si>
  <si>
    <t>Non-Permanence Risk Analysis applicable?: Non-Permanence Risk Analysis applies to projects with carbon stocks or specific accounting cases.</t>
  </si>
  <si>
    <t>nonPermanenceMRApplicable</t>
  </si>
  <si>
    <t>Non-Permanence Risk Analysis statement: Present the calculation, or state why it does not apply.</t>
  </si>
  <si>
    <t>Not applicable - no carbon stock and no reversal risk.</t>
  </si>
  <si>
    <t>nonPermanenceMRStatement</t>
  </si>
  <si>
    <t>MR 5.4.2 Buffer Pool Allocatio</t>
  </si>
  <si>
    <t>5.4.2 Buffer Pool Allocation Calculation: VCS MR 5.4.2.</t>
  </si>
  <si>
    <t>bufferPool</t>
  </si>
  <si>
    <t>Buffer Pool Allocation Calculation applicable?: Buffer Pool Allocation Calculation applies to projects with carbon stocks or specific accounting cases.</t>
  </si>
  <si>
    <t>bufferPoolApplicable</t>
  </si>
  <si>
    <t>Buffer Pool Allocation Calculation statement: Present the calculation, or state why it does not apply.</t>
  </si>
  <si>
    <t>Not applicable - no non-permanence risk, so no buffer contribution.</t>
  </si>
  <si>
    <t>bufferPoolStatement</t>
  </si>
  <si>
    <t>MR 5.4.3 Long-Term Average (VC</t>
  </si>
  <si>
    <t>5.4.3 Long-Term Average: VCS MR 5.4.3.</t>
  </si>
  <si>
    <t>Long-Term Average applicable?: Long-Term Average applies to projects with carbon stocks or specific accounting cases.</t>
  </si>
  <si>
    <t>longTermAverageMRApplicable</t>
  </si>
  <si>
    <t>Long-Term Average statement: Present the calculation, or state why it does not apply.</t>
  </si>
  <si>
    <t>Not applicable - no carbon stock is created or harvested.</t>
  </si>
  <si>
    <t>longTermAverageMRStatement</t>
  </si>
  <si>
    <t>Long-term average (LTA) (tCO2e)</t>
  </si>
  <si>
    <t>longTermAverageLtaTco2e</t>
  </si>
  <si>
    <t>MR 5.4.4 De Minimis Quantifica</t>
  </si>
  <si>
    <t>5.4.4 De Minimis Quantification: VCS MR 5.4.4.</t>
  </si>
  <si>
    <t>deMinimis</t>
  </si>
  <si>
    <t>De minimis quantification: Quantify any source excluded as de minimis, or state that none were excluded.</t>
  </si>
  <si>
    <t>None excluded - all AMS-III.AV sources are quantified.</t>
  </si>
  <si>
    <t>Non-permanence risk rating row</t>
  </si>
  <si>
    <t>Non-permanence risk rating</t>
  </si>
  <si>
    <t>nonPermanenceRiskRating</t>
  </si>
  <si>
    <t>Non-permanence risk rating(s) (%)</t>
  </si>
  <si>
    <t>nonPermanenceRiskRatingS</t>
  </si>
  <si>
    <t>Applicability</t>
  </si>
  <si>
    <t>applicability</t>
  </si>
  <si>
    <t>5.4 Buffer pool allocation (re</t>
  </si>
  <si>
    <t>Buffer pool allocation (reductions and removals separated)</t>
  </si>
  <si>
    <t>bufferPoolAllocationReductionsAndRemoval</t>
  </si>
  <si>
    <t>Net baseline carbon stock change (tCO2e)</t>
  </si>
  <si>
    <t>netBaselineCarbonStockChangeTCO2e</t>
  </si>
  <si>
    <t>Net project carbon stock change (tCO2e)</t>
  </si>
  <si>
    <t>netProjectCarbonStockChangeTCO2e</t>
  </si>
  <si>
    <t>Risk rating (%)</t>
  </si>
  <si>
    <t>riskRating</t>
  </si>
  <si>
    <t>Buffer pool allocation (reductions)</t>
  </si>
  <si>
    <t>bufferPoolAllocationReductions</t>
  </si>
  <si>
    <t>Buffer pool allocation (removals)</t>
  </si>
  <si>
    <t>bufferPoolAllocationRemovals</t>
  </si>
  <si>
    <t>Total buffer pool allocation</t>
  </si>
  <si>
    <t>Has the LTA been updated based on monitored data, where relevant?</t>
  </si>
  <si>
    <t>hasTheLTABeenUpdatedBasedOnMonitoredData</t>
  </si>
  <si>
    <t>Include the expected total GHG benefit to date (tCO2e)</t>
  </si>
  <si>
    <t>includeTheExpectedTotalGHGBenefitToDateT</t>
  </si>
  <si>
    <t>Is the number of GHG credits issued below the LTA?</t>
  </si>
  <si>
    <t>isTheNumberOfGHGCreditsIssuedBelowTheLTA</t>
  </si>
  <si>
    <t>De minimis threshold and period</t>
  </si>
  <si>
    <t>deMinimisThresholdAndPeriod</t>
  </si>
  <si>
    <t>GHG source/ carbon pools</t>
  </si>
  <si>
    <t>ghgSourceCarbonPools</t>
  </si>
  <si>
    <t>Estimated de minimis emissions (increases in GHG sources or decreases in carbon pools/sinks) at validation</t>
  </si>
  <si>
    <t>estimatedDeMinimisEmissionsIncreasesInGH</t>
  </si>
  <si>
    <t>Estimated reductions and removals for the de minimis period (updated ex-post)</t>
  </si>
  <si>
    <t>estimatedReductionsAndRemovalsForTheDeMi</t>
  </si>
  <si>
    <t>Result and justification</t>
  </si>
  <si>
    <t>resultAndJustification</t>
  </si>
  <si>
    <t>5.4 Buffer pool allocation (co</t>
  </si>
  <si>
    <t>Buffer pool allocation (combined)</t>
  </si>
  <si>
    <t>bufferPoolAllocationCombined</t>
  </si>
  <si>
    <t>Net carbon stock change (tCO2e)</t>
  </si>
  <si>
    <t>netCarbonStockChangeTCO2e</t>
  </si>
  <si>
    <t>MR 5.5 GHG Emission Reductions</t>
  </si>
  <si>
    <t>5.5 GHG Emission Reductions and Carbon Dioxide Removals: Vintage period; totals appear in the auto-calculated 5.5.1-5.5.3 fields (VCS MR 5.5).</t>
  </si>
  <si>
    <t>emissionReductions</t>
  </si>
  <si>
    <t>5.5.1 Quantification of Reductions and Removals: Summary of how this period's reductions were quantified. The figures themselves (BE_y, PE_y, LE_y, ER_y) are computed automatically by the monitoring engine and shown in the auto-calculated fields.</t>
  </si>
  <si>
    <t>Reductions were quantified with AMS-III.AV Equations 1, 5, 6 and 7 as revised by VMR0015, using directly metered QPW for four instances. BE_y, PE_y, LE_y and ER_y are computed automatically by the monitoring engine and shown in the auto-calculated fields.</t>
  </si>
  <si>
    <t>quantificationNarrativeMR</t>
  </si>
  <si>
    <t>Summary of reductions and remo</t>
  </si>
  <si>
    <t>5.5.2 Summary of Reductions and Removals: Summary of baseline, project and leakage emissions and net reductions/removals per vintage (VCS MR template 5.5.2).</t>
  </si>
  <si>
    <t>summaryOfReductionsAndRemovals</t>
  </si>
  <si>
    <t>Baseline emissions (tCO2e)</t>
  </si>
  <si>
    <t>baselineEmissions</t>
  </si>
  <si>
    <t>Project emissions (tCO2e)</t>
  </si>
  <si>
    <t>projectEmissions</t>
  </si>
  <si>
    <t>Total net reductions (tCO2e): Net GHG emission reductions (tCO2e)</t>
  </si>
  <si>
    <t>netReductions</t>
  </si>
  <si>
    <t>Total net removals (tCO2e): Net GHG removals (tCO2e)</t>
  </si>
  <si>
    <t>netRemovals</t>
  </si>
  <si>
    <t>Total net reductions and removals (tCO2e): Total net GHG emission reductions and removals (tCO2e)</t>
  </si>
  <si>
    <t>totalBufferPoolAllocationTCO2e</t>
  </si>
  <si>
    <t>totalNetReductionsMinusBufferPoolAllocat</t>
  </si>
  <si>
    <t>totalNetRemovalsMinusBufferPoolAllocatio</t>
  </si>
  <si>
    <t>totalNetReductionsAndRemovalsMinusBuffer</t>
  </si>
  <si>
    <t>Ex-ante vs ex-post comparison</t>
  </si>
  <si>
    <t>exAnteVsExPostComparison</t>
  </si>
  <si>
    <t>Ex-ante estimated reductions/ removals</t>
  </si>
  <si>
    <t>exAnteEstimatedReductionsRemovals</t>
  </si>
  <si>
    <t>Achieved reductions/ removals</t>
  </si>
  <si>
    <t>Percentage difference</t>
  </si>
  <si>
    <t>percentageDifference</t>
  </si>
  <si>
    <t>explanationForTheDifference</t>
  </si>
  <si>
    <t>VMR0015 Appendix 2 - Monito 2</t>
  </si>
  <si>
    <t>Appendix 2: Data and Parameters: Appendix 2 - Monitoring Parameters (value monitored)</t>
  </si>
  <si>
    <t>appendix2</t>
  </si>
  <si>
    <t>VMR0015 A2.1.1 VMR0015  AMS-II</t>
  </si>
  <si>
    <t>A2.1.1 VMR0015 / AMS-III.AV - available at validation</t>
  </si>
  <si>
    <t>a21_1</t>
  </si>
  <si>
    <t>VMR0015 A2.1 DataParameter Ava</t>
  </si>
  <si>
    <t>BL_fuel,i - proportion of baseline fuel type i</t>
  </si>
  <si>
    <t>BL_fuel_i</t>
  </si>
  <si>
    <t>Equation number</t>
  </si>
  <si>
    <t>Source of data</t>
  </si>
  <si>
    <t>sourceOfData</t>
  </si>
  <si>
    <t>Value applied (as reported)</t>
  </si>
  <si>
    <t>Value basis (18)</t>
  </si>
  <si>
    <t>Value basis</t>
  </si>
  <si>
    <t>Single value</t>
  </si>
  <si>
    <t>valueBasis</t>
  </si>
  <si>
    <t>Value applied (numeric, read by the calculation)</t>
  </si>
  <si>
    <t>value</t>
  </si>
  <si>
    <t>Justification of value applied (incl. measurement details)</t>
  </si>
  <si>
    <t>Purpose of data (18)</t>
  </si>
  <si>
    <t>Purpose of data</t>
  </si>
  <si>
    <t>Determination of baseline scenario</t>
  </si>
  <si>
    <t>purposeOfData</t>
  </si>
  <si>
    <t>Comments</t>
  </si>
  <si>
    <t>comments</t>
  </si>
  <si>
    <t>EF_b,k,CO2 - CO2 emission factor of baseline fuel/device</t>
  </si>
  <si>
    <t>EF_b_k_CO2</t>
  </si>
  <si>
    <t>EF_b,k,nonCO2 - non-CO2 emission factor of baseline fuel/device</t>
  </si>
  <si>
    <t>EF_b_k_nonCO2</t>
  </si>
  <si>
    <t>eta_d - efficiency of boiling device type d (sub-table of eta_wb)</t>
  </si>
  <si>
    <t>eta_d</t>
  </si>
  <si>
    <t>eta_wb - efficiency of the water boiling systems replaced (usage-weighted)</t>
  </si>
  <si>
    <t>eta_wb</t>
  </si>
  <si>
    <t>LS - life span of the water treatment technology</t>
  </si>
  <si>
    <t>LS</t>
  </si>
  <si>
    <t>q,i - capacity of device type i (QPW option 2.1)</t>
  </si>
  <si>
    <t>q_i</t>
  </si>
  <si>
    <t>QPW_pp - drinking water per person per day (QPW option 2.2)</t>
  </si>
  <si>
    <t>QPW_pp</t>
  </si>
  <si>
    <t>SEC - specific energy consumption to boil 1 L</t>
  </si>
  <si>
    <t>SEC</t>
  </si>
  <si>
    <t>SEC equation (4)</t>
  </si>
  <si>
    <t>SEC equation</t>
  </si>
  <si>
    <t>Eq.(5) - all defaults apply (SEC = 357.48 / eta_wb)</t>
  </si>
  <si>
    <t>secEquation</t>
  </si>
  <si>
    <t>T_f - final temperature</t>
  </si>
  <si>
    <t>T_f</t>
  </si>
  <si>
    <t>T_i - initial water temperature</t>
  </si>
  <si>
    <t>T_i</t>
  </si>
  <si>
    <t>WH - specific heat of water</t>
  </si>
  <si>
    <t>WH</t>
  </si>
  <si>
    <t>WHE - latent heat of evaporation</t>
  </si>
  <si>
    <t>WHE</t>
  </si>
  <si>
    <t>X_boil - fraction of population whose practice is boiling</t>
  </si>
  <si>
    <t>X_boil</t>
  </si>
  <si>
    <t>VMR0015 A2.1.2 TOOL03 paramete</t>
  </si>
  <si>
    <t>A2.1.2 TOOL03 - available at validation</t>
  </si>
  <si>
    <t>a21_2</t>
  </si>
  <si>
    <t>COEF_i,y - CO2 emission coefficient of fuel i (option B, fixed ex ante)</t>
  </si>
  <si>
    <t>COEF_i_y</t>
  </si>
  <si>
    <t>VMR0015 A2.1.3 VT0010  VT0011</t>
  </si>
  <si>
    <t>A2.1.3 VT0010 / VT0011 - available at validation</t>
  </si>
  <si>
    <t>a21_3</t>
  </si>
  <si>
    <t>EF_PE,A,L - grid emission factor (VT0011 CM, Case 2), if fixed ex ante</t>
  </si>
  <si>
    <t>EF_PE_A_L</t>
  </si>
  <si>
    <t>eta_cogen,n - efficiency of cogeneration system n</t>
  </si>
  <si>
    <t>eta_cogen_n</t>
  </si>
  <si>
    <t>VMR0015 A2.1.4 AMS-I.E paramet</t>
  </si>
  <si>
    <t>A2.1.4 AMS-I.E - available at validation</t>
  </si>
  <si>
    <t>a21_5</t>
  </si>
  <si>
    <t>Adj_LE - leakage adjustment factor</t>
  </si>
  <si>
    <t>Adj_LE</t>
  </si>
  <si>
    <t>VMR0015 A2.2.1 VMR0015  AMS 2</t>
  </si>
  <si>
    <t>A2.2.1 VMR0015 / AMS-III.AV - monitored</t>
  </si>
  <si>
    <t>a22_1</t>
  </si>
  <si>
    <t>VMR0015 A2.2 DataParameter  2</t>
  </si>
  <si>
    <t>m - fraction of functional appliances providing SDW</t>
  </si>
  <si>
    <t>m</t>
  </si>
  <si>
    <t>Data/parameter</t>
  </si>
  <si>
    <t>Description of measurement methods and procedures to be applied</t>
  </si>
  <si>
    <t>measurementMethods</t>
  </si>
  <si>
    <t>Frequency of monitoring/recording</t>
  </si>
  <si>
    <t>frequency</t>
  </si>
  <si>
    <t>Value monitored (as reported)</t>
  </si>
  <si>
    <t>Value monitored (numeric, read by the calculation)</t>
  </si>
  <si>
    <t>Monitoring equipment</t>
  </si>
  <si>
    <t>monitoringEquipment</t>
  </si>
  <si>
    <t>QA/QC procedures to be applied</t>
  </si>
  <si>
    <t>qaqc</t>
  </si>
  <si>
    <t>Calculation method</t>
  </si>
  <si>
    <t>calculationMethod</t>
  </si>
  <si>
    <t>P_y - population served</t>
  </si>
  <si>
    <t>P_y</t>
  </si>
  <si>
    <t>QPW_y - quantity of purified drinking water</t>
  </si>
  <si>
    <t>Annual public SDW distribution network check (table 13)</t>
  </si>
  <si>
    <t>SDW_network_check</t>
  </si>
  <si>
    <t>Biennial SDW quality check (table 14)</t>
  </si>
  <si>
    <t>SDW_quality</t>
  </si>
  <si>
    <t>t - usage time (QPW option 2.1)</t>
  </si>
  <si>
    <t>t</t>
  </si>
  <si>
    <t>Share of tested appliances failing E. coli (sub-item of m)</t>
  </si>
  <si>
    <t>WQ_fail_share</t>
  </si>
  <si>
    <t>VMR0015 A2.2.2 TOOL03 monit 2</t>
  </si>
  <si>
    <t>A2.2.2 TOOL03 - monitored</t>
  </si>
  <si>
    <t>a22_2</t>
  </si>
  <si>
    <t>FC_i,j,y - fuel combusted</t>
  </si>
  <si>
    <t>FC_i_j_y</t>
  </si>
  <si>
    <t>w_C,i,y - carbon mass fraction (option A)</t>
  </si>
  <si>
    <t>w_C_i_y</t>
  </si>
  <si>
    <t>rho_i,y - fuel density (option A)</t>
  </si>
  <si>
    <t>rho_i_y</t>
  </si>
  <si>
    <t>NCV_i,y - net calorific value (option B)</t>
  </si>
  <si>
    <t>NCV_i_y</t>
  </si>
  <si>
    <t>EF_CO2,i,y - CO2 emission factor (option B)</t>
  </si>
  <si>
    <t>EF_CO2_i_y</t>
  </si>
  <si>
    <t>TOOL03 COEF option: Option A (preferred if data are available): COEF = w_C x 44/12 (mass unit, Eq.2) or w_C x rho x 44/12 (volume unit, Eq.3). Option B: COEF = NCV x EF_CO2 (Eq.4). Empty = Option A when w_C &gt; 0, otherwise Option B. (5)</t>
  </si>
  <si>
    <t>TOOL03 COEF option: Option A (preferred if data are available): COEF = w_C x 44/12 (mass unit, Eq.2) or w_C x rho x 44/12 (volume unit, Eq.3). Option B: COEF = NCV x EF_CO2 (Eq.4). Empty = Option A when w_C &gt; 0, otherwise Option B.</t>
  </si>
  <si>
    <t>Option A - carbon mass fraction (TOOL03 Eq.(2) mass unit, Eq.(3) volume unit)</t>
  </si>
  <si>
    <t>tool03Option</t>
  </si>
  <si>
    <t>FC_i,j,y is measured in: TOOL03 Eq.(2)/(3): select the unit basis of FC_i,j,y; the density rho_i,y is used only for volume units. (5)</t>
  </si>
  <si>
    <t>FC_i,j,y is measured in: TOOL03 Eq.(2)/(3): select the unit basis of FC_i,j,y; the density rho_i,y is used only for volume units.</t>
  </si>
  <si>
    <t>Mass unit</t>
  </si>
  <si>
    <t>fcMeasuredIn</t>
  </si>
  <si>
    <t>TOOL03 fuel combustion row (fu</t>
  </si>
  <si>
    <t>TOOL03 per fuel and source (table): Several fuels or combustion sources: one row each; when rows are given they replace the single values above</t>
  </si>
  <si>
    <t>fuelCombustionRows</t>
  </si>
  <si>
    <t>Source j (ID): Combustion source, e.g. generator G1</t>
  </si>
  <si>
    <t>sourceId</t>
  </si>
  <si>
    <t>Source type: Purpose of the source (6)</t>
  </si>
  <si>
    <t>Source type: Purpose of the source</t>
  </si>
  <si>
    <t>Fossil fuel used directly by the water purification system</t>
  </si>
  <si>
    <t>sourceType</t>
  </si>
  <si>
    <t>Fuel type i: e.g. diesel</t>
  </si>
  <si>
    <t>fuelType</t>
  </si>
  <si>
    <t>TOOL03 COEF option: Option A: COEF = w_C x 44/12 (mass, Eq.(2)) or w_C x rho x 44/12 (volume, Eq.(3)); Option B: COEF = NCV x EF_CO2 (Eq.(4)) (6)</t>
  </si>
  <si>
    <t>TOOL03 COEF option: Option A: COEF = w_C x 44/12 (mass, Eq.(2)) or w_C x rho x 44/12 (volume, Eq.(3)); Option B: COEF = NCV x EF_CO2 (Eq.(4))</t>
  </si>
  <si>
    <t>FC_i,j,y is measured in: Mass or volume unit (6)</t>
  </si>
  <si>
    <t>FC_i,j,y is measured in: Mass or volume unit</t>
  </si>
  <si>
    <t>FC_i,j,y - fuel combusted in source j (mass or volume unit/yr)</t>
  </si>
  <si>
    <t>w_C,i,y - carbon mass fraction (t C/mass unit), Option A</t>
  </si>
  <si>
    <t>rho_i,y - density (mass/volume unit), Option A with volume</t>
  </si>
  <si>
    <t>NCV_i,y - net calorific value (GJ/mass or volume unit), Option B</t>
  </si>
  <si>
    <t>EF_CO2,i,y - CO2 emission factor (t CO2/GJ), Option B</t>
  </si>
  <si>
    <t>VMR0015 A2.2.3 VT0010  VT00 2</t>
  </si>
  <si>
    <t>A2.2.3 VT0010 / VT0011 - monitored</t>
  </si>
  <si>
    <t>a22_3</t>
  </si>
  <si>
    <t>EC_Grid,L - grid electricity consumed (scenario A)</t>
  </si>
  <si>
    <t>EC_Grid_L</t>
  </si>
  <si>
    <t>TDL_PE,A,L - T&amp;D losses</t>
  </si>
  <si>
    <t>TDL_PE_A_L</t>
  </si>
  <si>
    <t>EC_PE,B - purpose-built wheeling electricity (scenario B)</t>
  </si>
  <si>
    <t>EC_PE_B</t>
  </si>
  <si>
    <t>EC_PE,SPP,n - shared power plant electricity (scenario C)</t>
  </si>
  <si>
    <t>EC_PE_SPP_n</t>
  </si>
  <si>
    <t>EF_PE,SPP,n - shared power plant EF</t>
  </si>
  <si>
    <t>EF_PE_SPP_n</t>
  </si>
  <si>
    <t>Q_n,f - fuel fired in plant n</t>
  </si>
  <si>
    <t>Q_n_f</t>
  </si>
  <si>
    <t>NCV_f - net calorific value of fuel f</t>
  </si>
  <si>
    <t>NCV_f</t>
  </si>
  <si>
    <t>EF_CO2,f - CO2 EF of fuel f</t>
  </si>
  <si>
    <t>EF_CO2_f</t>
  </si>
  <si>
    <t>EG_n - net electricity generated</t>
  </si>
  <si>
    <t>EG_n</t>
  </si>
  <si>
    <t>H_n - heat fraction (cogeneration)</t>
  </si>
  <si>
    <t>H_n</t>
  </si>
  <si>
    <t>HG_n - heat cogenerated</t>
  </si>
  <si>
    <t>HG_n</t>
  </si>
  <si>
    <t>EG_PBWA - electricity generated by low-carbon plants for the PBWA (MWh): VT0010 Eq.(9): quantity of electricity generated for the purpose-built wheeling arrangement during the monitoring period or a year, whichever is shorter. If given, EC_PE,B = MIN(EC_Grid,L; EG_PBWA/(1+TDL_PE,B)).</t>
  </si>
  <si>
    <t>EG_PBWA</t>
  </si>
  <si>
    <t>EF_PE,B - emission factor of scenario B electricity (tCO2e/MWh): VT0010 Eq.(8): 0 for Type 1 low-carbon power plants; computed per VT0010 5.2.2 for Type 2. Empty = 0.</t>
  </si>
  <si>
    <t>EF_PE_B</t>
  </si>
  <si>
    <t>TDL_PE,B - T&amp;D losses for scenario B (dimensionless): VT0010 Eq.(8)/(9): average transmission and distribution losses for scenario B.</t>
  </si>
  <si>
    <t>TDL_PE_B</t>
  </si>
  <si>
    <t>VT0010 grid load row (load L;</t>
  </si>
  <si>
    <t>VT0010 per grid load (table): Several loads L: one row each; when rows are given they replace the single values above</t>
  </si>
  <si>
    <t>gridLoadRows</t>
  </si>
  <si>
    <t>Load L (ID): Grid connection or metered load</t>
  </si>
  <si>
    <t>loadId</t>
  </si>
  <si>
    <t>EC_Grid,L - electricity consumed by load L from the grid connection (MWh/yr)</t>
  </si>
  <si>
    <t>EF_PE,A,L - grid emission factor (t CO2/MWh): Empty uses the value in A2.1.3</t>
  </si>
  <si>
    <t>TDL_PE,A,L - transmission and distribution losses (fraction): VT0010 default 0.20 for project consumption where no documented value exists</t>
  </si>
  <si>
    <t>EG_PBWA - electricity supplied to load L under a purpose-built wheeling arrangement (MWh/yr), Scenario B</t>
  </si>
  <si>
    <t>TDL_PE,B - losses for the wheeled electricity (fraction), Scenario B</t>
  </si>
  <si>
    <t>EF_PE,B - emission factor of the wheeling plant (t CO2/MWh), Scenario B</t>
  </si>
  <si>
    <t>VT0010 shared plant fuel row (</t>
  </si>
  <si>
    <t>VT0010 per shared plant and fuel (table): Several shared plants n or fuels f: one row per plant and fuel</t>
  </si>
  <si>
    <t>sharedPlantFuelRows</t>
  </si>
  <si>
    <t>Plant n (ID)</t>
  </si>
  <si>
    <t>plantId</t>
  </si>
  <si>
    <t>EC_PE,SPP,n - electricity from plant n consumed by the project (MWh/yr), plant value</t>
  </si>
  <si>
    <t>EG_n - net electricity generated by plant n (MWh/yr), plant value</t>
  </si>
  <si>
    <t>HG_n - heat generated by plant n (GJ/yr), plant value, cogeneration only</t>
  </si>
  <si>
    <t>eta_cogen,n - cogeneration efficiency (fraction), plant value</t>
  </si>
  <si>
    <t>EF_PE,SPP,n - typed emission factor (t CO2/MWh), used only without fuel data</t>
  </si>
  <si>
    <t>Fuel f</t>
  </si>
  <si>
    <t>Q_n,f - fuel f combusted in plant n (mass or volume unit/yr)</t>
  </si>
  <si>
    <t>NCV_f - net calorific value (GJ/unit)</t>
  </si>
  <si>
    <t>EF_CO2,f - CO2 emission factor (t CO2/GJ)</t>
  </si>
  <si>
    <t>VMR0015 A2.2.4 fNRB monitor 2</t>
  </si>
  <si>
    <t>A2.2.4 fNRB - monitored</t>
  </si>
  <si>
    <t>a22_4</t>
  </si>
  <si>
    <t>f_NRB,i,y - fraction of non-renewable biomass</t>
  </si>
  <si>
    <t>f_NRB_i_y</t>
  </si>
  <si>
    <t>VMR0015 Methodology Records 2</t>
  </si>
  <si>
    <t>Appendix 2 (continued): VMR0015 data and parameters monitored by project section: per-section and per-fuel records (VMR0015 s9.3(2): reductions are calculated section by section); single values in the Appendix 2 tables above are checked against them</t>
  </si>
  <si>
    <t>methodologyRecords</t>
  </si>
  <si>
    <t>Days in the monitoring period (cap and 365-day factor pro-rated) (days)</t>
  </si>
  <si>
    <t>periodDays</t>
  </si>
  <si>
    <t>VMR0015 Project Section - MR (</t>
  </si>
  <si>
    <t>Project sections - monitored</t>
  </si>
  <si>
    <t>sections</t>
  </si>
  <si>
    <t>Project section ID (as in the registered PD)</t>
  </si>
  <si>
    <t>Households served (households)</t>
  </si>
  <si>
    <t>householdsServed</t>
  </si>
  <si>
    <t>P_y - population served (monitored, before table 13 exclusion) (persons)</t>
  </si>
  <si>
    <t>QPW determination option (as validated) (2)</t>
  </si>
  <si>
    <t>QPW determination option (as validated)</t>
  </si>
  <si>
    <t>Option 1 - measured volume (flow meter / standard vessel)</t>
  </si>
  <si>
    <t>qpwOption</t>
  </si>
  <si>
    <t>VMR0015 Water Quantity Record</t>
  </si>
  <si>
    <t>Option 1 water quantity records</t>
  </si>
  <si>
    <t>waterQuantityOpt1</t>
  </si>
  <si>
    <t>Appliance / kiosk ID</t>
  </si>
  <si>
    <t>unitId</t>
  </si>
  <si>
    <t>Measurement method (3)</t>
  </si>
  <si>
    <t>Measurement method</t>
  </si>
  <si>
    <t>Flow meter</t>
  </si>
  <si>
    <t>measurementMethod</t>
  </si>
  <si>
    <t>Measured drinking-water volume in the period (L)</t>
  </si>
  <si>
    <t>measuredVolume</t>
  </si>
  <si>
    <t>Days covered by the measurement (days)</t>
  </si>
  <si>
    <t>daysMeasured</t>
  </si>
  <si>
    <t>Cross-checked against water sales receipts (kiosks)</t>
  </si>
  <si>
    <t>salesReceiptCrossCheck</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</si>
  <si>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(3)</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</si>
  <si>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t>
  </si>
  <si>
    <t>All appliances in the section metered (no scale-up)</t>
  </si>
  <si>
    <t>samplingBasis</t>
  </si>
  <si>
    <t>Appliances covered by this record (number): For a sample record, the number of appliances whose metered volume is summed in this record</t>
  </si>
  <si>
    <t>appliancesCovered</t>
  </si>
  <si>
    <t>VMR0015 Water Quantity Reco 2</t>
  </si>
  <si>
    <t>Option 2.1 water quantity records</t>
  </si>
  <si>
    <t>waterQuantityOpt21</t>
  </si>
  <si>
    <t>Functional unit ID</t>
  </si>
  <si>
    <t>q,i - capacity (L/h)</t>
  </si>
  <si>
    <t>t - usage time when functional (h/yr)</t>
  </si>
  <si>
    <t>t_hours</t>
  </si>
  <si>
    <t>VMR0015 Water Quantity Reco 3</t>
  </si>
  <si>
    <t>Option 2.2 water quantity records</t>
  </si>
  <si>
    <t>waterQuantityOpt22</t>
  </si>
  <si>
    <t>Survey reference</t>
  </si>
  <si>
    <t>surveyRef</t>
  </si>
  <si>
    <t>P_y - persons consuming purified water (persons)</t>
  </si>
  <si>
    <t>QPW_pp - drinking water per person per day (max 5.5) (L/person/day)</t>
  </si>
  <si>
    <t>Days the consumers were present (for example school days): Optional. Days in the monitoring period on which the consumers counted in P_y were physically present to drink the water, for example days with in-person classes at a day school (CDM clarifications SSC_792 and SSC_795 on AMS-III.AV). Leave empty for households: the days of the monitoring period are used. For a day school, also enter QPW_pp pro-rated to the hours present (SSC_795: e.g. 9/16 x 3 L for 8 am-5 pm with 8 hours of sleep).</t>
  </si>
  <si>
    <t>presenceDays</t>
  </si>
  <si>
    <t>VMR0015 Appliance Functionalit</t>
  </si>
  <si>
    <t>m sample: functionality and E. coli checks</t>
  </si>
  <si>
    <t>functionalityChecks</t>
  </si>
  <si>
    <t>Appliance ID</t>
  </si>
  <si>
    <t>applianceId</t>
  </si>
  <si>
    <t>Check date</t>
  </si>
  <si>
    <t>(a) Meets AMS para 4(b) technology standard</t>
  </si>
  <si>
    <t>meetsTechStandard</t>
  </si>
  <si>
    <t>(b) Operating, or replaced per maintenance records</t>
  </si>
  <si>
    <t>operatingOrReplaced</t>
  </si>
  <si>
    <t>(c) E. coli result (cfu/100 ml) - required for appliances that were operating or replaced: E. coli result for an appliance that was operating (or replaced per maintenance records). Not required for appliances that were not operating (they cannot be sampled and count as failing (b) anyway). Pass = result &lt; 1 cfu/100 ml AND LDL &lt;= 1 cfu/100 ml.</t>
  </si>
  <si>
    <t>ecoliCfu</t>
  </si>
  <si>
    <t>Lower detection limit (cfu/100 ml): Lower detection limit of the test (cfu/100 ml). AMS Table 11 (c): LDL must not exceed 1 cfu/100 ml; an appliance with LDL above 1 FAILS (c). Empty is read as 1.</t>
  </si>
  <si>
    <t>ldlCfu</t>
  </si>
  <si>
    <t>Laboratory / test kit</t>
  </si>
  <si>
    <t>laboratory</t>
  </si>
  <si>
    <t>Annual public SDW network check (table 13)</t>
  </si>
  <si>
    <t>networkChecks</t>
  </si>
  <si>
    <t>Biennial Water Quality Check (</t>
  </si>
  <si>
    <t>Biennial SDW quality checks recorded in this period (table 14): AMS-III.AV v09.0 table 14 (p.16) requires the drinking-water quality to be monitored on a sample basis "at least once every two years (biennial)"; emission reductions cannot be claimed if the project fails the SDW standard of para 4(b). Checks recorded here are optional per monitoring period: ANY recorded check that fails (meetsStandard = false) sets ER to 0 for the period. If no check is recorded in the period, give the date of the last biennial check below; the ERR shows a flag when no check exists or the latest one is older than two years at the period end. The text sets no ER consequence for a missed frequency, so this is a flag for the VVB, not a gate.</t>
  </si>
  <si>
    <t>waterQualityChecks</t>
  </si>
  <si>
    <t>Check date: Date of the biennial AMS-III.AV table 14 project-level SDW quality check (ISO date, YYYY-MM-DD). Used to test the two-year frequency.</t>
  </si>
  <si>
    <t>Sampling basis: Representative sample used for this check.</t>
  </si>
  <si>
    <t>Stratified random sample, 40 households across 4 zones</t>
  </si>
  <si>
    <t>Meets SDW standard (para 4b)?: Meets FULL standard (physical+chemical+micro)? CDM SSC_793: once a standard is selected, physical, chemical, AND microbiological requirements must ALL be met - partial/microbiological-only compliance is not acceptable.</t>
  </si>
  <si>
    <t>meetsStandard</t>
  </si>
  <si>
    <t>Compliance route: WHO Comprehensive Protection target, or applicable national standard.</t>
  </si>
  <si>
    <t>Tanzania national standard TZS 789 (physical, chemical and microbiological)</t>
  </si>
  <si>
    <t>complianceRoute</t>
  </si>
  <si>
    <t>Test results summary: Summary of quality test results.</t>
  </si>
  <si>
    <t>All 40 samples passed physical, chemical and microbiological parameters against TZS 789.</t>
  </si>
  <si>
    <t>testResults</t>
  </si>
  <si>
    <t>Microbiological result (E. coli, cfu/100mL): Per AMS-III.AV: &lt;1 cfu E. coli/100 ml threshold</t>
  </si>
  <si>
    <t>microbiologicalResult</t>
  </si>
  <si>
    <t>Turbidity (NTU): Physical parameter per selected national standard or WHO guideline</t>
  </si>
  <si>
    <t>turbidityResult</t>
  </si>
  <si>
    <t>Arsenic (ug/L): WHO priority chemical contaminant; guideline max 10 ug/L absent national standard</t>
  </si>
  <si>
    <t>arsenicResult</t>
  </si>
  <si>
    <t>Fluoride (mg/L): WHO priority chemical contaminant; guideline max 1.5 mg/L absent national standard</t>
  </si>
  <si>
    <t>fluorideResult</t>
  </si>
  <si>
    <t>VMR0015 Sampling Plan and Resu</t>
  </si>
  <si>
    <t>Sampling results</t>
  </si>
  <si>
    <t>samplingResults</t>
  </si>
  <si>
    <t>Sampled parameter (3)</t>
  </si>
  <si>
    <t>Sampled parameter</t>
  </si>
  <si>
    <t>parameter</t>
  </si>
  <si>
    <t>Target confidence (%). AMS-III.AV tables 11-12 require 90% confidence and 10% margin of error for sampled parameters, and VMR0015 s9 applies the AMS-III.AV monitoring procedures; under the Sampling standard para 10 the methodology takes precedence over the 95/10 default for large-scale activities. The policy treats a target below 90% as not meeting the requirement (section earns no reductions).</t>
  </si>
  <si>
    <t>confidenceTargetPct</t>
  </si>
  <si>
    <t>Target precision (%): Target relative precision (%). A value above 10% is treated as 10% (AMS-III.AV tables 11-12; Sampling standard para 12).</t>
  </si>
  <si>
    <t>precisionTargetPct</t>
  </si>
  <si>
    <t>n - sample size achieved</t>
  </si>
  <si>
    <t>sampleSize</t>
  </si>
  <si>
    <t>N - population size</t>
  </si>
  <si>
    <t>populationSize</t>
  </si>
  <si>
    <t>Attained precision at target confidence (%)</t>
  </si>
  <si>
    <t>attainedPrecisionPct</t>
  </si>
  <si>
    <t>Survey year in the crediting period</t>
  </si>
  <si>
    <t>surveyYearInCP</t>
  </si>
  <si>
    <t>Remedy if precision not met (3)</t>
  </si>
  <si>
    <t>Remedy if precision not met</t>
  </si>
  <si>
    <t>Not needed - 90/10 met</t>
  </si>
  <si>
    <t>remedy</t>
  </si>
  <si>
    <t>p - expected proportion (0-1): Expected proportion used to compute the required sample size for a proportion parameter such as m (CDM Standard para 13(b); Guideline eq.(1)). The policy computes the required n from p, N, confidence and precision, and applies the minimum of 30 (para 14).</t>
  </si>
  <si>
    <t>expectedProportion</t>
  </si>
  <si>
    <t>Date of the most recent biennial SDW quality check (table 14): Date of the latest biennial check, in this period or an earlier one. Used with the checks recorded above: flagged if the latest check is older than two years at the monitoring period end (AMS-III.AV table 14: at least once every two years).</t>
  </si>
  <si>
    <t>lastBiennialCheckDate</t>
  </si>
  <si>
    <t>Most recent biennial check (earlier period) meets the SDW standard?: Only needed when the latest check is from an earlier period. False sets ER to 0 (emission reductions cannot be claimed if the SDW standard of para 4(b) is not met).</t>
  </si>
  <si>
    <t>lastBiennialCheckMeetsStandard</t>
  </si>
  <si>
    <t>Appliances in service in the section during the period (number): Needed when QPW option 1 uses a metering sample (AMS-III.AV table 10(a))</t>
  </si>
  <si>
    <t>appliancesInService</t>
  </si>
  <si>
    <t>Appliance-days in service in the period (appliance-days): Optional, for a representative-period sample: sum over appliances of the days each was in service; default appliances in service x days in the period</t>
  </si>
  <si>
    <t>applianceDaysInService</t>
  </si>
  <si>
    <t>VMR0015 fNRB Determination</t>
  </si>
  <si>
    <t>fNRB determinations valid for the current crediting period</t>
  </si>
  <si>
    <t>fnrbDeterminations</t>
  </si>
  <si>
    <t>Determination ID</t>
  </si>
  <si>
    <t>FNRB-1</t>
  </si>
  <si>
    <t>determinationId</t>
  </si>
  <si>
    <t>Applies to fuel type (4)</t>
  </si>
  <si>
    <t>Applies to fuel type</t>
  </si>
  <si>
    <t>Woody biomass</t>
  </si>
  <si>
    <t>fNRB option (VMR0015 s9.2) (4)</t>
  </si>
  <si>
    <t>fNRB option (VMR0015 s9.2)</t>
  </si>
  <si>
    <t>Option 1 - latest UNFCCC national default</t>
  </si>
  <si>
    <t>option</t>
  </si>
  <si>
    <t>Option 1: UNFCCC national default value (fraction)</t>
  </si>
  <si>
    <t>unfcccValue</t>
  </si>
  <si>
    <t>Option 1: source document and version</t>
  </si>
  <si>
    <t>unfcccSource</t>
  </si>
  <si>
    <t>Option 1: status (4)</t>
  </si>
  <si>
    <t>Option 1: status</t>
  </si>
  <si>
    <t>Approved</t>
  </si>
  <si>
    <t>unfcccStatus</t>
  </si>
  <si>
    <t>Option 1: reported uncertainty (%)</t>
  </si>
  <si>
    <t>unfcccUncertaintyPct</t>
  </si>
  <si>
    <t>Option 2: TOOL30 f_NRB = NRB/(NRB+RB) (fallback if NRB and RB are not entered): Only used if NRB and RB are both empty. The policy applies the 0.74 factor (1 - 0.26) itself; do not pre-multiply.</t>
  </si>
  <si>
    <t>tool30Value</t>
  </si>
  <si>
    <t>Option 2: I acknowledge TOOL30 was withdrawn by the CDM EB from 1 Jan 2026</t>
  </si>
  <si>
    <t>tool30Withdrawal</t>
  </si>
  <si>
    <t>Option 3: TOOL33 v03.0 default value (fraction)</t>
  </si>
  <si>
    <t>tool33Value</t>
  </si>
  <si>
    <t>Option 3: TOOL33 table used (4)</t>
  </si>
  <si>
    <t>Option 3: TOOL33 table used</t>
  </si>
  <si>
    <t>Table 3 - national default</t>
  </si>
  <si>
    <t>tool33Table</t>
  </si>
  <si>
    <t>Country or region</t>
  </si>
  <si>
    <t>countryOrRegion</t>
  </si>
  <si>
    <t>f_NRB,i,y applied (fraction): f_NRB applied. Option 1 and Option 3: the value used. Option 2: INFORMATIVE ONLY - the policy recomputes NRB/(NRB+RB) x 0.74 (or tool30Value x 0.74) in the formula and ignores this number.</t>
  </si>
  <si>
    <t>fNRBApplied</t>
  </si>
  <si>
    <t>Valid from (crediting period start)</t>
  </si>
  <si>
    <t>validFrom</t>
  </si>
  <si>
    <t>Valid to</t>
  </si>
  <si>
    <t>validTo</t>
  </si>
  <si>
    <t>Option 2: TOOL30 NRB (tonnes of non-renewable biomass): TOOL30 Eq.(1) numerator: non-renewable biomass NRB. The policy computes f_NRB = NRB / (NRB + RB) x 0.74 (VMR0015 s9.2 option 2: x (1 - 0.26)).</t>
  </si>
  <si>
    <t>tool30NRB</t>
  </si>
  <si>
    <t>Option 2: TOOL30 RB (tonnes of renewable biomass): TOOL30 Eq.(1): renewable biomass RB (NRB / (NRB + RB)).</t>
  </si>
  <si>
    <t>tool30RB</t>
  </si>
  <si>
    <t>Project device record (VMR0015</t>
  </si>
  <si>
    <t>VMR0015 s9.3(2) Records of each distributed device: Data compiled on each project device from the total sales record, differentiated by project scenario/section (VMR0015 s9.3(2) a-e).</t>
  </si>
  <si>
    <t>deviceRecords</t>
  </si>
  <si>
    <t>e) Unique alphanumeric ID or GPS coordinates of the device: Unique alphanumeric ID or GPS coordinates of each device sold/distributed</t>
  </si>
  <si>
    <t>DEV-000123</t>
  </si>
  <si>
    <t>deviceId</t>
  </si>
  <si>
    <t>a) Date of sale</t>
  </si>
  <si>
    <t>dateOfSale</t>
  </si>
  <si>
    <t>b) Geographic area of sale</t>
  </si>
  <si>
    <t>Moshi Rural, Kilimanjaro</t>
  </si>
  <si>
    <t>geographicAreaOfSale</t>
  </si>
  <si>
    <t>c) Model/type of project technology sold/distributed</t>
  </si>
  <si>
    <t>Chlorine dispenser model X</t>
  </si>
  <si>
    <t>modelType</t>
  </si>
  <si>
    <t>d) Name of recipient</t>
  </si>
  <si>
    <t>A. Recipient</t>
  </si>
  <si>
    <t>recipientName</t>
  </si>
  <si>
    <t>d) Telephone number of recipient (where available)</t>
  </si>
  <si>
    <t>recipientTelephone</t>
  </si>
  <si>
    <t>d) Address of recipient</t>
  </si>
  <si>
    <t>Village A, Ward B</t>
  </si>
  <si>
    <t>recipientAddress</t>
  </si>
  <si>
    <t>Project section / project scenario: Project section (monitoring-study section) this device belongs to</t>
  </si>
  <si>
    <t>S1</t>
  </si>
  <si>
    <t>projectSectionId</t>
  </si>
  <si>
    <t>Interactive effects survey res</t>
  </si>
  <si>
    <t>VMR0015 s9.3(1) Interactive-effects survey results: Baseline and project survey results on interactive effects between safe drinking water devices and improved thermal energy technologies.</t>
  </si>
  <si>
    <t>interactiveEffectsSurvey</t>
  </si>
  <si>
    <t>Survey: Baseline or project survey questionnaire (4)</t>
  </si>
  <si>
    <t>Survey: Baseline or project survey questionnaire</t>
  </si>
  <si>
    <t>Baseline survey</t>
  </si>
  <si>
    <t>surveyType</t>
  </si>
  <si>
    <t>Survey reference: Survey instance or questionnaire ID</t>
  </si>
  <si>
    <t>SV-2026-01</t>
  </si>
  <si>
    <t>Questionnaire contains the interactive-effects question: VMR0015 s9.3(1) requires such a question in both the baseline and the project survey</t>
  </si>
  <si>
    <t>questionIncluded</t>
  </si>
  <si>
    <t>Households surveyed</t>
  </si>
  <si>
    <t>householdsSurveyed</t>
  </si>
  <si>
    <t>Households reporting an interactive effect</t>
  </si>
  <si>
    <t>householdsWithInteractiveEffect</t>
  </si>
  <si>
    <t>Proportion applied to the population (%): Share of households with an interactive effect, applied proportionally to the baseline emissions</t>
  </si>
  <si>
    <t>proportionApplied</t>
  </si>
  <si>
    <t>How the result was applied: Describe the adjustment of baseline emissions, if any</t>
  </si>
  <si>
    <t>No interactive effects were reported.</t>
  </si>
  <si>
    <t>treatment</t>
  </si>
  <si>
    <t>REDD+ Double Counting Assessment (VMR0015 Section 4)</t>
  </si>
  <si>
    <t>VMR0015 Section 4: assessment of whether any REDD+ project or jurisdictional REDD+ program overlaps the project's fuel source area, to rule out double counting.</t>
  </si>
  <si>
    <t>4.5 Estimated GHG Emission Reductions and Carbon Dioxide Removals (VCS PD 4.5)</t>
  </si>
  <si>
    <t>VCS PD 4.4 - net emission reductions summary and ex-ante estimate by year</t>
  </si>
  <si>
    <t>4.5.1 Quantification of Estima</t>
  </si>
  <si>
    <t>4.5.1 Quantification of Estimated Reductions and Removals: Equation and narrative (VCS PD 4.5.1). The computed values appear in the auto-calculated fields at the top of the form.</t>
  </si>
  <si>
    <t>Summary narrative: Explanation of the net result and any conservative assumptions applied</t>
  </si>
  <si>
    <t>Estimated net reductions of approximately 1,667 tCO2e per year, about 8,333 tCO2e over the five-year crediting period.</t>
  </si>
  <si>
    <t>erSummaryNarrative</t>
  </si>
  <si>
    <t>4.5.2 Summary of Estimated Red</t>
  </si>
  <si>
    <t>4.5.2 Summary of Estimated Reductions and Removals: Estimated reductions by calendar year (VCS PD 4.5.2).</t>
  </si>
  <si>
    <t>Estimated reductions and remov</t>
  </si>
  <si>
    <t>Estimated reductions and removals (no non-permanence assessment)</t>
  </si>
  <si>
    <t>estimatedReductionsAndRemovalsNoNonPerma</t>
  </si>
  <si>
    <t>Estimated baseline emissions (tCO2e)</t>
  </si>
  <si>
    <t>estimatedBaselineEmissionsTCO2e</t>
  </si>
  <si>
    <t>Estimated project emissions (tCO2e)</t>
  </si>
  <si>
    <t>estimatedProjectEmissionsTCO2e</t>
  </si>
  <si>
    <t>Estimated leakage emissions (tCO2e)</t>
  </si>
  <si>
    <t>estimatedLeakageEmissionsTCO2e</t>
  </si>
  <si>
    <t>Estimated net reductions (tCO2e)</t>
  </si>
  <si>
    <t>estimatedNetReductionsTCO2e</t>
  </si>
  <si>
    <t>Estimated net removals (tCO2e)</t>
  </si>
  <si>
    <t>estimatedNetRemovalsTCO2e</t>
  </si>
  <si>
    <t>Total estimated net reductions and removals (tCO2e)</t>
  </si>
  <si>
    <t>totalEstimatedNetReductionsAndRemovalsTC</t>
  </si>
  <si>
    <t>Estimated net reductions minus buffer pool allocation (tCO2e)</t>
  </si>
  <si>
    <t>estimatedNetReductionsMinusBufferPoolAll</t>
  </si>
  <si>
    <t>Estimated net removals minus buffer pool allocation (tCO2e)</t>
  </si>
  <si>
    <t>estimatedNetRemovalsMinusBufferPoolAlloc</t>
  </si>
  <si>
    <t>Total estimated net reductions and removals minus buffer pool allocation (tCO2e)</t>
  </si>
  <si>
    <t>totalEstimatedNetReductionsAndRemovalsMi</t>
  </si>
  <si>
    <t>MR 4.2.6 Sampling Approaches (VCS MR 4.2.6)</t>
  </si>
  <si>
    <t>VCS MR v5.0 Section 4.2.6 - sampling design applied this period and achieved confidence/precision.</t>
  </si>
  <si>
    <t>3.5.1 Regulatory Surplus (VCS PD 3.5.1)</t>
  </si>
  <si>
    <t>VCS PD v5.0 Section 3.5.1 - demonstration that the project is not mandated by any law, statute or other regulatory framework.</t>
  </si>
  <si>
    <t>5.1 Data and Parameters (VCS PD 5.1)</t>
  </si>
  <si>
    <t>VCS PD v5.0 5.1: cross-reference to Appendix 2 only. Legacy monitored table (#65b0f375) retired; monitored parameters live in appendix2 A2.2.</t>
  </si>
  <si>
    <t>MR 3.2.2 Loss Events (VCS MR 3.2.2)</t>
  </si>
  <si>
    <t>VCS MR v5.0 Section 3.2.2 - loss events that reduced carbon stocks during the monitoring period (AFOLU).</t>
  </si>
  <si>
    <t>ESG Risk Assessment (VCS PD 2.5)</t>
  </si>
  <si>
    <t>Environmental, social and governance risk register: one row per identified risk with likelihood, severity, mitigation, residual risk and owner.</t>
  </si>
  <si>
    <t>Risk ID: Identifier for this risk entry</t>
  </si>
  <si>
    <t>ESG-01</t>
  </si>
  <si>
    <t>riskId</t>
  </si>
  <si>
    <t>Risk Category: e.g e.g. labor rights, land rights, ecosystem protection, gender equality, Indigenous Peoples' rights, anti-corruption, ecosystem conversion (IUCN T7), environmental impact, financial transparency</t>
  </si>
  <si>
    <t>Social</t>
  </si>
  <si>
    <t>riskCategory</t>
  </si>
  <si>
    <t>Risk Description: Description of the potential negative environmental or socio-economic impact</t>
  </si>
  <si>
    <t>Filter units failing without timely replacement, leaving households reverting to boiling.</t>
  </si>
  <si>
    <t>riskDescription</t>
  </si>
  <si>
    <t>Affected Stakeholder(s): Which stakeholder(s) or groups are potentially affected by this risk (cross-reference Stakeholder Engagement Plan entries)</t>
  </si>
  <si>
    <t>affectedStakeholders</t>
  </si>
  <si>
    <t>Likelihood: Assessed likelihood of the risk occurring</t>
  </si>
  <si>
    <t>Low</t>
  </si>
  <si>
    <t>likelihood</t>
  </si>
  <si>
    <t>Severity / Magnitude: Assessed magnitude of potential impact if the risk occurs</t>
  </si>
  <si>
    <t>Moderate</t>
  </si>
  <si>
    <t>severity</t>
  </si>
  <si>
    <t>Mitigation Steps: Steps designed to mitigate this risk, commensurate with its assessed severity</t>
  </si>
  <si>
    <t>Maintenance network of trained technicians; 14-day replacement guarantee; annual functionality survey.</t>
  </si>
  <si>
    <t>mitigationSteps</t>
  </si>
  <si>
    <t>Residual Risk After Mitigation: Assessed risk level remaining after mitigation measures</t>
  </si>
  <si>
    <t>residualRisk</t>
  </si>
  <si>
    <t>Responsible Party: Organization/role responsible for implementing the mitigation</t>
  </si>
  <si>
    <t>Operations Manager, Rural Access Water Ltd.</t>
  </si>
  <si>
    <t>responsibleParty</t>
  </si>
  <si>
    <t>Ecosystem Conversion Check (IUCN T7): Confirmation that the project does not involve prohibited IUCN T7 ecosystem conversion</t>
  </si>
  <si>
    <t>No ecosystem conversion. The project involves no land use change.</t>
  </si>
  <si>
    <t>ecosystemConversionCheck</t>
  </si>
  <si>
    <t>Date of Assessment: Date this risk assessment was conducted</t>
  </si>
  <si>
    <t>Notes: Any additional information about this risk.</t>
  </si>
  <si>
    <t>Reviewed annually.</t>
  </si>
  <si>
    <t>notes</t>
  </si>
  <si>
    <t>1.13 Description of the Project Activity (VCS PD 1.13)</t>
  </si>
  <si>
    <t>VCS PD 1.13: the technologies and equipment deployed, the service provided, the baseline service it replaces, and the implementation schedule.</t>
  </si>
  <si>
    <t>1.13.1 Description of Project Activity: Detailed description of the water purification technology deployed</t>
  </si>
  <si>
    <t>Gravity-fed ceramic-membrane filters with solar-assisted UV polishing.</t>
  </si>
  <si>
    <t>technologyDescription</t>
  </si>
  <si>
    <t>Technology system or equipment</t>
  </si>
  <si>
    <t>Technology, system, or equipment</t>
  </si>
  <si>
    <t>technologySystemOrEquipment</t>
  </si>
  <si>
    <t>Age and average lifetime</t>
  </si>
  <si>
    <t>ageAndAverageLifetime</t>
  </si>
  <si>
    <t>Technical specifications</t>
  </si>
  <si>
    <t>technicalSpecifications</t>
  </si>
  <si>
    <t>Type and level of service provided</t>
  </si>
  <si>
    <t>typeAndLevelOfServiceProvided</t>
  </si>
  <si>
    <t>Implementation schedule row (V</t>
  </si>
  <si>
    <t>Implementation schedule</t>
  </si>
  <si>
    <t>implementationSchedule2</t>
  </si>
  <si>
    <t>PP Profile</t>
  </si>
  <si>
    <t>VMR0015 Project Proponent registration and profile schema.</t>
  </si>
  <si>
    <t>Full Name: Full legal name of the Project Proponent</t>
  </si>
  <si>
    <t>ppFullName</t>
  </si>
  <si>
    <t>Organization or company name</t>
  </si>
  <si>
    <t>ppOrganization</t>
  </si>
  <si>
    <t>Country of the project proponent</t>
  </si>
  <si>
    <t>ppCountry</t>
  </si>
  <si>
    <t>Email address of the project proponent contact.</t>
  </si>
  <si>
    <t>ppEmail</t>
  </si>
  <si>
    <t>Phone: Telephone number of the project proponent contact, including country code.</t>
  </si>
  <si>
    <t>ppPhone</t>
  </si>
  <si>
    <t>Role of the proponent in the project</t>
  </si>
  <si>
    <t>ppRole</t>
  </si>
  <si>
    <t>SDW Public Distribution Network Check (AMS-III.AV Data/Parameter table 13)</t>
  </si>
  <si>
    <t>AMS-III.AV Data/Parameter table 13: annual check of whether a public network supplying safe drinking water has been installed in the project area (para 4(a)).</t>
  </si>
  <si>
    <t>5.2.6 Sampling Approaches (VCS PD 5.2.6)</t>
  </si>
  <si>
    <t>VCS PD v5.0 Section 5.2.6 - sampling design, confidence and precision, per the CDM Sampling Standard.</t>
  </si>
  <si>
    <t>2.3 Stakeholder Input Tracker (VCS PD 2.3)</t>
  </si>
  <si>
    <t>VCS PD 2.3: record of stakeholder input received and how it influenced the project design and risk assessment.</t>
  </si>
  <si>
    <t>MR 1.11 Sustainable Development Contributions (VCS MR 1.11)</t>
  </si>
  <si>
    <t>VCS MR 1.11: SDG contributions achieved in this monitoring period, with a narrative and one row per SDG target.</t>
  </si>
  <si>
    <t>MR 3.1 Methodology Details (VCS MR 3.1)</t>
  </si>
  <si>
    <t>VCS MR 1.8 - methodology and tool versions applied in this monitoring period</t>
  </si>
  <si>
    <t>MR 5.1 Baseline Emissions (VCS MR 5.1)</t>
  </si>
  <si>
    <t>VCS MR 5.1 - reproducible baseline emissions calculation for this monitoring period</t>
  </si>
  <si>
    <t>2.4 Grievance Redress Mechanism (VCS PD 2.4)</t>
  </si>
  <si>
    <t>VCS PD v5.0 Section 2.4 - the grievance redress mechanism available to stakeholders and the grievances received.</t>
  </si>
  <si>
    <t>MR 5.5 GHG Emission Reductions and Carbon Dioxide Removals (VCS MR 5.5)</t>
  </si>
  <si>
    <t>VCS MR v5.0 Section 5.5 - the vintage period of the reductions reported; computed totals appear in the auto-calculated 5.5.1 and 5.5.2 fields.</t>
  </si>
  <si>
    <t>4.5.1 Quantification of Estimated Reductions and Removals (VCS PD 4.5.1)</t>
  </si>
  <si>
    <t>VCS PD v5.0 Section 4.5.1 - equation and narrative for the estimated net emission reductions.</t>
  </si>
  <si>
    <t>5.2.5 Procedures for Handling Non-Conformances (VCS PD 5.2.5)</t>
  </si>
  <si>
    <t>VCS PD v5.0 Section 5.2.5 - identification and correction of non-conformances.</t>
  </si>
  <si>
    <t>Stakeholder Identification Row (VCS PD 2.1.1)</t>
  </si>
  <si>
    <t>VCS stakeholder identification table row - one per identified stakeholder group</t>
  </si>
  <si>
    <t>Stakeholder group: Identified group likely impacted by the project</t>
  </si>
  <si>
    <t>Participating households in the four zones</t>
  </si>
  <si>
    <t>Tenure and access rights: Land/water tenure and access rights held</t>
  </si>
  <si>
    <t>No land or resource rights are affected; filters are installed inside existing dwellings.</t>
  </si>
  <si>
    <t>tenureAccessRights</t>
  </si>
  <si>
    <t>Rights to territories and resources: Including collective and conflicting rights of IPs, LCs and customary rights holders</t>
  </si>
  <si>
    <t>No indigenous territorial claims exist in the project area.</t>
  </si>
  <si>
    <t>territorialRights</t>
  </si>
  <si>
    <t>Diversity considerations: Women, girls, children, minorities and marginalized groups</t>
  </si>
  <si>
    <t>Filters distributed to every household in the zones regardless of gender, age or disability; women, who carry most water-boiling work, were consulted separately.</t>
  </si>
  <si>
    <t>diversityConsiderations</t>
  </si>
  <si>
    <t>Well-being / ecosystem services: Dependence on ecosystem services affected</t>
  </si>
  <si>
    <t>Positive: safer drinking water, less time and money spent on firewood, less indoor smoke.</t>
  </si>
  <si>
    <t>wellbeingEcosystemServices</t>
  </si>
  <si>
    <t>Consultation outcome: How this group was consulted and what they raised</t>
  </si>
  <si>
    <t>Broad support; households asked for faster replacement of failed units, which was adopted as a 14-day replacement guarantee.</t>
  </si>
  <si>
    <t>consultationOutcome</t>
  </si>
  <si>
    <t>1.18 Sustainable Development Contributions (VCS PD 1.18)</t>
  </si>
  <si>
    <t>VCS PD 1.18: contribution to the UN Sustainable Development Goals, one row per SDG target with indicator, direction of impact and expected contribution.</t>
  </si>
  <si>
    <t>1.18 Sustainable developmen 2</t>
  </si>
  <si>
    <t>Planned activities and expected contributions</t>
  </si>
  <si>
    <t>plannedActivitiesAndExpectedContribution</t>
  </si>
  <si>
    <t>Project Proponent Contact (VCS PD 1.5)</t>
  </si>
  <si>
    <t>VCS PD 1.5 contact table row - one per proponent contact</t>
  </si>
  <si>
    <t>MR 2.3 Benefit-Sharing Mechanism (VCS MR 2.3)</t>
  </si>
  <si>
    <t>VCS MR v5.0 Section 2.3 - benefits shared with stakeholders during this monitoring period.</t>
  </si>
  <si>
    <t>3.2.1 Eligibility of Methodology (VCS PD 3.2.1)</t>
  </si>
  <si>
    <t>VCS PD v5.0 Section 3.2.1 - confirmation that the applied methodology is eligible under the VCS Program.</t>
  </si>
  <si>
    <t>MR 1.2 Audit History (VCS MR 1.2)</t>
  </si>
  <si>
    <t>VCS MR 1.2: every validation and verification of the project to date, one row per audit.</t>
  </si>
  <si>
    <t>MR 3.4.1 Methodology Deviations (VCS MR 3.4.1)</t>
  </si>
  <si>
    <t>Documents any deviations from the applied methodology (VMR0015 / AMS-III.AV) and their justification, as required by the VCS PD and MR templates.</t>
  </si>
  <si>
    <t>Deviation ID: Identifier for this deviation entry</t>
  </si>
  <si>
    <t>deviationId</t>
  </si>
  <si>
    <t>Description of Deviation: Description of how the project deviates from the methodology as written</t>
  </si>
  <si>
    <t>No deviations applied this monitoring period.</t>
  </si>
  <si>
    <t>deviationDescription</t>
  </si>
  <si>
    <t>Methodology Clause Reference: Paragraph/section of VMR0015 or AMS-III.AV affected</t>
  </si>
  <si>
    <t>methodologyClauseRef</t>
  </si>
  <si>
    <t>Justification for why the deviation is appropriate and does not affect conservativeness</t>
  </si>
  <si>
    <t>Not applicable - no methodology deviation was applied this monitoring period.</t>
  </si>
  <si>
    <t>Date Deviation Applied / Identified: Date the deviation was applied or identified</t>
  </si>
  <si>
    <t>Not applicable - no methodology deviation applied</t>
  </si>
  <si>
    <t>dateApplied</t>
  </si>
  <si>
    <t>VVB Assessment: VVB's assessment of the deviation, if reviewed</t>
  </si>
  <si>
    <t>To be completed by VVB.</t>
  </si>
  <si>
    <t>vvbAssessment</t>
  </si>
  <si>
    <t>4.1 Baseline Emissions (VCS PD 4.1)</t>
  </si>
  <si>
    <t>VCS PD 4.1 - baseline emissions equations, parameters and worked calculation</t>
  </si>
  <si>
    <t>4.4 Other Relevant Quantification (VCS PD 4.4)</t>
  </si>
  <si>
    <t>VCS PD v5.0 Section 4.4 - non-permanence risk and long-term average, where applicable.</t>
  </si>
  <si>
    <t>4.4.1 Non-Permanence Risk Anal</t>
  </si>
  <si>
    <t>4.4.1 Non-Permanence Risk Analysis: Reversal risk and buffer contribution (VCS PD 4.4.1).</t>
  </si>
  <si>
    <t>Non-permanence risk assessment applicable?: VCS PD 4.4.1: buffer pool allocation applies to projects generating reductions/removals via carbon sinks (AFOLU/GCS). NOT APPLICABLE to VMR0015/AMS-III.AV: emission reductions come from avoided fossil-fuel/biomass combustion (energy demand-side technology), not from a carbon sink or stock. There is no net carbon stock change and no reversal risk, so the AFOLU/GCS Non-Permanence Risk Tool and buffer pool allocation (VCS PD 4.4.1.1) do not apply.</t>
  </si>
  <si>
    <t>nonPermanenceApplicable</t>
  </si>
  <si>
    <t>Non-permanence risk statement: State whether the AFOLU/GCS Non-Permanence Risk Tool applies and why.</t>
  </si>
  <si>
    <t>Not applicable - emission reductions come from avoided combustion of non-renewable biomass and fossil fuel, not from a carbon stock, so there is no reversal risk and no buffer pool contribution.</t>
  </si>
  <si>
    <t>nonPermanenceStatement</t>
  </si>
  <si>
    <t>4.4.1.1 Buffer Pool Allocation</t>
  </si>
  <si>
    <t>4.4.1.1 Buffer Pool Allocation Calculation</t>
  </si>
  <si>
    <t>Does a buffer pool allocation apply?: True only for projects required to assess non-permanence risk. Not applicable to VMR0015 (household water treatment).</t>
  </si>
  <si>
    <t>Buffer pool statement: Where not applicable, state why.</t>
  </si>
  <si>
    <t>4.4.2 Buffer pool allocation r</t>
  </si>
  <si>
    <t>Buffer pool allocation (reductions and removals separated): Complete if the applied methodology separates estimates into reductions versus removals. Add rows as needed.</t>
  </si>
  <si>
    <t>separatedTable</t>
  </si>
  <si>
    <t>netBaselineCarbonStockChange</t>
  </si>
  <si>
    <t>netProjectCarbonStockChange</t>
  </si>
  <si>
    <t>riskRatingPct</t>
  </si>
  <si>
    <t>bufferAllocationReductions</t>
  </si>
  <si>
    <t>bufferAllocationRemovals</t>
  </si>
  <si>
    <t>4.4.2 Buffer pool allocatio 2</t>
  </si>
  <si>
    <t>Buffer pool allocation (combined): Complete if the applied methodology does not separate reductions versus removals. Add rows as needed.</t>
  </si>
  <si>
    <t>combinedTable</t>
  </si>
  <si>
    <t>netCarbonStockChange</t>
  </si>
  <si>
    <t>4.4.2 Long-Term Average (VCS P</t>
  </si>
  <si>
    <t>4.4.2 Long-Term Average: Long-term average, where applicable (VCS PD 4.4.2).</t>
  </si>
  <si>
    <t>Does a long-term average apply?: The long-term average applies to ARR, IFM and other AFOLU activities with harvesting cycles.</t>
  </si>
  <si>
    <t>longTermAverageApplicable</t>
  </si>
  <si>
    <t>Long-term average statement: Present the long-term average calculation, or state why it does not apply.</t>
  </si>
  <si>
    <t>Not applicable - no carbon stock is created or harvested; the project is an energy demand-side activity.</t>
  </si>
  <si>
    <t>longTermAverageStatement</t>
  </si>
  <si>
    <t>4.4 Buffer pool allocation (re</t>
  </si>
  <si>
    <t>MR 5.4.1 Non-Permanence Risk Analysis (VCS MR 5.4.1)</t>
  </si>
  <si>
    <t>VCS MR v5.0 Section 5.4.1 - non-permanence risk analysis.</t>
  </si>
  <si>
    <t>2.1.2 Free, Prior, and Informed Consent (VCS PD 2.1.2)</t>
  </si>
  <si>
    <t>VCS PD v5.0 Section 2.1.2 - FPIC process, where the project affects the land, territories or resources of Indigenous Peoples or local communities.</t>
  </si>
  <si>
    <t>FPIC Required?: Whether Free, Prior and Informed Consent is required for this stakeholder (mandatory before project start date if the project affects land or resource rights)</t>
  </si>
  <si>
    <t>fpicRequired</t>
  </si>
  <si>
    <t>2.2 FPIC (Free, Prior and Informed Consent): How FPIC was obtained where applicable; N/A justification otherwise</t>
  </si>
  <si>
    <t>The project does not affect land or resource rights, so formal FPIC is not triggered. Voluntary informed consent was obtained in writing from each participating household before installation.</t>
  </si>
  <si>
    <t>FPIC Evidence Reference: Reference to FPIC documentation obtained prior to project start date, if fpicRequired=1</t>
  </si>
  <si>
    <t>Not applicable - FPIC not triggered; see fpicProcess.</t>
  </si>
  <si>
    <t>fpicEvidenceRef</t>
  </si>
  <si>
    <t>MR 4.2.4 Procedures for Internal Auditing (VCS MR 4.2.4)</t>
  </si>
  <si>
    <t>VCS MR v5.0 Section 4.2.4 - internal audits and QA/QC performed this period.</t>
  </si>
  <si>
    <t>MR 3.5 Baseline Reassessment (VCS MR 3.5)</t>
  </si>
  <si>
    <t>VCS MR 3.5: whether the baseline had to be reassessed this period, whether an updated PD was submitted, and whether the latest VCS rules were applied.</t>
  </si>
  <si>
    <t>1.12 Conditions Prior to Project Initiation (VCS PD 1.12)</t>
  </si>
  <si>
    <t>Description of conditions existing prior to project initiation.</t>
  </si>
  <si>
    <t>Conditions Prior to Project Initiation: Conditions existing prior to project initiation: how the target population obtained potable water (boiling practice and prevalence), the fuel types used for boiling and their renewable/non-renewable split, existing water treatment penetration, and baseline health/water-access conditions. AFOLU-specific sub-items (ecosystem type, land use, native-ecosystem clearance) are N/A for this energy-demand methodology.</t>
  </si>
  <si>
    <t>Households used unimproved or partially improved water sources and boiled drinking water over three-stone open wood fires.</t>
  </si>
  <si>
    <t>priorConditions</t>
  </si>
  <si>
    <t>List of facilities, systems, and equipment</t>
  </si>
  <si>
    <t>listOfFacilitiesSystemsAndEquipment</t>
  </si>
  <si>
    <t>Ecosystem type</t>
  </si>
  <si>
    <t>ecosystemType</t>
  </si>
  <si>
    <t>Current and historical land use</t>
  </si>
  <si>
    <t>currentAndHistoricalLandUse</t>
  </si>
  <si>
    <t>Current and historical environmental conditions of the project area</t>
  </si>
  <si>
    <t>currentAndHistoricalEnvironmentalConditi</t>
  </si>
  <si>
    <t>VCS Project Description</t>
  </si>
  <si>
    <t>VMR0015 project registration and description schema.</t>
  </si>
  <si>
    <t>VCS PD template version: Locked to v5.0B in this policy file (one file per VCS v5.0 template set). v5.0A: project start date before 1 Jan 2027; v5.0B: start on/after 1 Jan 2027 (or renewal/baseline reassessment on/after 1 Jan 2030). Open question V1 for requests submitted before 1 Jan 2027.</t>
  </si>
  <si>
    <t>Quantification type: A PD always carries the ex-ante estimate.</t>
  </si>
  <si>
    <t>Ex Ante</t>
  </si>
  <si>
    <t>Project Name: Official title of the project, as it will appear in the Verra registry.</t>
  </si>
  <si>
    <t>Kilimanjaro Safe Water Project</t>
  </si>
  <si>
    <t>Project ID: Unique project identifier</t>
  </si>
  <si>
    <t>projectId</t>
  </si>
  <si>
    <t>Start Date: Project crediting start date</t>
  </si>
  <si>
    <t>Crediting period start</t>
  </si>
  <si>
    <t>creditingPeriodStart</t>
  </si>
  <si>
    <t>Crediting period end</t>
  </si>
  <si>
    <t>creditingPeriodEnd</t>
  </si>
  <si>
    <t>Request type</t>
  </si>
  <si>
    <t>requestType</t>
  </si>
  <si>
    <t>VCS Standard version used for validation</t>
  </si>
  <si>
    <t>vcsStandardVersionUsedForValidation</t>
  </si>
  <si>
    <t>Document history row (VCS v5.0</t>
  </si>
  <si>
    <t>Document file name</t>
  </si>
  <si>
    <t>documentFileName</t>
  </si>
  <si>
    <t>1. Project Details</t>
  </si>
  <si>
    <t>1. Project Details: VCS Project Description Section 1 - project identity, eligibility, proponent, crediting period, location, scale and additional information. Complete every sub-section; where one does not apply, state why rather than leaving it blank.</t>
  </si>
  <si>
    <t>section1</t>
  </si>
  <si>
    <t>1.1 Summary Description of the</t>
  </si>
  <si>
    <t>1.1 Summary Description of the Project: VCS PD 1.1 - project narrative, technology description, pre-project scenario, and estimated annual/total emission reductions</t>
  </si>
  <si>
    <t>summaryDescription</t>
  </si>
  <si>
    <t>Summary Description: &lt;=1 page: the water purification technology deployed (e.g. ceramic/membrane filter, UV, chlorine dispenser), number of appliances and target population, project location, and how displacing household water boiling generates emission reductions by avoiding non-renewable biomass combustion.</t>
  </si>
  <si>
    <t>The project distributes 3,000 ceramic-membrane point-of-use water filters across four zones of Moshi Rural District, Tanzania, serving approximately 12,000 people. Before the project, households boiled drinking water over three-stone wood fires. The filters remove the need to boil, avoiding non-renewable woody biomass combustion.</t>
  </si>
  <si>
    <t>summaryText</t>
  </si>
  <si>
    <t>Brief Pre-Project Scenario: Pre-project scenario: how the target population obtained potable water before the project - typically boiling with non-renewable biomass (fuelwood/charcoal) or fossil fuel, which is the AMS-III.AV baseline.</t>
  </si>
  <si>
    <t>Households collected water from unimproved or partially improved sources and boiled it over three-stone open fires using non-renewable firewood.</t>
  </si>
  <si>
    <t>preProjectScenario</t>
  </si>
  <si>
    <t>Estimated Annual Average ER (tCO2e): Estimate of annual average GHG emission reductions/removals</t>
  </si>
  <si>
    <t>estAnnualAvgER</t>
  </si>
  <si>
    <t>Estimated Total ER (tCO2e): Estimate of total GHG emission reductions/removals over the crediting period</t>
  </si>
  <si>
    <t>estTotalER</t>
  </si>
  <si>
    <t>1.2 Audit History: One entry per audit (1.2 Audit History)</t>
  </si>
  <si>
    <t>1.3 Sectoral Scope and Project</t>
  </si>
  <si>
    <t>1.3 Sectoral Scope and Project Classification: VCS PD 1.2 - sectoral scope(s), project type, and whether this is a grouped project</t>
  </si>
  <si>
    <t>1.4 Project Eligibility (VCS P</t>
  </si>
  <si>
    <t>1.4 Project Eligibility: VCS PD 1.3 - justification of eligibility under the scope of the VCS Program and this methodology</t>
  </si>
  <si>
    <t>projectEligibility</t>
  </si>
  <si>
    <t>1.4.1 Deadlines for Participation: Confirm the project meets the VCS Program deadlines for validation and registration relative to its start date, citing the relevant VCS Standard requirement.</t>
  </si>
  <si>
    <t>The project start date is 01-March-2025 and validation is being pursued within the timeframe set by the VCS Standard for projects to complete validation after their start date.</t>
  </si>
  <si>
    <t>deadlinesForParticipation</t>
  </si>
  <si>
    <t>1.4.2 AFOLU Project Eligibility: State whether AFOLU-specific eligibility requirements apply.</t>
  </si>
  <si>
    <t>Not applicable - this is a non-AFOLU energy demand project (VCS sectoral scope 03). No AFOLU eligibility requirements apply.</t>
  </si>
  <si>
    <t>afoluEligibility</t>
  </si>
  <si>
    <t>1.4.3 Eligibility of Projects Registered with Other GHG Programs: If the project is or was registered under another GHG program, demonstrate it remains eligible under the VCS Program; otherwise state that it is not.</t>
  </si>
  <si>
    <t>The project is not registered, and has never sought registration, under any other GHG program.</t>
  </si>
  <si>
    <t>otherProgramEligibility</t>
  </si>
  <si>
    <t>1.4.4 Capacity Limit Eligibility: Demonstrate the project is within any capacity limit applicable under the VCS Program and AMS-III.AV small-scale thresholds.</t>
  </si>
  <si>
    <t>Estimated reductions of about 1,667 tCO2e per year are well within the small-scale limit applicable to AMS-III.AV Type III activities (60 kt CO2e per year).</t>
  </si>
  <si>
    <t>Pipeline listing deadline</t>
  </si>
  <si>
    <t>pipelineListingDeadline</t>
  </si>
  <si>
    <t>Pipeline listing request date</t>
  </si>
  <si>
    <t>pipelineListingRequestDate</t>
  </si>
  <si>
    <t>Date of listing as under validation</t>
  </si>
  <si>
    <t>dateOfListingAsUnderValidation</t>
  </si>
  <si>
    <t>Registration request deadline</t>
  </si>
  <si>
    <t>registrationRequestDeadline</t>
  </si>
  <si>
    <t>Date of registration request in the other GHG program</t>
  </si>
  <si>
    <t>dateOfRegistrationRequestInTheOtherGHGPr</t>
  </si>
  <si>
    <t>Date of project inactivity in the other GHG program</t>
  </si>
  <si>
    <t>dateOfProjectInactivityInTheOtherGHGProg</t>
  </si>
  <si>
    <t>Capacity limit: project area within one kilometer: Justification</t>
  </si>
  <si>
    <t>Capacity limit: same project proponent: Justification</t>
  </si>
  <si>
    <t>Capacity limit: same project activity: Justification</t>
  </si>
  <si>
    <t>justification3</t>
  </si>
  <si>
    <t>Capacity limit: start date within two years: Justification</t>
  </si>
  <si>
    <t>justification4</t>
  </si>
  <si>
    <t>Capacity limit: combined capacity: Justification</t>
  </si>
  <si>
    <t>justification5</t>
  </si>
  <si>
    <t>1.5 Project Proponent (VCS PD</t>
  </si>
  <si>
    <t>1.5 Project Proponent: VCS PD 1.5 - proponent organization and contact details</t>
  </si>
  <si>
    <t>projectProponent</t>
  </si>
  <si>
    <t>Proponent contacts: One entry per proponent contact per the VCS PD 1.5 table</t>
  </si>
  <si>
    <t>1.6 Other Entities Involved in</t>
  </si>
  <si>
    <t>1.6 Other Entities Involved in the Project: VCS PD 1.6 - other entities involved in the project beyond the Project Proponent; one entry per entity</t>
  </si>
  <si>
    <t>otherEntities</t>
  </si>
  <si>
    <t>Organization Name: Name of the other participating organization</t>
  </si>
  <si>
    <t>Role in the Project: e.g. technical partner, financing entity, implementing NGO</t>
  </si>
  <si>
    <t>No other entities are involved in the project; Rural Access Water Ltd. is the sole project proponent and operator.</t>
  </si>
  <si>
    <t>Contact Person: Full name of the contact person.</t>
  </si>
  <si>
    <t>Not applicable - no other entity</t>
  </si>
  <si>
    <t>Title: Job title of the contact person at this organization</t>
  </si>
  <si>
    <t>Address: Full postal address of the organization</t>
  </si>
  <si>
    <t>Telephone: Contact telephone number, including country code</t>
  </si>
  <si>
    <t>Email: Contact email address for this organization</t>
  </si>
  <si>
    <t>1.7 Right to Operate and Ri 2</t>
  </si>
  <si>
    <t>1.7 Right to Operate and Right to Reductions and Removals</t>
  </si>
  <si>
    <t>section1_7_v50B</t>
  </si>
  <si>
    <t>1.7 Right to Operate and Right</t>
  </si>
  <si>
    <t>1.7 Right to Operate and Right to Reductions and Removals: VCS PD 1.7 / v5.0 Section 3.6 - right to operate, right to reductions and removals, FPIC evidence, and regulatory compliance</t>
  </si>
  <si>
    <t>rightToOperate</t>
  </si>
  <si>
    <t>1.7.1 Demonstration of Right to Operate and Right to Reductions and Removals: Statutory/property/contractual proof of the right to operate the project and claim reductions/removals - v5.0 reframing of ownership (VCS Standard v5.0 Section 3.6).</t>
  </si>
  <si>
    <t>Distribution agreements with each participating household transfer the right to the emission reductions.</t>
  </si>
  <si>
    <t>1.7.2 Land or Resource Rights</t>
  </si>
  <si>
    <t>1.7.2 Land or Resource Rights Analysis - complete this section per the VCS template requirements for</t>
  </si>
  <si>
    <t>1.7 Evidence of right to opera</t>
  </si>
  <si>
    <t>Scope of evidence</t>
  </si>
  <si>
    <t>scopeOfEvidence</t>
  </si>
  <si>
    <t>Screening questions</t>
  </si>
  <si>
    <t>screeningQuestions</t>
  </si>
  <si>
    <t>1.8 Project Start Date and Ini</t>
  </si>
  <si>
    <t>1.8 Project Start Date and Initial Crediting Perio: VCS Project Description Section 1.8 - project start date and initial crediting period start date, with the evidence relied upon (e.g. signed distribution records for the first devices deployed).</t>
  </si>
  <si>
    <t>projectStartAndCrediting</t>
  </si>
  <si>
    <t>1.8.1 Project Start Date: Date on which the project began generating emission reductions (DD-Month-YYYY).</t>
  </si>
  <si>
    <t>projectStartDatePD</t>
  </si>
  <si>
    <t>Start date justification: Evidence establishing start date</t>
  </si>
  <si>
    <t>First devices distributed 01-March-2025, evidenced by signed distribution records.</t>
  </si>
  <si>
    <t>startDateJustification</t>
  </si>
  <si>
    <t>1.8.2 Initial Crediting Period Start Date: Start date of the first crediting period (DD-Month-YYYY).</t>
  </si>
  <si>
    <t>initialCreditingStartDate</t>
  </si>
  <si>
    <t>1.9 Project Crediting Period (</t>
  </si>
  <si>
    <t>1.9 Project Crediting Period: VCS PD 1.9 - crediting period dates and duration</t>
  </si>
  <si>
    <t>creditingPeriodDetail</t>
  </si>
  <si>
    <t>Start date of this crediting period: Crediting period start date (DD-Month-YYYY). Must be on or after the project start date.</t>
  </si>
  <si>
    <t>End date of this crediting period: Crediting period end date (DD-Month-YYYY).</t>
  </si>
  <si>
    <t>Justification: State which crediting period option was elected (7-year renewable x2, or fixed 10-year) and the basis for that election. For renewals, confirm the baseline was reassessed as required.</t>
  </si>
  <si>
    <t>Five-year renewable crediting period selected to allow baseline reassessment at renewal.</t>
  </si>
  <si>
    <t>creditingJustification</t>
  </si>
  <si>
    <t>Crediting period length: VCS PD 1.9: five-year renewable or fixed 20-100 years (2)</t>
  </si>
  <si>
    <t>Crediting period length: VCS PD 1.9: five-year renewable or fixed 20-100 years</t>
  </si>
  <si>
    <t>Five years (renewable)</t>
  </si>
  <si>
    <t>Crediting period number: E.g. 1 for initial; 3 if renewed twice previously</t>
  </si>
  <si>
    <t>Maximum total project crediting period duration: Sum of all crediting periods this project may claim, per VCS Program rules</t>
  </si>
  <si>
    <t>Up to 15 years (three consecutive five-year crediting periods)</t>
  </si>
  <si>
    <t>maxTotalDuration</t>
  </si>
  <si>
    <t>1.10 Project Scale (VCS PD 1.1</t>
  </si>
  <si>
    <t>1.10 Project Scale: VCS PD 1.10 - project scale and estimated emission reductions broken down by year</t>
  </si>
  <si>
    <t>estimatedGHG</t>
  </si>
  <si>
    <t>1.11 Project Design (VCS PD 1.</t>
  </si>
  <si>
    <t>1.11 Project Design: VCS PD 1.4 - single location, multiple instances, or grouped project; eligibility criteria for adding new instances</t>
  </si>
  <si>
    <t>projectDesign</t>
  </si>
  <si>
    <t>Project Design Type: Single location, multiple instances, or grouped project. Distributed point-of-use water treatment activities are typically multi-instance or grouped, with appliances deployed across many households/sites.</t>
  </si>
  <si>
    <t>Single project (not grouped)</t>
  </si>
  <si>
    <t>designType</t>
  </si>
  <si>
    <t>1.11.1 Grouped Project Design: For multi-instance/grouped projects: criteria for including new instances - appliance type meeting the microbiological standard (&lt;1 cfu E. coli/100 ml), target households with a demonstrated water-boiling baseline, and location within the defined service area. Per-instance QPW is aggregated by the in-engine summation (fields 36-41).</t>
  </si>
  <si>
    <t>Not applicable - single project design.</t>
  </si>
  <si>
    <t>instanceEligibilityCriteria</t>
  </si>
  <si>
    <t>Project activity instances row</t>
  </si>
  <si>
    <t>Project activity instances</t>
  </si>
  <si>
    <t>projectActivityInstances</t>
  </si>
  <si>
    <t>Project activity instance</t>
  </si>
  <si>
    <t>projectActivityInstance</t>
  </si>
  <si>
    <t>Explanation</t>
  </si>
  <si>
    <t>explanation</t>
  </si>
  <si>
    <t>Eligibility criteria per eligi</t>
  </si>
  <si>
    <t>Eligibility criteria per eligibility area</t>
  </si>
  <si>
    <t>eligibilityCriteriaPerEligibilityArea</t>
  </si>
  <si>
    <t>Uniquely identifiable</t>
  </si>
  <si>
    <t>uniquelyIdentifiable</t>
  </si>
  <si>
    <t>Baseline scenario</t>
  </si>
  <si>
    <t>baselineScenario</t>
  </si>
  <si>
    <t>Additionality</t>
  </si>
  <si>
    <t>additionality</t>
  </si>
  <si>
    <t>Technology or measure</t>
  </si>
  <si>
    <t>technologyOrMeasure</t>
  </si>
  <si>
    <t>Methodology applicability conditions</t>
  </si>
  <si>
    <t>methodologyApplicabilityConditions</t>
  </si>
  <si>
    <t>1.12 Conditions Prior to Proje</t>
  </si>
  <si>
    <t>1.12 Conditions Prior to Project Initiation: VCS PD 1.13 - conditions existing prior to project initiation</t>
  </si>
  <si>
    <t>conditionsPrior</t>
  </si>
  <si>
    <t>1.13 Description of the Projec</t>
  </si>
  <si>
    <t>1.13 Description of the Project Activity: VCS PD 1.11 - technology, equipment, service levels and baseline service</t>
  </si>
  <si>
    <t>activityDescription</t>
  </si>
  <si>
    <t>1.14 Project Location (VCS PD</t>
  </si>
  <si>
    <t>1.14 Project Location: VCS PD 1.12 - location, boundaries and geodetic coordinates</t>
  </si>
  <si>
    <t>projectLocationDetail</t>
  </si>
  <si>
    <t>Location entries: One entry per project instance/site per the VCS PD 1.12 requirements</t>
  </si>
  <si>
    <t>1.15 Compliance with Laws and</t>
  </si>
  <si>
    <t>1.15 Compliance with Laws and Other Regulatory Frameworks: VCS PD 1.14 - applicable laws and demonstration of compliance</t>
  </si>
  <si>
    <t>complianceWithLaws</t>
  </si>
  <si>
    <t>Laws and other regulatory fram</t>
  </si>
  <si>
    <t>Laws and other regulatory frameworks</t>
  </si>
  <si>
    <t>lawsAndOtherRegulatoryFrameworks</t>
  </si>
  <si>
    <t>Name of law or regulatory framework</t>
  </si>
  <si>
    <t>nameOfLawOrRegulatoryFramework</t>
  </si>
  <si>
    <t>Explanation of compliance</t>
  </si>
  <si>
    <t>explanationOfCompliance</t>
  </si>
  <si>
    <t>1.16 Double Counting and Parti</t>
  </si>
  <si>
    <t>1.16 Double Counting and Participation with Other GHG Programs: VCS PD 1.15 - other program registrations/rejections and double-issuance controls</t>
  </si>
  <si>
    <t>otherGhgPrograms</t>
  </si>
  <si>
    <t>1.16.1 No Double Issuance: How double issuance is prevented across programs</t>
  </si>
  <si>
    <t>Project is not registered under any other GHG programme. Registry searches conducted at validation and each verification.</t>
  </si>
  <si>
    <t>1.16.3 Projects Rejected by Other GHG Programs: State whether the project has been rejected by any other GHG program and, if so, the reason and why it remains eligible under VCS.</t>
  </si>
  <si>
    <t>The project has not been rejected by any other GHG program.</t>
  </si>
  <si>
    <t>rejectedByOtherPrograms</t>
  </si>
  <si>
    <t>Registration with other GHG programs: Name of other GHG program</t>
  </si>
  <si>
    <t>Evidence that the project is considered inactive in the other GHG program</t>
  </si>
  <si>
    <t>Projects rejected by other GHG programs: Name of other GHG program</t>
  </si>
  <si>
    <t>nameOfOtherGHGProgram2</t>
  </si>
  <si>
    <t>Date of rejection</t>
  </si>
  <si>
    <t>dateOfRejection</t>
  </si>
  <si>
    <t>Projects rejected by other GHG programs: Reason for rejection</t>
  </si>
  <si>
    <t>reasonForRejection</t>
  </si>
  <si>
    <t>Projects rejected by other GHG programs: Any other relevant information</t>
  </si>
  <si>
    <t>anyOtherRelevantInformation</t>
  </si>
  <si>
    <t>1.17 Double Claiming Other For</t>
  </si>
  <si>
    <t>1.17 Double Claiming, Other Forms of Credit, and Scope 3 Emissions: VCS PD 1.16 - emissions trading, other environmental credit and Scope 3 controls</t>
  </si>
  <si>
    <t>otherFormsOfCredit</t>
  </si>
  <si>
    <t>1.17.1 No Double Claiming with Emissions Trading Programs or Binding Emission Limits: Yes/No, with demonstration that reductions are not used for compliance elsewhere</t>
  </si>
  <si>
    <t>The project is not within any emissions trading programme or binding emission limit.</t>
  </si>
  <si>
    <t>emissionsTradingProgram</t>
  </si>
  <si>
    <t>1.17.2 No Double Claiming with Other Forms of Environmental Credit: Whether other credits (e.g. renewable energy certificates) were sought or received, and all programs the project is eligible under</t>
  </si>
  <si>
    <t>No other environmental credits are sought or received.</t>
  </si>
  <si>
    <t>1.17.3 Supply Chain (Scope 3) Emissions: Public statements and notifications preventing double claiming</t>
  </si>
  <si>
    <t>Written statements obtained from all offtakers confirming no Scope 3 claims.</t>
  </si>
  <si>
    <t>1.18 Sustainable Development C</t>
  </si>
  <si>
    <t>1.18 Sustainable Development Contributions: VCS PD 1.17 - sustainable development contributions and link to host-country SD priorities</t>
  </si>
  <si>
    <t>sdContributions</t>
  </si>
  <si>
    <t>1.19 Additional Information (V</t>
  </si>
  <si>
    <t>1.19 Additional Information: VCS PD 1.18 - leakage management, commercially sensitive information, and further information</t>
  </si>
  <si>
    <t>additionalInfo</t>
  </si>
  <si>
    <t>1.19.1 Leakage Management: Description of how leakage is managed, if applicable beyond the standard leakage calculation</t>
  </si>
  <si>
    <t>Leakage from non-renewable biomass is addressed within the baseline through Adj_LE = 0.95, fixed at validation (VMR0015 Section 8.3) following the AMS-I.E leakage procedure required by AMS-III.AV Section 5.4.</t>
  </si>
  <si>
    <t>leakageManagement</t>
  </si>
  <si>
    <t>1.19.2 Sensitive Information: Identification of any commercially sensitive information withheld and justification</t>
  </si>
  <si>
    <t>None. No information excluded from the public version.</t>
  </si>
  <si>
    <t>commerciallySensitiveInfo</t>
  </si>
  <si>
    <t>1.19.3 Further Information: Any further information relevant to the project</t>
  </si>
  <si>
    <t>None.</t>
  </si>
  <si>
    <t>furtherInformation</t>
  </si>
  <si>
    <t>Sensitive Information Row (VCS</t>
  </si>
  <si>
    <t>Appendix 1: Sensitive Information: One row per item excluded from the public version (VCS PD Appendix 1)</t>
  </si>
  <si>
    <t>sensitiveInfoTable</t>
  </si>
  <si>
    <t>Section number: Section of this document the excluded information relates to</t>
  </si>
  <si>
    <t>Information to be excluded: Briefly describe the items this pertains to (e.g. trade secrets, internal policy decisions)</t>
  </si>
  <si>
    <t>No information is excluded from the public version.</t>
  </si>
  <si>
    <t>infoToExclude</t>
  </si>
  <si>
    <t>Description and explanation: Explain why excluded and how it meets ALL VCS criteria VCS PD Appendix 1: information CANNOT be excluded if related to: baseline scenario determination, demonstration of additionality, estimation/monitoring of reductions and removals (incl. opex/capex), calculation of non-permanence risk score, or reasons for rejection from another GHG program.</t>
  </si>
  <si>
    <t>All project information, including the device register summary, is made public; household names are held privately as personal data.</t>
  </si>
  <si>
    <t>descriptionExplanation</t>
  </si>
  <si>
    <t>2. Stakeholder Engagement and</t>
  </si>
  <si>
    <t>2. Stakeholder Engagement and Safeguards: VCS Project Description Section 2 - safeguards and stakeholder engagement: consultation, FPIC where land or resource rights are affected, benefit sharing, grievance mechanism, ESG risk assessment and no-net-harm statement.</t>
  </si>
  <si>
    <t>section2</t>
  </si>
  <si>
    <t>3. Application of Methodology</t>
  </si>
  <si>
    <t>3. Application of Methodology: VCS Project Description Section 3 - application of AMS-III.AV as revised by VMR0015: methodology and tool versions, applicability conditions addressed individually, project boundary, baseline scenario and additionality.</t>
  </si>
  <si>
    <t>section3</t>
  </si>
  <si>
    <t>3.1 Methodology Details (VCS P</t>
  </si>
  <si>
    <t>3.1 Methodology Details: Methodology title, version and tools applied (VCS PD 3.1).</t>
  </si>
  <si>
    <t>3.2 Applicability and Eligibil</t>
  </si>
  <si>
    <t>3.2 Applicability and Eligibility of Methodology: Methodology eligibility and applicability conditions (VCS PD 3.2).</t>
  </si>
  <si>
    <t>applicabilityEligibility</t>
  </si>
  <si>
    <t>3.3 Project Boundary (VCS PD 3</t>
  </si>
  <si>
    <t>3.3 Project Boundary: Physical boundary, GHG sources and de minimis exclusions (VCS PD 3.3).</t>
  </si>
  <si>
    <t>projectBoundary</t>
  </si>
  <si>
    <t>Boundary diagram reference: Reference/link to the boundary diagram document</t>
  </si>
  <si>
    <t>Annex 2, Figure 1 - Project boundary diagram</t>
  </si>
  <si>
    <t>boundaryDiagramRef</t>
  </si>
  <si>
    <t>GHG Source Row (VCS PD 3.3)</t>
  </si>
  <si>
    <t>GHG sources table: One row per source/gas with included/excluded justification per VCS PD 3.3</t>
  </si>
  <si>
    <t>ghgSourcesTable</t>
  </si>
  <si>
    <t>Scenario: Whether the source belongs to the baseline or the project scenario.</t>
  </si>
  <si>
    <t>Baseline</t>
  </si>
  <si>
    <t>scenario</t>
  </si>
  <si>
    <t>Gas: Greenhouse gas emitted by the source: CO2, CH4 or N2O.</t>
  </si>
  <si>
    <t>CO2, CH4, N2O</t>
  </si>
  <si>
    <t>gas</t>
  </si>
  <si>
    <t>Included?: Whether the source is included in the project boundary (Yes/No), with the reason in the justification column.</t>
  </si>
  <si>
    <t>included</t>
  </si>
  <si>
    <t>Justification / explanation: Why the source/gas is included or excluded</t>
  </si>
  <si>
    <t>Main baseline source per AMS-III.AV; CO2 counted only for the non-renewable fraction, CH4/N2O counted in full via EF_nonCO2 (VMR0015 Section 9.1).</t>
  </si>
  <si>
    <t>Carbon pool</t>
  </si>
  <si>
    <t>carbonPool</t>
  </si>
  <si>
    <t>Source/Sink</t>
  </si>
  <si>
    <t>sourceSink</t>
  </si>
  <si>
    <t>3.3.1 De Minimis GHG Sources a</t>
  </si>
  <si>
    <t>3.3.1 De Minimis GHG Sources and Carbon Pools: Sources excluded as de minimis (VCS PD 3.3.1).</t>
  </si>
  <si>
    <t>Are any GHG sources or pools excluded as de minimis?: Sources may be excluded only where their exclusion is shown to be de minimis under the VCS Standard.</t>
  </si>
  <si>
    <t>deMinimisExcluded</t>
  </si>
  <si>
    <t>De minimis justification: List each excluded source with the quantified justification, or state that none are excluded.</t>
  </si>
  <si>
    <t>None excluded. All sources required by AMS-III.AV (baseline biomass/fossil fuel combustion for water boiling; project fossil fuel and grid electricity use) are included.</t>
  </si>
  <si>
    <t>deMinimisStatement</t>
  </si>
  <si>
    <t>De minimis threshold</t>
  </si>
  <si>
    <t>deMinimisThreshold</t>
  </si>
  <si>
    <t>Threshold applicability</t>
  </si>
  <si>
    <t>thresholdApplicability</t>
  </si>
  <si>
    <t>De minimis comparison period r</t>
  </si>
  <si>
    <t>De minimis comparison period</t>
  </si>
  <si>
    <t>deMinimisComparisonPeriod</t>
  </si>
  <si>
    <t>Period type</t>
  </si>
  <si>
    <t>periodType</t>
  </si>
  <si>
    <t>Reductions and removals generated</t>
  </si>
  <si>
    <t>reductionsAndRemovalsGenerated</t>
  </si>
  <si>
    <t>De minimis quantification per</t>
  </si>
  <si>
    <t>De minimis quantification per GHG source or carbon pool</t>
  </si>
  <si>
    <t>deMinimisQuantificationPerGHGSourceOrCar</t>
  </si>
  <si>
    <t>GHG source/ carbon pool</t>
  </si>
  <si>
    <t>ghgSourceCarbonPool</t>
  </si>
  <si>
    <t>Quantification</t>
  </si>
  <si>
    <t>Result</t>
  </si>
  <si>
    <t>result</t>
  </si>
  <si>
    <t>3.4 Baseline Scenario (VCS PD</t>
  </si>
  <si>
    <t>3.4 Baseline Scenario: Baseline scenario identification and reassessment (VCS PD 3.4).</t>
  </si>
  <si>
    <t>Identified baseline scenario: Scenario prior to project, per Case 1/2/3 determination AMS-III.AV baseline determination step: the scenario existing prior to project (e.g. boiling with non-renewable biomass), per the Case 1/2/3 applicability determination (see 3.5 Additionality applicabilityCase).</t>
  </si>
  <si>
    <t>Continued boiling of drinking water over three-stone open fires using non-renewable woody biomass.</t>
  </si>
  <si>
    <t>Step-by-step justification: Why this is the most plausible baseline per methodology procedures</t>
  </si>
  <si>
    <t>Step 1: identify realistic alternatives - continued boiling, unsubsidised filter purchase, or no treatment. Step 2: barrier analysis - filters unaffordable at household income levels. Step 3: continued boiling is the only plausible baseline.</t>
  </si>
  <si>
    <t>scenarioJustification</t>
  </si>
  <si>
    <t>Step demonstration: Name/describe the baseline determination step and outcome VCS PD 3.4: name the step/sub-step from the methodology procedure, describe how it was applied including a demonstration, and describe the outcome. State the AMS-III.AV Case (1/2/3) result and JMP data basis (cross-ref 3.5 Additionality).</t>
  </si>
  <si>
    <t>AMS-III.AV baseline determination applied. JMP data shows 42% improved-source access in the district, placing the project in Case 2.</t>
  </si>
  <si>
    <t>stepDemonstration</t>
  </si>
  <si>
    <t>Key assumptions justification: VCS PD 3.4: justify key assumptions, rationale, and methodological choices made in the baseline determination step.</t>
  </si>
  <si>
    <t>Boiling efficiency of 0.15 is the survey-weighted average across three-stone fires. Wood share of 0.85 reflects survey findings. fNRB of 0.62 is the published national default for Tanzania.</t>
  </si>
  <si>
    <t>keyAssumptionsJustification</t>
  </si>
  <si>
    <t>3.4.1 Baseline Reassessment (V</t>
  </si>
  <si>
    <t>3.4.1 Baseline Reassessment: How the baseline will be reassessed at crediting period renewal (VCS PD 3.4.1).</t>
  </si>
  <si>
    <t>Steps taken to reassess validity of baseline scenario: Describe the steps that will be used to reassess the baseline's validity at crediting period renewal.</t>
  </si>
  <si>
    <t>At each crediting period renewal the baseline will be reassessed using current JMP data and a repeat household survey.</t>
  </si>
  <si>
    <t>reassessmentSteps</t>
  </si>
  <si>
    <t>National/sectoral policy change evaluation: Evaluate whether any national or sectoral policy change during the crediting period affects the validity of the baseline scenario</t>
  </si>
  <si>
    <t>No national or sectoral policy change during the period affects baseline validity.</t>
  </si>
  <si>
    <t>policyChangeEvaluation</t>
  </si>
  <si>
    <t>Validity of the baseline scenario: True if the baseline scenario remains valid at this assessment.</t>
  </si>
  <si>
    <t>baselineStillValid</t>
  </si>
  <si>
    <t>Baseline survey: interactive effects with improved cookstoves (VMR0015 8.1 and 9.3(1)): Result of the baseline survey question on interactive effects between safe drinking water devices and improved cookstoves, and how it is reflected in the baseline (e.g. through the weighted n_wb). Required by VMR0015 Sections 8.1 and 9.3(1).</t>
  </si>
  <si>
    <t>The baseline survey asked which device is used for each weekly drinking-water boil; 12% of boils use an improved cookstove, reflected proportionally in the survey-weighted n_wb of 0.15.</t>
  </si>
  <si>
    <t>baselineInteractiveEffects</t>
  </si>
  <si>
    <t>3.5 Additionality (VCS PD 3.5)</t>
  </si>
  <si>
    <t>3.5 Additionality: Regulatory surplus and additionality demonstration (VCS PD 3.5).</t>
  </si>
  <si>
    <t>3.5.1 Regulatory Surplus (VCS</t>
  </si>
  <si>
    <t>3.5.1 Regulatory Surplus: Regulatory surplus demonstration (VCS PD 3.5.1).</t>
  </si>
  <si>
    <t>regulatorySurplus</t>
  </si>
  <si>
    <t>3.5.2 Additionality Methods (V</t>
  </si>
  <si>
    <t>3.5.2 Additionality Methods: Additionality approach and demonstration (VCS PD 3.5.2).</t>
  </si>
  <si>
    <t>additionalityMethods</t>
  </si>
  <si>
    <t>3.5.2 Additionality Methods - demonstration using the selected tool: Demonstrate additionality by applying the tool chosen in "Additionality tool applied" at the top of this form (VT0008, CDM TOOL21 or CDM TOOL19), following each step of that tool.</t>
  </si>
  <si>
    <t>Capital cost per unit exceeds two months of median household income in the district and no financing mechanism exists. Carbon finance is the sole revenue source funding distribution, maintenance and testing.</t>
  </si>
  <si>
    <t>additionalityDemonstration</t>
  </si>
  <si>
    <t>Common practice analysis for point-of-use water treatment in the project region - penetration rate of similar purification appliances among the target population absent carbon finance.</t>
  </si>
  <si>
    <t>Certified point-of-use water filters are used by under 3% of households in the district.</t>
  </si>
  <si>
    <t>commonPracticeAnalysis</t>
  </si>
  <si>
    <t>Laws reviewed for regulatory s</t>
  </si>
  <si>
    <t>Laws reviewed for regulatory surplus</t>
  </si>
  <si>
    <t>lawsReviewedForRegulatorySurplus</t>
  </si>
  <si>
    <t>Explanation of how it applies to the project</t>
  </si>
  <si>
    <t>explanationOfHowItAppliesToTheProject</t>
  </si>
  <si>
    <t>Method applied</t>
  </si>
  <si>
    <t>methodApplied</t>
  </si>
  <si>
    <t>3.6 Methodology Deviations (VC</t>
  </si>
  <si>
    <t>3.6 Methodology Deviations: Methodology deviations applied, if any (VCS PD 3.6).</t>
  </si>
  <si>
    <t>Are any methodology deviations applied?: Deviations must not negatively affect the conservativeness of the quantification.</t>
  </si>
  <si>
    <t>methodologyDeviationsApplied</t>
  </si>
  <si>
    <t>4. Quantification of GHG Emiss</t>
  </si>
  <si>
    <t>4. Quantification of Estimated Reductions and Removals: VCS Project Description Section 4 - ex-ante quantification: baseline emissions, project emissions, leakage (LE_y = 0 per VMR0015 Sec8.3) and net emission reductions by year.</t>
  </si>
  <si>
    <t>section4</t>
  </si>
  <si>
    <t>4.1 Baseline Emissions (VCS PD</t>
  </si>
  <si>
    <t>4.1 Baseline Emissions: Baseline emissions equation (VCS PD 4.1).</t>
  </si>
  <si>
    <t>4.2 Project Emissions (VCS PD</t>
  </si>
  <si>
    <t>4.2 Project Emissions: Project emissions equation (VCS PD 4.2).</t>
  </si>
  <si>
    <t>4.3 Leakage Emissions (VCS PD</t>
  </si>
  <si>
    <t>4.3 Leakage Emissions: Leakage equation and assessment (VCS PD 4.3).</t>
  </si>
  <si>
    <t>Leakage assessment: Describe how Adj_LE was determined at validation following the AMS-I.E leakage procedure required by AMS-III.AV Sec5.4 (VMR0015 Sec8.3 fixes Adj_LE at validation and applies it within BE_y).</t>
  </si>
  <si>
    <t>Adj_LE = 0.95 was fixed at validation following the AMS-I.E leakage procedure (AMS-III.AV Section 5.4) and is applied within BE_y as VMR0015 Section 8.3 requires; no separate additive leakage term is calculated (LE_y = 0).</t>
  </si>
  <si>
    <t>LE_y = 0 (VMR0015 Sec8.3: non-renewable biomass leakage is folded into BE_y via Adj_LE, not added separately)</t>
  </si>
  <si>
    <t>leakageAssessment</t>
  </si>
  <si>
    <t>4.4 Other Relevant Quantificat</t>
  </si>
  <si>
    <t>4.4 Other Relevant Quantification: Non-permanence and long-term average (VCS PD 4.4).</t>
  </si>
  <si>
    <t>4.5 Estimated GHG Emission Red</t>
  </si>
  <si>
    <t>4.5 Estimated GHG Emission Reductions and Carbon Dioxide Removals: Estimated net reductions and yearly summary (VCS PD 4.5).</t>
  </si>
  <si>
    <t>estimatedReductions</t>
  </si>
  <si>
    <t>5. Monitoring: VCS Project Description Section 5 - monitoring: data and parameters available at validation, data and parameters monitored, and the monitoring plan including calibration, QA/QC and sampling.</t>
  </si>
  <si>
    <t>section5</t>
  </si>
  <si>
    <t>VMR0015 Appendix 2 - Monitorin</t>
  </si>
  <si>
    <t>Appendix 2: Data and Parameters: Appendix 2 - Monitoring Parameters</t>
  </si>
  <si>
    <t>VMR0015 A2.2.1 VMR0015  AMS-II</t>
  </si>
  <si>
    <t>VMR0015 A2.2 DataParameter Mon</t>
  </si>
  <si>
    <t>Value applied (estimate) (as reported)</t>
  </si>
  <si>
    <t>Value basis (17)</t>
  </si>
  <si>
    <t>Value applied (estimate) (numeric, read by the calculation)</t>
  </si>
  <si>
    <t>Purpose of data (17)</t>
  </si>
  <si>
    <t>VMR0015 A2.2.2 TOOL03 monitore</t>
  </si>
  <si>
    <t>TOOL03 COEF option: Option A (preferred if data are available): COEF = w_C x 44/12 (mass unit, Eq.2) or w_C x rho x 44/12 (volume unit, Eq.3). Option B: COEF = NCV x EF_CO2 (Eq.4). Empty = Option A when w_C &gt; 0, otherwise Option B. (4)</t>
  </si>
  <si>
    <t>FC_i,j,y is measured in: TOOL03 Eq.(2)/(3): select the unit basis of FC_i,j,y; the density rho_i,y is used only for volume units. (4)</t>
  </si>
  <si>
    <t>VMR0015 A2.2.3 VT0010  VT0011</t>
  </si>
  <si>
    <t>VMR0015 A2.2.4 fNRB monitored</t>
  </si>
  <si>
    <t>VMR0015 Methodology Records -</t>
  </si>
  <si>
    <t>Appendix 2 (continued): VMR0015 data and parameters by project section and fuel: per-section and per-fuel records (VMR0015 s9.3(2): reductions are calculated section by section); single values in the Appendix 2 tables above are checked against them</t>
  </si>
  <si>
    <t>VMR0015 Project Section - PD (</t>
  </si>
  <si>
    <t>Project sections</t>
  </si>
  <si>
    <t>Section name / description</t>
  </si>
  <si>
    <t>sectionName</t>
  </si>
  <si>
    <t>Technology (2)</t>
  </si>
  <si>
    <t>Technology</t>
  </si>
  <si>
    <t>Point-of-use (POU) household device</t>
  </si>
  <si>
    <t>technology</t>
  </si>
  <si>
    <t>Region / location</t>
  </si>
  <si>
    <t>region</t>
  </si>
  <si>
    <t>Device model(s) and technology standard route (AMS para 4(b))</t>
  </si>
  <si>
    <t>deviceModel</t>
  </si>
  <si>
    <t>Households served (estimate) (households)</t>
  </si>
  <si>
    <t>P_y - population served (estimate) (persons): Needed for the para 18 cap under every QPW option</t>
  </si>
  <si>
    <t>QPW determination option (AMS-III.AV paras 15-18) (2)</t>
  </si>
  <si>
    <t>QPW determination option (AMS-III.AV paras 15-18)</t>
  </si>
  <si>
    <t>Option 1: estimated annual purified drinking water (L/yr)</t>
  </si>
  <si>
    <t>qpwEstimate</t>
  </si>
  <si>
    <t>Option 2.1: q,i - capacity per functional unit (L/h)</t>
  </si>
  <si>
    <t>Option 2.1: t - usage time per functional unit (estimate) (h/yr)</t>
  </si>
  <si>
    <t>t_estimate</t>
  </si>
  <si>
    <t>Option 2.1: number of functional units (units)</t>
  </si>
  <si>
    <t>functionalUnits</t>
  </si>
  <si>
    <t>Option 2.2: QPW_pp - drinking water per person per day (L/person/day): Default 3, maximum 5.5 (AMS-III.AV table 2)</t>
  </si>
  <si>
    <t>m - fraction of functional appliances providing SDW (estimate) (fraction)</t>
  </si>
  <si>
    <t>m_estimate</t>
  </si>
  <si>
    <t>VMR0015 Baseline Fuel Row (fue</t>
  </si>
  <si>
    <t>Baseline fuels (fuel i x device k rows; sum of BL = 1)</t>
  </si>
  <si>
    <t>baselineFuels</t>
  </si>
  <si>
    <t>Fuel row ID: Unique key of this fuel x device row within the section (e.g. F1)</t>
  </si>
  <si>
    <t>F1</t>
  </si>
  <si>
    <t>fuelId</t>
  </si>
  <si>
    <t>Fuel category: Discriminator: NRB (woody biomass / charcoal) or fossil fuel. Fossil fuel forces f_NRB = 1. (3)</t>
  </si>
  <si>
    <t>Fuel category: Discriminator: NRB (woody biomass / charcoal) or fossil fuel. Fossil fuel forces f_NRB = 1.</t>
  </si>
  <si>
    <t>Non-renewable biomass (woody biomass or charcoal)</t>
  </si>
  <si>
    <t>fuelCategory</t>
  </si>
  <si>
    <t>Fuel type i (3)</t>
  </si>
  <si>
    <t>Fuel type i</t>
  </si>
  <si>
    <t>Baseline device type k: Device on which the fuel is used for boiling drinking water (3)</t>
  </si>
  <si>
    <t>Baseline device type k: Device on which the fuel is used for boiling drinking water</t>
  </si>
  <si>
    <t>Three-stone fire or conventional woody-biomass device without grate and chimney (table 4(b) default 0.10)</t>
  </si>
  <si>
    <t>baselineDeviceType</t>
  </si>
  <si>
    <t>BL_fuel,i - proportion of baseline fuel type i (fraction): Proportion of baseline fuel type i used in the absence of the project (AMS-III.AV second table 4). All rows of a section sum to 1.</t>
  </si>
  <si>
    <t>BL_fuel</t>
  </si>
  <si>
    <t>EF_b,k,CO2 - CO2 emission factor (t CO2/TJ): VMR0015 s9.1: wood 112; charcoal 112 (combustion only) or 165.22 (combustion + production); fossil fuels per IPCC (e.g. kerosene 71.9, LPG 63.1, coal 94.6).</t>
  </si>
  <si>
    <t>EF_CO2</t>
  </si>
  <si>
    <t>EF_b,k,nonCO2 - non-CO2 emission factor (t CO2e/TJ): VMR0015 s9.1: wood 9.46; charcoal 5.865 (combustion only) or 44.83 (incl. production); fossil from IPCC CH4/N2O x AR5 GWP.</t>
  </si>
  <si>
    <t>EF_nonCO2</t>
  </si>
  <si>
    <t>Emission factor source (VMR0015 s9.1 order of preference) (3)</t>
  </si>
  <si>
    <t>Emission factor source (VMR0015 s9.1 order of preference)</t>
  </si>
  <si>
    <t>1 - Project-specific (accredited laboratory / national or international fuel standard)</t>
  </si>
  <si>
    <t>EF_source</t>
  </si>
  <si>
    <t>f_NRB,i,y - fraction of non-renewable biomass (fraction): Value applied from the fNRB determination record referenced below.</t>
  </si>
  <si>
    <t>fNRB</t>
  </si>
  <si>
    <t>fNRB determination record ID: determinationId of the fNRB determination record that supplies this value</t>
  </si>
  <si>
    <t>fNRBDeterminationRef</t>
  </si>
  <si>
    <t>f_NRB for fossil fuel (fixed = 1) (fraction): For fossil fuels f_NRB = 1 (VMR0015 s9.2).</t>
  </si>
  <si>
    <t>fNRBFossil</t>
  </si>
  <si>
    <t>VMR0015 Survey Household Row</t>
  </si>
  <si>
    <t>Baseline household survey rows</t>
  </si>
  <si>
    <t>baselineSurvey</t>
  </si>
  <si>
    <t>Household ID</t>
  </si>
  <si>
    <t>householdId</t>
  </si>
  <si>
    <t>Persons in household (persons)</t>
  </si>
  <si>
    <t>persons</t>
  </si>
  <si>
    <t>Common practice is (or would be) boiling drinking water: Feeds X_boil (AMS-III.AV table 7)</t>
  </si>
  <si>
    <t>boilsDrinkingWater</t>
  </si>
  <si>
    <t>VMR0015 Survey Device Use Row</t>
  </si>
  <si>
    <t>Boiling devices used (n_h,d per device)</t>
  </si>
  <si>
    <t>deviceUse</t>
  </si>
  <si>
    <t>Device type d (4)</t>
  </si>
  <si>
    <t>Device type d</t>
  </si>
  <si>
    <t>deviceType</t>
  </si>
  <si>
    <t>n_h,d - drinking-water boils per week on device d (count/week)</t>
  </si>
  <si>
    <t>weeklyBoils</t>
  </si>
  <si>
    <t>eta_d - efficiency of device type d (fraction): AMS-III.AV table 4: (b) 0.10 three-stone/conventional woody without grate &amp; chimney, 0.2 other woody; (c) 0.5 fossil; (a) sampling/literature otherwise.</t>
  </si>
  <si>
    <t>eta_d source (4)</t>
  </si>
  <si>
    <t>eta_d source</t>
  </si>
  <si>
    <t>AMS-III.AV table 4 default</t>
  </si>
  <si>
    <t>eta_dSource</t>
  </si>
  <si>
    <t>Interactive-effects item (VMR0015 s9.3(1)): Use of improved thermal technology alongside the SDW device; results applied proportionally across households (3)</t>
  </si>
  <si>
    <t>Interactive-effects item (VMR0015 s9.3(1)): Use of improved thermal technology alongside the SDW device; results applied proportionally across households</t>
  </si>
  <si>
    <t>No improved thermal technology used for boiling</t>
  </si>
  <si>
    <t>interactiveEffects</t>
  </si>
  <si>
    <t>T_i measured at household (optional) (deg C)</t>
  </si>
  <si>
    <t>T_iMeasured</t>
  </si>
  <si>
    <t>Drinking water per person per day (if QPW option 2.2 survey) (L/person/day)</t>
  </si>
  <si>
    <t>litresPerPersonDay</t>
  </si>
  <si>
    <t>Option 2.2: days per year the consumers are present (for example school days): Optional. For institutions such as day schools, the days per year on which the consumers counted in P_y are physically present (CDM clarifications SSC_792 and SSC_795 on AMS-III.AV). Leave empty for households: 365 days are used. For a day school, also enter QPW_pp pro-rated to the hours present (SSC_795).</t>
  </si>
  <si>
    <t>presenceDaysPerYear</t>
  </si>
  <si>
    <t>fNRB determinations</t>
  </si>
  <si>
    <t>VMR0015 Leakage Adjustment Det</t>
  </si>
  <si>
    <t>Adj_LE determination</t>
  </si>
  <si>
    <t>leakageAdjustment</t>
  </si>
  <si>
    <t>Adj_LE route (2)</t>
  </si>
  <si>
    <t>Adj_LE route</t>
  </si>
  <si>
    <t>0.95 - AMS-I.E net-to-gross default</t>
  </si>
  <si>
    <t>Adj_LE (default) (fraction)</t>
  </si>
  <si>
    <t>adjLeDefault</t>
  </si>
  <si>
    <t>Adj_LE (survey-based) (fraction)</t>
  </si>
  <si>
    <t>adjLeSurvey</t>
  </si>
  <si>
    <t>Survey design and result (90/30)</t>
  </si>
  <si>
    <t>surveyDesign</t>
  </si>
  <si>
    <t>Fixed at validation</t>
  </si>
  <si>
    <t>fixedAtValidation</t>
  </si>
  <si>
    <t>VMR0015 Additionality</t>
  </si>
  <si>
    <t>Additionality tool (2)</t>
  </si>
  <si>
    <t>Additionality tool</t>
  </si>
  <si>
    <t>VT0008 (any scale)</t>
  </si>
  <si>
    <t>tool</t>
  </si>
  <si>
    <t>Investment analysis applied (2)</t>
  </si>
  <si>
    <t>Investment analysis applied</t>
  </si>
  <si>
    <t>Not applied</t>
  </si>
  <si>
    <t>investmentAnalysisApplied</t>
  </si>
  <si>
    <t>Project IRR (without carbon revenue) (%)</t>
  </si>
  <si>
    <t>projectIRRPct</t>
  </si>
  <si>
    <t>Project IRR (with carbon revenue) (%)</t>
  </si>
  <si>
    <t>projectIRRWithCreditsPct</t>
  </si>
  <si>
    <t>Benchmark IRR (%) applied in the VT0008 investment analysis (VT0008 A2.3). Entered by the project proponent for the VVB to review; the policy does not compute it.</t>
  </si>
  <si>
    <t>benchmarkIRRPct</t>
  </si>
  <si>
    <t>Cost of equity (%): Cost of equity r_e (%), VT0008 A2.3.1. Stored for VVB review.</t>
  </si>
  <si>
    <t>costOfEquityPct</t>
  </si>
  <si>
    <t>Cost of debt (%): Cost of debt r_d (%), VT0008 A2.3 eq.(1). Stored for VVB review.</t>
  </si>
  <si>
    <t>costOfDebtPct</t>
  </si>
  <si>
    <t>Equity share (%): Portion of equity for financing W_e (%); debt portion W_d = 100 - W_e. VT0008 A2.3 eq.(1): WACC = r_e x W_e + r_d x (1 - T_c) x W_d. Stored for VVB review; the policy does not compute the WACC or compare it with the IRR (additionality is assessed by the VVB under VMR0015 s7).</t>
  </si>
  <si>
    <t>equitySharePct</t>
  </si>
  <si>
    <t>Tax rate (%): Corporate tax rate T_c (%), VT0008 A2.3 eq.(1). Stored for VVB review.</t>
  </si>
  <si>
    <t>taxRatePct</t>
  </si>
  <si>
    <t>VT0008 Step 4: N_all - similar projects</t>
  </si>
  <si>
    <t>N_all</t>
  </si>
  <si>
    <t>VT0008 Step 4: N_diff - projects with essential distinction</t>
  </si>
  <si>
    <t>N_diff</t>
  </si>
  <si>
    <t>TOOL19 para 13(a) location (LDC / SIDS / SUZ) (2)</t>
  </si>
  <si>
    <t>TOOL19 para 13(a) location (LDC / SIDS / SUZ)</t>
  </si>
  <si>
    <t>LDC</t>
  </si>
  <si>
    <t>tool19LocationRoute</t>
  </si>
  <si>
    <t>Additionality demonstration (steps)</t>
  </si>
  <si>
    <t>narrative</t>
  </si>
  <si>
    <t>Number of years in the crediting period (ex-ante vintages)</t>
  </si>
  <si>
    <t>crediting_years</t>
  </si>
  <si>
    <t>VMR0015 s9.3(1) Interactive-effects survey results (baseline survey): Baseline survey results on interactive effects between safe drinking water devices and improved thermal energy technologies.</t>
  </si>
  <si>
    <t>MR 4.2.1 GHG Data Collection and Management System (VCS MR 4.2.1)</t>
  </si>
  <si>
    <t>VCS MR v5.0 Section 4.2.1 - how data were recorded, transferred, stored and archived this period.</t>
  </si>
  <si>
    <t>3.4.1 Baseline Reassessment (VCS PD 3.4.1)</t>
  </si>
  <si>
    <t>3.4.1 Baseline Reassessment (PD)</t>
  </si>
  <si>
    <t>1.16 Double Counting and Participation with Other GHG Programs (VCS PD 1.16)</t>
  </si>
  <si>
    <t>1.16 Double Counting and Participation with Other GHG Programs</t>
  </si>
  <si>
    <t>MR 2.5 Grievance Redress Mechanism (VCS MR 2.5)</t>
  </si>
  <si>
    <t>VCS MR v5.0 Section 2.5 - grievances received and resolved during this monitoring period.</t>
  </si>
  <si>
    <t>Estimated GHG Year Row (VCS PD 4.5.2)</t>
  </si>
  <si>
    <t>VCS PD 1.10 per-year ex-ante estimate row</t>
  </si>
  <si>
    <t>Year: Calendar year of the crediting period</t>
  </si>
  <si>
    <t>2025</t>
  </si>
  <si>
    <t>year</t>
  </si>
  <si>
    <t>Estimated ER / removals (tCO2e): Ex-ante estimated emission reductions for this year</t>
  </si>
  <si>
    <t>estimatedER</t>
  </si>
  <si>
    <t>4.4.1 Non-Permanence Risk Analysis (VCS PD 4.4.1)</t>
  </si>
  <si>
    <t>VCS PD v5.0 Section 4.4.1 - non-permanence risk analysis and buffer contribution for projects with reversal risk.</t>
  </si>
  <si>
    <t>MR 1.4 Project Proponent (VCS MR 1.4)</t>
  </si>
  <si>
    <t>VCS MR 1.3 - project proponent contact details as at this monitoring period</t>
  </si>
  <si>
    <t>2.5.3 Legal Compliance (VCS PD 2.5.3)</t>
  </si>
  <si>
    <t>2.5.3 Legal Compliance (ESG)</t>
  </si>
  <si>
    <t>4.5.2 Summary of Estimated Reductions and Removals (VCS PD 4.5.2)</t>
  </si>
  <si>
    <t>VCS PD v5.0 Section 4.5.2 - estimated reductions for each calendar year of the crediting period.</t>
  </si>
  <si>
    <t>Sensitive Information Row (VCS PD 1.19.2)</t>
  </si>
  <si>
    <t>One row of the VCS Appendix 1 sensitive-information table</t>
  </si>
  <si>
    <t>MR 5.4.4 De Minimis Quantification (VCS MR 5.4.4)</t>
  </si>
  <si>
    <t>VCS MR v5.0 Section 5.4.4 - quantification of sources excluded as de minimis.</t>
  </si>
  <si>
    <t>MR 1.12 Additional Information (VCS MR 1.12)</t>
  </si>
  <si>
    <t>VCS MR 1.12: whether sensitive information is excluded from the public report, and whether CCP or CORSIA labels are requested at issuance.</t>
  </si>
  <si>
    <t>MR 5.2 Project Emissions (VCS MR 5.2)</t>
  </si>
  <si>
    <t>VCS MR 5.2 - reproducible project emissions calculation for this monitoring period</t>
  </si>
  <si>
    <t>2.5.2 Management Experience (VCS PD 2.5.2)</t>
  </si>
  <si>
    <t>2.5.2 Management Experience</t>
  </si>
  <si>
    <t>4.4.2 Long-Term Average (VCS PD 4.4.2)</t>
  </si>
  <si>
    <t>VCS PD v5.0 Section 4.4.2 - long-term average carbon stock calculation for ARR and similar AFOLU activities.</t>
  </si>
  <si>
    <t>MR 2.6.1 Management Experience (VCS MR 2.6.1)</t>
  </si>
  <si>
    <t>VCS MR v5.0 Section 2.6.1 - changes to the management team during this monitoring period.</t>
  </si>
  <si>
    <t>2.5.1 Ecosystem Restoration (VCS PD 2.5.1)</t>
  </si>
  <si>
    <t>VCS PD v5.0 Section 2.5.1 - ecosystem restoration requirements.</t>
  </si>
  <si>
    <t>Data and Parameters Available at Validation (VCS PD 5.1)</t>
  </si>
  <si>
    <t>VCS PD v5.0 5.1: cross-reference to Appendix 2 only (TEMPLATE-MAP). The 16 legacy "Data / Parameter: X" tables were retired and removed; parameters live in appendix2 (app2_pd).</t>
  </si>
  <si>
    <t>4.3 Leakage Emissions (VCS PD 4.3)</t>
  </si>
  <si>
    <t>VCS PD 4.3 - leakage quantification per AMS-III.AV leakage provisions</t>
  </si>
  <si>
    <t>MR 2.2.2 Free, Prior, and Informed Consent (VCS MR 2.2.2)</t>
  </si>
  <si>
    <t>VCS MR v5.0 Section 2.2.2 - status of FPIC during this monitoring period.</t>
  </si>
  <si>
    <t>FPIC status this period: State whether FPIC applies and whether any consent was sought, given or withdrawn during the period.</t>
  </si>
  <si>
    <t>FPIC not triggered - no land or resource rights affected. Household written consent remains in force for all 3,000 units.</t>
  </si>
  <si>
    <t>fpicStatusThisPeriod</t>
  </si>
  <si>
    <t>MR 4.2 Monitoring Plan (VCS MR 4.2)</t>
  </si>
  <si>
    <t>VCS MR v5.0 Section 4.2 - application of the monitoring plan during this period.</t>
  </si>
  <si>
    <t>Full additionality demonstration per the applied methodology/standardized approach.</t>
  </si>
  <si>
    <t>3.2.2 Applicability of Methodology (VCS PD 3.2.2)</t>
  </si>
  <si>
    <t>VCS PD Template Section 3.2 - each AMS-III.AV/VMR0015 applicability condition demonstrated</t>
  </si>
  <si>
    <t>MR 5.5.3 Ex-Ante vs Ex-Post Comparison (VCS MR 5.5.3)</t>
  </si>
  <si>
    <t>Reconciliation of ex-ante estimated emission reductions/removals against the achieved amount for this monitoring period, as required by the MR template.</t>
  </si>
  <si>
    <t>Justification for Difference: Required. Explain any difference between the achieved emission reductions and the ex-ante estimate for this period (for example appliance functionality or metered water volume), or state that there is no material difference.</t>
  </si>
  <si>
    <t>Achieved reductions (1,556.95 tCO2e) are 6.6% below the ex-ante estimate for this period (1,666.62 tCO2e). Two monitored factors explain the difference: appliance functionality was 93% against the 95% assumed at validation, and metered purified water was 12.54 million litres against 13.14 million planned, mainly because zones 3-4 were commissioned six weeks after zones 1-2. All parameters fixed at validation (X_boil, n_wb, fNRB, emission factors, Adj_LE) were applied unchanged. The difference is conservative (below the estimate).</t>
  </si>
  <si>
    <t>VCS PD v5.0 Section 1: project summary, audit history, sectoral scope, eligibility, proponent, other entities, rights, start date, crediting period, scale, design, activity, location, legal compliance, double counting and claiming, sustainable development and additional information.</t>
  </si>
  <si>
    <t>4.2 Project Emissions (VCS PD 4.2)</t>
  </si>
  <si>
    <t>VCS PD 4.2 - project emissions equations, parameters and worked calculation</t>
  </si>
  <si>
    <t>MR 5.4.3 Long-Term Average (VCS MR 5.4.3)</t>
  </si>
  <si>
    <t>VCS MR v5.0 Section 5.4.3 - long-term average.</t>
  </si>
  <si>
    <t>VCS PD 3.3 project boundary table row - one per GHG source/gas</t>
  </si>
  <si>
    <t>2.4.2 Project Grievances (VCS PD 2.4.2)</t>
  </si>
  <si>
    <t>Grievance Log</t>
  </si>
  <si>
    <t>Grievance ID: Identifier for this grievance</t>
  </si>
  <si>
    <t>N/A - none received to date.</t>
  </si>
  <si>
    <t>grievanceId</t>
  </si>
  <si>
    <t>Date Received: Date the grievance was received</t>
  </si>
  <si>
    <t>dateReceived</t>
  </si>
  <si>
    <t>Submitted By: Stakeholder or group who submitted the grievance (may be anonymized)</t>
  </si>
  <si>
    <t>submittedBy</t>
  </si>
  <si>
    <t>Grievance Description: Description of the grievance raised</t>
  </si>
  <si>
    <t>No grievances received prior to validation.</t>
  </si>
  <si>
    <t>grievanceDescription</t>
  </si>
  <si>
    <t>Current Stage: One of: Amicable Resolution / Neutral Third-Party Mediation / Arbitration or Referral</t>
  </si>
  <si>
    <t>stage</t>
  </si>
  <si>
    <t>Date of Initial Response: Date the project responded to the grievance</t>
  </si>
  <si>
    <t>responseDate</t>
  </si>
  <si>
    <t>Resolution Actions Taken: Actions taken to resolve the grievance</t>
  </si>
  <si>
    <t>resolutionActions</t>
  </si>
  <si>
    <t>Date Resolved (if applicable): Date the grievance was resolved, if applicable</t>
  </si>
  <si>
    <t>resolutionDate</t>
  </si>
  <si>
    <t>Status: Open / In Progress / Resolved / Escalated</t>
  </si>
  <si>
    <t>No grievances received before validation</t>
  </si>
  <si>
    <t>Publicly Available?: Whether this grievance record is publicly available per VCS requirements</t>
  </si>
  <si>
    <t>publiclyAvailable</t>
  </si>
  <si>
    <t>Grievance Entry (VCS PD 2.4.2)</t>
  </si>
  <si>
    <t>Grievance entries: One row per grievance received per VCS 3.18</t>
  </si>
  <si>
    <t>grievanceEntries</t>
  </si>
  <si>
    <t>Grievance ID: Unique identifier of the grievance.</t>
  </si>
  <si>
    <t>Date received: Date the grievance was received</t>
  </si>
  <si>
    <t>Raised by: Stakeholder or group raising the grievance</t>
  </si>
  <si>
    <t>None received before validation</t>
  </si>
  <si>
    <t>Description: Nature of the grievance raised.</t>
  </si>
  <si>
    <t>No grievances were received before validation.</t>
  </si>
  <si>
    <t>Stage reached: Amicable resolution / third-party mediation / arbitration</t>
  </si>
  <si>
    <t>stageReached</t>
  </si>
  <si>
    <t>Resolution and date: How it was resolved and when</t>
  </si>
  <si>
    <t>None required</t>
  </si>
  <si>
    <t>resolution</t>
  </si>
  <si>
    <t>1.6 Other Entities Involved in the Project (VCS PD 1.6)</t>
  </si>
  <si>
    <t>VCS PD Template Section 1.6 - other participating entities beyond the Project Proponent. Repeatable per entity.</t>
  </si>
  <si>
    <t>MR 4.2.5 Procedures for Handling Non-Conformances (VCS MR 4.2.5)</t>
  </si>
  <si>
    <t>VCS MR v5.0 Section 4.2.5 - non-conformances found and corrected this period.</t>
  </si>
  <si>
    <t>1.17 Double Claiming, Other Forms of Credit, and Scope 3 Emissions (VCS PD 1.17)</t>
  </si>
  <si>
    <t>1.17 Double Claiming, Other Forms of Credit, and Scope 3 Emissions</t>
  </si>
  <si>
    <t>3.5.2 Additionality Methods (VCS PD 3.5.2)</t>
  </si>
  <si>
    <t>VCS PD v5.0 Section 3.5.2 - the additionality approach applied and the step-by-step demonstration.</t>
  </si>
  <si>
    <t>Project Location Entry (VCS PD 1.14 / MR 1.8)</t>
  </si>
  <si>
    <t>VCS PD 1.12 location table row - one per project instance/site</t>
  </si>
  <si>
    <t>MR 4.2.2 Procedures for Calibration (VCS MR 4.2.2)</t>
  </si>
  <si>
    <t>VCS MR v5.0 Section 4.2.2 - calibration performed on measurement equipment this period.</t>
  </si>
  <si>
    <t>2.1.1 Stakeholder Consultation and Ongoing Communication (VCS PD 2.1.1)</t>
  </si>
  <si>
    <t>VCS PD v5.0 Section 2.1.1 - how stakeholders were consulted before and during the project, and the mechanism for ongoing communication.</t>
  </si>
  <si>
    <t>2.1 Stakeholder Identification &amp; Consultation: Summary of local stakeholder identification and consultation process, incl. dates and methods</t>
  </si>
  <si>
    <t>Community meetings held in each of the four zones prior to distribution (January-February 2025), with quarterly follow-up. Local government, ward leaders, women's groups and health workers were consulted.</t>
  </si>
  <si>
    <t>Stakeholder / Group ID: Identifier for this stakeholder or stakeholder group entry</t>
  </si>
  <si>
    <t>SH-01</t>
  </si>
  <si>
    <t>stakeholderId</t>
  </si>
  <si>
    <t>Stakeholder / Group Name: Name of the individual, community, or organization</t>
  </si>
  <si>
    <t>Participating households (4 zones)</t>
  </si>
  <si>
    <t>stakeholderName</t>
  </si>
  <si>
    <t>Category: e.g. Indigenous Peoples, Local Communities, customary rights holders, women/girls, children, minorities, other affected party</t>
  </si>
  <si>
    <t>Directly affected beneficiaries</t>
  </si>
  <si>
    <t>stakeholderCategory</t>
  </si>
  <si>
    <t>Likely Impact of the Project: Description of how the project is likely to affect this stakeholder (positive or negative)</t>
  </si>
  <si>
    <t>High - positive</t>
  </si>
  <si>
    <t>impactLikelihood</t>
  </si>
  <si>
    <t>Tenure / Access / Resource Rights: Tenure, access rights, and rights to territories and resources held by this stakeholder, including collective and conflicting rights held by Indigenous Peoples, Local Communities, and customary rights holders</t>
  </si>
  <si>
    <t>No land or resource rights affected</t>
  </si>
  <si>
    <t>tenureRights</t>
  </si>
  <si>
    <t>Engagement Method(s): Consultation methods/procedures used with this stakeholder (meetings, surveys, notices, etc.), including cultural appropriateness</t>
  </si>
  <si>
    <t>Community meetings, household visits, quarterly follow-up</t>
  </si>
  <si>
    <t>engagementMethod</t>
  </si>
  <si>
    <t>Date(s) of Engagement: Date(s) engagement activities occurred</t>
  </si>
  <si>
    <t>January 2025 to February 2026</t>
  </si>
  <si>
    <t>engagementDate</t>
  </si>
  <si>
    <t>Input / Concerns Raised: Summary of input, concerns, or comments raised by this stakeholder</t>
  </si>
  <si>
    <t>Requests for faster filter replacement and clearer maintenance scheduling.</t>
  </si>
  <si>
    <t>inputReceived</t>
  </si>
  <si>
    <t>How Input Was Accounted For: How the project design or implementation accounted for the stakeholder's input</t>
  </si>
  <si>
    <t>Replacement turnaround shortened to 14 days; published maintenance calendar introduced per zone.</t>
  </si>
  <si>
    <t>howAccountedFor</t>
  </si>
  <si>
    <t>Ongoing Communication Mechanism: Mechanism for continued communication with this stakeholder throughout the project</t>
  </si>
  <si>
    <t>Quarterly zone meetings plus a permanent phone line staffed during working hours.</t>
  </si>
  <si>
    <t>ongoingMechanism</t>
  </si>
  <si>
    <t>Assessed Risk Level: Precise level of risk to this stakeholder (VCS v5.0 requires risk-commensurate mitigation design)</t>
  </si>
  <si>
    <t>riskLevel</t>
  </si>
  <si>
    <t>Mitigation Measures: Measures designed to mitigate identified risks to this stakeholder, commensurate with the assessed risk level</t>
  </si>
  <si>
    <t>Maintenance agreement, free replacement, published grievance channel.</t>
  </si>
  <si>
    <t>mitigationMeasures</t>
  </si>
  <si>
    <t>Notes: Any additional information about the engagement plan.</t>
  </si>
  <si>
    <t>planNotes</t>
  </si>
  <si>
    <t>3.1 Methodology Details (VCS PD 3.1)</t>
  </si>
  <si>
    <t>Title, reference, and version of the applied methodology and any tools used.</t>
  </si>
  <si>
    <t>MR 3.2 Implementation Status of the Project Activity (VCS MR 3.2)</t>
  </si>
  <si>
    <t>VCS MR v5.0 Section 3.2 - implementation status and loss events.</t>
  </si>
  <si>
    <t>MR 4.2.3 Monitoring Personnel (VCS MR 4.2.3)</t>
  </si>
  <si>
    <t>VCS MR v5.0 Section 4.2.3 - personnel responsible for monitoring this period.</t>
  </si>
  <si>
    <t>MR 1.3 Sectoral Scope and Project Classification (VCS MR 1.3)</t>
  </si>
  <si>
    <t>VCS MR 1.3: sectoral scope, project activity type and whether the project is grouped.</t>
  </si>
  <si>
    <t>1.14 Project Location (VCS PD 1.14)</t>
  </si>
  <si>
    <t>VCS PD 1.12 - project location, geographic boundaries and geodetic coordinates</t>
  </si>
  <si>
    <t>2.4.1 Design Process and Summary of the Grievance Redress Mechanism (VCS PD 2.4.1)</t>
  </si>
  <si>
    <t>VCS PD 2.4.1: how the grievance redress mechanism was designed and how it works - submission, timelines, review, IT systems and appeals.</t>
  </si>
  <si>
    <t>VCS grievance log row - one per grievance received</t>
  </si>
  <si>
    <t>2.1 Stakeholder Engagement and FPIC Processes (VCS PD 2.1)</t>
  </si>
  <si>
    <t>VCS PD v5.0 Section 2.1 - identification of stakeholders affected by the project, their consultation, and FPIC.</t>
  </si>
  <si>
    <t>1.7 Right to Operate and Right to Reductions and Removals (VCS PD 1.7)</t>
  </si>
  <si>
    <t>VCS PD Template Sections 1.7, 1.14-1.16</t>
  </si>
  <si>
    <t>2.5 Environmental, Social, and Governance Safeguards (VCS PD 2.5)</t>
  </si>
  <si>
    <t>VCS PD v5.0 Section 2.5 - environmental, social and governance risks, the no-net-harm statement, and supporting safeguards information.</t>
  </si>
  <si>
    <t>3.3 Project Boundary (VCS PD 3.3)</t>
  </si>
  <si>
    <t>VCS PD Template Section 3.3 - GHG sources and boundary</t>
  </si>
  <si>
    <t>Validation Report</t>
  </si>
  <si>
    <t>VCS Validation Report (template v5.0B) prepared by the VVB for a VMR0015 project description. The fields follow the tables of Verra's published v5.0B Validation Report template.</t>
  </si>
  <si>
    <t>Report ID: VVB's identification number of this validation report</t>
  </si>
  <si>
    <t>VAL-KSW-2026-001</t>
  </si>
  <si>
    <t>reportId</t>
  </si>
  <si>
    <t>Validation date: Date of the validation opinion (shown in the registry grids).</t>
  </si>
  <si>
    <t>validationDate</t>
  </si>
  <si>
    <t>Project ID: Project description validated (read-only, set from the project description).</t>
  </si>
  <si>
    <t>VCS Validation Report template version: Locked to v5.0B in this policy file (one file per VCS v5.0 template set). v5.0A: projects under VCS Standard v5.0 before 1 Jan 2027; v5.0B: from 1 Jan 2027. To be confirmed with Verra for requests submitted before 1 Jan 2027.</t>
  </si>
  <si>
    <t>Client name and contact</t>
  </si>
  <si>
    <t>Validation/verification body ID: Identifier of the VVB, e.g. its Verra VVB ID</t>
  </si>
  <si>
    <t>Validation/verification body name and contact</t>
  </si>
  <si>
    <t>Approved by</t>
  </si>
  <si>
    <t>Team lead</t>
  </si>
  <si>
    <t>Team member(s) and technical reviewer(s)</t>
  </si>
  <si>
    <t>A. Auditor; B. Reviewer</t>
  </si>
  <si>
    <t>Report file row (Validation)</t>
  </si>
  <si>
    <t>File name: e.g. VCS ValR_[Project ID]_[DDMMMYYYY]_v1</t>
  </si>
  <si>
    <t>VCS ValR_PD-KSW_01JAN2026_v1</t>
  </si>
  <si>
    <t>Final validation report submitted for registration to Verra</t>
  </si>
  <si>
    <t>Summary: Brief summary: purpose and scope of validation, method and criteria, number of CARs/CLs/FARs, conclusion.</t>
  </si>
  <si>
    <t>Validation of the project description; no open CARs.</t>
  </si>
  <si>
    <t>1. Introduction (VCS Validatio</t>
  </si>
  <si>
    <t>1.1 Objective: Objective of the validation</t>
  </si>
  <si>
    <t>Validate the project design against VCS Program rules and VMR0015.</t>
  </si>
  <si>
    <t>1.2 Scope and Criteria</t>
  </si>
  <si>
    <t>1.3 Reasonableness of Assumptions: Level of assurance and approach to assessing the reasonableness of assumptions</t>
  </si>
  <si>
    <t>Reasonable assurance; 5% materiality.</t>
  </si>
  <si>
    <t>reasonablenessOfAssumptions</t>
  </si>
  <si>
    <t>Distribution of household water treatment appliances.</t>
  </si>
  <si>
    <t>2. Validation Process (VCS Val</t>
  </si>
  <si>
    <t>2. Validation Process</t>
  </si>
  <si>
    <t>s2_validationProcess</t>
  </si>
  <si>
    <t>2.1 Method and Criteria (VC 2</t>
  </si>
  <si>
    <t>Risk-based validation.</t>
  </si>
  <si>
    <t>2.1.1 Validation Schedule: Validation Schedule</t>
  </si>
  <si>
    <t>2.2 Document Review (VCS Valid</t>
  </si>
  <si>
    <t>Interviews (Validation)</t>
  </si>
  <si>
    <t>Resolution of CARs CLs and  2</t>
  </si>
  <si>
    <t>3. Validation Findings (VCS Va</t>
  </si>
  <si>
    <t>3.1 Project Details (VCS Valid</t>
  </si>
  <si>
    <t>3.1 Project Details</t>
  </si>
  <si>
    <t>3.1.1 Summary Description of P</t>
  </si>
  <si>
    <t>3.1.1 Summary Description of Project</t>
  </si>
  <si>
    <t>3.1.2 Audit History</t>
  </si>
  <si>
    <t>3.1.3 Sectoral Scope and Proje</t>
  </si>
  <si>
    <t>3.1.3 Sectoral Scope and Project Classification</t>
  </si>
  <si>
    <t>3.1.4 Project Eligibility</t>
  </si>
  <si>
    <t>3.1.4.1 Deadlines for Particip</t>
  </si>
  <si>
    <t>3.1.4.1 Deadlines for Participation</t>
  </si>
  <si>
    <t>Did the project proponent request to list on the Verra Registry (as under development or under validation) within one year of the initial crediting period start date?</t>
  </si>
  <si>
    <t>question1</t>
  </si>
  <si>
    <t>Was the project listed as under validation on the Verra Registry before the date of the opening meeting with the VVB?</t>
  </si>
  <si>
    <t>question2</t>
  </si>
  <si>
    <t>Has the project proponent made or are they likely to make their initial registration request within the timelines set out in the VCS Standard?</t>
  </si>
  <si>
    <t>question3</t>
  </si>
  <si>
    <t>Assessment conclusion: Select the appropriate responses to the following questions. Explain responses where further details are relevant. State the VVB’s overall conclusion on whether the project conforms to the deadline requirements for participation in the VCS Program.</t>
  </si>
  <si>
    <t>Assessment process: Describe the process and steps taken to assess the project’s conformance to the participation deadline requirements, including the following: • An overall description of the VVB’s evidence-gathering activities • The reference numbers of any CARs, CLs, and FARs raised by the VVB • A list of any evidence gathered and assessed, using the table format below:</t>
  </si>
  <si>
    <t>3.1.4.2 AFOLU Project Eligibil</t>
  </si>
  <si>
    <t>3.1.4.2 AFOLU Project Eligibility</t>
  </si>
  <si>
    <t>afoluProjectEligibility</t>
  </si>
  <si>
    <t>Assessment conclusion: For AFOLU projects, state the VVB’s conclusion on whether the project is eligible to participate in the VCS Program. Include in the conclusion: • whether the project activities drain or degrade the hydrological functions of ecosystems. • for ACoGS, ALM, ARR, or WRC project activities that convert ecosystems in degraded landscapes, whether the ecosystem degradation occurred before the project start date. Where such degradation occurred within 10 years of the project start date, include whether the evidence demonstrates that the ecosystem was not degraded due to the project activity, or that the dominant land cover was an invasive species that was threatening ecosystem health. • for ARR or WRC projects that restore degraded ecosystems, whether the project activities restore a native ecosystem type represented in the same ecoregion as the project.</t>
  </si>
  <si>
    <t>Assessment process: Describe the process and steps taken to validate the project’s conformance to the AFOLU project eligibility requirements, including the following: • An overall description of the VVB’s evidence-gathering activities • The reference numbers of any CARs, CLs, and FARs raised by the VVB • A list of any evidence gathered and assessed, using the table format below:</t>
  </si>
  <si>
    <t>3.1.4.3 Eligibility of Project</t>
  </si>
  <si>
    <t>3.1.4.3 Eligibility of Projects Registered with Other GHG Programs</t>
  </si>
  <si>
    <t>eligibilityOfProjectsRegisteredWithOtherGhgPrograms</t>
  </si>
  <si>
    <t>Did the project proponent request registration with the other GHG program within the required number of years from the initial crediting period start date?</t>
  </si>
  <si>
    <t>Is the project proponent requesting registration with the VCS Program within 10 years of the initial crediting period start date?</t>
  </si>
  <si>
    <t>Is the project proponent requesting registration with the VCS Program within two years of the date of inactivity in the other GHG program?</t>
  </si>
  <si>
    <t>Was sufficient notification provided to the other GHG program of the intent to register the project with the VCS Program?</t>
  </si>
  <si>
    <t>question4</t>
  </si>
  <si>
    <t>Assessment conclusion: Select the appropriate responses to the following questions. Explain responses where further details are relevant. State the VVB’s overall conclusion on the project’s eligibility to participate in the VCS Program where it has been previously registered with another GHG program.</t>
  </si>
  <si>
    <t>Assessment process: Describe the process and steps taken to validate the project’s conformance to the eligibility requirements for projects previously registered with other GHG programs, including the following: • An overall description of the VVB’s evidence-gathering activities • The reference numbers of any CARs, CLs, and FARs raised by the VVB • A list of any evidence gathered and assessed, using the table format below:</t>
  </si>
  <si>
    <t>3.1.4.4 Capacity Limit Eligibi</t>
  </si>
  <si>
    <t>3.1.4.4 Capacity Limit Eligibility</t>
  </si>
  <si>
    <t>Assessment conclusion: State the VVB’s conclusion on whether the project is considered a fragment of another project. Include in the conclusion whether the project’s responses and justification of each selection are appropriate.</t>
  </si>
  <si>
    <t>Assessment process: Describe the process and steps taken to validate the project’s conformance to the capacity limit requirements, including the following: • An overall description of the VVB’s evidence-gathering activities • The reference numbers of any CARs, CLs, and FARs raised by the VVB • A list of any evidence gathered and assessed, using the table format below:</t>
  </si>
  <si>
    <t>3.1.6 Project Start Date and I</t>
  </si>
  <si>
    <t>3.1.6 Project Start Date and Initial Crediting Period Start Date</t>
  </si>
  <si>
    <t>projectStartDate</t>
  </si>
  <si>
    <t>3.1.7 Project Crediting Period</t>
  </si>
  <si>
    <t>projectCreditingPeriod</t>
  </si>
  <si>
    <t>3.1.8 Project Scale</t>
  </si>
  <si>
    <t>3.1.9 Project Design</t>
  </si>
  <si>
    <t>3.1.10 Conditions Prior to Pro</t>
  </si>
  <si>
    <t>3.1.10 Conditions Prior to Project Initiation</t>
  </si>
  <si>
    <t>conditionsPriorToProjectInitiation</t>
  </si>
  <si>
    <t>3.1.11 Description of the Proj</t>
  </si>
  <si>
    <t>3.1.11 Description of the Project Activity</t>
  </si>
  <si>
    <t>descriptionOfProjectActivity</t>
  </si>
  <si>
    <t>3.1.12 Project Location</t>
  </si>
  <si>
    <t>3.1.13 Compliance with Laws an</t>
  </si>
  <si>
    <t>3.1.13 Compliance with Laws and Other Regulatory Frameworks</t>
  </si>
  <si>
    <t>3.1.14 Double Counting and Par</t>
  </si>
  <si>
    <t>3.1.14 Double Counting and Participation with other GHG Programs</t>
  </si>
  <si>
    <t>3.1.14.1 No Double Issuance (V</t>
  </si>
  <si>
    <t>3.1.14.1 No Double Issuance</t>
  </si>
  <si>
    <t>Assessment conclusion: State the VVB’s conclusion on the project’s conformance to VCS Program rules on double issuance. Include in the conclusion: • whether the project is receiving or seeking credit for reductions and removals from a project activity under another GHG program. • whether any information provided (e.g., name and contact information of program administrator, details of participation, reductions and removals claimed under the other program, and evidence of no double counting) is accurate and complete.</t>
  </si>
  <si>
    <t>Assessment process: Describe the process and steps taken to validate the project’s conformance to VCS Program rules on no double issuance, including the following: • An overall description of the VVB’s evidence-gathering activities • The reference numbers of any CARs, CLs, and FARs raised by the VVB • A list of any evidence gathered and assessed, using the table format below:</t>
  </si>
  <si>
    <t>3.1.14.2 Registration with Oth</t>
  </si>
  <si>
    <t>3.1.14.2 Registration with Other GHG programs</t>
  </si>
  <si>
    <t>registrationWithOtherGhgPrograms</t>
  </si>
  <si>
    <t>Assessment conclusion: State the VVB’s conclusion on the project’s conformance to VCS Program rules on registration with other GHG programs. Include in the conclusion: • whether any information provided (e.g., name of the other GHG program, project ID) is accurate and complete. • whether the date of project inactivity is accurate and whether the project is considered inactive in the other GHG program.</t>
  </si>
  <si>
    <t>Assessment process: Describe the process and steps taken to validate the project’s conformance to the VCS Program rules on registration with other GHG programs, including the following: • An overall description of the VVB’s evidence-gathering activities • The reference numbers of any CARs, CLs, and FARs raised by the VVB • A list of any evidence gathered and assessed, using the table format below:</t>
  </si>
  <si>
    <t>3.1.14.3 Projects Rejected by</t>
  </si>
  <si>
    <t>3.1.14.3 Projects Rejected by Other GHG Programs</t>
  </si>
  <si>
    <t>projectsRejectedByOtherGhgPrograms</t>
  </si>
  <si>
    <t>Assessment conclusion: State the VVB’s conclusion on whether the project has been rejected by any other GHG programs. Include in the conclusion whether any information provided (e.g., name of the other GHG program, date of rejection, and reason for rejection) is accurate and complete.</t>
  </si>
  <si>
    <t>Assessment process: Describe the process and steps taken to validate whether the project has been rejected by any other GHG programs, including the following: • An overall description of the VVB’s evidence-gathering activities • The reference numbers of any CARs, CLs, and FARs raised by the VVB • A list of any evidence gathered and assessed, using the table format below:</t>
  </si>
  <si>
    <t>3.1.15 Double Claiming Other F</t>
  </si>
  <si>
    <t>3.1.15 Double Claiming, Other Forms of Credit, and Scope 3 Emissions</t>
  </si>
  <si>
    <t>3.1.15.1 No Double Claiming wi</t>
  </si>
  <si>
    <t>3.1.15.1 No Double Claiming with Emissions Trading Programs or Binding Emission Limits</t>
  </si>
  <si>
    <t>noDoubleClaimingWithEmissionsTradingProgramsOrBindingEmissionLimits</t>
  </si>
  <si>
    <t>Assessment conclusion: State the VVB’s conclusion on whether the project is included in an emissions trading program or binding emission limit. Include in the conclusion whether any information provided (e.g., name and contact information of administrator, details of participation, project activities included, reductions and removals included, vintage periods, and evidence of no double counting) is accurate and complete.</t>
  </si>
  <si>
    <t>Assessment process: Describe the process and steps taken to validate whether the project is included in an emissions trading program or binding emission limit, including the following: • An overall description of the VVB’s evidence-gathering activities • The reference numbers of any CARs, CLs, and FARs raised by the VVB • A list of any evidence gathered and assessed, using the table format below:</t>
  </si>
  <si>
    <t>3.1.15.2 No Double Claiming wi</t>
  </si>
  <si>
    <t>3.1.15.2 No Double Claiming with Other Forms of Environmental Credit</t>
  </si>
  <si>
    <t>noDoubleClaimingWithOtherFormsOfEnvironmentalCredit</t>
  </si>
  <si>
    <t>Assessment conclusion: State the VVB’s conclusion on whether the project has received or is planning to receive credit with another GHG-related environmental credit system. Include in the conclusion whether any information provided (e.g., name and contact information of administrator, details of participation, project activities included, and evidence of no double counting) is accurate and complete.</t>
  </si>
  <si>
    <t>Assessment process: Describe the process and steps taken to validate whether the project has received or is planning to receive credit with another GHG-related environmental credit system, including the following: • An overall description of the VVB’s evidence-gathering activities • The reference numbers of any CARs, CLs, and FARs raised by the VVB • A list of any evidence gathered and assessed, using the table format below:</t>
  </si>
  <si>
    <t>3.1.15.3 Supply Chain (Scope 3</t>
  </si>
  <si>
    <t>3.1.15.3 Supply Chain (Scope 3) Emissions</t>
  </si>
  <si>
    <t>Assessment conclusion: State the VVB’s conclusion on the project’s conformance to the VCS Program rules related to supply chain (Scope 3) emissions. Include in the conclusion: • whether the project activities affect the emissions footprint of any products that are part of a supply chain. • whether the project proponent(s) or authorized representative are a buyer or seller of a product whose emissions footprint is changed by the project activities, and if so, whether the project proponent(s) or authorized representative have posted a public statement on their website.</t>
  </si>
  <si>
    <t>Assessment process: Describe the process and steps taken to validate the project’s conformance to the VCS Program rules related to supply chain (Scope 3) emissions, including the following: • An overall description of the VVB’s evidence-gathering activities • The reference numbers of any CARs, CLs, and FARs raised by the VVB • A list of any evidence gathered and assessed, using the table format below:</t>
  </si>
  <si>
    <t>3.1.16 Sustainable Development</t>
  </si>
  <si>
    <t>3.1.16 Sustainable Development Contributions</t>
  </si>
  <si>
    <t>3.1.17 Additional Information</t>
  </si>
  <si>
    <t>3.1.17.1 Leakage Management (V</t>
  </si>
  <si>
    <t>3.1.17.1 Leakage Management</t>
  </si>
  <si>
    <t>Assessment conclusion: Describe the VVB’s assessment process and state the VVB’s conclusion on whether the leakage management plan or implementation of leakage and risk mitigation measures are appropriate.</t>
  </si>
  <si>
    <t>3.1.17.2 Sensitive Information</t>
  </si>
  <si>
    <t>Assessment conclusion: Describe the VVB’s assessment process and state the VVB’s conclusion on whether all commercially sensitive and program sensitive information the project proponent has indicated should be excluded from the public versions of project documents is in conformance to the VCS Program rules on what may be designated as commercially sensitive or program sensitive information. Provide further details in Appendix 1: Sensitive Information.</t>
  </si>
  <si>
    <t>3.1.17.3 Further Information (</t>
  </si>
  <si>
    <t>3.1.17.3 Further Information</t>
  </si>
  <si>
    <t>Assessment conclusion: Describe the VVB’s assessment process and state the VVB’s conclusion on any additional relevant information provided in the corresponding section of the project description that may have a bearing on the eligibility of the project, the reductions or removals, or quantification of the project’s reductions or removals.</t>
  </si>
  <si>
    <t>Leakage Management (VCS Valida</t>
  </si>
  <si>
    <t>Leakage Management</t>
  </si>
  <si>
    <t>Sensitive Information (VCS Val</t>
  </si>
  <si>
    <t>Further Information (VCS Valid</t>
  </si>
  <si>
    <t>Further Information</t>
  </si>
  <si>
    <t>Deadlines for Participation (V</t>
  </si>
  <si>
    <t>Deadlines for Participation</t>
  </si>
  <si>
    <t>Eligibility of Projects Regist</t>
  </si>
  <si>
    <t>Eligibility of Projects Registered with Other GHG Programs</t>
  </si>
  <si>
    <t>eligibilityOfProjectsRegisteredWithOther</t>
  </si>
  <si>
    <t>Capacity Limit Eligibility (VC</t>
  </si>
  <si>
    <t>Capacity Limit Eligibility</t>
  </si>
  <si>
    <t>Right to Operate and Right to</t>
  </si>
  <si>
    <t>Land or Resource Rights Analys</t>
  </si>
  <si>
    <t>No Double Issuance (VCS Valida</t>
  </si>
  <si>
    <t>Registration with Other GHG 2</t>
  </si>
  <si>
    <t>No Double Claiming with Emi 2</t>
  </si>
  <si>
    <t>Supply Chain (Scope 3) Emissio</t>
  </si>
  <si>
    <t>3.3 Application of Methodology</t>
  </si>
  <si>
    <t>applicationOfMethodology</t>
  </si>
  <si>
    <t>3.3.1 Methodology Details</t>
  </si>
  <si>
    <t>3.3.2 Applicability and Eligib</t>
  </si>
  <si>
    <t>3.3.2 Applicability and Eligibility of Methodology</t>
  </si>
  <si>
    <t>applicabilityAndEligibility</t>
  </si>
  <si>
    <t>3.3.2.1 Eligibility of Methodo</t>
  </si>
  <si>
    <t>3.3.2.1 Eligibility of Methodology</t>
  </si>
  <si>
    <t>eligibilityOfMethodology</t>
  </si>
  <si>
    <t>Assessment conclusion: State the VVB’s conclusion on the eligibility of the applied methodology. Include in the conclusion: • whether all applied methodologies are listed on the Verra website. • whether all applied methodologies, modules, and tools will be active under the VCS Program at the date of the project request submission. • whether the project meets the default geographic eligibility conditions set out in Table 1 of the VCS Standard, if no geographic eligibility conditions are set out in the applied methodologies. • where the project is applying a methodology with a capacity limit, whether the project exceeds the capacity limit.</t>
  </si>
  <si>
    <t>3.3.2.2 Applicability of Metho</t>
  </si>
  <si>
    <t>3.3.2.2 Applicability of Methodology</t>
  </si>
  <si>
    <t>3.3.2.2 Applicability conditio</t>
  </si>
  <si>
    <t>Applicability conditions: Fill out the table for each applicability condition of the applied methodology(ies). Add rows as needed.</t>
  </si>
  <si>
    <t>Methodology ID: Methodology, module or tool the condition belongs to (template example: VM0007).</t>
  </si>
  <si>
    <t>AMS-III.AV</t>
  </si>
  <si>
    <t>methodologyId</t>
  </si>
  <si>
    <t>Applicability condition of the methodology, module, or tool.</t>
  </si>
  <si>
    <t>Assessment process: Describe the steps taken to assess conformance of the project to the applicability condition, including an overall description of the VVB's evidence-gathering activities, the reference numbers of any CARs, CLs, and FARs raised by the VVB, and a list of any evidence gathered and assessed.</t>
  </si>
  <si>
    <t>Assessment conclusion: State the VVB's conclusion on conformance of the project to the applicability condition.</t>
  </si>
  <si>
    <t>3.3.3 Project Boundary</t>
  </si>
  <si>
    <t>3.3.3.1 De Minimis GHG Sources</t>
  </si>
  <si>
    <t>3.3.3.1 De Minimis GHG Sources and Carbon Pools</t>
  </si>
  <si>
    <t>deMinimisGhgSourcesAndCarbonPools</t>
  </si>
  <si>
    <t>Assessment conclusion: State the VVB’s conclusion on the project’s conformance to de minimis requirements. Include in the conclusion: • whether the GHG sources and carbon pools or sinks deemed de minimis and excluded from the project boundary are appropriate to the project and in accordance with the applied methodology. • whether quantification of the ex-ante increases in GHG emissions or decreases in carbon stocks for each GHG source and carbon pool or sink is complete, accurate, and in accordance with the applied methodology, and an assessment of the outcome of the quantification for each GHG source and carbon pool or sink. • whether the cumulative sum of relative contributions from the GHG sources and carbon pools or sinks is lower than the applicable de minimis threshold(s) across the specified period.</t>
  </si>
  <si>
    <t>Assessment process: Describe the process and steps taken to validate the project’s conformance to the de minimis requirements, including the following: • An overall description of the VVB’s evidence-gathering activities • The reference numbers of any CARs, CLs, and FARs raised by the VVB • A list of any evidence gathered and assessed, using the table format below:</t>
  </si>
  <si>
    <t>3.3.4 Baseline Scenario</t>
  </si>
  <si>
    <t>3.3.4.1 Baseline Reassessment</t>
  </si>
  <si>
    <t>Assessment conclusion: For projects undergoing crediting period renewal, provide an overall conclusion on the project’s baseline assessment. Include in the conclusion: • whether the project is applying the most recent applicable version of the VCS Program rules. • whether the project is using active versions of applied methodologies, modules, and tools. • whether the project has an updated demonstration of regulatory surplus. • whether the steps taken to reassess the validity of the original baseline scenario were appropriate, including whether the project: ◦ included an assessment of the impact of new relevant national and/or sectoral policies on the validity of the baseline scenario. ◦ followed all project-specific requirements in the VCS Standard (e.g., for WRC projects) and applied methodology(ies). • whether the project’s conclusion on the validity of the original baseline assessment is accurate (including the quality and completeness of evidence, data, and assumptions provided).</t>
  </si>
  <si>
    <t>Assessment process: For projects undergoing crediting period renewal, describe the process and steps taken to validate the project’s baseline reassessment, including the following: • An overall description of the VVB’s evidence-gathering activities • The reference numbers of any CARs, CLs, and FARs raised by the VVB • A list of any evidence gathered and assessed, using the table format below:</t>
  </si>
  <si>
    <t>3.3.5 Additionality</t>
  </si>
  <si>
    <t>3.3.5.1 Regulatory Surplus (VC</t>
  </si>
  <si>
    <t>3.3.5.1 Regulatory Surplus</t>
  </si>
  <si>
    <t>Assessment conclusion: State the VVB’s overall conclusion on the project’s demonstration of regulatory surplus. Include in the conclusion: • whether all laws or regulatory frameworks reviewed by the project proponent for the demonstration of regulatory surplus are appropriate and whether their assessment is correct. • where the project is not located in a high-income country, whether any laws or regulatory frameworks are not systematically enforced and whether the evidence to support systematic non-enforcement is valid. • where the project proponent excludes from the demonstration of regulatory surplus any laws or regulatory frameworks that allow or incorporate the use of carbon credits, that the exclusion is justified.</t>
  </si>
  <si>
    <t>Assessment process: Describe the process and steps taken to validate the project’s conformance to the regulatory surplus requirements, including the following: • An overall description of the VVB’s evidence-gathering activities • The reference numbers of any CARs, CLs, and FARs raised by the VVB • A list of any evidence gathered and assessed, using the table format below:</t>
  </si>
  <si>
    <t>3.3.5.2 Additionality Methods</t>
  </si>
  <si>
    <t>Assessment conclusion: State the VVB’s overall conclusion on the project’s demonstration of additionality. Include in the conclusion: • whether the selected method to demonstrate additionality is appropriate. • whether the project proponent adhered to all procedures and requirements in the applied methodology, tool, or procedure correctly and precisely. • the appropriateness and accuracy/conservativeness of all relevant data, parameters, references, and sources used for assessing additionality. For project methods, include at least information with respect to the following: • For benchmark analysis, the suitability of the benchmark used and that the project activity would not meet the required financial benchmark without carbon credit revenues • Where the project proponent demonstrates that carbon credit revenues decisively increase economic performance of the mitigation activity and raise the financial indicator to or above the required financial benchmark, an assessment of the suitability of the carbon credit price • For investment comparison analysis, that the project activity would not be the most economically attractive scenario in the absence of carbon credit revenues • For barrier analysis, the credibility of each barrier • The appropriateness of the geographical region used in the common practice analysis • Information regarding similar projects identified in the common practice analysis, including essential distinctions between similar projects and the proposed project For standardized methods, include at least information with respect to the following: • For performance methods, the appropriateness of the performance benchmark selected and the ability of the project to achieve the level of the benchmark • Adherence to all other criteria and procedures set out in the standardized method Provide details (including sources of information) of steps taken to cross-check data used in the additionality demonstration.</t>
  </si>
  <si>
    <t>Assessment process: Describe the process and steps taken to validate the project’s demonstration of additionality, including the following: • An overall description of the VVB’s evidence-gathering activities • The reference numbers of any CARs, CLs, and FARs raised by the VVB • A list of any evidence gathered and assessed, using the table format below:</t>
  </si>
  <si>
    <t>3.3.6 Methodology Deviations</t>
  </si>
  <si>
    <t>3.3 Methodology details row (V</t>
  </si>
  <si>
    <t>methodologyDetails2</t>
  </si>
  <si>
    <t>Assessment and conclusion</t>
  </si>
  <si>
    <t>3.3 Applicability of methodolo</t>
  </si>
  <si>
    <t>Methodology ID</t>
  </si>
  <si>
    <t>methodologyID</t>
  </si>
  <si>
    <t>Project boundary carbon pools</t>
  </si>
  <si>
    <t>Project boundary: carbon pools (AFOLU)</t>
  </si>
  <si>
    <t>projectBoundaryCarbonPoolsAFOLU</t>
  </si>
  <si>
    <t>Included?</t>
  </si>
  <si>
    <t>Project boundary GHG sources a</t>
  </si>
  <si>
    <t>Project boundary: GHG sources and sinks</t>
  </si>
  <si>
    <t>projectBoundaryGHGSourcesAndSinks</t>
  </si>
  <si>
    <t>Gas</t>
  </si>
  <si>
    <t>De Minimis GHG Sources and Car</t>
  </si>
  <si>
    <t>De Minimis GHG Sources and Carbon Pools</t>
  </si>
  <si>
    <t>deMinimisGHGSourcesAndCarbonPools</t>
  </si>
  <si>
    <t>Baseline Reassessment (VCS Val</t>
  </si>
  <si>
    <t>Regulatory Surplus (VCS Valida</t>
  </si>
  <si>
    <t>Regulatory Surplus</t>
  </si>
  <si>
    <t>Additionality Methods (VCS Val</t>
  </si>
  <si>
    <t>Additionality Methods</t>
  </si>
  <si>
    <t>3.4 Quantification of Estimate</t>
  </si>
  <si>
    <t>3.4 Quantification of Estimated Reductions and Removals</t>
  </si>
  <si>
    <t>3.4.1 Quantification of Baseli</t>
  </si>
  <si>
    <t>3.4.1 Quantification of Baseline Emissions, Project Emissions, and Leakage Emissions</t>
  </si>
  <si>
    <t>quantificationBaselineProjectLeakage</t>
  </si>
  <si>
    <t>3.4.2 Other Relevant Quantific</t>
  </si>
  <si>
    <t>3.4.2 Other Relevant Quantification</t>
  </si>
  <si>
    <t>3.4.2.1 Non-Permanence Risk An</t>
  </si>
  <si>
    <t>3.4.2.1 Non-Permanence Risk Analysis</t>
  </si>
  <si>
    <t>Has the project been approved to participate in Verra’s durability pilot?</t>
  </si>
  <si>
    <t>Assessment conclusion: For projects that are required to assess non-permanence risk, describe the steps taken to assess the non-permanence risk rating. For each risk rating, state the VVB’s conclusion on the following information: • The rationale, assumptions and justifications used to support the risk score • The quality of documentation and data provided to support the risk score • The appropriateness of the risk score Include a conclusion regarding the determined value of the overall risk rating. Select the appropriate response to the following: If yes, state the VVB’s conclusion on the validity of the evidence provided for the alternative approach.</t>
  </si>
  <si>
    <t>3.4.2.2 Buffer Pool Allocation</t>
  </si>
  <si>
    <t>3.4.2.2 Buffer Pool Allocation Calculation</t>
  </si>
  <si>
    <t>bufferPoolAllocationCalculation</t>
  </si>
  <si>
    <t>Assessment conclusion: State the VVB’s conclusion on the project’s estimated buffer pool allocation. Describe the steps taken to assess the project’s estimated buffer pool allocation for the project crediting period, including how the allocation was determined separately for reductions and removals, if applicable.</t>
  </si>
  <si>
    <t>3.4.2.3 Long-Term Average (VCS</t>
  </si>
  <si>
    <t>3.4.2.3 Long-Term Average</t>
  </si>
  <si>
    <t>Assessment conclusion: For ARR and IFM projects with harvesting, state the VVB’s conclusion on the long-term average conformance. Include in the conclusion: • whether the long-term average has been updated based on monitored data, where applicable. • whether the long-term average has been reached. Describe the steps taken to assess the project’s conformance to the VCS Program rules related to the long-term average.</t>
  </si>
  <si>
    <t>3.5 Monitoring (VCS Validation</t>
  </si>
  <si>
    <t>3.5 Monitoring</t>
  </si>
  <si>
    <t>Data and parameter row (Valida</t>
  </si>
  <si>
    <t>3.5.1 Data and Parameters Used</t>
  </si>
  <si>
    <t>Data/Parameter</t>
  </si>
  <si>
    <t>3.5.2 Monitoring Plan</t>
  </si>
  <si>
    <t>3.1.5 Right to Operate and Rig</t>
  </si>
  <si>
    <t>3.1.5 Right to Operate and Right to Reductions and Removals (v5.0B)</t>
  </si>
  <si>
    <t>s3_1_5_v50B</t>
  </si>
  <si>
    <t>3.1.5.1 Demonstration of the Right to Operate and Right to Reductions and Removals</t>
  </si>
  <si>
    <t>3.1.5.2 Land or Resource Rights Analysis</t>
  </si>
  <si>
    <t>3.2 Stakeholder Engagement and</t>
  </si>
  <si>
    <t>3.2 Stakeholder Engagement and Safeguards (v5.0B)</t>
  </si>
  <si>
    <t>s3_2_v50B</t>
  </si>
  <si>
    <t>3.2.1 Stakeholder Identification</t>
  </si>
  <si>
    <t>3.2.2 Stakeholder Consultation and Ongoing Communication</t>
  </si>
  <si>
    <t>3.2.3 Free, Prior, and Informed Consent and Benefit-Sharing Mechanism for Customary Rights Holders and IPs</t>
  </si>
  <si>
    <t>3.2.4 Benefit-Sharing Mechanism for Rights Holders Other Than Customary Rights Holders and IPs</t>
  </si>
  <si>
    <t>3.2.5 Stakeholder Input Tracker</t>
  </si>
  <si>
    <t>3.2.6 Grievance Redress Mechanism</t>
  </si>
  <si>
    <t>3.2.7 Ecosystem Restoration</t>
  </si>
  <si>
    <t>3.2.8 Management Expertise</t>
  </si>
  <si>
    <t>3.2.9 Environmental, Social, and Governance Risk Assessment</t>
  </si>
  <si>
    <t>esgRiskAssessment</t>
  </si>
  <si>
    <t>Stakeholder Identification  2</t>
  </si>
  <si>
    <t>Stakeholder Consultation an 2</t>
  </si>
  <si>
    <t>Free Prior and Informed Con 3</t>
  </si>
  <si>
    <t>Benefit-Sharing Mechanism (Oth</t>
  </si>
  <si>
    <t>Benefit-Sharing Mechanism (Other Rights Holders)</t>
  </si>
  <si>
    <t>benefitSharingMechanismOtherRightsHolder</t>
  </si>
  <si>
    <t>Stakeholder Input Tracker ( 2</t>
  </si>
  <si>
    <t>Grievance Redress Mechanism (V</t>
  </si>
  <si>
    <t>Ecosystem Restoration (VCS Val</t>
  </si>
  <si>
    <t>Ecosystem Restoration</t>
  </si>
  <si>
    <t>ecosystemRestoration2</t>
  </si>
  <si>
    <t>Management Expertise (VCS Vali</t>
  </si>
  <si>
    <t>Environmental Social and Gover</t>
  </si>
  <si>
    <t>Environmental, Social, and Governance Risk Assessment</t>
  </si>
  <si>
    <t>environmentalSocialAndGovernanceRiskAsse</t>
  </si>
  <si>
    <t>Did the risk assessment occur before the project start date?</t>
  </si>
  <si>
    <t>didTheRiskAssessmentOccurBeforeTheProjec</t>
  </si>
  <si>
    <t>4. Validation Opinion (VCS Val</t>
  </si>
  <si>
    <t>4. Validation Opinion</t>
  </si>
  <si>
    <t>s4_validationOpinion</t>
  </si>
  <si>
    <t>4.1 Validation Conclusion Summ</t>
  </si>
  <si>
    <t>4.1 Validation Conclusion Summary</t>
  </si>
  <si>
    <t>GHG statement subject to validation; the statement is the responsibility of the project proponent.</t>
  </si>
  <si>
    <t>The project design and ex-ante estimates were validated.</t>
  </si>
  <si>
    <t>Objectives, scope, and criteria</t>
  </si>
  <si>
    <t>Data and information supporting the GHG statement: Hypothetical, projected or historical</t>
  </si>
  <si>
    <t>Projected.</t>
  </si>
  <si>
    <t>Non-permanence risk assessment version</t>
  </si>
  <si>
    <t>nonPermanenceRiskAssessmentVersion</t>
  </si>
  <si>
    <t>4.2 Conclusion on Estimated Re</t>
  </si>
  <si>
    <t>4.2 Conclusion on Estimated Reductions and Removals</t>
  </si>
  <si>
    <t>conclusionOnEstimatedReductions</t>
  </si>
  <si>
    <t>Conclusion on estimated reductions and removals: VVB conclusion that the ex-ante estimate is reasonable</t>
  </si>
  <si>
    <t>The estimate is reasonable.</t>
  </si>
  <si>
    <t>conclusionText</t>
  </si>
  <si>
    <t>Estimated reductions by vintag</t>
  </si>
  <si>
    <t>Estimated reductions and removals by vintage</t>
  </si>
  <si>
    <t>estimatedByVintage</t>
  </si>
  <si>
    <t>Estimated baseline emissions (tCO2e): Estimated net baseline emissions (tCO2e)</t>
  </si>
  <si>
    <t>estimatedBaselineEmissions</t>
  </si>
  <si>
    <t>Estimated project emissions (tCO2e): Estimated net project emissions (tCO2e)</t>
  </si>
  <si>
    <t>estimatedProjectEmissions</t>
  </si>
  <si>
    <t>estimatedLeakageEmissions</t>
  </si>
  <si>
    <t>Estimated net reductions (tCO2e): Estimated total net reductions (tCO2e)</t>
  </si>
  <si>
    <t>estimatedNetReductions</t>
  </si>
  <si>
    <t>Estimated net removals (tCO2e): Estimated total net removals (tCO2e)</t>
  </si>
  <si>
    <t>estimatedNetRemovals</t>
  </si>
  <si>
    <t>Total estimated net reductions and removals (tCO2e): Estimated total net reductions and removals (tCO2e)</t>
  </si>
  <si>
    <t>estimatedNetReductionsAndRemovals</t>
  </si>
  <si>
    <t>Estimated buffer pool allocation (tCO2e)</t>
  </si>
  <si>
    <t>estimatedBufferPoolAllocationTCO2e</t>
  </si>
  <si>
    <t>Validated estimated GHG emission reductions and carbon dioxide removals for the project crediting period</t>
  </si>
  <si>
    <t>validatedEstimatedGHGEmissionReductionsA</t>
  </si>
  <si>
    <t>4.1 Validation opinion (registration gate): Opinion of the VVB. Only "Validated" counts as an approved validation for VCU issuance.</t>
  </si>
  <si>
    <t>Validated</t>
  </si>
  <si>
    <t>validationOpinion</t>
  </si>
  <si>
    <t>Document history row (Validati</t>
  </si>
  <si>
    <t>MR 4.1 Summary of Data/Parameters (VCS MR 4.1)</t>
  </si>
  <si>
    <t>VCS MR v5.0 4.1 Summary of data and parameters: 6-column summary table (one row per A2.1 / A2.2 parameter). The detailed monitored records live in methodologyRecords (project sections, appliance checks, water quantity, network and water-quality checks) and the parameter tables in Appendix 2.</t>
  </si>
  <si>
    <t>MR 2.6.2 Legal Compliance (VCS MR 2.6.2)</t>
  </si>
  <si>
    <t>VCS MR v5.0 Section 2.6.2 - legal and regulatory inquiries during this monitoring period.</t>
  </si>
  <si>
    <t>4. Quantification of GHG Emission Reductions</t>
  </si>
  <si>
    <t>VCS PD v5.0 Section 4: baseline, project and leakage emissions, other relevant quantification and the estimated emission reductions by year. The figures are computed by the ex-ante engine.</t>
  </si>
  <si>
    <t>MR 3.2.1 General Implementation Status (VCS MR 3.2.1)</t>
  </si>
  <si>
    <t>Implementation status of the project activity for this monitoring period, and grouped-project instance additions if applicable.</t>
  </si>
  <si>
    <t>MR 1.6 Project Start Date and Initial Crediting Period Start Date (VCS MR 1.6)</t>
  </si>
  <si>
    <t>MR 1.6 Project Start Date and Initial Crediting Period Start Date</t>
  </si>
  <si>
    <t>1.5 Project Proponent (VCS PD 1.5)</t>
  </si>
  <si>
    <t>VCS PD 1.5 - project proponent organization and contact details</t>
  </si>
  <si>
    <t>MR 2.6 Environmental, Social, and Governance Safeguards (VCS MR 2.6)</t>
  </si>
  <si>
    <t>VCS v5.0 standalone template - monitors realized ESG risks during the crediting period, distinct from the ex-ante ESG Risk Assessment at validation.</t>
  </si>
  <si>
    <t>5.2.3 Monitoring Personnel (VCS PD 5.2.3)</t>
  </si>
  <si>
    <t>VCS PD v5.0 Section 5.2.3 - roles and responsibilities of monitoring personnel.</t>
  </si>
  <si>
    <t>MR 1.8 Project Location (VCS MR 1.8)</t>
  </si>
  <si>
    <t>VCS MR 1.7 - project location as at this monitoring period</t>
  </si>
  <si>
    <t>MR 1.1 Summary of Project Implementation (VCS MR 1.1)</t>
  </si>
  <si>
    <t>VCS MR 1.1: summary of the project's implementation in this monitoring period, including the emission reductions achieved.</t>
  </si>
  <si>
    <t>1.19 Additional Information (VCS PD 1.19)</t>
  </si>
  <si>
    <t>VCS PD 1.19: leakage management, commercially sensitive information excluded from the public version, and any further information.</t>
  </si>
  <si>
    <t>3.6 Methodology Deviations (VCS PD 3.6)</t>
  </si>
  <si>
    <t>VCS PD v5.0 Section 3.6 - any deviation from the methodology, with justification that conservativeness is maintained.</t>
  </si>
  <si>
    <t>MR 5.4 Other Relevant Quantification (VCS MR 5.4)</t>
  </si>
  <si>
    <t>VCS MR v5.0 Section 5.4 - non-permanence, buffer, long-term average and de minimis quantification.</t>
  </si>
  <si>
    <t>MR 1.10 Double Claiming, Other Forms of Credit, and Scope 3 Emissions (VCS MR 1.10)</t>
  </si>
  <si>
    <t>MR 1.10 Double Claiming, Other Forms of Credit, and Scope 3 Emissions</t>
  </si>
  <si>
    <t>5.2.4 Procedures for Internal Auditing and QA/QC (VCS PD 5.2.4)</t>
  </si>
  <si>
    <t>VCS PD v5.0 Section 5.2.4 - internal auditing and quality assurance/quality control.</t>
  </si>
  <si>
    <t>VVB Profile</t>
  </si>
  <si>
    <t>VMR0015 Validation and Verification Body profile schema.</t>
  </si>
  <si>
    <t>VVB ID: Identifier of the validation/verification body, e.g. its Verra VVB ID.</t>
  </si>
  <si>
    <t>VVB Name: Legal name of the validation/verification body as accredited by Verra.</t>
  </si>
  <si>
    <t>Accreditation Body: Accrediting body (e.g. UNFCCC/Verra)</t>
  </si>
  <si>
    <t>Verra</t>
  </si>
  <si>
    <t>vvbAccreditation</t>
  </si>
  <si>
    <t>Accreditation Number: Accreditation registration number</t>
  </si>
  <si>
    <t>VVB-2021-0034</t>
  </si>
  <si>
    <t>accreditationNumber</t>
  </si>
  <si>
    <t>Contact Person: Name and role of the VVB's lead auditor or main contact for this project.</t>
  </si>
  <si>
    <t>J. Mwangi, Lead Auditor</t>
  </si>
  <si>
    <t>vvbContact</t>
  </si>
  <si>
    <t>Email address of the VVB contact, used for audit correspondence.</t>
  </si>
  <si>
    <t>audit@earthwise-vvb.com</t>
  </si>
  <si>
    <t>vvbEmail</t>
  </si>
  <si>
    <t>Country: VVB country of registration</t>
  </si>
  <si>
    <t>Kenya</t>
  </si>
  <si>
    <t>vvbCountry</t>
  </si>
  <si>
    <t>Scope of Accreditation: Scope (sector/methodology)</t>
  </si>
  <si>
    <t>Sectoral Scope 03 - Energy demand; CDM small-scale methodologies; VCS Program</t>
  </si>
  <si>
    <t>vvbScope</t>
  </si>
  <si>
    <t>VVB Notes: Optional notes, e.g. the scope of accreditation relevant to this project.</t>
  </si>
  <si>
    <t>Accredited for Type III small-scale activities</t>
  </si>
  <si>
    <t>vvbNotes</t>
  </si>
  <si>
    <t>MR 1.13 Right to Operate and Right to Reductions and Removals (VCS MR 1.13)</t>
  </si>
  <si>
    <t>MR 1.13 Right to Operate and Right to Reductions and Removals</t>
  </si>
  <si>
    <t>3.3.1 De Minimis GHG Sources and Carbon Pools (VCS PD 3.3.1)</t>
  </si>
  <si>
    <t>VCS PD v5.0 Section 3.3.1 - GHG sources or carbon pools excluded as de minimis, with justification.</t>
  </si>
  <si>
    <t>MR 4.2.7 Updates to Monitoring Plan (VCS MR 4.2.7)</t>
  </si>
  <si>
    <t>VCS MR v5.0 Section 4.2.7 - any update to the validated monitoring plan.</t>
  </si>
  <si>
    <t>MR 3.4.2 Project Description Deviations (VCS MR 3.4.2)</t>
  </si>
  <si>
    <t>3.4.2 Project Description Deviation</t>
  </si>
  <si>
    <t>Reference number of this project description deviation (VCS MR 3.4.2).</t>
  </si>
  <si>
    <t>Title of deviation: Short descriptive title for this project description deviation</t>
  </si>
  <si>
    <t>No deviation this period</t>
  </si>
  <si>
    <t>PD section numbers: Section number(s) of the validated project description that this deviation departs from (e.g. Step 1.2 of the stakeholder engagement plan)</t>
  </si>
  <si>
    <t>pdSectionNumbers</t>
  </si>
  <si>
    <t>Description and justification: Describe and justify the deviation Describe the deviation and justify it. For a whole-group stakeholder departure, name the group and state it is no longer engaged; for a partial departure, state the group continues to be engaged</t>
  </si>
  <si>
    <t>No deviation from the validated Project Description was applied during this monitoring period.</t>
  </si>
  <si>
    <t>descriptionJustification</t>
  </si>
  <si>
    <t>Impacts applicability/additionality/baseline?: Does this deviation affect the applicability of the methodology, project additionality, or the appropriateness of the baseline scenario?</t>
  </si>
  <si>
    <t>impactsRevisedPD</t>
  </si>
  <si>
    <t>Audit History Entry (VCS PD 1.2 / MR 1.2)</t>
  </si>
  <si>
    <t>VCS audit history table row - one per prior validation/verification audit</t>
  </si>
  <si>
    <t>Audit type: Validation, verification, or joint</t>
  </si>
  <si>
    <t>Period covered by the audit</t>
  </si>
  <si>
    <t>01-March-2025 to 28-February-2026</t>
  </si>
  <si>
    <t>period</t>
  </si>
  <si>
    <t>Program: GHG program under which the audit was carried out, e.g. VCS.</t>
  </si>
  <si>
    <t>VVB name: Validation/verification body that conducted the audit</t>
  </si>
  <si>
    <t>Number of years covered by this audit.</t>
  </si>
  <si>
    <t>yearsCovered</t>
  </si>
  <si>
    <t>MR 2.2 Stakeholder Engagement and FPIC Processes (VCS MR 2.2)</t>
  </si>
  <si>
    <t>VCS MR v5.0 Section 2.2 - stakeholder engagement and FPIC during this monitoring period.</t>
  </si>
  <si>
    <t>1.7.2 Land or Resource Rights Analysis (VCS PD 1.7.2)</t>
  </si>
  <si>
    <t>VCS PD 1.7.2: whether the project affects land or resource rights of any stakeholder, and how conflicting claims were identified and resolved.</t>
  </si>
  <si>
    <t>1.15 Compliance with Laws and Other Regulatory Frameworks (VCS PD 1.15)</t>
  </si>
  <si>
    <t>1.15 Compliance with Laws and Other Regulatory Frameworks</t>
  </si>
  <si>
    <t>1.8 Project Start Date and Initial Crediting Period Start Date (VCS PD 1.8)</t>
  </si>
  <si>
    <t>1.8 Project Start Date and Initial Crediting Period Start Date</t>
  </si>
  <si>
    <t>5.2.1 GHG Data Collection and Management System (VCS PD 5.2.1)</t>
  </si>
  <si>
    <t>VCS PD v5.0 Section 5.2.1 - how monitoring data are recorded, transferred, stored and archived.</t>
  </si>
  <si>
    <t>Biennial Water Quality Check (AMS-III.AV Data/Parameter table 14)</t>
  </si>
  <si>
    <t>SDW Biennial Water Quality Check</t>
  </si>
  <si>
    <t>1.4 Project Eligibility (VCS PD 1.4)</t>
  </si>
  <si>
    <t>Description and justification of how the project is eligible under the scope of the VCS Program.</t>
  </si>
  <si>
    <t>VCS MR v5.0 Section 3.4 - methodology and project description deviations applied during the monitoring period.</t>
  </si>
  <si>
    <t>1.9 Project Crediting Period (VCS PD 1.9)</t>
  </si>
  <si>
    <t>VCS PD 1.9 - crediting period start, end and duration</t>
  </si>
  <si>
    <t>SDG Contribution Row (VCS PD 1.18 / MR 1.11)</t>
  </si>
  <si>
    <t>VCS SDG contributions table row - one per SDG target claimed</t>
  </si>
  <si>
    <t>Row number: Sequential row identifier</t>
  </si>
  <si>
    <t>1</t>
  </si>
  <si>
    <t>rowNumber</t>
  </si>
  <si>
    <t>SDG target: UN Sustainable Development Goal target (e.g. 6.1)</t>
  </si>
  <si>
    <t>SDG 6.1 - Safe and affordable drinking water for all</t>
  </si>
  <si>
    <t>SDG indicator: The SDG indicator used to measure the contribution, e.g. 6.1.1.</t>
  </si>
  <si>
    <t>6.1.1 Proportion of population using safely managed drinking water services</t>
  </si>
  <si>
    <t>sdgIndicator</t>
  </si>
  <si>
    <t>Net impact on SDG indicator: Direction and magnitude of impact</t>
  </si>
  <si>
    <t>Positive</t>
  </si>
  <si>
    <t>netImpact</t>
  </si>
  <si>
    <t>Current project contributions: Contribution in this reporting period</t>
  </si>
  <si>
    <t>11,820 people served with safe drinking water this period</t>
  </si>
  <si>
    <t>currentContribution</t>
  </si>
  <si>
    <t>Contributions over project lifetime: Expected contribution over the crediting period</t>
  </si>
  <si>
    <t>About 12,000 people over the crediting period</t>
  </si>
  <si>
    <t>lifetimeContribution</t>
  </si>
  <si>
    <t>3.4 Baseline Scenario (VCS PD 3.4)</t>
  </si>
  <si>
    <t>VCS PD Template Section 3.4</t>
  </si>
  <si>
    <t>MR 2.4 Stakeholder Input Tracker (VCS MR 2.4)</t>
  </si>
  <si>
    <t>VCS MR v5.0 Section 2.4 - stakeholder input received during this monitoring period and how it was addressed.</t>
  </si>
  <si>
    <t>VCS PD v5.0 Section 3: methodology and tools applied, eligibility and applicability, project boundary, baseline scenario, additionality and methodology deviations.</t>
  </si>
  <si>
    <t>MR 5.4.2 Buffer Pool Allocation Calculation (VCS MR 5.4.2)</t>
  </si>
  <si>
    <t>VCS MR v5.0 Section 5.4.2 - buffer pool allocation calculation.</t>
  </si>
  <si>
    <t>MR 3.3 Grouped Projects (VCS MR 3.3)</t>
  </si>
  <si>
    <t>VCS MR v5.0 Section 3.3 - grouped project design and new instances.</t>
  </si>
  <si>
    <t>1.1 Summary Description of the Project (VCS PD 1.1)</t>
  </si>
  <si>
    <t>Summary description of the project or its implementation status (MR variant), plus the crediting-period-renewal audit-history table.</t>
  </si>
  <si>
    <t>2.2 Benefit-Sharing Mechanism (VCS PD 2.2)</t>
  </si>
  <si>
    <t>VCS PD 2.2: how project benefits are shared with stakeholders, and how the mechanism was designed with them.</t>
  </si>
  <si>
    <t>1.11 Project Design (VCS PD 1.11)</t>
  </si>
  <si>
    <t>Project design type (single location, multiple instances, or grouped) and eligibility criteria for including new instances.</t>
  </si>
  <si>
    <t>MR 1.5 Other Entities Involved in the Project (VCS MR 1.5)</t>
  </si>
  <si>
    <t>VCS MR 1.5: changes during the monitoring period to the other entities involved in the project and their roles.</t>
  </si>
  <si>
    <t>VMR0015 Baseline Fuel Row (fuel i x baseline device k)</t>
  </si>
  <si>
    <t>One row per baseline fuel i and baseline device type k (METHODOLOGY-SPEC 5.1 note 2). Rows of a project section must sum to BL = 1. VMR0015 Eq.(1), s9.1, s9.2.</t>
  </si>
  <si>
    <t>VMR0015 Survey Device Use Row (n_h,d, eta_d)</t>
  </si>
  <si>
    <t>Per surveyed household: weekly drinking-water boils on each baseline device d and its efficiency eta_d. Feeds (VMR0015 s8.1 + fn3). defaults only from AMS-III.AV table 4 (0.10 / 0.2 / 0.5); TOOL33 0.15/0.25 not allowed.</t>
  </si>
  <si>
    <t>One row per surveyed household of the baseline survey (VMR0015 s9.3(1); AMS tables 1-5).</t>
  </si>
  <si>
    <t>VMR0015 Project Section - PD (ex-ante)</t>
  </si>
  <si>
    <t>Project section / scenario = the calculation unit (VMR0015 s9.3(2) "each project scenario"). BE is computed per section and summed.</t>
  </si>
  <si>
    <t>VMR0015 Water Quantity Record - Option 1</t>
  </si>
  <si>
    <t>AMS-III.AV para 16: measured volume per sampled appliance/kiosk (flow meter or standard vessel).</t>
  </si>
  <si>
    <t>VMR0015 Water Quantity Record - Option 2.1</t>
  </si>
  <si>
    <t>AMS-III.AV Eq.(2): QPW = sum over functional units of q,i x t (each functional unit).</t>
  </si>
  <si>
    <t>VMR0015 Water Quantity Record - Option 2.2</t>
  </si>
  <si>
    <t>AMS-III.AV Eq.(3): QPW = P_y x QPW_pp x days.</t>
  </si>
  <si>
    <t>VMR0015 Appliance Functionality and Water-Quality Check</t>
  </si>
  <si>
    <t>m sample (AMS-III.AV table 11, para 21): an appliance counts in m only if (a) meets the para 4(b) technology standard, (b) is operating or was replaced, and (c) E. coli &lt; 1 cfu/100 ml (LDL 1 cfu/100 ml). Share failing (c) &gt; 10 % -&gt; ER = 0.</t>
  </si>
  <si>
    <t>VMR0015 Sampling Plan and Result</t>
  </si>
  <si>
    <t>Per sampled parameter/survey: CDM Sampling standard v09.0 paras 11-18. sampling discount only in survey years 1-2 and at &gt;= 90/15; otherwise collect more data.</t>
  </si>
  <si>
    <t>VMR0015 s9.2: determined each crediting period for woody biomass; fossil fuel = 1. option 2 only with a TOOL30-calculated value (never the TOOL30 fn 2 default 0.3); TOOL30 withdrawn by the CDM EB from 1 Jan 2026 (open question V3).</t>
  </si>
  <si>
    <t>VMR0015 Leakage Adjustment Determination</t>
  </si>
  <si>
    <t>Adj_LE (VMR0015 s8.3, s9.1; AMS-I.E v14.0 para 39 p13 / 49(c) p25). Fixed at validation. Default policy route 0.95 until Verra answers V5.</t>
  </si>
  <si>
    <t>VMR0015 s7 + footnote 2; scale test against the max annual ER of the PD 4.5.2 rows (ERR ex_ante.maxAnnualER). VT0008-CP: common practice if F &gt; 0.20 and N_all - N_diff &gt; 3.</t>
  </si>
  <si>
    <t>VMR0015 A2.1 Data/Parameter Available at Validation</t>
  </si>
  <si>
    <t>VCS PD/MR v5.0A/B Appendix 2 A2.1 table (9 template fields + numeric value).</t>
  </si>
  <si>
    <t>VMR0015 A2.2 Data/Parameter Monitored - PD (estimate)</t>
  </si>
  <si>
    <t>VCS PD v5.0A/B Appendix 2 A2.2 table (13 template fields + numeric value; PD = value applied/estimate).</t>
  </si>
  <si>
    <t>VMR0015 A2.2 Data/Parameter Monitored - MR (value monitored)</t>
  </si>
  <si>
    <t>VCS MR v5.0A/B Appendix 2 A2.2 table (13 template fields + numeric value; MR = value monitored).</t>
  </si>
  <si>
    <t>VMR0015 A2.1.1 VMR0015 / AMS-III.AV parameters available at validation</t>
  </si>
  <si>
    <t>One table per parameter (alphabetical). Values fixed at validation; the MR calculation reads them from the registered PD (M7).</t>
  </si>
  <si>
    <t>VMR0015 A2.1.2 TOOL03 parameters available at validation</t>
  </si>
  <si>
    <t>TOOL03 v03.0 (PE_FF) parameters available at validation. Inputs for the TOOL03 formulas EMBEDDED in the PD/MR ERR math blocks (Guardian Q&amp;A guidance: no separate tool policy/blocks).</t>
  </si>
  <si>
    <t>VMR0015 A2.1.3 VT0010 / VT0011 parameters available at validation</t>
  </si>
  <si>
    <t>VT0010 v1.1 (+VT0011 v1.0) parameters available at validation, for PE_EC (VMR0015 s8.2 replaces TOOL05). Inputs for the VT0010 formulas EMBEDDED in the PD/MR ERR math blocks (no separate tool policy/blocks).</t>
  </si>
  <si>
    <t>VMR0015 A2.1.4 AMS-I.E parameters available at validation</t>
  </si>
  <si>
    <t>Adj_LE (VMR0015 s8.3, s9.1; AMS-I.E v14.0 para 39 / 49(c)). Route recorded in the Adj_LE determination.</t>
  </si>
  <si>
    <t>VMR0015 A2.2.1 VMR0015 / AMS-III.AV monitored parameters - PD (estimate)</t>
  </si>
  <si>
    <t>AMS-III.AV tables 8-14 monitored parameters.</t>
  </si>
  <si>
    <t>VMR0015 A2.2.2 TOOL03 monitored parameters - PD (estimate)</t>
  </si>
  <si>
    <t>TOOL03 v03.0 (PE_FF) monitored parameters, PD estimates. Inputs for the TOOL03 formulas EMBEDDED in the PD ex-ante ERR math block.</t>
  </si>
  <si>
    <t>VMR0015 A2.2.3 VT0010 / VT0011 monitored parameters - PD (estimate)</t>
  </si>
  <si>
    <t>VT0010 v1.1 (PE_EC) monitored parameters, PD estimates. Inputs for the VT0010 formulas EMBEDDED in the PD ex-ante ERR math block.</t>
  </si>
  <si>
    <t>VMR0015 A2.2.4 fNRB monitored parameters - PD (estimate)</t>
  </si>
  <si>
    <t>f_NRB,i,y per crediting period (VMR0015 s9.2); determination detail in the fNRB determination record.</t>
  </si>
  <si>
    <t>VMR0015 A2.2.1 VMR0015 / AMS-III.AV monitored parameters - MR (value monitored)</t>
  </si>
  <si>
    <t>VMR0015 A2.2.2 TOOL03 monitored parameters - MR (value monitored)</t>
  </si>
  <si>
    <t>TOOL03 v03.0 (PE_FF) monitored parameters, MR monitored values. Inputs for the TOOL03 formulas EMBEDDED in the MR ex-post ERR math block.</t>
  </si>
  <si>
    <t>VMR0015 A2.2.3 VT0010 / VT0011 monitored parameters - MR (value monitored)</t>
  </si>
  <si>
    <t>VT0010 v1.1 (PE_EC) monitored parameters, MR monitored values. Inputs for the VT0010 formulas EMBEDDED in the MR ex-post ERR math block.</t>
  </si>
  <si>
    <t>VMR0015 A2.2.4 fNRB monitored parameters - MR (value monitored)</t>
  </si>
  <si>
    <t>VMR0015 Appendix 2 - Monitoring Parameters (PD)</t>
  </si>
  <si>
    <t>VCS PD v5.0A/B Appendix 2. Grouped .1 VMR0015/AMS-III.AV, .2 TOOL03, .3 VT0010/VT0011, .4 fNRB, .5 AMS-I.E.</t>
  </si>
  <si>
    <t>VMR0015 Appendix 2 - Monitoring Parameters (MR)</t>
  </si>
  <si>
    <t>VCS MR v5.0A/B Appendix 2. Grouped .1 VMR0015/AMS-III.AV, .2 TOOL03, .3 VT0010/VT0011, .4 fNRB, .5 AMS-I.E. In the MR, A2.1 repeats the validated values for the reader; the calculation reads them from the registered PD.</t>
  </si>
  <si>
    <t>VMR0015 Project Section - MR (monitored)</t>
  </si>
  <si>
    <t>Monitored data per project section (sectionId must match the registered PD section).</t>
  </si>
  <si>
    <t>VMR0015 Methodology Records - PD</t>
  </si>
  <si>
    <t>Calculation units and determinations used by the ex-ante calculation (VMR0015 s8-s9).</t>
  </si>
  <si>
    <t>VMR0015 Methodology Records - MR</t>
  </si>
  <si>
    <t>Monitored records used by the ex-post calculation. Fixed-at-validation parameters are read from the registered PD.</t>
  </si>
  <si>
    <t>VMR0015 ERR Vintage Row (PD 4.5.2 / MR 5.5.2)</t>
  </si>
  <si>
    <t>One row per vintage period (and optionally per project section). Removals are always 0 for VMR0015 (column kept for the template).</t>
  </si>
  <si>
    <t>Project section ID (or ALL)</t>
  </si>
  <si>
    <t>Baseline emissions (t CO2e)</t>
  </si>
  <si>
    <t>BE</t>
  </si>
  <si>
    <t>PE_FF - fossil fuel project emissions (t CO2)</t>
  </si>
  <si>
    <t>PE_FF</t>
  </si>
  <si>
    <t>PE_EC - electricity project emissions (t CO2e)</t>
  </si>
  <si>
    <t>PE_EC</t>
  </si>
  <si>
    <t>Project emissions (t CO2e)</t>
  </si>
  <si>
    <t>PE</t>
  </si>
  <si>
    <t>Leakage emissions (0: leakage via Adj_LE) (t CO2e)</t>
  </si>
  <si>
    <t>LE</t>
  </si>
  <si>
    <t>Reduction VCUs (t CO2e)</t>
  </si>
  <si>
    <t>reductions</t>
  </si>
  <si>
    <t>Removal VCUs (always 0) (t CO2e)</t>
  </si>
  <si>
    <t>removals</t>
  </si>
  <si>
    <t>Total VCUs (t CO2e)</t>
  </si>
  <si>
    <t>total</t>
  </si>
  <si>
    <t>VMR0015 ERR Ex-Post Section Result (MR 5.5.2 + gates)</t>
  </si>
  <si>
    <t>Per project section ex-post result with every gate written as a formula output (M3).</t>
  </si>
  <si>
    <t>QPW_y - purified drinking water (before cap) (L)</t>
  </si>
  <si>
    <t>P_y - population served (persons)</t>
  </si>
  <si>
    <t>Persons excluded - connected to a public SDW network (table 13) (persons)</t>
  </si>
  <si>
    <t>P_excluded</t>
  </si>
  <si>
    <t>Households excluded (table 13)</t>
  </si>
  <si>
    <t>networkExcludedHouseholds</t>
  </si>
  <si>
    <t>Cap P_y x 5.5 x days (para 18, pro-rated) (L)</t>
  </si>
  <si>
    <t>QPW_cap</t>
  </si>
  <si>
    <t>QPW_y eligible (after table 13 and cap) (L)</t>
  </si>
  <si>
    <t>QPW_eligible</t>
  </si>
  <si>
    <t>m - share passing (a), (b), (c) (fraction)</t>
  </si>
  <si>
    <t>Share failing E. coli (c) (fraction)</t>
  </si>
  <si>
    <t>Water-quality gate (1 = share failing &lt;= 0.10)</t>
  </si>
  <si>
    <t>wqGate</t>
  </si>
  <si>
    <t>Biennial SDW quality gate (table 14; 1 = pass)</t>
  </si>
  <si>
    <t>sdwGate</t>
  </si>
  <si>
    <t>SEC (from registered PD) (kJ/L)</t>
  </si>
  <si>
    <t>eta_wb (from registered PD) (fraction)</t>
  </si>
  <si>
    <t>BE_y (t CO2e)</t>
  </si>
  <si>
    <t>BE_y</t>
  </si>
  <si>
    <t>PE_FF,y (t CO2)</t>
  </si>
  <si>
    <t>PE_EC,y (t CO2e)</t>
  </si>
  <si>
    <t>PE_y (t CO2e)</t>
  </si>
  <si>
    <t>PE_y</t>
  </si>
  <si>
    <t>LE_y (t CO2e)</t>
  </si>
  <si>
    <t>LE_y</t>
  </si>
  <si>
    <t>ER_y = (BE - PE - LE) x gates (t CO2e)</t>
  </si>
  <si>
    <t>ER_y</t>
  </si>
  <si>
    <t>Sampling discount (fraction)</t>
  </si>
  <si>
    <t>samplingDiscount</t>
  </si>
  <si>
    <t>ER_y final (t CO2e)</t>
  </si>
  <si>
    <t>ER_final</t>
  </si>
  <si>
    <t>Sampling check row (ERR)</t>
  </si>
  <si>
    <t>Sampling checks (required n, minimum 30): Required sample size and minimum-sample check for every sampling record of this section (CDM Standard: Sampling and surveys v09.0 paras 13-14).</t>
  </si>
  <si>
    <t>samplingChecks</t>
  </si>
  <si>
    <t>Sampled parameter: Parameter the sampling record refers to</t>
  </si>
  <si>
    <t>Target confidence (%): Target confidence entered in the Monitoring Report</t>
  </si>
  <si>
    <t>confidencePct</t>
  </si>
  <si>
    <t>Target relative precision (%): Target relative precision entered in the Monitoring Report</t>
  </si>
  <si>
    <t>precisionPct</t>
  </si>
  <si>
    <t>N - population size: Population size entered in the Monitoring Report</t>
  </si>
  <si>
    <t>populationN</t>
  </si>
  <si>
    <t>p - expected proportion: Expected proportion entered in the Monitoring Report (0 when not given)</t>
  </si>
  <si>
    <t>expectedP</t>
  </si>
  <si>
    <t>n - sample size achieved: Sample size entered in the Monitoring Report</t>
  </si>
  <si>
    <t>Required n by the Standard formula (unrounded): n = z^2 N p(1-p) / ((N-1) e^2 p^2 + z^2 p(1-p)) (Standard para 13; CDM Sampling Guideline eq.(1)); 0 when p is not given or p + e p &gt;= 1</t>
  </si>
  <si>
    <t>requiredNCalc</t>
  </si>
  <si>
    <t>Required n after the minimum of 30 (rounded up): Required sample size = max(30; computed n) rounded up, for a proportion (Standard para 14); the minimum is the population size when that is below 30</t>
  </si>
  <si>
    <t>requiredN</t>
  </si>
  <si>
    <t>Minimum sample met: False when the sample is below the minimum of 30 for a proportion (Standard para 14): the section then earns no emission reductions</t>
  </si>
  <si>
    <t>minimumSampleMet</t>
  </si>
  <si>
    <t>Sample at least the required n: False when n is below the required sample size (information for the VVB; the precision actually attained decides the discount)</t>
  </si>
  <si>
    <t>sampleSizeAdequate</t>
  </si>
  <si>
    <t>Flag: Visible explanation of any failed check</t>
  </si>
  <si>
    <t>flag</t>
  </si>
  <si>
    <t>VMR0015 ERR Ex-Ante Result (PD 4.5.2)</t>
  </si>
  <si>
    <t>Ex-ante estimate by vintage; maxAnnualER drives the additionality scale test and the PD 1.10 scale.</t>
  </si>
  <si>
    <t>VMR0015 ERR Vintage Row (PD 4.</t>
  </si>
  <si>
    <t>PD 4.5.2 vintage rows</t>
  </si>
  <si>
    <t>rows</t>
  </si>
  <si>
    <t>Total baseline emissions (t CO2e)</t>
  </si>
  <si>
    <t>BE_total</t>
  </si>
  <si>
    <t>Total project emissions (t CO2e)</t>
  </si>
  <si>
    <t>PE_total</t>
  </si>
  <si>
    <t>Total leakage (t CO2e)</t>
  </si>
  <si>
    <t>LE_total</t>
  </si>
  <si>
    <t>Total estimated reductions (t CO2e)</t>
  </si>
  <si>
    <t>ER_total</t>
  </si>
  <si>
    <t>Largest annual ER in the crediting period (t CO2e/yr)</t>
  </si>
  <si>
    <t>maxAnnualER</t>
  </si>
  <si>
    <t>Average annual ER (t CO2e/yr)</t>
  </si>
  <si>
    <t>avgAnnualER</t>
  </si>
  <si>
    <t>Project scale (PD 1.10) (1)</t>
  </si>
  <si>
    <t>Project scale (PD 1.10)</t>
  </si>
  <si>
    <t>Project (&lt;= 300 000 t CO2e/yr)</t>
  </si>
  <si>
    <t>scale</t>
  </si>
  <si>
    <t>Additionality tools allowed by scale</t>
  </si>
  <si>
    <t>additionalityToolsAllowed</t>
  </si>
  <si>
    <t>VMR0015 ERR Ex-Post Result (MR 5.5.2 / 5.5.3)</t>
  </si>
  <si>
    <t>Ex-post result per section and vintage, plus the 5.5.3 comparison with the ex-ante estimate.</t>
  </si>
  <si>
    <t>periodStart</t>
  </si>
  <si>
    <t>periodEnd</t>
  </si>
  <si>
    <t>Days in period</t>
  </si>
  <si>
    <t>VMR0015 ERR Ex-Post Section Re</t>
  </si>
  <si>
    <t>Section results</t>
  </si>
  <si>
    <t>5.5.2 vintage rows: MR 5.5.2 vintage rows</t>
  </si>
  <si>
    <t>Total BE (t CO2e)</t>
  </si>
  <si>
    <t>Total PE (t CO2e)</t>
  </si>
  <si>
    <t>Total LE (t CO2e)</t>
  </si>
  <si>
    <t>Total ER final (mint quantity source) (t CO2e)</t>
  </si>
  <si>
    <t>ER_final_total</t>
  </si>
  <si>
    <t>Ex-ante estimate for the same period (from ERR ex_ante) (t CO2e)</t>
  </si>
  <si>
    <t>exAnteER_period</t>
  </si>
  <si>
    <t>5.5.3 % difference (ex-post vs ex-ante) (%): MR 5.5.3 % difference (ex-post vs ex-ante) (%)</t>
  </si>
  <si>
    <t>pctDifference</t>
  </si>
  <si>
    <t>VMR0015 Emission Reductions (ERR)</t>
  </si>
  <si>
    <t>Calculation output VC (PD -&gt; ex_ante, MR -&gt; ex_post). Immutable, auditable calculation record linked to the PD/MR. No cert_type / CCB.</t>
  </si>
  <si>
    <t>VCS template version</t>
  </si>
  <si>
    <t>v5.0A</t>
  </si>
  <si>
    <t>Quantification type</t>
  </si>
  <si>
    <t>VMR0015 v1.0 + AMS-III.AV v09.0</t>
  </si>
  <si>
    <t>VMR0015 ERR Ex-Ante Result (PD</t>
  </si>
  <si>
    <t>Ex-ante result</t>
  </si>
  <si>
    <t>ex_ante</t>
  </si>
  <si>
    <t>VMR0015 ERR Ex-Post Result (MR</t>
  </si>
  <si>
    <t>Ex-post result</t>
  </si>
  <si>
    <t>ex_post</t>
  </si>
  <si>
    <t>Monitoring report ID (MR mrId; ex-post only): mrId of the monitoring report this ex-post ERR was calculated from. The VVB Verification Report presets monitoringReportRef from this field (read-only).</t>
  </si>
  <si>
    <t>ER final total (t CO2e; ex-post, mint quantity): Copy of ex_post.ER_final_total at the ERR root so the Verification Report can preset ERverified read-only and mintDocumentBlock can read it.</t>
  </si>
  <si>
    <t>Calculation flags: Visible flags raised by the calculation: sampling checks that failed, duplicate records (fNRB determinations, baseline fuels, sections, sampling records) that voided the calculation. Empty when nothing was raised.</t>
  </si>
  <si>
    <t>dataQualityFlags</t>
  </si>
  <si>
    <t>VMR0015 MR 4.1 Summary row (VCS MR v5.0 4.1)</t>
  </si>
  <si>
    <t>One row per A2.1 and A2.2 parameter (VCS MR v5.0B 4.1): name, description, unit, value applied, equation number, monitoring frequency. Names must match MR 5.5 and Appendix 2.</t>
  </si>
  <si>
    <t>1.7 Right to Operate and Right to Reductions and Removals (VCS PD v5.0B)</t>
  </si>
  <si>
    <t>VCS PD v5.0B 1.7 (1.7.1 evidence, 1.7.2 land or resource rights)</t>
  </si>
  <si>
    <t>VMR0015 VCU Issuance Request</t>
  </si>
  <si>
    <t>Project Proponent request to issue VCUs for an approved Verification Report. Mint = floor(min(ERverified, ERcalculated)) sent to the Project Proponent.</t>
  </si>
  <si>
    <t>Verification Report ID: Approved Verification Report this issuance request is based on (read-only preset).</t>
  </si>
  <si>
    <t>Monitoring Report ID: MR ID of the verified monitoring report (read-only preset).</t>
  </si>
  <si>
    <t>Project ID: Registered project (read-only preset).</t>
  </si>
  <si>
    <t>Verification conclusion: Conclusion of the VVB (read-only preset). Only Verified reports can be issued.</t>
  </si>
  <si>
    <t>ER calculated by the policy (tCO2e): ERR (Ex Post) ER_final_total copied from the verification (read-only preset).</t>
  </si>
  <si>
    <t>ER verified by the VVB (tCO2e): Figure verified by the VVB, copied read-only from the approved Verification Report. VCUs issued = floor(min(ERverified, ERcalculated)); zero or empty issues nothing.</t>
  </si>
  <si>
    <t>Request note (optional): Optional note from the Project Proponent to the registry.</t>
  </si>
  <si>
    <t>requestNote</t>
  </si>
  <si>
    <t>File name and description of the verification report versions</t>
  </si>
  <si>
    <t>1. Introduction (VCS Verification Report)</t>
  </si>
  <si>
    <t>Verification Report section 1</t>
  </si>
  <si>
    <t>2.1 Method and Criteria (VCS Verification Report)</t>
  </si>
  <si>
    <t>Method, criteria and verification schedule</t>
  </si>
  <si>
    <t>2.2 Document Review (VCS Verification Report)</t>
  </si>
  <si>
    <t>Document review</t>
  </si>
  <si>
    <t>Interview processes and interviewees</t>
  </si>
  <si>
    <t>Resolution of CARs, CLs and FARs (Verification)</t>
  </si>
  <si>
    <t>Process for resolution of corrective action requests, clarification requests and forward action requests</t>
  </si>
  <si>
    <t>2. Verification Process (VCS Verification Report)</t>
  </si>
  <si>
    <t>Verification Report section 2</t>
  </si>
  <si>
    <t>3.1 Methodology Deviations - assessment conclusion and assessment process (VCS Verification Report 3.1 template)</t>
  </si>
  <si>
    <t>3.2 Project Description Deviations - assessment conclusion and assessment process (VCS Verification Report 3.2 template)</t>
  </si>
  <si>
    <t>3.3 New Project Activity Instances in Grouped Projects - assessment conclusion and assessment process (VCS Verification Report 3.3 template)</t>
  </si>
  <si>
    <t>3.4 Baseline Reassessment - assessment conclusion and assessment process (VCS Verification Report 3.4 template)</t>
  </si>
  <si>
    <t>3. Validation Findings (VCS Verification Report)</t>
  </si>
  <si>
    <t>Validation of deviations and changes during the monitoring period</t>
  </si>
  <si>
    <t>4.1.1 General Implementation Status - assessment conclusion and assessment process (VCS VR 4.1.1 template)</t>
  </si>
  <si>
    <t>4.1.2 Loss Events - assessment conclusion and assessment process (VCS VR 4.1.2 template)</t>
  </si>
  <si>
    <t>4.1 Implementation Status of the Project Activity (VCS Verification Report)</t>
  </si>
  <si>
    <t>Implementation status</t>
  </si>
  <si>
    <t>4.2.1 Audit History - justification and assessment conclusion (VCS VR 4.2.1 template)</t>
  </si>
  <si>
    <t>4.2.2 Sectoral Scope and Project Classification - justification and assessment conclusion (VCS VR 4.2.2 template)</t>
  </si>
  <si>
    <t>4.2.3 Project Location - assessment conclusion and assessment process (VCS VR 4.2.3 template)</t>
  </si>
  <si>
    <t>4.2.4.1 No Double Issuance - assessment conclusion and assessment process (VCS VR 4.2.4.1 template)</t>
  </si>
  <si>
    <t>4.2.4.2 Registration with Other GHG Programs - assessment conclusion and assessment process (VCS VR 4.2.4.2 template)</t>
  </si>
  <si>
    <t>4.2.4 Double Counting and Participation with Other GHG Programs (VCS Verification Report)</t>
  </si>
  <si>
    <t>Double counting</t>
  </si>
  <si>
    <t>4.2.5.1 No Double Claiming with Emissions Trading Programs or Binding Emissions Limits - assessment conclusion and assessment process (VCS VR 4.2.5.1 template)</t>
  </si>
  <si>
    <t>4.2.5.2 No Double Claiming with Other Forms of Environmental Credit - assessment conclusion and assessment process (VCS VR 4.2.5.2 template)</t>
  </si>
  <si>
    <t>4.2.5.3 Supply chain (Scope 3) Emissions - assessment conclusion and assessment process (VCS VR 4.2.5.3 template)</t>
  </si>
  <si>
    <t>4.2.5 Double Claiming, Other Forms of Credit, and Scope 3 Emissions (VCS Verification Report)</t>
  </si>
  <si>
    <t>Double claiming</t>
  </si>
  <si>
    <t>4.2.6 Sustainable Development Contributions - assessment conclusion and assessment process (VCS VR 4.2.6 template)</t>
  </si>
  <si>
    <t>4.2.7.1 Sensitive Information - justification and assessment conclusion (VCS VR 4.2.7.1 template)</t>
  </si>
  <si>
    <t>4.2.7.2 Core Carbon Principles Label Eligibility - justification and assessment conclusion (VCS VR 4.2.7.2 template)</t>
  </si>
  <si>
    <t>4.2.7.3 CORSIA Label Eligibility - justification and assessment conclusion (VCS VR 4.2.7.3 template)</t>
  </si>
  <si>
    <t>4.2.7 Additional Information (VCS Verification Report)</t>
  </si>
  <si>
    <t>Additional information</t>
  </si>
  <si>
    <t>4.2 Project Details (VCS Verification Report)</t>
  </si>
  <si>
    <t>Project details</t>
  </si>
  <si>
    <t>4.4.1 Accuracy of Reduction and Removal Calculations - assessment conclusion and assessment process (VCS VR 4.4.1 template)</t>
  </si>
  <si>
    <t>4.4.2 Quality of Evidence to Determine Reductions and Removals - assessment conclusion and assessment process (VCS VR 4.4.2 template)</t>
  </si>
  <si>
    <t>4.4.3.1 Non-Permanence Risk Analysis - assessment conclusion and assessment process (VCS VR 4.4.3.1 template)</t>
  </si>
  <si>
    <t>4.4.3.2 Buffer Pool Allocation Calculation - assessment conclusion and assessment process (VCS VR 4.4.3.2 template)</t>
  </si>
  <si>
    <t>4.4.3.3 Long-Term Average - assessment conclusion and assessment process (VCS VR 4.4.3.3 template)</t>
  </si>
  <si>
    <t>4.4.3.4 De Minimis Quantification - assessment conclusion and assessment process (VCS VR 4.4.3.4 template)</t>
  </si>
  <si>
    <t>4.4.3 Other Relevant Quantification (VCS Verification Report)</t>
  </si>
  <si>
    <t>Other relevant quantification</t>
  </si>
  <si>
    <t>4.4 Quantification of Reductions and Removals (VCS Verification Report)</t>
  </si>
  <si>
    <t>Data and parameter row (Verification)</t>
  </si>
  <si>
    <t>Data/parameter assessed</t>
  </si>
  <si>
    <t>4.5.2 Monitoring Plan - assessment conclusion and assessment process (VCS VR 4.5.2 template)</t>
  </si>
  <si>
    <t>4.5 Monitoring (VCS Verification Report)</t>
  </si>
  <si>
    <t>Monitoring</t>
  </si>
  <si>
    <t>4. Verification Findings (VCS Verification Report)</t>
  </si>
  <si>
    <t>Verification findings</t>
  </si>
  <si>
    <t>4.3 Stakeholder Engagement and Safeguards (VCS Verification Report v5.0B)</t>
  </si>
  <si>
    <t>v5.0B: right to operate, stakeholder engagement and safeguards, FPIC and benefit sharing, input tracker, GRM, management expertise, ESG risk monitoring</t>
  </si>
  <si>
    <t>5.1 Verification Conclusion Summary (VCS Verification Report)</t>
  </si>
  <si>
    <t>Conclusion summary table</t>
  </si>
  <si>
    <t>Achieved reductions by vintage row</t>
  </si>
  <si>
    <t>Country, methodology, vintage, baseline/project/leakage emissions and totals</t>
  </si>
  <si>
    <t>Buffer pool allocation by vintage row</t>
  </si>
  <si>
    <t>Buffer pool allocation (AFOLU and GCS only)</t>
  </si>
  <si>
    <t>Verified totals per vintage</t>
  </si>
  <si>
    <t>5.2 Conclusion on Achieved Reductions and Removals (VCS Verification Report)</t>
  </si>
  <si>
    <t>Achieved reductions and removals</t>
  </si>
  <si>
    <t>Vintage, ex-ante estimate, achieved, percent difference and explanation</t>
  </si>
  <si>
    <t>5.3 Ex-Ante vs Ex-Post Comparison (VCS Verification Report)</t>
  </si>
  <si>
    <t>5. Verification Opinion (VCS Verification Report)</t>
  </si>
  <si>
    <t>Verification opinion</t>
  </si>
  <si>
    <t>Appendix 1 row (Validation and Verification)</t>
  </si>
  <si>
    <t>Appendix 2 row (Validation and Verification)</t>
  </si>
  <si>
    <t>List of CARs, CLs and FARs raised during the audit</t>
  </si>
  <si>
    <t>Appendix 3 row (Validation and Verification)</t>
  </si>
  <si>
    <t>Competence of team members and technical reviewers</t>
  </si>
  <si>
    <t>File name and description</t>
  </si>
  <si>
    <t>1. Introduction (VCS Validation Report)</t>
  </si>
  <si>
    <t>Validation Report section 1</t>
  </si>
  <si>
    <t>Schedule milestone (Validation and Verification)</t>
  </si>
  <si>
    <t>One milestone of the audit schedule</t>
  </si>
  <si>
    <t>2.1 Method and Criteria (VCS Validation Report)</t>
  </si>
  <si>
    <t>Method, criteria and schedule</t>
  </si>
  <si>
    <t>Document review summary (Validation and Verification)</t>
  </si>
  <si>
    <t>Review start/completion dates, effort and team</t>
  </si>
  <si>
    <t>Document list row (Validation and Verification)</t>
  </si>
  <si>
    <t>2.2 Document Review (VCS Validation Report)</t>
  </si>
  <si>
    <t>Interviewee row (Validation and Verification)</t>
  </si>
  <si>
    <t>Interviewee details, interview details and topics</t>
  </si>
  <si>
    <t>Site visits (Validation and Verification)</t>
  </si>
  <si>
    <t>Site visit start/end, format, methods, locations and team</t>
  </si>
  <si>
    <t>CAR/CL/FAR reference row (Validation and Verification)</t>
  </si>
  <si>
    <t>Reference number, type and related VCS Program rules</t>
  </si>
  <si>
    <t>Resolution of CARs, CLs and FARs (Validation)</t>
  </si>
  <si>
    <t>2. Validation Process (VCS Validation Report)</t>
  </si>
  <si>
    <t>Validation Report section 2</t>
  </si>
  <si>
    <t>3.1.1 Summary Description of Project - assessment conclusion and assessment process (VCS ValR 3.1.1 template)</t>
  </si>
  <si>
    <t>3.1.2 Audit History - assessment conclusion and assessment process (VCS ValR 3.1.2 template)</t>
  </si>
  <si>
    <t>3.1.3 Sectoral Scope and Project Classification - assessment conclusion and assessment process (VCS ValR 3.1.3 template)</t>
  </si>
  <si>
    <t>3.1.4 Project Eligibility - assessment conclusion and assessment process (VCS ValR 3.1.4 template)</t>
  </si>
  <si>
    <t>3.1.6 Project Start Date and Initial Crediting Period Start Date - assessment conclusion and assessment process (VCS ValR 3.1.6 template)</t>
  </si>
  <si>
    <t>3.1.7 Project Crediting Period - assessment conclusion and assessment process (VCS ValR 3.1.7 template)</t>
  </si>
  <si>
    <t>3.1.8 Project Scale - assessment conclusion and assessment process (VCS ValR 3.1.8 template)</t>
  </si>
  <si>
    <t>3.1.9 Project Design - assessment conclusion and assessment process (VCS ValR 3.1.9 template)</t>
  </si>
  <si>
    <t>3.1.10 Conditions Prior to Project Initiation - assessment conclusion and assessment process (VCS ValR 3.1.10 template)</t>
  </si>
  <si>
    <t>3.1.11 Description of the Project Activity - assessment conclusion and assessment process (VCS ValR 3.1.11 template)</t>
  </si>
  <si>
    <t>3.1.12 Project Location - assessment conclusion and assessment process (VCS ValR 3.1.12 template)</t>
  </si>
  <si>
    <t>3.1.13 Compliance with Laws and Other Regulatory Frameworks - assessment conclusion and assessment process (VCS ValR 3.1.13 template)</t>
  </si>
  <si>
    <t>3.1.14 Double Counting and Participation with other GHG Programs - assessment conclusion and assessment process (VCS ValR 3.1.14 template)</t>
  </si>
  <si>
    <t>3.1.15 Double Claiming, Other Forms of Credit, and Scope 3 Emissions - assessment conclusion and assessment process (VCS ValR 3.1.15 template)</t>
  </si>
  <si>
    <t>3.1.16 Sustainable Development Contributions - assessment conclusion and assessment process (VCS ValR 3.1.16 template)</t>
  </si>
  <si>
    <t>3.1.17 Additional Information - assessment conclusion and assessment process (VCS ValR 3.1.17 template)</t>
  </si>
  <si>
    <t>3.1 Project Details (VCS Validation Report)</t>
  </si>
  <si>
    <t>3.3.1 Methodology Details - assessment conclusion and assessment process (VCS ValR 3.3.1 template)</t>
  </si>
  <si>
    <t>3.3.2 Applicability and Eligibility of Methodology - assessment conclusion and assessment process (VCS ValR 3.3.2 template)</t>
  </si>
  <si>
    <t>3.3.3 Project Boundary - assessment conclusion and assessment process (VCS ValR 3.3.3 template)</t>
  </si>
  <si>
    <t>3.3.4 Baseline Scenario - assessment conclusion and assessment process (VCS ValR 3.3.4 template)</t>
  </si>
  <si>
    <t>3.3.5 Additionality - assessment conclusion and assessment process (VCS ValR 3.3.5 template)</t>
  </si>
  <si>
    <t>3.3.6 Methodology Deviations - assessment conclusion and assessment process (VCS ValR 3.3.6 template)</t>
  </si>
  <si>
    <t>3.3 Application of Methodology (VCS Validation Report)</t>
  </si>
  <si>
    <t>Application of methodology</t>
  </si>
  <si>
    <t>3.4.1 Quantification of Baseline Emissions, Project Emissions, and Leakage Emissions - assessment conclusion and assessment process (VCS ValR 3.4.1 template)</t>
  </si>
  <si>
    <t>3.4.2 Other Relevant Quantification - assessment conclusion and assessment process (VCS ValR 3.4.2 template)</t>
  </si>
  <si>
    <t>3.4 Quantification of Estimated Reductions and Removals (VCS Validation Report)</t>
  </si>
  <si>
    <t>Data and parameter row (Validation)</t>
  </si>
  <si>
    <t>3.5.2 Monitoring Plan - assessment conclusion and assessment process (VCS ValR 3.5.2 template)</t>
  </si>
  <si>
    <t>3.5 Monitoring (VCS Validation Report)</t>
  </si>
  <si>
    <t>3. Validation Findings (VCS Validation Report)</t>
  </si>
  <si>
    <t>Validation findings</t>
  </si>
  <si>
    <t>Safeguards assessment row: item, assessment conclusion and process (VCS Validation and Verification Reports v5.0B)</t>
  </si>
  <si>
    <t>One row of a safeguards assessment table in VCS Validation Report template v5.0B section 3.2 and Verification Report template v5.0B sections 4.2.8 and 4.3: item, assessment conclusion and assessment process.</t>
  </si>
  <si>
    <t>3.2 Stakeholder Engagement and Safeguards (VCS Validation Report v5.0B)</t>
  </si>
  <si>
    <t>v5.0B safeguards (to be checked against the official v5.0B Validation template)</t>
  </si>
  <si>
    <t>4.1 Validation Conclusion Summary (VCS Validation Report)</t>
  </si>
  <si>
    <t>Estimated reductions by vintage row (Validation)</t>
  </si>
  <si>
    <t>Country, methodology, vintage, estimated emissions</t>
  </si>
  <si>
    <t>4.2 Conclusion on Estimated Reductions and Removals (VCS Validation Report)</t>
  </si>
  <si>
    <t>Estimated reductions and removals</t>
  </si>
  <si>
    <t>4. Validation Opinion (VCS Validation Report)</t>
  </si>
  <si>
    <t>Validation opinion</t>
  </si>
  <si>
    <t>Appendix X row (Validation and Verification)</t>
  </si>
  <si>
    <t>Additional appendix</t>
  </si>
  <si>
    <t>Evidence document supporting a record (invoice, lab report, photo, meter record, contract, ...)</t>
  </si>
  <si>
    <t>Project device record (VMR0015 s9.3(2))</t>
  </si>
  <si>
    <t>Data compiled on each distributed device from the total sales record (VMR0015 s9.3(2) a-e)</t>
  </si>
  <si>
    <t>Interactive effects survey result (VMR0015 s9.3(1))</t>
  </si>
  <si>
    <t>Survey question on interactive effects between safe drinking water systems and improved thermal energy technologies (VMR0015 s9.3(1)); results are applied proportionally across the household population</t>
  </si>
  <si>
    <t>Summary of reductions and removals row (MR 5.5.2)</t>
  </si>
  <si>
    <t>One vintage row of MR 5.5.2 Summary of Reductions and Removals</t>
  </si>
  <si>
    <t>Result of the sampling checks computed by the policy for one sampling record of a section: required sample size n (CDM Standard: Sampling and surveys v09.0 para 13-14), minimum sample of 30 for proportions (para 14) and flags.</t>
  </si>
  <si>
    <t>3.1.5 Right to Operate and Right to Reductions and Removals (VCS Validation Report v5.0B)</t>
  </si>
  <si>
    <t>Validation Report v5.0B template section 3.1.5 with 3.1.5.1 and 3.1.5.2</t>
  </si>
  <si>
    <t>4.2.8 Right to Operate and Right to Reductions and Removals (VCS Verification Report v5.0B)</t>
  </si>
  <si>
    <t>Verification Report v5.0B template section 4.2.8 with 4.2.8.1 and 4.2.8.2</t>
  </si>
  <si>
    <t>3.1.4.1 Deadlines for Participation (VCS Validation Report v5.0B)</t>
  </si>
  <si>
    <t>VCS Validation Report template v5.0B section 3.1.4.1</t>
  </si>
  <si>
    <t>3.1.4.2 AFOLU Project Eligibility (VCS Validation Report v5.0B)</t>
  </si>
  <si>
    <t>VCS Validation Report template v5.0B section 3.1.4.2</t>
  </si>
  <si>
    <t>3.1.4.3 Eligibility of Projects Registered with Other GHG Programs (VCS Validation Report v5.0B)</t>
  </si>
  <si>
    <t>VCS Validation Report template v5.0B section 3.1.4.3</t>
  </si>
  <si>
    <t>3.1.4.4 Capacity Limit Eligibility (VCS Validation Report v5.0B)</t>
  </si>
  <si>
    <t>VCS Validation Report template v5.0B section 3.1.4.4</t>
  </si>
  <si>
    <t>3.1.14.1 No Double Issuance (VCS Validation Report v5.0B)</t>
  </si>
  <si>
    <t>VCS Validation Report template v5.0B section 3.1.14.1</t>
  </si>
  <si>
    <t>3.1.14.2 Registration with Other GHG programs (VCS Validation Report v5.0B)</t>
  </si>
  <si>
    <t>VCS Validation Report template v5.0B section 3.1.14.2</t>
  </si>
  <si>
    <t>3.1.14.3 Projects Rejected by Other GHG Programs (VCS Validation Report v5.0B)</t>
  </si>
  <si>
    <t>VCS Validation Report template v5.0B section 3.1.14.3</t>
  </si>
  <si>
    <t>3.1.15.1 No Double Claiming with Emissions Trading Programs or Binding Emission Limits (VCS Validation Report v5.0B)</t>
  </si>
  <si>
    <t>VCS Validation Report template v5.0B section 3.1.15.1</t>
  </si>
  <si>
    <t>3.1.15.2 No Double Claiming with Other Forms of Environmental Credit (VCS Validation Report v5.0B)</t>
  </si>
  <si>
    <t>VCS Validation Report template v5.0B section 3.1.15.2</t>
  </si>
  <si>
    <t>3.1.15.3 Supply Chain (Scope 3) Emissions (VCS Validation Report v5.0B)</t>
  </si>
  <si>
    <t>VCS Validation Report template v5.0B section 3.1.15.3</t>
  </si>
  <si>
    <t>3.1.17.1 Leakage Management (VCS Validation Report v5.0B)</t>
  </si>
  <si>
    <t>VCS Validation Report template v5.0B section 3.1.17.1</t>
  </si>
  <si>
    <t>3.1.17.2 Sensitive Information (VCS Validation Report v5.0B)</t>
  </si>
  <si>
    <t>VCS Validation Report template v5.0B section 3.1.17.2</t>
  </si>
  <si>
    <t>3.1.17.3 Further Information (VCS Validation Report v5.0B)</t>
  </si>
  <si>
    <t>VCS Validation Report template v5.0B section 3.1.17.3</t>
  </si>
  <si>
    <t>3.3.2.1 Eligibility of Methodology (VCS Validation Report v5.0B)</t>
  </si>
  <si>
    <t>VCS Validation Report template v5.0B section 3.3.2.1</t>
  </si>
  <si>
    <t>3.3.2.2 Applicability condition row (VCS Validation Report v5.0B)</t>
  </si>
  <si>
    <t>One row of the applicability table (VCS Validation Report template v5.0B 3.3.2.2)</t>
  </si>
  <si>
    <t>3.3.2.2 Applicability of Methodology (VCS Validation Report v5.0B)</t>
  </si>
  <si>
    <t>VCS Validation Report template v5.0B section 3.3.2.2</t>
  </si>
  <si>
    <t>3.3.3.1 De Minimis GHG Sources and Carbon Pools (VCS Validation Report v5.0B)</t>
  </si>
  <si>
    <t>VCS Validation Report template v5.0B section 3.3.3.1</t>
  </si>
  <si>
    <t>3.3.4.1 Baseline Reassessment (VCS Validation Report v5.0B)</t>
  </si>
  <si>
    <t>VCS Validation Report template v5.0B section 3.3.4.1</t>
  </si>
  <si>
    <t>3.3.5.1 Regulatory Surplus (VCS Validation Report v5.0B)</t>
  </si>
  <si>
    <t>VCS Validation Report template v5.0B section 3.3.5.1</t>
  </si>
  <si>
    <t>3.3.5.2 Additionality Methods (VCS Validation Report v5.0B)</t>
  </si>
  <si>
    <t>VCS Validation Report template v5.0B section 3.3.5.2</t>
  </si>
  <si>
    <t>3.4.2.1 Non-Permanence Risk Analysis (VCS Validation Report v5.0B)</t>
  </si>
  <si>
    <t>VCS Validation Report template v5.0B section 3.4.2.1</t>
  </si>
  <si>
    <t>3.4.2.2 Buffer Pool Allocation Calculation (VCS Validation Report v5.0B)</t>
  </si>
  <si>
    <t>VCS Validation Report template v5.0B section 3.4.2.2</t>
  </si>
  <si>
    <t>3.4.2.3 Long-Term Average (VCS Validation Report v5.0B)</t>
  </si>
  <si>
    <t>VCS Validation Report template v5.0B section 3.4.2.3</t>
  </si>
  <si>
    <t>4.4.2 Buffer pool allocation row (reductions and removals separated)</t>
  </si>
  <si>
    <t>Buffer pool allocation row - VCS PD template v5.0B 4.4.1.1 (first table)</t>
  </si>
  <si>
    <t>4.4.2 Buffer pool allocation row (reductions and removals not separated)</t>
  </si>
  <si>
    <t>Buffer pool allocation row - VCS PD template v5.0B 4.4.1.1 (second table)</t>
  </si>
  <si>
    <t>4.4.1.1 Buffer Pool Allocation Calculation (VCS PD template v5.0B)</t>
  </si>
  <si>
    <t>VCS PD template v5.0B 4.4.1.1. Applies to AFOLU projects that assess non-permanence risk.</t>
  </si>
  <si>
    <t>Leakage Management (VCS Validation Report v5.0B)</t>
  </si>
  <si>
    <t>VCS Validation Report template v5.0B, section 3.1: Leakage Management</t>
  </si>
  <si>
    <t>Benefit-Sharing Mechanism (Other Rights Holders) (VCS Validation Report v5.0B)</t>
  </si>
  <si>
    <t>VCS Validation Report template v5.0B, section 3.2: Benefit-Sharing Mechanism (Other Rights Holders)</t>
  </si>
  <si>
    <t>Right to Operate and Right to Reductions and Removals (VCS Validation Report v5.0B)</t>
  </si>
  <si>
    <t>VCS Validation Report template v5.0B, section 3.1: Right to Operate and Right to Reductions and Removals</t>
  </si>
  <si>
    <t>Regulatory Surplus (VCS Validation Report v5.0B)</t>
  </si>
  <si>
    <t>VCS Validation Report template v5.0B, section 3.3: Regulatory Surplus</t>
  </si>
  <si>
    <t>Project boundary: carbon pools (AFOLU) row (VCS v5.0B)</t>
  </si>
  <si>
    <t>VCS Validation Report template v5.0B, section 3.3: Project boundary: carbon pools (AFOLU)</t>
  </si>
  <si>
    <t>De minimis quantification per GHG source or carbon pool row (VCS v5.0B)</t>
  </si>
  <si>
    <t>VCS Project Description template v5.0B, section 3.3: De minimis quantification per GHG source or carbon pool</t>
  </si>
  <si>
    <t>Sensitive information row (VCS v5.0B)</t>
  </si>
  <si>
    <t>VCS Project Description template v5.0B, Appendix 1: Sensitive information</t>
  </si>
  <si>
    <t>Laws and other regulatory frameworks row (VCS v5.0B)</t>
  </si>
  <si>
    <t>VCS Project Description template v5.0B, section 1.15: Laws and other regulatory frameworks</t>
  </si>
  <si>
    <t>Deadlines for Participation row (VCS v5.0B)</t>
  </si>
  <si>
    <t>VCS Validation Report template v5.0B, section 3.1: Deadlines for Participation</t>
  </si>
  <si>
    <t>1.13 Evidence of right to operate and right to reductions and removals row (VCS MR v5.0B)</t>
  </si>
  <si>
    <t>VCS Monitoring Report template v5.0B, section 1.13: Evidence of right to operate and right to reductions and removals</t>
  </si>
  <si>
    <t>Grievance Redress Mechanism (VCS Validation Report v5.0B)</t>
  </si>
  <si>
    <t>VCS Validation Report template v5.0B, section 3.2: Grievance Redress Mechanism</t>
  </si>
  <si>
    <t>Laws reviewed for regulatory surplus row (VCS v5.0B)</t>
  </si>
  <si>
    <t>VCS Project Description template v5.0B, section 3.5: Laws reviewed for regulatory surplus</t>
  </si>
  <si>
    <t>Reductions and removals claimed under another GHG program row (VCS v5.0B)</t>
  </si>
  <si>
    <t>VCS Project Description template v5.0B, section 1.16: Reductions and removals claimed under another GHG program</t>
  </si>
  <si>
    <t>Benefit-sharing mechanism row (VCS v5.0B)</t>
  </si>
  <si>
    <t>VCS Monitoring Report template v5.0B, section 2.3: Benefit-sharing mechanism</t>
  </si>
  <si>
    <t>Project Description Deviations (VCS Verification Report v5.0B)</t>
  </si>
  <si>
    <t>VCS Verification Report template v5.0B, section 3.2: Project Description Deviations</t>
  </si>
  <si>
    <t>Ecosystem Restoration (VCS Validation Report v5.0B)</t>
  </si>
  <si>
    <t>VCS Validation Report template v5.0B, section 3.2: Ecosystem Restoration</t>
  </si>
  <si>
    <t>CORSIA Label Eligibility (VCS Verification Report v5.0B)</t>
  </si>
  <si>
    <t>VCS Verification Report template v5.0B, section 4.2: CORSIA Label Eligibility</t>
  </si>
  <si>
    <t>1.7 Evidence of right to operate and right to reductions and removals row (VCS PD v5.0B)</t>
  </si>
  <si>
    <t>VCS Project Description template v5.0B, section 1.7.1: Evidence of right to operate and right to reductions and removals</t>
  </si>
  <si>
    <t>No Double Issuance (VCS Validation Report v5.0B)</t>
  </si>
  <si>
    <t>VCS Validation Report template v5.0B, section 3.1: No Double Issuance</t>
  </si>
  <si>
    <t>3.3 Methodology details row (VCS Validation Report v5.0B)</t>
  </si>
  <si>
    <t>VCS Validation Report template v5.0B, section 3.3: Methodology details</t>
  </si>
  <si>
    <t>Registration with Other GHG Programs (VCS Verification Report v5.0B)</t>
  </si>
  <si>
    <t>VCS Verification Report template v5.0B, section 4.2: Registration with Other GHG Programs</t>
  </si>
  <si>
    <t>Supply Chain (Scope 3) Emissions (VCS Validation Report v5.0B)</t>
  </si>
  <si>
    <t>VCS Validation Report template v5.0B, section 3.1: Supply Chain (Scope 3) Emissions</t>
  </si>
  <si>
    <t>4.4 Buffer pool allocation (reductions and removals separated) row (VCS PD v5.0B)</t>
  </si>
  <si>
    <t>VCS Project Description template v5.0B, section 4.4: Buffer pool allocation (reductions and removals separated)</t>
  </si>
  <si>
    <t>Sensitive Information (VCS Validation Report v5.0B)</t>
  </si>
  <si>
    <t>VCS Validation Report template v5.0B, section 3.1: Sensitive Information</t>
  </si>
  <si>
    <t>1.11 Sustainable development contribution row (VCS MR v5.0B)</t>
  </si>
  <si>
    <t>VCS Monitoring Report template v5.0B, section 1.11: Sustainable development contribution</t>
  </si>
  <si>
    <t>Core Carbon Principles Label Eligibility (VCS Verification Report v5.0B)</t>
  </si>
  <si>
    <t>VCS Verification Report template v5.0B, section 4.2: Core Carbon Principles Label Eligibility</t>
  </si>
  <si>
    <t>Grievance Redress Mechanism (VCS Verification Report v5.0B)</t>
  </si>
  <si>
    <t>VCS Verification Report template v5.0B, section 4.3: Grievance Redress Mechanism</t>
  </si>
  <si>
    <t>3.3 Applicability of methodology row (VCS Validation Report v5.0B)</t>
  </si>
  <si>
    <t>VCS Validation Report template v5.0B, section 3.3: Applicability of methodology</t>
  </si>
  <si>
    <t>Right to Operate and Right to Reductions and Removals (VCS Verification Report v5.0B)</t>
  </si>
  <si>
    <t>VCS Verification Report template v5.0B, section 4.2: Right to Operate and Right to Reductions and Removals</t>
  </si>
  <si>
    <t>Sensitive Information (VCS Verification Report v5.0B)</t>
  </si>
  <si>
    <t>VCS Verification Report template v5.0B, section 4.2: Sensitive Information</t>
  </si>
  <si>
    <t>2.1 Stakeholder consultation and ongoing communication row (VCS PD v5.0B)</t>
  </si>
  <si>
    <t>VCS Project Description template v5.0B, section 2.1: Stakeholder consultation and ongoing communication</t>
  </si>
  <si>
    <t>Methodology details row (VCS PD and MR v5.0B)</t>
  </si>
  <si>
    <t>VCS Project Description template v5.0B, section 3.1: Methodology details</t>
  </si>
  <si>
    <t>Estimated reductions and removals (no non-permanence assessment) row (VCS v5.0B)</t>
  </si>
  <si>
    <t>VCS Project Description template v5.0B, section 4.5: Estimated reductions and removals (no non-permanence assessment)</t>
  </si>
  <si>
    <t>Supply Chain (Scope 3) Emissions (VCS Verification Report v5.0B)</t>
  </si>
  <si>
    <t>VCS Verification Report template v5.0B, section 4.2: Supply Chain (Scope 3) Emissions</t>
  </si>
  <si>
    <t>Baseline Reassessment (VCS Validation Report v5.0B)</t>
  </si>
  <si>
    <t>VCS Validation Report template v5.0B, section 3.3: Baseline Reassessment</t>
  </si>
  <si>
    <t>De Minimis Quantification (VCS Verification Report v5.0B)</t>
  </si>
  <si>
    <t>VCS Verification Report template v5.0B, section 4.4: De Minimis Quantification</t>
  </si>
  <si>
    <t>Document history row (VCS v5.0B)</t>
  </si>
  <si>
    <t>VCS Project Description template v5.0B, Cover: Document history</t>
  </si>
  <si>
    <t>Further Information (VCS Validation Report v5.0B)</t>
  </si>
  <si>
    <t>VCS Validation Report template v5.0B, section 3.1: Further Information</t>
  </si>
  <si>
    <t>Methodology Deviations (VCS Verification Report v5.0B)</t>
  </si>
  <si>
    <t>VCS Verification Report template v5.0B, section 3.1: Methodology Deviations</t>
  </si>
  <si>
    <t>Stakeholder Input Tracker (VCS Verification Report v5.0B)</t>
  </si>
  <si>
    <t>VCS Verification Report template v5.0B, section 4.3: Stakeholder Input Tracker</t>
  </si>
  <si>
    <t>2.2 Stakeholder consultation and ongoing communication row (VCS MR v5.0B)</t>
  </si>
  <si>
    <t>VCS Monitoring Report template v5.0B, section 2.2: Stakeholder consultation and ongoing communication</t>
  </si>
  <si>
    <t>Management Expertise (VCS Validation Report v5.0B)</t>
  </si>
  <si>
    <t>VCS Validation Report template v5.0B, section 3.2: Management Expertise</t>
  </si>
  <si>
    <t>No Double Claiming with Emissions Trading Programs or Binding Emission Limits (VCS Verification Report v5.0B)</t>
  </si>
  <si>
    <t>VCS Verification Report template v5.0B, section 4.2: No Double Claiming with Emissions Trading Programs or Binding Emission Limits</t>
  </si>
  <si>
    <t>Benefit-Sharing for Other Rights Holders (VCS Verification Report v5.0B)</t>
  </si>
  <si>
    <t>VCS Verification Report template v5.0B, section 4.3: Benefit-Sharing for Other Rights Holders</t>
  </si>
  <si>
    <t>Implementation schedule row (VCS v5.0B)</t>
  </si>
  <si>
    <t>VCS Project Description template v5.0B, section 1.13: Implementation schedule</t>
  </si>
  <si>
    <t>Free, Prior, and Informed Consent and Benefit-Sharing (Customary Rights Holders and Indigenous Peoples) (VCS Verification Report v5.0B)</t>
  </si>
  <si>
    <t>VCS Verification Report template v5.0B, section 4.3: Free, Prior, and Informed Consent and Benefit-Sharing (Customary Rights Holders and Indigenous Peoples)</t>
  </si>
  <si>
    <t>Stakeholder Identification (VCS Verification Report v5.0B)</t>
  </si>
  <si>
    <t>VCS Verification Report template v5.0B, section 4.3: Stakeholder Identification</t>
  </si>
  <si>
    <t>Estimated net reductions and removals by vintage row (VCS v5.0B)</t>
  </si>
  <si>
    <t>VCS Project Description template v5.0B, section 1.10: Estimated net reductions and removals by vintage</t>
  </si>
  <si>
    <t>Capacity Limit Eligibility (VCS Validation Report v5.0B)</t>
  </si>
  <si>
    <t>VCS Validation Report template v5.0B, section 3.1: Capacity Limit Eligibility</t>
  </si>
  <si>
    <t>Environmental, Social, and Governance Risk Assessment (VCS Validation Report v5.0B)</t>
  </si>
  <si>
    <t>VCS Validation Report template v5.0B, section 3.2: Environmental, Social, and Governance Risk Assessment</t>
  </si>
  <si>
    <t>Land or Resource Rights Analysis (VCS Validation Report v5.0B)</t>
  </si>
  <si>
    <t>VCS Validation Report template v5.0B, section 3.1: Land or Resource Rights Analysis</t>
  </si>
  <si>
    <t>Eligibility criteria per eligibility area row (VCS v5.0B)</t>
  </si>
  <si>
    <t>VCS Project Description template v5.0B, section 1.11: Eligibility criteria per eligibility area</t>
  </si>
  <si>
    <t>Stakeholder Input Tracker (VCS Validation Report v5.0B)</t>
  </si>
  <si>
    <t>VCS Validation Report template v5.0B, section 3.2: Stakeholder Input Tracker</t>
  </si>
  <si>
    <t>Stakeholder Consultation and Ongoing Communication (VCS Verification Report v5.0B)</t>
  </si>
  <si>
    <t>VCS Verification Report template v5.0B, section 4.3: Stakeholder Consultation and Ongoing Communication</t>
  </si>
  <si>
    <t>No Double Claiming with Emissions Trading Programs or Binding Emission Limits (VCS Validation Report v5.0B)</t>
  </si>
  <si>
    <t>VCS Validation Report template v5.0B, section 3.1: No Double Claiming with Emissions Trading Programs or Binding Emission Limits</t>
  </si>
  <si>
    <t>Project activity instances row (VCS v5.0B)</t>
  </si>
  <si>
    <t>VCS Project Description template v5.0B, section 1.11: Project activity instances</t>
  </si>
  <si>
    <t>Baseline Reassessment (VCS Verification Report v5.0B)</t>
  </si>
  <si>
    <t>VCS Verification Report template v5.0B, section 3.4: Baseline Reassessment</t>
  </si>
  <si>
    <t>Technology, system, or equipment row (VCS v5.0B)</t>
  </si>
  <si>
    <t>VCS Project Description template v5.0B, section 1.13: Technology, system, or equipment</t>
  </si>
  <si>
    <t>Stakeholder Consultation and Ongoing Communication (VCS Validation Report v5.0B)</t>
  </si>
  <si>
    <t>VCS Validation Report template v5.0B, section 3.2: Stakeholder Consultation and Ongoing Communication</t>
  </si>
  <si>
    <t>De Minimis GHG Sources and Carbon Pools (VCS Validation Report v5.0B)</t>
  </si>
  <si>
    <t>VCS Validation Report template v5.0B, section 3.3: De Minimis GHG Sources and Carbon Pools</t>
  </si>
  <si>
    <t>Management Expertise (VCS Verification Report v5.0B)</t>
  </si>
  <si>
    <t>VCS Verification Report template v5.0B, section 4.3: Management Expertise</t>
  </si>
  <si>
    <t>Registration with Other GHG Programs (VCS Validation Report v5.0B)</t>
  </si>
  <si>
    <t>VCS Validation Report template v5.0B, section 3.1: Registration with Other GHG Programs</t>
  </si>
  <si>
    <t>Environmental, Social, and Governance Risk Monitoring (VCS Verification Report v5.0B)</t>
  </si>
  <si>
    <t>VCS Verification Report template v5.0B, section 4.3: Environmental, Social, and Governance Risk Monitoring</t>
  </si>
  <si>
    <t>Deadlines for Participation (VCS Validation Report v5.0B)</t>
  </si>
  <si>
    <t>Ex-ante vs ex-post comparison row (VCS v5.0B)</t>
  </si>
  <si>
    <t>VCS Monitoring Report template v5.0B, section 5.5: Ex-ante vs ex-post comparison</t>
  </si>
  <si>
    <t>De minimis comparison period row (VCS v5.0B)</t>
  </si>
  <si>
    <t>VCS Project Description template v5.0B, section 3.3: De minimis comparison period</t>
  </si>
  <si>
    <t>3.2 Applicability of methodology row (VCS PD v5.0B)</t>
  </si>
  <si>
    <t>VCS Project Description template v5.0B, section 3.2: Applicability of methodology</t>
  </si>
  <si>
    <t>No Double Issuance (VCS Verification Report v5.0B)</t>
  </si>
  <si>
    <t>VCS Verification Report template v5.0B, section 4.2: No Double Issuance</t>
  </si>
  <si>
    <t>General implementation status row (VCS v5.0B)</t>
  </si>
  <si>
    <t>VCS Monitoring Report template v5.0B, section 3.2: General implementation status</t>
  </si>
  <si>
    <t>Non-permanence risk rating row (VCS v5.0B)</t>
  </si>
  <si>
    <t>VCS Project Description template v5.0B, section 4.4: Non-permanence risk rating</t>
  </si>
  <si>
    <t>Grouped project eligibility areas row (VCS v5.0B)</t>
  </si>
  <si>
    <t>VCS Project Description template v5.0B, section 1.11: Grouped project eligibility areas</t>
  </si>
  <si>
    <t>Document review details row (VCS v5.0B)</t>
  </si>
  <si>
    <t>VCS Validation Report template v5.0B, section 2.2: Document review details</t>
  </si>
  <si>
    <t>Stakeholder Identification (VCS Validation Report v5.0B)</t>
  </si>
  <si>
    <t>VCS Validation Report template v5.0B, section 3.2: Stakeholder Identification</t>
  </si>
  <si>
    <t>Eligibility of Projects Registered with Other GHG Programs (VCS Validation Report v5.0B)</t>
  </si>
  <si>
    <t>VCS Validation Report template v5.0B, section 3.1: Eligibility of Projects Registered with Other GHG Programs</t>
  </si>
  <si>
    <t>New Project Activity Instances in Grouped Projects (VCS Verification Report v5.0B)</t>
  </si>
  <si>
    <t>VCS Verification Report template v5.0B, section 3.3: New Project Activity Instances in Grouped Projects</t>
  </si>
  <si>
    <t>Free, prior, and informed consent row (VCS v5.0B)</t>
  </si>
  <si>
    <t>VCS Monitoring Report template v5.0B, section 2.2: Free, prior, and informed consent</t>
  </si>
  <si>
    <t>Methodology deviation row (VCS v5.0B)</t>
  </si>
  <si>
    <t>VCS Project Description template v5.0B, section 3.6: Methodology deviation</t>
  </si>
  <si>
    <t>Project boundary: GHG sources and sinks row (VCS v5.0B)</t>
  </si>
  <si>
    <t>VCS Validation Report template v5.0B, section 3.3: Project boundary: GHG sources and sinks</t>
  </si>
  <si>
    <t>Additionality Methods (VCS Validation Report v5.0B)</t>
  </si>
  <si>
    <t>VCS Validation Report template v5.0B, section 3.3: Additionality Methods</t>
  </si>
  <si>
    <t>Project description deviation row (VCS v5.0B)</t>
  </si>
  <si>
    <t>VCS Monitoring Report template v5.0B, section 3.4: Project description deviation</t>
  </si>
  <si>
    <t>Land or Resource Rights Analysis (VCS Verification Report v5.0B)</t>
  </si>
  <si>
    <t>VCS Verification Report template v5.0B, section 4.2: Land or Resource Rights Analysis</t>
  </si>
  <si>
    <t>VCS Monitoring Report template v5.0B, section 3.2: Loss events</t>
  </si>
  <si>
    <t>5.4 Buffer pool allocation (reductions and removals separated) row (VCS MR v5.0B)</t>
  </si>
  <si>
    <t>VCS Monitoring Report template v5.0B, section 5.4: Buffer pool allocation (reductions and removals separated)</t>
  </si>
  <si>
    <t>Free, Prior, and Informed Consent and Benefit-Sharing (Customary Rights Holders and Indigenous Peoples) (VCS Validation Report v5.0B)</t>
  </si>
  <si>
    <t>VCS Validation Report template v5.0B, section 3.2: Free, Prior, and Informed Consent and Benefit-Sharing (Customary Rights Holders and Indigenous Peoples)</t>
  </si>
  <si>
    <t>1.18 Sustainable development contribution row (VCS PD v5.0B)</t>
  </si>
  <si>
    <t>VCS Project Description template v5.0B, section 1.18: Sustainable development contribution</t>
  </si>
  <si>
    <t>Document history row (VVB Verification Report, VCS v5.0B)</t>
  </si>
  <si>
    <t>VVB Verification Report template v5.0B, cover page: Document history</t>
  </si>
  <si>
    <t>5.4 Buffer pool allocation (combined) row (VCS MR v5.0B)</t>
  </si>
  <si>
    <t>VCS Monitoring Report template v5.0B, section 5.4: Buffer pool allocation (combined)</t>
  </si>
  <si>
    <t>Document history row (Validation Report, VCS v5.0B)</t>
  </si>
  <si>
    <t>Validation Report template v5.0B, cover page: Document history</t>
  </si>
  <si>
    <t>Document history row (VCS Monitoring Report, VCS v5.0B)</t>
  </si>
  <si>
    <t>VCS Monitoring Report template v5.0B, cover page: Document history</t>
  </si>
  <si>
    <t>VT0010 grid load row (load L; Scenarios A and B)</t>
  </si>
  <si>
    <t>Verra VT0010 v1.1 Eq.(5), (7)-(9): one row per electricity load L</t>
  </si>
  <si>
    <t>TOOL03 fuel combustion row (fuel i, source j)</t>
  </si>
  <si>
    <t>CDM TOOL03 Eq.(1)-(4): one row per fuel type i and combustion source j; PE_FF,y = SUM FC_i,j,y x COEF_i,y</t>
  </si>
  <si>
    <t>VT0010 shared plant fuel row (plant n, fuel f; Scenario C)</t>
  </si>
  <si>
    <t>Verra VT0010 v1.1 Eq.(11), (13), (14): one row per fuel f of each shared power plant n; plant values are read from the first row of the plant</t>
  </si>
  <si>
    <t>Enum Name</t>
  </si>
  <si>
    <t>Loaded to IPFS</t>
  </si>
  <si>
    <t>Value</t>
  </si>
  <si>
    <t>Limited assurance</t>
  </si>
  <si>
    <t>CL</t>
  </si>
  <si>
    <t>FAR</t>
  </si>
  <si>
    <t>Verified with reservations</t>
  </si>
  <si>
    <t>Not verified</t>
  </si>
  <si>
    <t>Met - recontamination measures are in place</t>
  </si>
  <si>
    <t>Not met</t>
  </si>
  <si>
    <t>Met - well standards and protection demonstrated</t>
  </si>
  <si>
    <t>Met - a network exists but does not supply SDW (footnote 4)</t>
  </si>
  <si>
    <t>Not applicable - rated life is not shorter than the crediting period</t>
  </si>
  <si>
    <t>Not assessed</t>
  </si>
  <si>
    <t>Meter or flow record</t>
  </si>
  <si>
    <t>Laboratory report</t>
  </si>
  <si>
    <t>Photograph or video</t>
  </si>
  <si>
    <t>Survey form or dataset</t>
  </si>
  <si>
    <t>Maintenance record</t>
  </si>
  <si>
    <t>Contract or agreement</t>
  </si>
  <si>
    <t>Official document</t>
  </si>
  <si>
    <t>Other</t>
  </si>
  <si>
    <t>A2.1.2</t>
  </si>
  <si>
    <t>A2.1.3</t>
  </si>
  <si>
    <t>A2.1.5</t>
  </si>
  <si>
    <t>A2.2.1</t>
  </si>
  <si>
    <t>A2.2.2</t>
  </si>
  <si>
    <t>A2.2.3</t>
  </si>
  <si>
    <t>A2.2.4</t>
  </si>
  <si>
    <t>Per fuel, device type or project section (values in the linked methodology table)</t>
  </si>
  <si>
    <t>Calculation of baseline emissions</t>
  </si>
  <si>
    <t>Calculation of project emissions</t>
  </si>
  <si>
    <t>Calculation of leakage</t>
  </si>
  <si>
    <t>Applicability / eligibility</t>
  </si>
  <si>
    <t>Eq.(4) - project-specific T_i, WH, T_f or WHE</t>
  </si>
  <si>
    <t>Option B - net calorific value x CO2 emission factor (TOOL03 Eq.(4))</t>
  </si>
  <si>
    <t>Volume unit</t>
  </si>
  <si>
    <t>Dedicated power plant supplying the project (VT0010 Scenario D1 off-grid or D2 back-up; VT0010 s5.4.1.1 uses TOOL03)</t>
  </si>
  <si>
    <t>Other combustion source within the project boundary</t>
  </si>
  <si>
    <t>Option 2.1 - capacity x usage time (AMS-III.AV Eq.(2))</t>
  </si>
  <si>
    <t>Option 2.2 - population x volume per person (AMS-III.AV Eq.(3))</t>
  </si>
  <si>
    <t>Standard vessel</t>
  </si>
  <si>
    <t>Continuous kiosk flow meter</t>
  </si>
  <si>
    <t>Evidence type: Kind of evidence (1)</t>
  </si>
  <si>
    <t>Statistically valid sample, metered continuously (AMS-III.AV table 10(a), first option)</t>
  </si>
  <si>
    <t>Statistically valid sample, metered over a representative period (AMS-III.AV table 10(a), second option)</t>
  </si>
  <si>
    <t>Water kiosk, continuous flow meter or standard vessel (AMS-III.AV table 10(b))</t>
  </si>
  <si>
    <t>BL_fuel,i</t>
  </si>
  <si>
    <t>Discount (survey year 1-2 and precision &lt;= 15 %)</t>
  </si>
  <si>
    <t>Collect more data before crediting</t>
  </si>
  <si>
    <t>Charcoal (combustion only)</t>
  </si>
  <si>
    <t>Charcoal (combustion + production)</t>
  </si>
  <si>
    <t>Option 2 - TOOL30 calculated value x (1 - 0.26)</t>
  </si>
  <si>
    <t>Option 3 - latest TOOL33 default (national Table 3 / regional Table 2)</t>
  </si>
  <si>
    <t>Draft (to be replaced by approved value)</t>
  </si>
  <si>
    <t>Table 2 - regional default</t>
  </si>
  <si>
    <t>Project survey</t>
  </si>
  <si>
    <t>Evidence type: Kind of evidence (2)</t>
  </si>
  <si>
    <t>Fixed (20-100 years)</t>
  </si>
  <si>
    <t>Para 2: water kiosks using solar disinfection: AMS-III.AV v09.0 para 2: a water kiosk using solar disinfection must implement measures to prevent recontamination (e.g. disinfecting and sealing containers, hygiene training). (1)</t>
  </si>
  <si>
    <t>Para 3: soil filtration schemes (boreholes, wells): AMS-III.AV v09.0 para 3: show ex ante that rehabilitation or construction of the wells complies with national and/or international standards and that water and well are protected from contamination. (1)</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</si>
  <si>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(1)</t>
  </si>
  <si>
    <t>Para 4(b): technology meets the performance standard: AMS-III.AV v09.0 para 4(b): laboratory testing or an official notification shows the technology meets the WHO Comprehensive Protection target (WHO 2011, 2014) or an applicable national standard based on challenge-water testing. (1)</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</si>
  <si>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(1)</t>
  </si>
  <si>
    <t>Para 4(d): appliances meet the standard and deliver microbiologically safe water: AMS-III.AV v09.0 para 4(d): the project appliances use technologies meeting the para 4(b) standard and deliver microbiologically safe drinking water. (1)</t>
  </si>
  <si>
    <t>VMR0015 s4: REDD+ double-counting assessment: VMR0015 v1.0 section 4: assess at validation and at crediting period renewal whether REDD+ projects or jurisdictional REDD+ programmes overlap the expected fuel source area, and report the findings (table below). (1)</t>
  </si>
  <si>
    <t>Evidence type: Kind of evidence (3)</t>
  </si>
  <si>
    <t>Value basis (1)</t>
  </si>
  <si>
    <t>Purpose of data (1)</t>
  </si>
  <si>
    <t>SEC equation (1)</t>
  </si>
  <si>
    <t>TOOL03 COEF option: Option A (preferred if data are available): COEF = w_C x 44/12 (mass unit, Eq.2) or w_C x rho x 44/12 (volume unit, Eq.3). Option B: COEF = NCV x EF_CO2 (Eq.4). Empty = Option A when w_C &gt; 0, otherwise Option B. (1)</t>
  </si>
  <si>
    <t>FC_i,j,y is measured in: TOOL03 Eq.(2)/(3): select the unit basis of FC_i,j,y; the density rho_i,y is used only for volume units. (1)</t>
  </si>
  <si>
    <t>Source type: Purpose of the source (1)</t>
  </si>
  <si>
    <t>TOOL03 COEF option: Option A: COEF = w_C x 44/12 (mass, Eq.(2)) or w_C x rho x 44/12 (volume, Eq.(3)); Option B: COEF = NCV x EF_CO2 (Eq.(4)) (1)</t>
  </si>
  <si>
    <t>FC_i,j,y is measured in: Mass or volume unit (1)</t>
  </si>
  <si>
    <t>Point-of-entry (POE) building device</t>
  </si>
  <si>
    <t>Community kiosk / centralized purification facility</t>
  </si>
  <si>
    <t>Fossil fuel</t>
  </si>
  <si>
    <t>Kerosene</t>
  </si>
  <si>
    <t>LPG</t>
  </si>
  <si>
    <t>Coal</t>
  </si>
  <si>
    <t>Other fossil fuel</t>
  </si>
  <si>
    <t>Other woody-biomass device (table 4(b) default 0.2)</t>
  </si>
  <si>
    <t>Fossil-fuel device (table 4(c) default 0.5)</t>
  </si>
  <si>
    <t>Charcoal device (value from sampling/literature, table 4(a))</t>
  </si>
  <si>
    <t>Other device (value from sampling/literature, table 4(a))</t>
  </si>
  <si>
    <t>2 - Regional or national default</t>
  </si>
  <si>
    <t>3 - IPCC default (values printed in VMR0015 s9.1)</t>
  </si>
  <si>
    <t>Sampling / literature (table 4 option (a))</t>
  </si>
  <si>
    <t>Improved cookstove / thermal technology used for some boiling</t>
  </si>
  <si>
    <t>Improved cookstove / thermal technology used for all boiling</t>
  </si>
  <si>
    <t>Applies to fuel type (1)</t>
  </si>
  <si>
    <t>fNRB option (VMR0015 s9.2) (1)</t>
  </si>
  <si>
    <t>Option 1: status (1)</t>
  </si>
  <si>
    <t>Option 3: TOOL33 table used (1)</t>
  </si>
  <si>
    <t>Survey-based value (90/30)</t>
  </si>
  <si>
    <t>TOOL21 (max annual ER &lt;= 60 000 t CO2e)</t>
  </si>
  <si>
    <t>TOOL19 (max annual ER &lt;= 20 000 t CO2e; LDC/SIDS/SUZ location route)</t>
  </si>
  <si>
    <t>Benchmark analysis</t>
  </si>
  <si>
    <t>Investment comparison</t>
  </si>
  <si>
    <t>Simple cost analysis</t>
  </si>
  <si>
    <t>SIDS</t>
  </si>
  <si>
    <t>SUZ</t>
  </si>
  <si>
    <t>Survey: Baseline or project survey questionnaire (1)</t>
  </si>
  <si>
    <t>Para 2: water kiosks using solar disinfection: AMS-III.AV v09.0 para 2: a water kiosk using solar disinfection must implement measures to prevent recontamination (e.g. disinfecting and sealing containers, hygiene training). (2)</t>
  </si>
  <si>
    <t>Para 3: soil filtration schemes (boreholes, wells): AMS-III.AV v09.0 para 3: show ex ante that rehabilitation or construction of the wells complies with national and/or international standards and that water and well are protected from contamination. (2)</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</si>
  <si>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(2)</t>
  </si>
  <si>
    <t>Para 4(b): technology meets the performance standard: AMS-III.AV v09.0 para 4(b): laboratory testing or an official notification shows the technology meets the WHO Comprehensive Protection target (WHO 2011, 2014) or an applicable national standard based on challenge-water testing. (2)</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</si>
  <si>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(2)</t>
  </si>
  <si>
    <t>Para 4(d): appliances meet the standard and deliver microbiologically safe water: AMS-III.AV v09.0 para 4(d): the project appliances use technologies meeting the para 4(b) standard and deliver microbiologically safe drinking water. (2)</t>
  </si>
  <si>
    <t>VMR0015 s4: REDD+ double-counting assessment: VMR0015 v1.0 section 4: assess at validation and at crediting period renewal whether REDD+ projects or jurisdictional REDD+ programmes overlap the expected fuel source area, and report the findings (table below). (2)</t>
  </si>
  <si>
    <t>Evidence type: Kind of evidence (4)</t>
  </si>
  <si>
    <t>Crediting period length: VCS PD 1.9: five-year renewable or fixed 20-100 years (1)</t>
  </si>
  <si>
    <t>Type (1)</t>
  </si>
  <si>
    <t>Validated with reservations</t>
  </si>
  <si>
    <t>Not validated</t>
  </si>
  <si>
    <t>Type of finding (1)</t>
  </si>
  <si>
    <t>Appendix 2 table: e.g. A2.1.1, A2.2.4 (1)</t>
  </si>
  <si>
    <t>Evidence type: Kind of evidence (5)</t>
  </si>
  <si>
    <t>Evidence type: Kind of evidence (6)</t>
  </si>
  <si>
    <t>Fuel category: Discriminator: NRB (woody biomass / charcoal) or fossil fuel. Fossil fuel forces f_NRB = 1. (1)</t>
  </si>
  <si>
    <t>Fuel type i (1)</t>
  </si>
  <si>
    <t>Baseline device type k: Device on which the fuel is used for boiling drinking water (1)</t>
  </si>
  <si>
    <t>Emission factor source (VMR0015 s9.1 order of preference) (1)</t>
  </si>
  <si>
    <t>Device type d (1)</t>
  </si>
  <si>
    <t>eta_d source (1)</t>
  </si>
  <si>
    <t>Device type d (2)</t>
  </si>
  <si>
    <t>eta_d source (2)</t>
  </si>
  <si>
    <t>Interactive-effects item (VMR0015 s9.3(1)): Use of improved thermal technology alongside the SDW device; results applied proportionally across households (1)</t>
  </si>
  <si>
    <t>Technology (1)</t>
  </si>
  <si>
    <t>QPW determination option (AMS-III.AV paras 15-18) (1)</t>
  </si>
  <si>
    <t>Fuel category: Discriminator: NRB (woody biomass / charcoal) or fossil fuel. Fossil fuel forces f_NRB = 1. (2)</t>
  </si>
  <si>
    <t>Fuel type i (2)</t>
  </si>
  <si>
    <t>Baseline device type k: Device on which the fuel is used for boiling drinking water (2)</t>
  </si>
  <si>
    <t>Emission factor source (VMR0015 s9.1 order of preference) (2)</t>
  </si>
  <si>
    <t>Device type d (3)</t>
  </si>
  <si>
    <t>eta_d source (3)</t>
  </si>
  <si>
    <t>Interactive-effects item (VMR0015 s9.3(1)): Use of improved thermal technology alongside the SDW device; results applied proportionally across households (2)</t>
  </si>
  <si>
    <t>Measurement method (1)</t>
  </si>
  <si>
    <t>Evidence type: Kind of evidence (7)</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</si>
  <si>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(1)</t>
  </si>
  <si>
    <t>Evidence type: Kind of evidence (8)</t>
  </si>
  <si>
    <t>Sampled parameter (1)</t>
  </si>
  <si>
    <t>Remedy if precision not met (1)</t>
  </si>
  <si>
    <t>Evidence type: Kind of evidence (9)</t>
  </si>
  <si>
    <t>Applies to fuel type (2)</t>
  </si>
  <si>
    <t>fNRB option (VMR0015 s9.2) (2)</t>
  </si>
  <si>
    <t>Option 1: status (2)</t>
  </si>
  <si>
    <t>Option 3: TOOL33 table used (2)</t>
  </si>
  <si>
    <t>Evidence type: Kind of evidence (10)</t>
  </si>
  <si>
    <t>Adj_LE route (1)</t>
  </si>
  <si>
    <t>Additionality tool (1)</t>
  </si>
  <si>
    <t>Investment analysis applied (1)</t>
  </si>
  <si>
    <t>TOOL19 para 13(a) location (LDC / SIDS / SUZ) (1)</t>
  </si>
  <si>
    <t>Value basis (2)</t>
  </si>
  <si>
    <t>Purpose of data (2)</t>
  </si>
  <si>
    <t>Value basis (3)</t>
  </si>
  <si>
    <t>Purpose of data (3)</t>
  </si>
  <si>
    <t>Value basis (4)</t>
  </si>
  <si>
    <t>Purpose of data (4)</t>
  </si>
  <si>
    <t>Value basis (5)</t>
  </si>
  <si>
    <t>Purpose of data (5)</t>
  </si>
  <si>
    <t>SEC equation (2)</t>
  </si>
  <si>
    <t>Value basis (6)</t>
  </si>
  <si>
    <t>Purpose of data (6)</t>
  </si>
  <si>
    <t>Value basis (7)</t>
  </si>
  <si>
    <t>Purpose of data (7)</t>
  </si>
  <si>
    <t>Value basis (8)</t>
  </si>
  <si>
    <t>Purpose of data (8)</t>
  </si>
  <si>
    <t>Value basis (9)</t>
  </si>
  <si>
    <t>Purpose of data (9)</t>
  </si>
  <si>
    <t>Value basis (10)</t>
  </si>
  <si>
    <t>Purpose of data (10)</t>
  </si>
  <si>
    <t>TOOL03 COEF option: Option A (preferred if data are available): COEF = w_C x 44/12 (mass unit, Eq.2) or w_C x rho x 44/12 (volume unit, Eq.3). Option B: COEF = NCV x EF_CO2 (Eq.4). Empty = Option A when w_C &gt; 0, otherwise Option B. (2)</t>
  </si>
  <si>
    <t>FC_i,j,y is measured in: TOOL03 Eq.(2)/(3): select the unit basis of FC_i,j,y; the density rho_i,y is used only for volume units. (2)</t>
  </si>
  <si>
    <t>Source type: Purpose of the source (2)</t>
  </si>
  <si>
    <t>TOOL03 COEF option: Option A: COEF = w_C x 44/12 (mass, Eq.(2)) or w_C x rho x 44/12 (volume, Eq.(3)); Option B: COEF = NCV x EF_CO2 (Eq.(4)) (2)</t>
  </si>
  <si>
    <t>FC_i,j,y is measured in: Mass or volume unit (2)</t>
  </si>
  <si>
    <t>Value basis (11)</t>
  </si>
  <si>
    <t>Purpose of data (11)</t>
  </si>
  <si>
    <t>Value basis (12)</t>
  </si>
  <si>
    <t>Purpose of data (12)</t>
  </si>
  <si>
    <t>Value basis (13)</t>
  </si>
  <si>
    <t>Purpose of data (13)</t>
  </si>
  <si>
    <t>Value basis (14)</t>
  </si>
  <si>
    <t>Purpose of data (14)</t>
  </si>
  <si>
    <t>TOOL03 COEF option: Option A (preferred if data are available): COEF = w_C x 44/12 (mass unit, Eq.2) or w_C x rho x 44/12 (volume unit, Eq.3). Option B: COEF = NCV x EF_CO2 (Eq.4). Empty = Option A when w_C &gt; 0, otherwise Option B. (3)</t>
  </si>
  <si>
    <t>FC_i,j,y is measured in: TOOL03 Eq.(2)/(3): select the unit basis of FC_i,j,y; the density rho_i,y is used only for volume units. (3)</t>
  </si>
  <si>
    <t>Source type: Purpose of the source (3)</t>
  </si>
  <si>
    <t>TOOL03 COEF option: Option A: COEF = w_C x 44/12 (mass, Eq.(2)) or w_C x rho x 44/12 (volume, Eq.(3)); Option B: COEF = NCV x EF_CO2 (Eq.(4)) (3)</t>
  </si>
  <si>
    <t>FC_i,j,y is measured in: Mass or volume unit (3)</t>
  </si>
  <si>
    <t>Value basis (15)</t>
  </si>
  <si>
    <t>Purpose of data (15)</t>
  </si>
  <si>
    <t>Value basis (16)</t>
  </si>
  <si>
    <t>Purpose of data (16)</t>
  </si>
  <si>
    <t>SEC equation (3)</t>
  </si>
  <si>
    <t>Source type: Purpose of the source (4)</t>
  </si>
  <si>
    <t>TOOL03 COEF option: Option A: COEF = w_C x 44/12 (mass, Eq.(2)) or w_C x rho x 44/12 (volume, Eq.(3)); Option B: COEF = NCV x EF_CO2 (Eq.(4)) (4)</t>
  </si>
  <si>
    <t>FC_i,j,y is measured in: Mass or volume unit (4)</t>
  </si>
  <si>
    <t>Source type: Purpose of the source (5)</t>
  </si>
  <si>
    <t>TOOL03 COEF option: Option A: COEF = w_C x 44/12 (mass, Eq.(2)) or w_C x rho x 44/12 (volume, Eq.(3)); Option B: COEF = NCV x EF_CO2 (Eq.(4)) (5)</t>
  </si>
  <si>
    <t>FC_i,j,y is measured in: Mass or volume unit (5)</t>
  </si>
  <si>
    <t>QPW determination option (as validated) (1)</t>
  </si>
  <si>
    <t>Measurement method (2)</t>
  </si>
  <si>
    <t>Evidence type: Kind of evidence (11)</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</si>
  <si>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(2)</t>
  </si>
  <si>
    <t>Sampled parameter (2)</t>
  </si>
  <si>
    <t>Remedy if precision not met (2)</t>
  </si>
  <si>
    <t>Applies to fuel type (3)</t>
  </si>
  <si>
    <t>fNRB option (VMR0015 s9.2) (3)</t>
  </si>
  <si>
    <t>Option 1: status (3)</t>
  </si>
  <si>
    <t>Option 3: TOOL33 table used (3)</t>
  </si>
  <si>
    <t>Evidence type: Kind of evidence (12)</t>
  </si>
  <si>
    <t>Survey: Baseline or project survey questionnaire (2)</t>
  </si>
  <si>
    <t>Evidence type: Kind of evidence (13)</t>
  </si>
  <si>
    <t>Survey: Baseline or project survey questionnaire (3)</t>
  </si>
  <si>
    <t>Large project (&gt; 300 000 t CO2e/yr)</t>
  </si>
  <si>
    <t>Type (2)</t>
  </si>
  <si>
    <t>Type (3)</t>
  </si>
  <si>
    <t>Type (4)</t>
  </si>
  <si>
    <t>Type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</si>
</sst>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sz val="11"/>
    </font>
    <font>
      <u/>
      <color rgb="FF0000FF"/>
      <sz val="11"/>
    </font>
  </fonts>
  <fills count="8">
    <fill>
      <patternFill patternType="none"/>
    </fill>
    <fill>
      <patternFill patternType="gray125"/>
    </fill>
    <fill>
      <patternFill patternType="solid">
        <fgColor rgb="FFD8E4BC"/>
      </patternFill>
    </fill>
    <fill>
      <patternFill patternType="solid">
        <fgColor rgb="FFFFFFFF"/>
      </patternFill>
    </fill>
    <fill>
      <patternFill patternType="solid">
        <fgColor rgb="FFFABF8F"/>
      </patternFill>
    </fill>
    <fill>
      <patternFill patternType="solid">
        <fgColor rgb="FFFDE9D9"/>
      </patternFill>
    </fill>
    <fill>
      <patternFill patternType="solid">
        <fgColor rgb="FFF2F2F2"/>
      </patternFill>
    </fill>
    <fill>
      <patternFill patternType="solid">
        <fgColor rgb="FFE2E2E2"/>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BBBBBB"/>
      </bottom>
      <diagonal/>
    </border>
    <border>
      <left style="dashed">
        <color rgb="FF888888"/>
      </left>
      <right style="dashed">
        <color rgb="FF888888"/>
      </right>
      <top/>
      <bottom style="thin">
        <color rgb="FFBBBBBB"/>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0" fontId="1" fillId="2" borderId="1" xfId="0" applyFont="1" applyFill="1" applyBorder="1"/>
    <xf numFmtId="0" fontId="2" fillId="3" borderId="1" xfId="0" applyFont="1" applyFill="1" applyBorder="1" applyAlignment="1">
      <alignment wrapText="1"/>
    </xf>
    <xf numFmtId="0" fontId="1" fillId="4" borderId="1" xfId="0" applyFont="1" applyFill="1" applyBorder="1"/>
    <xf numFmtId="0" fontId="2" fillId="5" borderId="2" xfId="0" applyFont="1" applyFill="1" applyBorder="1" applyAlignment="1">
      <alignment wrapText="1"/>
    </xf>
    <xf numFmtId="0" fontId="3" fillId="5" borderId="2" xfId="0" applyFont="1" applyFill="1" applyBorder="1" applyAlignment="1">
      <alignment wrapText="1"/>
    </xf>
    <xf numFmtId="0" fontId="2" fillId="6" borderId="3" xfId="0" applyFont="1" applyFill="1" applyBorder="1" applyAlignment="1">
      <alignment wrapText="1"/>
    </xf>
    <xf numFmtId="0" fontId="2" fillId="7" borderId="3" xfId="0" applyFont="1" applyFill="1" applyBorder="1" applyAlignment="1">
      <alignment wrapText="1"/>
    </xf>
    <xf numFmtId="0" fontId="3" fillId="7" borderId="3" xfId="0" applyFont="1" applyFill="1" applyBorder="1" applyAlignment="1">
      <alignment wrapText="1"/>
    </xf>
    <xf numFmtId="0" fontId="2" fillId="5" borderId="2" xfId="0" applyFont="1" applyFill="1" applyBorder="1" applyAlignment="1"/>
    <xf numFmtId="0" fontId="2" fillId="6" borderId="3" xfId="0" applyFont="1" applyFill="1" applyBorder="1" applyAlignment="1"/>
    <xf numFmtId="0" fontId="3" fillId="6" borderId="3" xfId="0" applyFont="1" applyFill="1" applyBorder="1" applyAlignment="1">
      <alignment wrapText="1"/>
    </xf>
    <xf numFmtId="0" fontId="1" fillId="0" borderId="1" xfId="0" applyFont="1" applyBorder="1"/>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 Id="rId401" Type="http://schemas.openxmlformats.org/officeDocument/2006/relationships/worksheet" Target="worksheets/sheet398.xml"/><Relationship Id="rId402" Type="http://schemas.openxmlformats.org/officeDocument/2006/relationships/worksheet" Target="worksheets/sheet399.xml"/><Relationship Id="rId403" Type="http://schemas.openxmlformats.org/officeDocument/2006/relationships/worksheet" Target="worksheets/sheet400.xml"/><Relationship Id="rId404" Type="http://schemas.openxmlformats.org/officeDocument/2006/relationships/worksheet" Target="worksheets/sheet401.xml"/><Relationship Id="rId405" Type="http://schemas.openxmlformats.org/officeDocument/2006/relationships/worksheet" Target="worksheets/sheet402.xml"/><Relationship Id="rId406" Type="http://schemas.openxmlformats.org/officeDocument/2006/relationships/worksheet" Target="worksheets/sheet403.xml"/><Relationship Id="rId407" Type="http://schemas.openxmlformats.org/officeDocument/2006/relationships/worksheet" Target="worksheets/sheet404.xml"/><Relationship Id="rId408" Type="http://schemas.openxmlformats.org/officeDocument/2006/relationships/worksheet" Target="worksheets/sheet405.xml"/><Relationship Id="rId409" Type="http://schemas.openxmlformats.org/officeDocument/2006/relationships/worksheet" Target="worksheets/sheet406.xml"/><Relationship Id="rId410" Type="http://schemas.openxmlformats.org/officeDocument/2006/relationships/worksheet" Target="worksheets/sheet407.xml"/><Relationship Id="rId411" Type="http://schemas.openxmlformats.org/officeDocument/2006/relationships/worksheet" Target="worksheets/sheet408.xml"/><Relationship Id="rId412" Type="http://schemas.openxmlformats.org/officeDocument/2006/relationships/worksheet" Target="worksheets/sheet409.xml"/><Relationship Id="rId413" Type="http://schemas.openxmlformats.org/officeDocument/2006/relationships/worksheet" Target="worksheets/sheet410.xml"/><Relationship Id="rId414" Type="http://schemas.openxmlformats.org/officeDocument/2006/relationships/worksheet" Target="worksheets/sheet411.xml"/><Relationship Id="rId415" Type="http://schemas.openxmlformats.org/officeDocument/2006/relationships/worksheet" Target="worksheets/sheet4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apos;Reductions and removals claime&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Estimated net reductions and r&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5.2.1 GHG Data Collection and&apos;!A1" TargetMode="External"/><Relationship Id="rId2" Type="http://schemas.openxmlformats.org/officeDocument/2006/relationships/hyperlink" Target="#&apos;5.2.2 Procedures for Calibrati&apos;!A1" TargetMode="External"/><Relationship Id="rId3" Type="http://schemas.openxmlformats.org/officeDocument/2006/relationships/hyperlink" Target="#&apos;5.2.3 Monitoring Personnel (VC&apos;!A1" TargetMode="External"/><Relationship Id="rId4" Type="http://schemas.openxmlformats.org/officeDocument/2006/relationships/hyperlink" Target="#&apos;5.2.4 Procedures for Internal&apos;!A1" TargetMode="External"/><Relationship Id="rId5" Type="http://schemas.openxmlformats.org/officeDocument/2006/relationships/hyperlink" Target="#&apos;5.2.5 Procedures for Handling&apos;!A1" TargetMode="External"/><Relationship Id="rId6" Type="http://schemas.openxmlformats.org/officeDocument/2006/relationships/hyperlink" Target="#&apos;5.2.6 Sampling Approaches (VCS&apos;!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5.1 Data and Parameters (VCS P&apos;!A1" TargetMode="External"/><Relationship Id="rId2" Type="http://schemas.openxmlformats.org/officeDocument/2006/relationships/hyperlink" Target="#&apos;Data and Parameters Available&apos;!A1" TargetMode="External"/><Relationship Id="rId3" Type="http://schemas.openxmlformats.org/officeDocument/2006/relationships/hyperlink" Target="#&apos;5.2 Monitoring Plan (VCS PD 5.&apos;!A1" TargetMode="External"/><Relationship Id="rId4" Type="http://schemas.openxmlformats.org/officeDocument/2006/relationships/hyperlink" Target="#&apos;5.2.1 GHG Data Collection and&apos;!A1" TargetMode="External"/><Relationship Id="rId5" Type="http://schemas.openxmlformats.org/officeDocument/2006/relationships/hyperlink" Target="#&apos;5.2.2 Procedures for Calibrati&apos;!A1" TargetMode="External"/><Relationship Id="rId6" Type="http://schemas.openxmlformats.org/officeDocument/2006/relationships/hyperlink" Target="#&apos;5.2.3 Monitoring Personnel (VC&apos;!A1" TargetMode="External"/><Relationship Id="rId7" Type="http://schemas.openxmlformats.org/officeDocument/2006/relationships/hyperlink" Target="#&apos;5.2.4 Procedures for Internal&apos;!A1" TargetMode="External"/><Relationship Id="rId8" Type="http://schemas.openxmlformats.org/officeDocument/2006/relationships/hyperlink" Target="#&apos;5.2.5 Procedures for Handling&apos;!A1" TargetMode="External"/><Relationship Id="rId9" Type="http://schemas.openxmlformats.org/officeDocument/2006/relationships/hyperlink" Target="#&apos;5.2.6 Sampling Approaches (VCS&apos;!A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1 Stakeholder Engagement and&apos;!A1" TargetMode="External"/><Relationship Id="rId2" Type="http://schemas.openxmlformats.org/officeDocument/2006/relationships/hyperlink" Target="#&apos;2.1 Stakeholder consultation a&apos;!A1" TargetMode="External"/><Relationship Id="rId3" Type="http://schemas.openxmlformats.org/officeDocument/2006/relationships/hyperlink" Target="#&apos;2.2 Benefit-Sharing Mechanism&apos;!A1" TargetMode="External"/><Relationship Id="rId4" Type="http://schemas.openxmlformats.org/officeDocument/2006/relationships/hyperlink" Target="#&apos;2.3 Stakeholder Input Tracker&apos;!A1" TargetMode="External"/><Relationship Id="rId5" Type="http://schemas.openxmlformats.org/officeDocument/2006/relationships/hyperlink" Target="#&apos;2.4 Grievance Redress Mechanis&apos;!A1" TargetMode="External"/><Relationship Id="rId6" Type="http://schemas.openxmlformats.org/officeDocument/2006/relationships/hyperlink" Target="#&apos;2.4.1 Design Process and Summa&apos;!A1" TargetMode="External"/><Relationship Id="rId7" Type="http://schemas.openxmlformats.org/officeDocument/2006/relationships/hyperlink" Target="#&apos;2.5 Environmental Social and G&apos;!A1" TargetMode="External"/><Relationship Id="rId8" Type="http://schemas.openxmlformats.org/officeDocument/2006/relationships/hyperlink" Target="#&apos;2.5.1 Ecosystem Restoration (V&apos;!A1" TargetMode="External"/><Relationship Id="rId9" Type="http://schemas.openxmlformats.org/officeDocument/2006/relationships/hyperlink" Target="#&apos;2.5.2 Management Experience (V&apos;!A1" TargetMode="External"/><Relationship Id="rId10" Type="http://schemas.openxmlformats.org/officeDocument/2006/relationships/hyperlink" Target="#&apos;2.5.3 Legal Compliance (VCS PD&apos;!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Report file row&apos;!A1" TargetMode="External"/><Relationship Id="rId2" Type="http://schemas.openxmlformats.org/officeDocument/2006/relationships/hyperlink" Target="#&apos;1. Introduction (VCS Verificat&apos;!A1" TargetMode="External"/><Relationship Id="rId3" Type="http://schemas.openxmlformats.org/officeDocument/2006/relationships/hyperlink" Target="#&apos;2. Verification Process (VCS V&apos;!A1" TargetMode="External"/><Relationship Id="rId4" Type="http://schemas.openxmlformats.org/officeDocument/2006/relationships/hyperlink" Target="#&apos;2.1 Method and Criteria (VCS V&apos;!A1" TargetMode="External"/><Relationship Id="rId5" Type="http://schemas.openxmlformats.org/officeDocument/2006/relationships/hyperlink" Target="#&apos;Schedule milestone (Validation&apos;!A1" TargetMode="External"/><Relationship Id="rId6" Type="http://schemas.openxmlformats.org/officeDocument/2006/relationships/hyperlink" Target="#&apos;2.2 Document Review (VCS Verif&apos;!A1" TargetMode="External"/><Relationship Id="rId7" Type="http://schemas.openxmlformats.org/officeDocument/2006/relationships/hyperlink" Target="#&apos;Document review summary (Valid&apos;!A1" TargetMode="External"/><Relationship Id="rId8" Type="http://schemas.openxmlformats.org/officeDocument/2006/relationships/hyperlink" Target="#&apos;Document list row (Validation&apos;!A1" TargetMode="External"/><Relationship Id="rId9" Type="http://schemas.openxmlformats.org/officeDocument/2006/relationships/hyperlink" Target="#&apos;Document review details row (V&apos;!A1" TargetMode="External"/><Relationship Id="rId10" Type="http://schemas.openxmlformats.org/officeDocument/2006/relationships/hyperlink" Target="#&apos;Interviews (Verification)&apos;!A1" TargetMode="External"/><Relationship Id="rId11" Type="http://schemas.openxmlformats.org/officeDocument/2006/relationships/hyperlink" Target="#&apos;Interviewee row (Validation an&apos;!A1" TargetMode="External"/><Relationship Id="rId12" Type="http://schemas.openxmlformats.org/officeDocument/2006/relationships/hyperlink" Target="#&apos;Site visits (Validation and Ve&apos;!A1" TargetMode="External"/><Relationship Id="rId13" Type="http://schemas.openxmlformats.org/officeDocument/2006/relationships/hyperlink" Target="#&apos;Resolution of CARs CLs and FAR&apos;!A1" TargetMode="External"/><Relationship Id="rId14" Type="http://schemas.openxmlformats.org/officeDocument/2006/relationships/hyperlink" Target="#&apos;CARCLFAR reference row (Valida&apos;!A1" TargetMode="External"/><Relationship Id="rId15" Type="http://schemas.openxmlformats.org/officeDocument/2006/relationships/hyperlink" Target="#&apos;3. Validation Findings (VCS Ve&apos;!A1" TargetMode="External"/><Relationship Id="rId16" Type="http://schemas.openxmlformats.org/officeDocument/2006/relationships/hyperlink" Target="#&apos;3.1 Methodology Deviations&apos;!A1" TargetMode="External"/><Relationship Id="rId17" Type="http://schemas.openxmlformats.org/officeDocument/2006/relationships/hyperlink" Target="#&apos;Methodology Deviations (VCS Ve&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3.2 Project Description Deviat&apos;!A1" TargetMode="External"/><Relationship Id="rId20" Type="http://schemas.openxmlformats.org/officeDocument/2006/relationships/hyperlink" Target="#&apos;Project Description Deviations&apos;!A1" TargetMode="External"/><Relationship Id="rId21" Type="http://schemas.openxmlformats.org/officeDocument/2006/relationships/hyperlink" Target="#&apos;Deadlines for Participation ro&apos;!A1" TargetMode="External"/><Relationship Id="rId22" Type="http://schemas.openxmlformats.org/officeDocument/2006/relationships/hyperlink" Target="#&apos;3.3 New Project Activity Insta&apos;!A1" TargetMode="External"/><Relationship Id="rId23" Type="http://schemas.openxmlformats.org/officeDocument/2006/relationships/hyperlink" Target="#&apos;New Project Activity Instances&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3.4 Baseline Reassessment&apos;!A1" TargetMode="External"/><Relationship Id="rId26" Type="http://schemas.openxmlformats.org/officeDocument/2006/relationships/hyperlink" Target="#&apos;Baseline Reassessment (VCS Ver&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4. Verification Findings (VCS&apos;!A1" TargetMode="External"/><Relationship Id="rId29" Type="http://schemas.openxmlformats.org/officeDocument/2006/relationships/hyperlink" Target="#&apos;4.1 Implementation Status of t&apos;!A1" TargetMode="External"/><Relationship Id="rId30" Type="http://schemas.openxmlformats.org/officeDocument/2006/relationships/hyperlink" Target="#&apos;4.1.1 General Implementation S&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4.1.2 Loss Events&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4.2 Project Details (VCS Verif&apos;!A1" TargetMode="External"/><Relationship Id="rId35" Type="http://schemas.openxmlformats.org/officeDocument/2006/relationships/hyperlink" Target="#&apos;4.2.1 Audit History&apos;!A1" TargetMode="External"/><Relationship Id="rId36" Type="http://schemas.openxmlformats.org/officeDocument/2006/relationships/hyperlink" Target="#&apos;4.2.2 Sectoral Scope and Proje&apos;!A1" TargetMode="External"/><Relationship Id="rId37" Type="http://schemas.openxmlformats.org/officeDocument/2006/relationships/hyperlink" Target="#&apos;4.2.3 Project Location&apos;!A1" TargetMode="External"/><Relationship Id="rId38" Type="http://schemas.openxmlformats.org/officeDocument/2006/relationships/hyperlink" Target="#&apos;Deadlines for Participation ro&apos;!A1" TargetMode="External"/><Relationship Id="rId39" Type="http://schemas.openxmlformats.org/officeDocument/2006/relationships/hyperlink" Target="#&apos;4.2.4 Double Counting and Part&apos;!A1" TargetMode="External"/><Relationship Id="rId40" Type="http://schemas.openxmlformats.org/officeDocument/2006/relationships/hyperlink" Target="#&apos;4.2.4.1 No Double Issuance&apos;!A1" TargetMode="External"/><Relationship Id="rId41" Type="http://schemas.openxmlformats.org/officeDocument/2006/relationships/hyperlink" Target="#&apos;4.2.4.2 Registration with Othe&apos;!A1" TargetMode="External"/><Relationship Id="rId42" Type="http://schemas.openxmlformats.org/officeDocument/2006/relationships/hyperlink" Target="#&apos;4.2.5 Double Claiming Other Fo&apos;!A1" TargetMode="External"/><Relationship Id="rId43" Type="http://schemas.openxmlformats.org/officeDocument/2006/relationships/hyperlink" Target="#&apos;4.2.5.1 No Double Claiming wit&apos;!A1" TargetMode="External"/><Relationship Id="rId44" Type="http://schemas.openxmlformats.org/officeDocument/2006/relationships/hyperlink" Target="#&apos;4.2.5.2 No Double Claiming wit&apos;!A1" TargetMode="External"/><Relationship Id="rId45" Type="http://schemas.openxmlformats.org/officeDocument/2006/relationships/hyperlink" Target="#&apos;4.2.5.3 Supply chain (Scope 3)&apos;!A1" TargetMode="External"/><Relationship Id="rId46" Type="http://schemas.openxmlformats.org/officeDocument/2006/relationships/hyperlink" Target="#&apos;Deadlines for Participation ro&apos;!A1" TargetMode="External"/><Relationship Id="rId47" Type="http://schemas.openxmlformats.org/officeDocument/2006/relationships/hyperlink" Target="#&apos;4.2.6 Sustainable Development&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4.2.7 Additional Information (&apos;!A1" TargetMode="External"/><Relationship Id="rId50" Type="http://schemas.openxmlformats.org/officeDocument/2006/relationships/hyperlink" Target="#&apos;4.2.7.1 Sensitive Information&apos;!A1" TargetMode="External"/><Relationship Id="rId51" Type="http://schemas.openxmlformats.org/officeDocument/2006/relationships/hyperlink" Target="#&apos;4.2.7.2 Core Carbon Principles&apos;!A1" TargetMode="External"/><Relationship Id="rId52" Type="http://schemas.openxmlformats.org/officeDocument/2006/relationships/hyperlink" Target="#&apos;4.2.7.3 CORSIA Label Eligibili&apos;!A1" TargetMode="External"/><Relationship Id="rId53" Type="http://schemas.openxmlformats.org/officeDocument/2006/relationships/hyperlink" Target="#&apos;Sensitive Information (VCS Ver&apos;!A1" TargetMode="External"/><Relationship Id="rId54" Type="http://schemas.openxmlformats.org/officeDocument/2006/relationships/hyperlink" Target="#&apos;Core Carbon Principles Label E&apos;!A1" TargetMode="External"/><Relationship Id="rId55" Type="http://schemas.openxmlformats.org/officeDocument/2006/relationships/hyperlink" Target="#&apos;CORSIA Label Eligibility (VCS&apos;!A1" TargetMode="External"/><Relationship Id="rId56" Type="http://schemas.openxmlformats.org/officeDocument/2006/relationships/hyperlink" Target="#&apos;No Double Issuance (VCS Verifi&apos;!A1" TargetMode="External"/><Relationship Id="rId57" Type="http://schemas.openxmlformats.org/officeDocument/2006/relationships/hyperlink" Target="#&apos;Deadlines for Participation ro&apos;!A1" TargetMode="External"/><Relationship Id="rId58" Type="http://schemas.openxmlformats.org/officeDocument/2006/relationships/hyperlink" Target="#&apos;Registration with Other GHG Pr&apos;!A1" TargetMode="External"/><Relationship Id="rId59" Type="http://schemas.openxmlformats.org/officeDocument/2006/relationships/hyperlink" Target="#&apos;Deadlines for Participation ro&apos;!A1" TargetMode="External"/><Relationship Id="rId60" Type="http://schemas.openxmlformats.org/officeDocument/2006/relationships/hyperlink" Target="#&apos;No Double Claiming with Emissi&apos;!A1" TargetMode="External"/><Relationship Id="rId61" Type="http://schemas.openxmlformats.org/officeDocument/2006/relationships/hyperlink" Target="#&apos;Deadlines for Participation ro&apos;!A1" TargetMode="External"/><Relationship Id="rId62" Type="http://schemas.openxmlformats.org/officeDocument/2006/relationships/hyperlink" Target="#&apos;Supply Chain (Scope 3) Emis 2&apos;!A1" TargetMode="External"/><Relationship Id="rId63" Type="http://schemas.openxmlformats.org/officeDocument/2006/relationships/hyperlink" Target="#&apos;Deadlines for Participation ro&apos;!A1" TargetMode="External"/><Relationship Id="rId64" Type="http://schemas.openxmlformats.org/officeDocument/2006/relationships/hyperlink" Target="#&apos;Right to Operate and Right  2&apos;!A1" TargetMode="External"/><Relationship Id="rId65" Type="http://schemas.openxmlformats.org/officeDocument/2006/relationships/hyperlink" Target="#&apos;Deadlines for Participation ro&apos;!A1" TargetMode="External"/><Relationship Id="rId66" Type="http://schemas.openxmlformats.org/officeDocument/2006/relationships/hyperlink" Target="#&apos;Land or Resource Rights Ana 2&apos;!A1" TargetMode="External"/><Relationship Id="rId67" Type="http://schemas.openxmlformats.org/officeDocument/2006/relationships/hyperlink" Target="#&apos;Deadlines for Participation ro&apos;!A1" TargetMode="External"/><Relationship Id="rId68" Type="http://schemas.openxmlformats.org/officeDocument/2006/relationships/hyperlink" Target="#&apos;4.4 Quantification of Reductio&apos;!A1" TargetMode="External"/><Relationship Id="rId69" Type="http://schemas.openxmlformats.org/officeDocument/2006/relationships/hyperlink" Target="#&apos;4.4.1 Accuracy of Reduction an&apos;!A1" TargetMode="External"/><Relationship Id="rId70" Type="http://schemas.openxmlformats.org/officeDocument/2006/relationships/hyperlink" Target="#&apos;4.4.2 Quality of Evidence to D&apos;!A1" TargetMode="External"/><Relationship Id="rId71" Type="http://schemas.openxmlformats.org/officeDocument/2006/relationships/hyperlink" Target="#&apos;4.4.3 Other Relevant Quantific&apos;!A1" TargetMode="External"/><Relationship Id="rId72" Type="http://schemas.openxmlformats.org/officeDocument/2006/relationships/hyperlink" Target="#&apos;4.4.3.1 Non-Permanence Risk An&apos;!A1" TargetMode="External"/><Relationship Id="rId73" Type="http://schemas.openxmlformats.org/officeDocument/2006/relationships/hyperlink" Target="#&apos;4.4.3.2 Buffer Pool Allocation&apos;!A1" TargetMode="External"/><Relationship Id="rId74" Type="http://schemas.openxmlformats.org/officeDocument/2006/relationships/hyperlink" Target="#&apos;4.4.3.3 Long-Term Average&apos;!A1" TargetMode="External"/><Relationship Id="rId75" Type="http://schemas.openxmlformats.org/officeDocument/2006/relationships/hyperlink" Target="#&apos;4.4.3.4 De Minimis Quantificat&apos;!A1" TargetMode="External"/><Relationship Id="rId76" Type="http://schemas.openxmlformats.org/officeDocument/2006/relationships/hyperlink" Target="#&apos;De Minimis Quantification (VCS&apos;!A1" TargetMode="External"/><Relationship Id="rId77" Type="http://schemas.openxmlformats.org/officeDocument/2006/relationships/hyperlink" Target="#&apos;Deadlines for Participation ro&apos;!A1" TargetMode="External"/><Relationship Id="rId78" Type="http://schemas.openxmlformats.org/officeDocument/2006/relationships/hyperlink" Target="#&apos;4.5 Monitoring (VCS Verificati&apos;!A1" TargetMode="External"/><Relationship Id="rId79" Type="http://schemas.openxmlformats.org/officeDocument/2006/relationships/hyperlink" Target="#&apos;Data and parameter row (Verifi&apos;!A1" TargetMode="External"/><Relationship Id="rId80" Type="http://schemas.openxmlformats.org/officeDocument/2006/relationships/hyperlink" Target="#&apos;4.5.2 Monitoring Plan&apos;!A1" TargetMode="External"/><Relationship Id="rId81" Type="http://schemas.openxmlformats.org/officeDocument/2006/relationships/hyperlink" Target="#&apos;Deadlines for Participation ro&apos;!A1" TargetMode="External"/><Relationship Id="rId82" Type="http://schemas.openxmlformats.org/officeDocument/2006/relationships/hyperlink" Target="#&apos;4.2.8 Right to Operate and Rig&apos;!A1" TargetMode="External"/><Relationship Id="rId83" Type="http://schemas.openxmlformats.org/officeDocument/2006/relationships/hyperlink" Target="#&apos;Safeguards assessment row item&apos;!A1" TargetMode="External"/><Relationship Id="rId84" Type="http://schemas.openxmlformats.org/officeDocument/2006/relationships/hyperlink" Target="#&apos;Safeguards assessment row item&apos;!A1" TargetMode="External"/><Relationship Id="rId85" Type="http://schemas.openxmlformats.org/officeDocument/2006/relationships/hyperlink" Target="#&apos;4.3 Stakeholder Engagement and&apos;!A1" TargetMode="External"/><Relationship Id="rId86" Type="http://schemas.openxmlformats.org/officeDocument/2006/relationships/hyperlink" Target="#&apos;Safeguards assessment row item&apos;!A1" TargetMode="External"/><Relationship Id="rId87" Type="http://schemas.openxmlformats.org/officeDocument/2006/relationships/hyperlink" Target="#&apos;Safeguards assessment row item&apos;!A1" TargetMode="External"/><Relationship Id="rId88" Type="http://schemas.openxmlformats.org/officeDocument/2006/relationships/hyperlink" Target="#&apos;Safeguards assessment row item&apos;!A1" TargetMode="External"/><Relationship Id="rId89" Type="http://schemas.openxmlformats.org/officeDocument/2006/relationships/hyperlink" Target="#&apos;Safeguards assessment row item&apos;!A1" TargetMode="External"/><Relationship Id="rId90" Type="http://schemas.openxmlformats.org/officeDocument/2006/relationships/hyperlink" Target="#&apos;Safeguards assessment row item&apos;!A1" TargetMode="External"/><Relationship Id="rId91" Type="http://schemas.openxmlformats.org/officeDocument/2006/relationships/hyperlink" Target="#&apos;Safeguards assessment row item&apos;!A1" TargetMode="External"/><Relationship Id="rId92" Type="http://schemas.openxmlformats.org/officeDocument/2006/relationships/hyperlink" Target="#&apos;Safeguards assessment row item&apos;!A1" TargetMode="External"/><Relationship Id="rId93" Type="http://schemas.openxmlformats.org/officeDocument/2006/relationships/hyperlink" Target="#&apos;Safeguards assessment row item&apos;!A1" TargetMode="External"/><Relationship Id="rId94" Type="http://schemas.openxmlformats.org/officeDocument/2006/relationships/hyperlink" Target="#&apos;Stakeholder Identification (VC&apos;!A1" TargetMode="External"/><Relationship Id="rId95" Type="http://schemas.openxmlformats.org/officeDocument/2006/relationships/hyperlink" Target="#&apos;Deadlines for Participation ro&apos;!A1" TargetMode="External"/><Relationship Id="rId96" Type="http://schemas.openxmlformats.org/officeDocument/2006/relationships/hyperlink" Target="#&apos;Stakeholder Consultation and O&apos;!A1" TargetMode="External"/><Relationship Id="rId97" Type="http://schemas.openxmlformats.org/officeDocument/2006/relationships/hyperlink" Target="#&apos;Deadlines for Participation ro&apos;!A1" TargetMode="External"/><Relationship Id="rId98" Type="http://schemas.openxmlformats.org/officeDocument/2006/relationships/hyperlink" Target="#&apos;Free Prior and Informed Consen&apos;!A1" TargetMode="External"/><Relationship Id="rId99" Type="http://schemas.openxmlformats.org/officeDocument/2006/relationships/hyperlink" Target="#&apos;Deadlines for Participation ro&apos;!A1" TargetMode="External"/><Relationship Id="rId100" Type="http://schemas.openxmlformats.org/officeDocument/2006/relationships/hyperlink" Target="#&apos;Benefit-Sharing for Other Righ&apos;!A1" TargetMode="External"/><Relationship Id="rId101" Type="http://schemas.openxmlformats.org/officeDocument/2006/relationships/hyperlink" Target="#&apos;Deadlines for Participation ro&apos;!A1" TargetMode="External"/><Relationship Id="rId102" Type="http://schemas.openxmlformats.org/officeDocument/2006/relationships/hyperlink" Target="#&apos;Stakeholder Input Tracker (VCS&apos;!A1" TargetMode="External"/><Relationship Id="rId103" Type="http://schemas.openxmlformats.org/officeDocument/2006/relationships/hyperlink" Target="#&apos;Deadlines for Participation ro&apos;!A1" TargetMode="External"/><Relationship Id="rId104" Type="http://schemas.openxmlformats.org/officeDocument/2006/relationships/hyperlink" Target="#&apos;Grievance Redress Mechanism 2&apos;!A1" TargetMode="External"/><Relationship Id="rId105" Type="http://schemas.openxmlformats.org/officeDocument/2006/relationships/hyperlink" Target="#&apos;Deadlines for Participation ro&apos;!A1" TargetMode="External"/><Relationship Id="rId106" Type="http://schemas.openxmlformats.org/officeDocument/2006/relationships/hyperlink" Target="#&apos;Management Expertise (VCS Veri&apos;!A1" TargetMode="External"/><Relationship Id="rId107" Type="http://schemas.openxmlformats.org/officeDocument/2006/relationships/hyperlink" Target="#&apos;Deadlines for Participation ro&apos;!A1" TargetMode="External"/><Relationship Id="rId108" Type="http://schemas.openxmlformats.org/officeDocument/2006/relationships/hyperlink" Target="#&apos;Environmental Social and Go 2&apos;!A1" TargetMode="External"/><Relationship Id="rId109" Type="http://schemas.openxmlformats.org/officeDocument/2006/relationships/hyperlink" Target="#&apos;Deadlines for Participation ro&apos;!A1" TargetMode="External"/><Relationship Id="rId110" Type="http://schemas.openxmlformats.org/officeDocument/2006/relationships/hyperlink" Target="#&apos;5. Verification Opinion (VCS V&apos;!A1" TargetMode="External"/><Relationship Id="rId111" Type="http://schemas.openxmlformats.org/officeDocument/2006/relationships/hyperlink" Target="#&apos;5.1 Verification Conclusion Su&apos;!A1" TargetMode="External"/><Relationship Id="rId112" Type="http://schemas.openxmlformats.org/officeDocument/2006/relationships/hyperlink" Target="#&apos;5.2 Conclusion on Achieved Red&apos;!A1" TargetMode="External"/><Relationship Id="rId113" Type="http://schemas.openxmlformats.org/officeDocument/2006/relationships/hyperlink" Target="#&apos;Achieved reductions by vintage&apos;!A1" TargetMode="External"/><Relationship Id="rId114" Type="http://schemas.openxmlformats.org/officeDocument/2006/relationships/hyperlink" Target="#&apos;Buffer pool allocation by vint&apos;!A1" TargetMode="External"/><Relationship Id="rId115" Type="http://schemas.openxmlformats.org/officeDocument/2006/relationships/hyperlink" Target="#&apos;Vintage summary row&apos;!A1" TargetMode="External"/><Relationship Id="rId116" Type="http://schemas.openxmlformats.org/officeDocument/2006/relationships/hyperlink" Target="#&apos;5.3 Ex-Ante vs Ex-Post Compari&apos;!A1" TargetMode="External"/><Relationship Id="rId117" Type="http://schemas.openxmlformats.org/officeDocument/2006/relationships/hyperlink" Target="#&apos;Ex-ante vs ex-post row&apos;!A1" TargetMode="External"/><Relationship Id="rId118" Type="http://schemas.openxmlformats.org/officeDocument/2006/relationships/hyperlink" Target="#&apos;Appendix 1 row (Validation and&apos;!A1" TargetMode="External"/><Relationship Id="rId119" Type="http://schemas.openxmlformats.org/officeDocument/2006/relationships/hyperlink" Target="#&apos;Appendix 2 row (Validation and&apos;!A1" TargetMode="External"/><Relationship Id="rId120" Type="http://schemas.openxmlformats.org/officeDocument/2006/relationships/hyperlink" Target="#&apos;Appendix 3 row (Validation and&apos;!A1" TargetMode="External"/><Relationship Id="rId121" Type="http://schemas.openxmlformats.org/officeDocument/2006/relationships/hyperlink" Target="#&apos;Appendix X row (Validation and&apos;!A1" TargetMode="External"/><Relationship Id="rId122" Type="http://schemas.openxmlformats.org/officeDocument/2006/relationships/hyperlink" Target="#&apos;Document history row (VVB Veri&apos;!A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3.2.1 Eligibility of Methodolo&apos;!A1" TargetMode="External"/><Relationship Id="rId2" Type="http://schemas.openxmlformats.org/officeDocument/2006/relationships/hyperlink" Target="#&apos;3.2.2 Applicability of Methodo&apos;!A1" TargetMode="External"/><Relationship Id="rId3" Type="http://schemas.openxmlformats.org/officeDocument/2006/relationships/hyperlink" Target="#&apos;REDD+ Double Counting Assessme&apos;!A1" TargetMode="External"/><Relationship Id="rId4" Type="http://schemas.openxmlformats.org/officeDocument/2006/relationships/hyperlink" Target="#&apos;SDW Public Distribution Networ&apos;!A1" TargetMode="External"/><Relationship Id="rId5" Type="http://schemas.openxmlformats.org/officeDocument/2006/relationships/hyperlink" Target="#&apos;Evidence item&apos;!A1" TargetMode="External"/><Relationship Id="rId6" Type="http://schemas.openxmlformats.org/officeDocument/2006/relationships/hyperlink" Target="#&apos;3.2 Applicability of methodolo&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Sensitive information row ( 2&apos;!A1" TargetMode="External"/><Relationship Id="rId2" Type="http://schemas.openxmlformats.org/officeDocument/2006/relationships/hyperlink" Target="#&apos;Document history row (VCS Moni&apos;!A1" TargetMode="External"/><Relationship Id="rId3" Type="http://schemas.openxmlformats.org/officeDocument/2006/relationships/hyperlink" Target="#&apos;MR 1.1 Summary of Project Impl&apos;!A1" TargetMode="External"/><Relationship Id="rId4" Type="http://schemas.openxmlformats.org/officeDocument/2006/relationships/hyperlink" Target="#&apos;MR 1.2 Audit History (VCS MR 1&apos;!A1" TargetMode="External"/><Relationship Id="rId5" Type="http://schemas.openxmlformats.org/officeDocument/2006/relationships/hyperlink" Target="#&apos;MR 1.3 Sectoral Scope and Proj&apos;!A1" TargetMode="External"/><Relationship Id="rId6" Type="http://schemas.openxmlformats.org/officeDocument/2006/relationships/hyperlink" Target="#&apos;MR 1.4 Project Proponent (VCS&apos;!A1" TargetMode="External"/><Relationship Id="rId7" Type="http://schemas.openxmlformats.org/officeDocument/2006/relationships/hyperlink" Target="#&apos;Project Proponent Contact (VCS&apos;!A1" TargetMode="External"/><Relationship Id="rId8" Type="http://schemas.openxmlformats.org/officeDocument/2006/relationships/hyperlink" Target="#&apos;MR 1.5 Other Entities Involved&apos;!A1" TargetMode="External"/><Relationship Id="rId9" Type="http://schemas.openxmlformats.org/officeDocument/2006/relationships/hyperlink" Target="#&apos;MR 1.6 Project Start Date and&apos;!A1" TargetMode="External"/><Relationship Id="rId10" Type="http://schemas.openxmlformats.org/officeDocument/2006/relationships/hyperlink" Target="#&apos;MR 1.7 Project Crediting Perio&apos;!A1" TargetMode="External"/><Relationship Id="rId11" Type="http://schemas.openxmlformats.org/officeDocument/2006/relationships/hyperlink" Target="#&apos;MR 1.8 Project Location (VCS M&apos;!A1" TargetMode="External"/><Relationship Id="rId12" Type="http://schemas.openxmlformats.org/officeDocument/2006/relationships/hyperlink" Target="#&apos;Project Location Entry (VCS PD&apos;!A1" TargetMode="External"/><Relationship Id="rId13" Type="http://schemas.openxmlformats.org/officeDocument/2006/relationships/hyperlink" Target="#&apos;MR 1.9 Double Counting and Par&apos;!A1" TargetMode="External"/><Relationship Id="rId14" Type="http://schemas.openxmlformats.org/officeDocument/2006/relationships/hyperlink" Target="#&apos;Reductions and removals claime&apos;!A1" TargetMode="External"/><Relationship Id="rId15" Type="http://schemas.openxmlformats.org/officeDocument/2006/relationships/hyperlink" Target="#&apos;MR 1.10 Double Claiming Other&apos;!A1" TargetMode="External"/><Relationship Id="rId16" Type="http://schemas.openxmlformats.org/officeDocument/2006/relationships/hyperlink" Target="#&apos;MR 1.11 Sustainable Developmen&apos;!A1" TargetMode="External"/><Relationship Id="rId17" Type="http://schemas.openxmlformats.org/officeDocument/2006/relationships/hyperlink" Target="#&apos;1.11 Sustainable development c&apos;!A1" TargetMode="External"/><Relationship Id="rId18" Type="http://schemas.openxmlformats.org/officeDocument/2006/relationships/hyperlink" Target="#&apos;MR 1.12 Additional Information&apos;!A1" TargetMode="External"/><Relationship Id="rId19" Type="http://schemas.openxmlformats.org/officeDocument/2006/relationships/hyperlink" Target="#&apos;MR 1.13 Right to Operate and R&apos;!A1" TargetMode="External"/><Relationship Id="rId20" Type="http://schemas.openxmlformats.org/officeDocument/2006/relationships/hyperlink" Target="#&apos;1.13 Evidence of right to oper&apos;!A1" TargetMode="External"/><Relationship Id="rId21" Type="http://schemas.openxmlformats.org/officeDocument/2006/relationships/hyperlink" Target="#&apos;MR 2.1 Stakeholder Identificat&apos;!A1" TargetMode="External"/><Relationship Id="rId22" Type="http://schemas.openxmlformats.org/officeDocument/2006/relationships/hyperlink" Target="#&apos;MR 2.2 Stakeholder Engagement&apos;!A1" TargetMode="External"/><Relationship Id="rId23" Type="http://schemas.openxmlformats.org/officeDocument/2006/relationships/hyperlink" Target="#&apos;2.2 Stakeholder consultation a&apos;!A1" TargetMode="External"/><Relationship Id="rId24" Type="http://schemas.openxmlformats.org/officeDocument/2006/relationships/hyperlink" Target="#&apos;Free prior and informed con 2&apos;!A1" TargetMode="External"/><Relationship Id="rId25" Type="http://schemas.openxmlformats.org/officeDocument/2006/relationships/hyperlink" Target="#&apos;MR 2.3 Benefit-Sharing Mechani&apos;!A1" TargetMode="External"/><Relationship Id="rId26" Type="http://schemas.openxmlformats.org/officeDocument/2006/relationships/hyperlink" Target="#&apos;Benefit-sharing mechanism row&apos;!A1" TargetMode="External"/><Relationship Id="rId27" Type="http://schemas.openxmlformats.org/officeDocument/2006/relationships/hyperlink" Target="#&apos;MR 2.4 Stakeholder Input Track&apos;!A1" TargetMode="External"/><Relationship Id="rId28" Type="http://schemas.openxmlformats.org/officeDocument/2006/relationships/hyperlink" Target="#&apos;MR 2.5 Grievance Redress Mecha&apos;!A1" TargetMode="External"/><Relationship Id="rId29" Type="http://schemas.openxmlformats.org/officeDocument/2006/relationships/hyperlink" Target="#&apos;MR 2.6 Environmental Social an&apos;!A1" TargetMode="External"/><Relationship Id="rId30" Type="http://schemas.openxmlformats.org/officeDocument/2006/relationships/hyperlink" Target="#&apos;MR 2.6.1 Management Experience&apos;!A1" TargetMode="External"/><Relationship Id="rId31" Type="http://schemas.openxmlformats.org/officeDocument/2006/relationships/hyperlink" Target="#&apos;MR 2.6.2 Legal Compliance (VCS&apos;!A1" TargetMode="External"/><Relationship Id="rId32" Type="http://schemas.openxmlformats.org/officeDocument/2006/relationships/hyperlink" Target="#&apos;MR 3.1 Methodology Details (VC&apos;!A1" TargetMode="External"/><Relationship Id="rId33" Type="http://schemas.openxmlformats.org/officeDocument/2006/relationships/hyperlink" Target="#&apos;Methodology details row (VCS P&apos;!A1" TargetMode="External"/><Relationship Id="rId34" Type="http://schemas.openxmlformats.org/officeDocument/2006/relationships/hyperlink" Target="#&apos;MR 3.2 Implementation Status o&apos;!A1" TargetMode="External"/><Relationship Id="rId35" Type="http://schemas.openxmlformats.org/officeDocument/2006/relationships/hyperlink" Target="#&apos;MR 3.2.1 General Implementatio&apos;!A1" TargetMode="External"/><Relationship Id="rId36" Type="http://schemas.openxmlformats.org/officeDocument/2006/relationships/hyperlink" Target="#&apos;MR 3.2.2 Loss Events (VCS MR 3&apos;!A1" TargetMode="External"/><Relationship Id="rId37" Type="http://schemas.openxmlformats.org/officeDocument/2006/relationships/hyperlink" Target="#&apos;General implementation status&apos;!A1" TargetMode="External"/><Relationship Id="rId38" Type="http://schemas.openxmlformats.org/officeDocument/2006/relationships/hyperlink" Target="#&apos;Loss events row (VCS v5.0B)&apos;!A1" TargetMode="External"/><Relationship Id="rId39" Type="http://schemas.openxmlformats.org/officeDocument/2006/relationships/hyperlink" Target="#&apos;MR 3.3 Grouped Projects (VCS M&apos;!A1" TargetMode="External"/><Relationship Id="rId40" Type="http://schemas.openxmlformats.org/officeDocument/2006/relationships/hyperlink" Target="#&apos;MR 3.3.1 Grouped Project Desig&apos;!A1" TargetMode="External"/><Relationship Id="rId41" Type="http://schemas.openxmlformats.org/officeDocument/2006/relationships/hyperlink" Target="#&apos;MR 3.3.2 New Project Activity&apos;!A1" TargetMode="External"/><Relationship Id="rId42" Type="http://schemas.openxmlformats.org/officeDocument/2006/relationships/hyperlink" Target="#&apos;Grouped project eligibility ar&apos;!A1" TargetMode="External"/><Relationship Id="rId43" Type="http://schemas.openxmlformats.org/officeDocument/2006/relationships/hyperlink" Target="#&apos;MR 3.4 Deviations (VCS MR 3.4)&apos;!A1" TargetMode="External"/><Relationship Id="rId44" Type="http://schemas.openxmlformats.org/officeDocument/2006/relationships/hyperlink" Target="#&apos;Methodology deviation row (VCS&apos;!A1" TargetMode="External"/><Relationship Id="rId45" Type="http://schemas.openxmlformats.org/officeDocument/2006/relationships/hyperlink" Target="#&apos;Project description deviation&apos;!A1" TargetMode="External"/><Relationship Id="rId46" Type="http://schemas.openxmlformats.org/officeDocument/2006/relationships/hyperlink" Target="#&apos;MR 3.5 Baseline Reassessment (&apos;!A1" TargetMode="External"/><Relationship Id="rId47" Type="http://schemas.openxmlformats.org/officeDocument/2006/relationships/hyperlink" Target="#&apos;MR 4.1 Summary of DataParamete&apos;!A1" TargetMode="External"/><Relationship Id="rId48" Type="http://schemas.openxmlformats.org/officeDocument/2006/relationships/hyperlink" Target="#&apos;VMR0015 MR 4.1 Summary row (VC&apos;!A1" TargetMode="External"/><Relationship Id="rId49" Type="http://schemas.openxmlformats.org/officeDocument/2006/relationships/hyperlink" Target="#&apos;MR 4.2 Monitoring Plan (VCS MR&apos;!A1" TargetMode="External"/><Relationship Id="rId50" Type="http://schemas.openxmlformats.org/officeDocument/2006/relationships/hyperlink" Target="#&apos;MR 4.2.1 GHG Data Collection a&apos;!A1" TargetMode="External"/><Relationship Id="rId51" Type="http://schemas.openxmlformats.org/officeDocument/2006/relationships/hyperlink" Target="#&apos;MR 4.2.2 Procedures for Calibr&apos;!A1" TargetMode="External"/><Relationship Id="rId52" Type="http://schemas.openxmlformats.org/officeDocument/2006/relationships/hyperlink" Target="#&apos;MR 4.2.3 Monitoring Personnel&apos;!A1" TargetMode="External"/><Relationship Id="rId53" Type="http://schemas.openxmlformats.org/officeDocument/2006/relationships/hyperlink" Target="#&apos;MR 4.2.4 Procedures for Intern&apos;!A1" TargetMode="External"/><Relationship Id="rId54" Type="http://schemas.openxmlformats.org/officeDocument/2006/relationships/hyperlink" Target="#&apos;MR 4.2.5 Procedures for Handli&apos;!A1" TargetMode="External"/><Relationship Id="rId55" Type="http://schemas.openxmlformats.org/officeDocument/2006/relationships/hyperlink" Target="#&apos;MR 4.2.6 Sampling Approaches (&apos;!A1" TargetMode="External"/><Relationship Id="rId56" Type="http://schemas.openxmlformats.org/officeDocument/2006/relationships/hyperlink" Target="#&apos;MR 4.2.7 Updates to Monitoring&apos;!A1" TargetMode="External"/><Relationship Id="rId57" Type="http://schemas.openxmlformats.org/officeDocument/2006/relationships/hyperlink" Target="#&apos;MR 5.1 Baseline Emissions (VCS&apos;!A1" TargetMode="External"/><Relationship Id="rId58" Type="http://schemas.openxmlformats.org/officeDocument/2006/relationships/hyperlink" Target="#&apos;MR 5.2 Project Emissions (VCS&apos;!A1" TargetMode="External"/><Relationship Id="rId59" Type="http://schemas.openxmlformats.org/officeDocument/2006/relationships/hyperlink" Target="#&apos;MR 5.3 Leakage Emissions (VCS&apos;!A1" TargetMode="External"/><Relationship Id="rId60" Type="http://schemas.openxmlformats.org/officeDocument/2006/relationships/hyperlink" Target="#&apos;MR 5.4 Other Relevant Quantifi&apos;!A1" TargetMode="External"/><Relationship Id="rId61" Type="http://schemas.openxmlformats.org/officeDocument/2006/relationships/hyperlink" Target="#&apos;MR 5.4.1 Non-Permanence Risk A&apos;!A1" TargetMode="External"/><Relationship Id="rId62" Type="http://schemas.openxmlformats.org/officeDocument/2006/relationships/hyperlink" Target="#&apos;MR 5.4.2 Buffer Pool Allocatio&apos;!A1" TargetMode="External"/><Relationship Id="rId63" Type="http://schemas.openxmlformats.org/officeDocument/2006/relationships/hyperlink" Target="#&apos;MR 5.4.3 Long-Term Average (VC&apos;!A1" TargetMode="External"/><Relationship Id="rId64" Type="http://schemas.openxmlformats.org/officeDocument/2006/relationships/hyperlink" Target="#&apos;MR 5.4.4 De Minimis Quantifica&apos;!A1" TargetMode="External"/><Relationship Id="rId65" Type="http://schemas.openxmlformats.org/officeDocument/2006/relationships/hyperlink" Target="#&apos;Non-permanence risk rating row&apos;!A1" TargetMode="External"/><Relationship Id="rId66" Type="http://schemas.openxmlformats.org/officeDocument/2006/relationships/hyperlink" Target="#&apos;5.4 Buffer pool allocation (re&apos;!A1" TargetMode="External"/><Relationship Id="rId67" Type="http://schemas.openxmlformats.org/officeDocument/2006/relationships/hyperlink" Target="#&apos;5.4 Buffer pool allocation (co&apos;!A1" TargetMode="External"/><Relationship Id="rId68" Type="http://schemas.openxmlformats.org/officeDocument/2006/relationships/hyperlink" Target="#&apos;MR 5.5 GHG Emission Reductions&apos;!A1" TargetMode="External"/><Relationship Id="rId69" Type="http://schemas.openxmlformats.org/officeDocument/2006/relationships/hyperlink" Target="#&apos;Summary of reductions and remo&apos;!A1" TargetMode="External"/><Relationship Id="rId70" Type="http://schemas.openxmlformats.org/officeDocument/2006/relationships/hyperlink" Target="#&apos;Ex-ante vs ex-post comparison&apos;!A1" TargetMode="External"/><Relationship Id="rId71" Type="http://schemas.openxmlformats.org/officeDocument/2006/relationships/hyperlink" Target="#&apos;VMR0015 Appendix 2 - Monito 2&apos;!A1" TargetMode="External"/><Relationship Id="rId72" Type="http://schemas.openxmlformats.org/officeDocument/2006/relationships/hyperlink" Target="#&apos;VMR0015 A2.1.1 VMR0015  AMS-II&apos;!A1" TargetMode="External"/><Relationship Id="rId73" Type="http://schemas.openxmlformats.org/officeDocument/2006/relationships/hyperlink" Target="#&apos;VMR0015 A2.1 DataParameter Ava&apos;!A1" TargetMode="External"/><Relationship Id="rId74" Type="http://schemas.openxmlformats.org/officeDocument/2006/relationships/hyperlink" Target="#&apos;VMR0015 A2.1 DataParameter Ava&apos;!A1" TargetMode="External"/><Relationship Id="rId75" Type="http://schemas.openxmlformats.org/officeDocument/2006/relationships/hyperlink" Target="#&apos;VMR0015 A2.1 DataParameter Ava&apos;!A1" TargetMode="External"/><Relationship Id="rId76" Type="http://schemas.openxmlformats.org/officeDocument/2006/relationships/hyperlink" Target="#&apos;VMR0015 A2.1 DataParameter Ava&apos;!A1" TargetMode="External"/><Relationship Id="rId77" Type="http://schemas.openxmlformats.org/officeDocument/2006/relationships/hyperlink" Target="#&apos;VMR0015 A2.1 DataParameter Ava&apos;!A1" TargetMode="External"/><Relationship Id="rId78" Type="http://schemas.openxmlformats.org/officeDocument/2006/relationships/hyperlink" Target="#&apos;VMR0015 A2.1 DataParameter Ava&apos;!A1" TargetMode="External"/><Relationship Id="rId79" Type="http://schemas.openxmlformats.org/officeDocument/2006/relationships/hyperlink" Target="#&apos;VMR0015 A2.1 DataParameter Ava&apos;!A1" TargetMode="External"/><Relationship Id="rId80" Type="http://schemas.openxmlformats.org/officeDocument/2006/relationships/hyperlink" Target="#&apos;VMR0015 A2.1 DataParameter Ava&apos;!A1" TargetMode="External"/><Relationship Id="rId81" Type="http://schemas.openxmlformats.org/officeDocument/2006/relationships/hyperlink" Target="#&apos;VMR0015 A2.1 DataParameter Ava&apos;!A1" TargetMode="External"/><Relationship Id="rId82" Type="http://schemas.openxmlformats.org/officeDocument/2006/relationships/hyperlink" Target="#&apos;VMR0015 A2.1 DataParameter Ava&apos;!A1" TargetMode="External"/><Relationship Id="rId83" Type="http://schemas.openxmlformats.org/officeDocument/2006/relationships/hyperlink" Target="#&apos;VMR0015 A2.1 DataParameter Ava&apos;!A1" TargetMode="External"/><Relationship Id="rId84" Type="http://schemas.openxmlformats.org/officeDocument/2006/relationships/hyperlink" Target="#&apos;VMR0015 A2.1 DataParameter Ava&apos;!A1" TargetMode="External"/><Relationship Id="rId85" Type="http://schemas.openxmlformats.org/officeDocument/2006/relationships/hyperlink" Target="#&apos;VMR0015 A2.1 DataParameter Ava&apos;!A1" TargetMode="External"/><Relationship Id="rId86" Type="http://schemas.openxmlformats.org/officeDocument/2006/relationships/hyperlink" Target="#&apos;VMR0015 A2.1 DataParameter Ava&apos;!A1" TargetMode="External"/><Relationship Id="rId87" Type="http://schemas.openxmlformats.org/officeDocument/2006/relationships/hyperlink" Target="#&apos;VMR0015 A2.1.2 TOOL03 paramete&apos;!A1" TargetMode="External"/><Relationship Id="rId88" Type="http://schemas.openxmlformats.org/officeDocument/2006/relationships/hyperlink" Target="#&apos;VMR0015 A2.1 DataParameter Ava&apos;!A1" TargetMode="External"/><Relationship Id="rId89" Type="http://schemas.openxmlformats.org/officeDocument/2006/relationships/hyperlink" Target="#&apos;VMR0015 A2.1.3 VT0010  VT0011&apos;!A1" TargetMode="External"/><Relationship Id="rId90" Type="http://schemas.openxmlformats.org/officeDocument/2006/relationships/hyperlink" Target="#&apos;VMR0015 A2.1 DataParameter Ava&apos;!A1" TargetMode="External"/><Relationship Id="rId91" Type="http://schemas.openxmlformats.org/officeDocument/2006/relationships/hyperlink" Target="#&apos;VMR0015 A2.1 DataParameter Ava&apos;!A1" TargetMode="External"/><Relationship Id="rId92" Type="http://schemas.openxmlformats.org/officeDocument/2006/relationships/hyperlink" Target="#&apos;VMR0015 A2.1.4 AMS-I.E paramet&apos;!A1" TargetMode="External"/><Relationship Id="rId93" Type="http://schemas.openxmlformats.org/officeDocument/2006/relationships/hyperlink" Target="#&apos;VMR0015 A2.1 DataParameter Ava&apos;!A1" TargetMode="External"/><Relationship Id="rId94" Type="http://schemas.openxmlformats.org/officeDocument/2006/relationships/hyperlink" Target="#&apos;VMR0015 A2.2.1 VMR0015  AMS 2&apos;!A1" TargetMode="External"/><Relationship Id="rId95" Type="http://schemas.openxmlformats.org/officeDocument/2006/relationships/hyperlink" Target="#&apos;VMR0015 A2.2 DataParameter  2&apos;!A1" TargetMode="External"/><Relationship Id="rId96" Type="http://schemas.openxmlformats.org/officeDocument/2006/relationships/hyperlink" Target="#&apos;VMR0015 A2.2 DataParameter  2&apos;!A1" TargetMode="External"/><Relationship Id="rId97" Type="http://schemas.openxmlformats.org/officeDocument/2006/relationships/hyperlink" Target="#&apos;VMR0015 A2.2 DataParameter  2&apos;!A1" TargetMode="External"/><Relationship Id="rId98" Type="http://schemas.openxmlformats.org/officeDocument/2006/relationships/hyperlink" Target="#&apos;VMR0015 A2.2 DataParameter  2&apos;!A1" TargetMode="External"/><Relationship Id="rId99" Type="http://schemas.openxmlformats.org/officeDocument/2006/relationships/hyperlink" Target="#&apos;VMR0015 A2.2 DataParameter  2&apos;!A1" TargetMode="External"/><Relationship Id="rId100" Type="http://schemas.openxmlformats.org/officeDocument/2006/relationships/hyperlink" Target="#&apos;VMR0015 A2.2 DataParameter  2&apos;!A1" TargetMode="External"/><Relationship Id="rId101" Type="http://schemas.openxmlformats.org/officeDocument/2006/relationships/hyperlink" Target="#&apos;VMR0015 A2.2 DataParameter  2&apos;!A1" TargetMode="External"/><Relationship Id="rId102" Type="http://schemas.openxmlformats.org/officeDocument/2006/relationships/hyperlink" Target="#&apos;VMR0015 A2.2.2 TOOL03 monit 2&apos;!A1" TargetMode="External"/><Relationship Id="rId103" Type="http://schemas.openxmlformats.org/officeDocument/2006/relationships/hyperlink" Target="#&apos;VMR0015 A2.2 DataParameter  2&apos;!A1" TargetMode="External"/><Relationship Id="rId104" Type="http://schemas.openxmlformats.org/officeDocument/2006/relationships/hyperlink" Target="#&apos;VMR0015 A2.2 DataParameter  2&apos;!A1" TargetMode="External"/><Relationship Id="rId105" Type="http://schemas.openxmlformats.org/officeDocument/2006/relationships/hyperlink" Target="#&apos;VMR0015 A2.2 DataParameter  2&apos;!A1" TargetMode="External"/><Relationship Id="rId106" Type="http://schemas.openxmlformats.org/officeDocument/2006/relationships/hyperlink" Target="#&apos;VMR0015 A2.2 DataParameter  2&apos;!A1" TargetMode="External"/><Relationship Id="rId107" Type="http://schemas.openxmlformats.org/officeDocument/2006/relationships/hyperlink" Target="#&apos;VMR0015 A2.2 DataParameter  2&apos;!A1" TargetMode="External"/><Relationship Id="rId108" Type="http://schemas.openxmlformats.org/officeDocument/2006/relationships/hyperlink" Target="#&apos;TOOL03 fuel combustion row (fu&apos;!A1" TargetMode="External"/><Relationship Id="rId109" Type="http://schemas.openxmlformats.org/officeDocument/2006/relationships/hyperlink" Target="#&apos;VMR0015 A2.2.3 VT0010  VT00 2&apos;!A1" TargetMode="External"/><Relationship Id="rId110" Type="http://schemas.openxmlformats.org/officeDocument/2006/relationships/hyperlink" Target="#&apos;VMR0015 A2.2 DataParameter  2&apos;!A1" TargetMode="External"/><Relationship Id="rId111" Type="http://schemas.openxmlformats.org/officeDocument/2006/relationships/hyperlink" Target="#&apos;VMR0015 A2.2 DataParameter  2&apos;!A1" TargetMode="External"/><Relationship Id="rId112" Type="http://schemas.openxmlformats.org/officeDocument/2006/relationships/hyperlink" Target="#&apos;VMR0015 A2.2 DataParameter  2&apos;!A1" TargetMode="External"/><Relationship Id="rId113" Type="http://schemas.openxmlformats.org/officeDocument/2006/relationships/hyperlink" Target="#&apos;VMR0015 A2.2 DataParameter  2&apos;!A1" TargetMode="External"/><Relationship Id="rId114" Type="http://schemas.openxmlformats.org/officeDocument/2006/relationships/hyperlink" Target="#&apos;VMR0015 A2.2 DataParameter  2&apos;!A1" TargetMode="External"/><Relationship Id="rId115" Type="http://schemas.openxmlformats.org/officeDocument/2006/relationships/hyperlink" Target="#&apos;VMR0015 A2.2 DataParameter  2&apos;!A1" TargetMode="External"/><Relationship Id="rId116" Type="http://schemas.openxmlformats.org/officeDocument/2006/relationships/hyperlink" Target="#&apos;VMR0015 A2.2 DataParameter  2&apos;!A1" TargetMode="External"/><Relationship Id="rId117" Type="http://schemas.openxmlformats.org/officeDocument/2006/relationships/hyperlink" Target="#&apos;VMR0015 A2.2 DataParameter  2&apos;!A1" TargetMode="External"/><Relationship Id="rId118" Type="http://schemas.openxmlformats.org/officeDocument/2006/relationships/hyperlink" Target="#&apos;VMR0015 A2.2 DataParameter  2&apos;!A1" TargetMode="External"/><Relationship Id="rId119" Type="http://schemas.openxmlformats.org/officeDocument/2006/relationships/hyperlink" Target="#&apos;VMR0015 A2.2 DataParameter  2&apos;!A1" TargetMode="External"/><Relationship Id="rId120" Type="http://schemas.openxmlformats.org/officeDocument/2006/relationships/hyperlink" Target="#&apos;VMR0015 A2.2 DataParameter  2&apos;!A1" TargetMode="External"/><Relationship Id="rId121" Type="http://schemas.openxmlformats.org/officeDocument/2006/relationships/hyperlink" Target="#&apos;VMR0015 A2.2 DataParameter  2&apos;!A1" TargetMode="External"/><Relationship Id="rId122" Type="http://schemas.openxmlformats.org/officeDocument/2006/relationships/hyperlink" Target="#&apos;VMR0015 A2.2 DataParameter  2&apos;!A1" TargetMode="External"/><Relationship Id="rId123" Type="http://schemas.openxmlformats.org/officeDocument/2006/relationships/hyperlink" Target="#&apos;VMR0015 A2.2 DataParameter  2&apos;!A1" TargetMode="External"/><Relationship Id="rId124" Type="http://schemas.openxmlformats.org/officeDocument/2006/relationships/hyperlink" Target="#&apos;VT0010 grid load row (load L;&apos;!A1" TargetMode="External"/><Relationship Id="rId125" Type="http://schemas.openxmlformats.org/officeDocument/2006/relationships/hyperlink" Target="#&apos;VT0010 shared plant fuel row (&apos;!A1" TargetMode="External"/><Relationship Id="rId126" Type="http://schemas.openxmlformats.org/officeDocument/2006/relationships/hyperlink" Target="#&apos;VMR0015 A2.2.4 fNRB monitor 2&apos;!A1" TargetMode="External"/><Relationship Id="rId127" Type="http://schemas.openxmlformats.org/officeDocument/2006/relationships/hyperlink" Target="#&apos;VMR0015 A2.2 DataParameter  2&apos;!A1" TargetMode="External"/><Relationship Id="rId128" Type="http://schemas.openxmlformats.org/officeDocument/2006/relationships/hyperlink" Target="#&apos;VMR0015 Methodology Records 2&apos;!A1" TargetMode="External"/><Relationship Id="rId129" Type="http://schemas.openxmlformats.org/officeDocument/2006/relationships/hyperlink" Target="#&apos;VMR0015 Project Section - MR (&apos;!A1" TargetMode="External"/><Relationship Id="rId130" Type="http://schemas.openxmlformats.org/officeDocument/2006/relationships/hyperlink" Target="#&apos;VMR0015 Water Quantity Record&apos;!A1" TargetMode="External"/><Relationship Id="rId131" Type="http://schemas.openxmlformats.org/officeDocument/2006/relationships/hyperlink" Target="#&apos;Evidence item&apos;!A1" TargetMode="External"/><Relationship Id="rId132" Type="http://schemas.openxmlformats.org/officeDocument/2006/relationships/hyperlink" Target="#&apos;VMR0015 Water Quantity Reco 2&apos;!A1" TargetMode="External"/><Relationship Id="rId133" Type="http://schemas.openxmlformats.org/officeDocument/2006/relationships/hyperlink" Target="#&apos;VMR0015 Water Quantity Reco 3&apos;!A1" TargetMode="External"/><Relationship Id="rId134" Type="http://schemas.openxmlformats.org/officeDocument/2006/relationships/hyperlink" Target="#&apos;VMR0015 Appliance Functionalit&apos;!A1" TargetMode="External"/><Relationship Id="rId135" Type="http://schemas.openxmlformats.org/officeDocument/2006/relationships/hyperlink" Target="#&apos;Evidence item&apos;!A1" TargetMode="External"/><Relationship Id="rId136" Type="http://schemas.openxmlformats.org/officeDocument/2006/relationships/hyperlink" Target="#&apos;SDW Public Distribution Networ&apos;!A1" TargetMode="External"/><Relationship Id="rId137" Type="http://schemas.openxmlformats.org/officeDocument/2006/relationships/hyperlink" Target="#&apos;Evidence item&apos;!A1" TargetMode="External"/><Relationship Id="rId138" Type="http://schemas.openxmlformats.org/officeDocument/2006/relationships/hyperlink" Target="#&apos;Biennial Water Quality Check (&apos;!A1" TargetMode="External"/><Relationship Id="rId139" Type="http://schemas.openxmlformats.org/officeDocument/2006/relationships/hyperlink" Target="#&apos;Evidence item&apos;!A1" TargetMode="External"/><Relationship Id="rId140" Type="http://schemas.openxmlformats.org/officeDocument/2006/relationships/hyperlink" Target="#&apos;VMR0015 Sampling Plan and Resu&apos;!A1" TargetMode="External"/><Relationship Id="rId141" Type="http://schemas.openxmlformats.org/officeDocument/2006/relationships/hyperlink" Target="#&apos;Evidence item&apos;!A1" TargetMode="External"/><Relationship Id="rId142" Type="http://schemas.openxmlformats.org/officeDocument/2006/relationships/hyperlink" Target="#&apos;VMR0015 fNRB Determination&apos;!A1" TargetMode="External"/><Relationship Id="rId143" Type="http://schemas.openxmlformats.org/officeDocument/2006/relationships/hyperlink" Target="#&apos;Evidence item&apos;!A1" TargetMode="External"/><Relationship Id="rId144" Type="http://schemas.openxmlformats.org/officeDocument/2006/relationships/hyperlink" Target="#&apos;Project device record (VMR0015&apos;!A1" TargetMode="External"/><Relationship Id="rId145" Type="http://schemas.openxmlformats.org/officeDocument/2006/relationships/hyperlink" Target="#&apos;Interactive effects survey r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4.5.1 Quantification of Estima&apos;!A1" TargetMode="External"/><Relationship Id="rId2" Type="http://schemas.openxmlformats.org/officeDocument/2006/relationships/hyperlink" Target="#&apos;4.5.2 Summary of Estimated Red&apos;!A1" TargetMode="External"/><Relationship Id="rId3" Type="http://schemas.openxmlformats.org/officeDocument/2006/relationships/hyperlink" Target="#&apos;Estimated reductions and remov&apos;!A1"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Data and Parameters Available&apos;!A1"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Technology system or equipment&apos;!A1" TargetMode="External"/><Relationship Id="rId2" Type="http://schemas.openxmlformats.org/officeDocument/2006/relationships/hyperlink" Target="#&apos;Implementation schedule row (V&apos;!A1"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1.11 Sustainable development c&apos;!A1"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Methodology details row (VCS P&apos;!A1"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4.1 Design Process and Summa&apos;!A1"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Summary of reductions and remo&apos;!A1" TargetMode="External"/><Relationship Id="rId2" Type="http://schemas.openxmlformats.org/officeDocument/2006/relationships/hyperlink" Target="#&apos;Ex-ante vs ex-post comparison&apos;!A1"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1.18 Sustainable developmen 2&apos;!A1"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Benefit-sharing mechanism row&apos;!A1"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4.4.1 Non-Permanence Risk Anal&apos;!A1" TargetMode="External"/><Relationship Id="rId2" Type="http://schemas.openxmlformats.org/officeDocument/2006/relationships/hyperlink" Target="#&apos;4.4.1.1 Buffer Pool Allocation&apos;!A1" TargetMode="External"/><Relationship Id="rId3" Type="http://schemas.openxmlformats.org/officeDocument/2006/relationships/hyperlink" Target="#&apos;4.4.2 Buffer pool allocation r&apos;!A1" TargetMode="External"/><Relationship Id="rId4" Type="http://schemas.openxmlformats.org/officeDocument/2006/relationships/hyperlink" Target="#&apos;4.4.2 Buffer pool allocatio 2&apos;!A1" TargetMode="External"/><Relationship Id="rId5" Type="http://schemas.openxmlformats.org/officeDocument/2006/relationships/hyperlink" Target="#&apos;4.4.2 Long-Term Average (VCS P&apos;!A1" TargetMode="External"/><Relationship Id="rId6" Type="http://schemas.openxmlformats.org/officeDocument/2006/relationships/hyperlink" Target="#&apos;Non-permanence risk rating row&apos;!A1" TargetMode="External"/><Relationship Id="rId7" Type="http://schemas.openxmlformats.org/officeDocument/2006/relationships/hyperlink" Target="#&apos;4.4 Buffer pool allocation (re&apos;!A1"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Sensitive information row ( 2&apos;!A1" TargetMode="External"/><Relationship Id="rId2" Type="http://schemas.openxmlformats.org/officeDocument/2006/relationships/hyperlink" Target="#&apos;Document history row (VCS v5.0&apos;!A1" TargetMode="External"/><Relationship Id="rId3" Type="http://schemas.openxmlformats.org/officeDocument/2006/relationships/hyperlink" Target="#&apos;1. Project Details&apos;!A1" TargetMode="External"/><Relationship Id="rId4" Type="http://schemas.openxmlformats.org/officeDocument/2006/relationships/hyperlink" Target="#&apos;1.1 Summary Description of the&apos;!A1" TargetMode="External"/><Relationship Id="rId5" Type="http://schemas.openxmlformats.org/officeDocument/2006/relationships/hyperlink" Target="#&apos;1.2 Audit History (VCS PD 1.2)&apos;!A1" TargetMode="External"/><Relationship Id="rId6" Type="http://schemas.openxmlformats.org/officeDocument/2006/relationships/hyperlink" Target="#&apos;1.3 Sectoral Scope and Project&apos;!A1" TargetMode="External"/><Relationship Id="rId7" Type="http://schemas.openxmlformats.org/officeDocument/2006/relationships/hyperlink" Target="#&apos;1.4 Project Eligibility (VCS P&apos;!A1" TargetMode="External"/><Relationship Id="rId8" Type="http://schemas.openxmlformats.org/officeDocument/2006/relationships/hyperlink" Target="#&apos;1.5 Project Proponent (VCS PD&apos;!A1" TargetMode="External"/><Relationship Id="rId9" Type="http://schemas.openxmlformats.org/officeDocument/2006/relationships/hyperlink" Target="#&apos;Project Proponent Contact (VCS&apos;!A1" TargetMode="External"/><Relationship Id="rId10" Type="http://schemas.openxmlformats.org/officeDocument/2006/relationships/hyperlink" Target="#&apos;1.6 Other Entities Involved in&apos;!A1" TargetMode="External"/><Relationship Id="rId11" Type="http://schemas.openxmlformats.org/officeDocument/2006/relationships/hyperlink" Target="#&apos;1.7 Right to Operate and Ri 2&apos;!A1" TargetMode="External"/><Relationship Id="rId12" Type="http://schemas.openxmlformats.org/officeDocument/2006/relationships/hyperlink" Target="#&apos;1.7 Right to Operate and Right&apos;!A1" TargetMode="External"/><Relationship Id="rId13" Type="http://schemas.openxmlformats.org/officeDocument/2006/relationships/hyperlink" Target="#&apos;1.7.2 Land or Resource Rights&apos;!A1" TargetMode="External"/><Relationship Id="rId14" Type="http://schemas.openxmlformats.org/officeDocument/2006/relationships/hyperlink" Target="#&apos;1.7 Evidence of right to opera&apos;!A1" TargetMode="External"/><Relationship Id="rId15" Type="http://schemas.openxmlformats.org/officeDocument/2006/relationships/hyperlink" Target="#&apos;1.8 Project Start Date and Ini&apos;!A1" TargetMode="External"/><Relationship Id="rId16" Type="http://schemas.openxmlformats.org/officeDocument/2006/relationships/hyperlink" Target="#&apos;1.9 Project Crediting Period (&apos;!A1" TargetMode="External"/><Relationship Id="rId17" Type="http://schemas.openxmlformats.org/officeDocument/2006/relationships/hyperlink" Target="#&apos;1.10 Project Scale (VCS PD 1.1&apos;!A1" TargetMode="External"/><Relationship Id="rId18" Type="http://schemas.openxmlformats.org/officeDocument/2006/relationships/hyperlink" Target="#&apos;Estimated net reductions and r&apos;!A1" TargetMode="External"/><Relationship Id="rId19" Type="http://schemas.openxmlformats.org/officeDocument/2006/relationships/hyperlink" Target="#&apos;1.11 Project Design (VCS PD 1.&apos;!A1" TargetMode="External"/><Relationship Id="rId20" Type="http://schemas.openxmlformats.org/officeDocument/2006/relationships/hyperlink" Target="#&apos;Project activity instances row&apos;!A1" TargetMode="External"/><Relationship Id="rId21" Type="http://schemas.openxmlformats.org/officeDocument/2006/relationships/hyperlink" Target="#&apos;Grouped project eligibility ar&apos;!A1" TargetMode="External"/><Relationship Id="rId22" Type="http://schemas.openxmlformats.org/officeDocument/2006/relationships/hyperlink" Target="#&apos;Eligibility criteria per eligi&apos;!A1" TargetMode="External"/><Relationship Id="rId23" Type="http://schemas.openxmlformats.org/officeDocument/2006/relationships/hyperlink" Target="#&apos;1.12 Conditions Prior to Proje&apos;!A1" TargetMode="External"/><Relationship Id="rId24" Type="http://schemas.openxmlformats.org/officeDocument/2006/relationships/hyperlink" Target="#&apos;1.13 Description of the Projec&apos;!A1" TargetMode="External"/><Relationship Id="rId25" Type="http://schemas.openxmlformats.org/officeDocument/2006/relationships/hyperlink" Target="#&apos;Technology system or equipment&apos;!A1" TargetMode="External"/><Relationship Id="rId26" Type="http://schemas.openxmlformats.org/officeDocument/2006/relationships/hyperlink" Target="#&apos;Implementation schedule row (V&apos;!A1" TargetMode="External"/><Relationship Id="rId27" Type="http://schemas.openxmlformats.org/officeDocument/2006/relationships/hyperlink" Target="#&apos;1.14 Project Location (VCS PD&apos;!A1" TargetMode="External"/><Relationship Id="rId28" Type="http://schemas.openxmlformats.org/officeDocument/2006/relationships/hyperlink" Target="#&apos;Project Location Entry (VCS PD&apos;!A1" TargetMode="External"/><Relationship Id="rId29" Type="http://schemas.openxmlformats.org/officeDocument/2006/relationships/hyperlink" Target="#&apos;1.15 Compliance with Laws and&apos;!A1" TargetMode="External"/><Relationship Id="rId30" Type="http://schemas.openxmlformats.org/officeDocument/2006/relationships/hyperlink" Target="#&apos;Laws and other regulatory fram&apos;!A1" TargetMode="External"/><Relationship Id="rId31" Type="http://schemas.openxmlformats.org/officeDocument/2006/relationships/hyperlink" Target="#&apos;1.16 Double Counting and Parti&apos;!A1" TargetMode="External"/><Relationship Id="rId32" Type="http://schemas.openxmlformats.org/officeDocument/2006/relationships/hyperlink" Target="#&apos;Reductions and removals claime&apos;!A1" TargetMode="External"/><Relationship Id="rId33" Type="http://schemas.openxmlformats.org/officeDocument/2006/relationships/hyperlink" Target="#&apos;1.17 Double Claiming Other For&apos;!A1" TargetMode="External"/><Relationship Id="rId34" Type="http://schemas.openxmlformats.org/officeDocument/2006/relationships/hyperlink" Target="#&apos;1.18 Sustainable Development C&apos;!A1" TargetMode="External"/><Relationship Id="rId35" Type="http://schemas.openxmlformats.org/officeDocument/2006/relationships/hyperlink" Target="#&apos;1.18 Sustainable developmen 2&apos;!A1" TargetMode="External"/><Relationship Id="rId36" Type="http://schemas.openxmlformats.org/officeDocument/2006/relationships/hyperlink" Target="#&apos;1.19 Additional Information (V&apos;!A1" TargetMode="External"/><Relationship Id="rId37" Type="http://schemas.openxmlformats.org/officeDocument/2006/relationships/hyperlink" Target="#&apos;Sensitive Information Row (VCS&apos;!A1" TargetMode="External"/><Relationship Id="rId38" Type="http://schemas.openxmlformats.org/officeDocument/2006/relationships/hyperlink" Target="#&apos;2. Stakeholder Engagement and&apos;!A1" TargetMode="External"/><Relationship Id="rId39" Type="http://schemas.openxmlformats.org/officeDocument/2006/relationships/hyperlink" Target="#&apos;2.1 Stakeholder Engagement and&apos;!A1" TargetMode="External"/><Relationship Id="rId40" Type="http://schemas.openxmlformats.org/officeDocument/2006/relationships/hyperlink" Target="#&apos;2.1 Stakeholder consultation a&apos;!A1" TargetMode="External"/><Relationship Id="rId41" Type="http://schemas.openxmlformats.org/officeDocument/2006/relationships/hyperlink" Target="#&apos;2.2 Benefit-Sharing Mechanism&apos;!A1" TargetMode="External"/><Relationship Id="rId42" Type="http://schemas.openxmlformats.org/officeDocument/2006/relationships/hyperlink" Target="#&apos;2.3 Stakeholder Input Tracker&apos;!A1" TargetMode="External"/><Relationship Id="rId43" Type="http://schemas.openxmlformats.org/officeDocument/2006/relationships/hyperlink" Target="#&apos;2.4 Grievance Redress Mechanis&apos;!A1" TargetMode="External"/><Relationship Id="rId44" Type="http://schemas.openxmlformats.org/officeDocument/2006/relationships/hyperlink" Target="#&apos;2.4.1 Design Process and Summa&apos;!A1" TargetMode="External"/><Relationship Id="rId45" Type="http://schemas.openxmlformats.org/officeDocument/2006/relationships/hyperlink" Target="#&apos;2.5 Environmental Social and G&apos;!A1" TargetMode="External"/><Relationship Id="rId46" Type="http://schemas.openxmlformats.org/officeDocument/2006/relationships/hyperlink" Target="#&apos;2.5.1 Ecosystem Restoration (V&apos;!A1" TargetMode="External"/><Relationship Id="rId47" Type="http://schemas.openxmlformats.org/officeDocument/2006/relationships/hyperlink" Target="#&apos;2.5.2 Management Experience (V&apos;!A1" TargetMode="External"/><Relationship Id="rId48" Type="http://schemas.openxmlformats.org/officeDocument/2006/relationships/hyperlink" Target="#&apos;2.5.3 Legal Compliance (VCS PD&apos;!A1" TargetMode="External"/><Relationship Id="rId49" Type="http://schemas.openxmlformats.org/officeDocument/2006/relationships/hyperlink" Target="#&apos;3. Application of Methodology&apos;!A1" TargetMode="External"/><Relationship Id="rId50" Type="http://schemas.openxmlformats.org/officeDocument/2006/relationships/hyperlink" Target="#&apos;3.1 Methodology Details (VCS P&apos;!A1" TargetMode="External"/><Relationship Id="rId51" Type="http://schemas.openxmlformats.org/officeDocument/2006/relationships/hyperlink" Target="#&apos;Methodology details row (VCS P&apos;!A1" TargetMode="External"/><Relationship Id="rId52" Type="http://schemas.openxmlformats.org/officeDocument/2006/relationships/hyperlink" Target="#&apos;3.2 Applicability and Eligibil&apos;!A1" TargetMode="External"/><Relationship Id="rId53" Type="http://schemas.openxmlformats.org/officeDocument/2006/relationships/hyperlink" Target="#&apos;3.2.1 Eligibility of Methodolo&apos;!A1" TargetMode="External"/><Relationship Id="rId54" Type="http://schemas.openxmlformats.org/officeDocument/2006/relationships/hyperlink" Target="#&apos;3.2.2 Applicability of Methodo&apos;!A1" TargetMode="External"/><Relationship Id="rId55" Type="http://schemas.openxmlformats.org/officeDocument/2006/relationships/hyperlink" Target="#&apos;REDD+ Double Counting Assessme&apos;!A1" TargetMode="External"/><Relationship Id="rId56" Type="http://schemas.openxmlformats.org/officeDocument/2006/relationships/hyperlink" Target="#&apos;SDW Public Distribution Networ&apos;!A1" TargetMode="External"/><Relationship Id="rId57" Type="http://schemas.openxmlformats.org/officeDocument/2006/relationships/hyperlink" Target="#&apos;Evidence item&apos;!A1" TargetMode="External"/><Relationship Id="rId58" Type="http://schemas.openxmlformats.org/officeDocument/2006/relationships/hyperlink" Target="#&apos;3.2 Applicability of methodolo&apos;!A1" TargetMode="External"/><Relationship Id="rId59" Type="http://schemas.openxmlformats.org/officeDocument/2006/relationships/hyperlink" Target="#&apos;3.3 Project Boundary (VCS PD 3&apos;!A1" TargetMode="External"/><Relationship Id="rId60" Type="http://schemas.openxmlformats.org/officeDocument/2006/relationships/hyperlink" Target="#&apos;GHG Source Row (VCS PD 3.3)&apos;!A1" TargetMode="External"/><Relationship Id="rId61" Type="http://schemas.openxmlformats.org/officeDocument/2006/relationships/hyperlink" Target="#&apos;3.3.1 De Minimis GHG Sources a&apos;!A1" TargetMode="External"/><Relationship Id="rId62" Type="http://schemas.openxmlformats.org/officeDocument/2006/relationships/hyperlink" Target="#&apos;De minimis comparison period r&apos;!A1" TargetMode="External"/><Relationship Id="rId63" Type="http://schemas.openxmlformats.org/officeDocument/2006/relationships/hyperlink" Target="#&apos;De minimis quantification per&apos;!A1" TargetMode="External"/><Relationship Id="rId64" Type="http://schemas.openxmlformats.org/officeDocument/2006/relationships/hyperlink" Target="#&apos;3.4 Baseline Scenario (VCS PD&apos;!A1" TargetMode="External"/><Relationship Id="rId65" Type="http://schemas.openxmlformats.org/officeDocument/2006/relationships/hyperlink" Target="#&apos;3.4.1 Baseline Reassessment (V&apos;!A1" TargetMode="External"/><Relationship Id="rId66" Type="http://schemas.openxmlformats.org/officeDocument/2006/relationships/hyperlink" Target="#&apos;3.5 Additionality (VCS PD 3.5)&apos;!A1" TargetMode="External"/><Relationship Id="rId67" Type="http://schemas.openxmlformats.org/officeDocument/2006/relationships/hyperlink" Target="#&apos;3.5.1 Regulatory Surplus (VCS&apos;!A1" TargetMode="External"/><Relationship Id="rId68" Type="http://schemas.openxmlformats.org/officeDocument/2006/relationships/hyperlink" Target="#&apos;3.5.2 Additionality Methods (V&apos;!A1" TargetMode="External"/><Relationship Id="rId69" Type="http://schemas.openxmlformats.org/officeDocument/2006/relationships/hyperlink" Target="#&apos;Laws reviewed for regulatory s&apos;!A1" TargetMode="External"/><Relationship Id="rId70" Type="http://schemas.openxmlformats.org/officeDocument/2006/relationships/hyperlink" Target="#&apos;3.6 Methodology Deviations (VC&apos;!A1" TargetMode="External"/><Relationship Id="rId71" Type="http://schemas.openxmlformats.org/officeDocument/2006/relationships/hyperlink" Target="#&apos;Methodology deviation row (VCS&apos;!A1" TargetMode="External"/><Relationship Id="rId72" Type="http://schemas.openxmlformats.org/officeDocument/2006/relationships/hyperlink" Target="#&apos;4. Quantification of GHG Emiss&apos;!A1" TargetMode="External"/><Relationship Id="rId73" Type="http://schemas.openxmlformats.org/officeDocument/2006/relationships/hyperlink" Target="#&apos;4.1 Baseline Emissions (VCS PD&apos;!A1" TargetMode="External"/><Relationship Id="rId74" Type="http://schemas.openxmlformats.org/officeDocument/2006/relationships/hyperlink" Target="#&apos;4.2 Project Emissions (VCS PD&apos;!A1" TargetMode="External"/><Relationship Id="rId75" Type="http://schemas.openxmlformats.org/officeDocument/2006/relationships/hyperlink" Target="#&apos;4.3 Leakage Emissions (VCS PD&apos;!A1" TargetMode="External"/><Relationship Id="rId76" Type="http://schemas.openxmlformats.org/officeDocument/2006/relationships/hyperlink" Target="#&apos;4.4 Other Relevant Quantificat&apos;!A1" TargetMode="External"/><Relationship Id="rId77" Type="http://schemas.openxmlformats.org/officeDocument/2006/relationships/hyperlink" Target="#&apos;4.4.1 Non-Permanence Risk Anal&apos;!A1" TargetMode="External"/><Relationship Id="rId78" Type="http://schemas.openxmlformats.org/officeDocument/2006/relationships/hyperlink" Target="#&apos;4.4.1.1 Buffer Pool Allocation&apos;!A1" TargetMode="External"/><Relationship Id="rId79" Type="http://schemas.openxmlformats.org/officeDocument/2006/relationships/hyperlink" Target="#&apos;4.4.2 Buffer pool allocation r&apos;!A1" TargetMode="External"/><Relationship Id="rId80" Type="http://schemas.openxmlformats.org/officeDocument/2006/relationships/hyperlink" Target="#&apos;4.4.2 Buffer pool allocatio 2&apos;!A1" TargetMode="External"/><Relationship Id="rId81" Type="http://schemas.openxmlformats.org/officeDocument/2006/relationships/hyperlink" Target="#&apos;4.4.2 Long-Term Average (VCS P&apos;!A1" TargetMode="External"/><Relationship Id="rId82" Type="http://schemas.openxmlformats.org/officeDocument/2006/relationships/hyperlink" Target="#&apos;Non-permanence risk rating row&apos;!A1" TargetMode="External"/><Relationship Id="rId83" Type="http://schemas.openxmlformats.org/officeDocument/2006/relationships/hyperlink" Target="#&apos;4.4 Buffer pool allocation (re&apos;!A1" TargetMode="External"/><Relationship Id="rId84" Type="http://schemas.openxmlformats.org/officeDocument/2006/relationships/hyperlink" Target="#&apos;4.5 Estimated GHG Emission Red&apos;!A1" TargetMode="External"/><Relationship Id="rId85" Type="http://schemas.openxmlformats.org/officeDocument/2006/relationships/hyperlink" Target="#&apos;4.5.1 Quantification of Estima&apos;!A1" TargetMode="External"/><Relationship Id="rId86" Type="http://schemas.openxmlformats.org/officeDocument/2006/relationships/hyperlink" Target="#&apos;4.5.2 Summary of Estimated Red&apos;!A1" TargetMode="External"/><Relationship Id="rId87" Type="http://schemas.openxmlformats.org/officeDocument/2006/relationships/hyperlink" Target="#&apos;Estimated reductions and remov&apos;!A1" TargetMode="External"/><Relationship Id="rId88" Type="http://schemas.openxmlformats.org/officeDocument/2006/relationships/hyperlink" Target="#&apos;5. Monitoring&apos;!A1" TargetMode="External"/><Relationship Id="rId89" Type="http://schemas.openxmlformats.org/officeDocument/2006/relationships/hyperlink" Target="#&apos;5.1 Data and Parameters (VCS P&apos;!A1" TargetMode="External"/><Relationship Id="rId90" Type="http://schemas.openxmlformats.org/officeDocument/2006/relationships/hyperlink" Target="#&apos;Data and Parameters Available&apos;!A1" TargetMode="External"/><Relationship Id="rId91" Type="http://schemas.openxmlformats.org/officeDocument/2006/relationships/hyperlink" Target="#&apos;5.2 Monitoring Plan (VCS PD 5.&apos;!A1" TargetMode="External"/><Relationship Id="rId92" Type="http://schemas.openxmlformats.org/officeDocument/2006/relationships/hyperlink" Target="#&apos;5.2.1 GHG Data Collection and&apos;!A1" TargetMode="External"/><Relationship Id="rId93" Type="http://schemas.openxmlformats.org/officeDocument/2006/relationships/hyperlink" Target="#&apos;5.2.2 Procedures for Calibrati&apos;!A1" TargetMode="External"/><Relationship Id="rId94" Type="http://schemas.openxmlformats.org/officeDocument/2006/relationships/hyperlink" Target="#&apos;5.2.3 Monitoring Personnel (VC&apos;!A1" TargetMode="External"/><Relationship Id="rId95" Type="http://schemas.openxmlformats.org/officeDocument/2006/relationships/hyperlink" Target="#&apos;5.2.4 Procedures for Internal&apos;!A1" TargetMode="External"/><Relationship Id="rId96" Type="http://schemas.openxmlformats.org/officeDocument/2006/relationships/hyperlink" Target="#&apos;5.2.5 Procedures for Handling&apos;!A1" TargetMode="External"/><Relationship Id="rId97" Type="http://schemas.openxmlformats.org/officeDocument/2006/relationships/hyperlink" Target="#&apos;5.2.6 Sampling Approaches (VCS&apos;!A1" TargetMode="External"/><Relationship Id="rId98" Type="http://schemas.openxmlformats.org/officeDocument/2006/relationships/hyperlink" Target="#&apos;VMR0015 Appendix 2 - Monitorin&apos;!A1" TargetMode="External"/><Relationship Id="rId99" Type="http://schemas.openxmlformats.org/officeDocument/2006/relationships/hyperlink" Target="#&apos;VMR0015 A2.1.1 VMR0015  AMS-II&apos;!A1" TargetMode="External"/><Relationship Id="rId100" Type="http://schemas.openxmlformats.org/officeDocument/2006/relationships/hyperlink" Target="#&apos;VMR0015 A2.1 DataParameter Ava&apos;!A1" TargetMode="External"/><Relationship Id="rId101" Type="http://schemas.openxmlformats.org/officeDocument/2006/relationships/hyperlink" Target="#&apos;VMR0015 A2.1 DataParameter Ava&apos;!A1" TargetMode="External"/><Relationship Id="rId102" Type="http://schemas.openxmlformats.org/officeDocument/2006/relationships/hyperlink" Target="#&apos;VMR0015 A2.1 DataParameter Ava&apos;!A1" TargetMode="External"/><Relationship Id="rId103" Type="http://schemas.openxmlformats.org/officeDocument/2006/relationships/hyperlink" Target="#&apos;VMR0015 A2.1 DataParameter Ava&apos;!A1" TargetMode="External"/><Relationship Id="rId104" Type="http://schemas.openxmlformats.org/officeDocument/2006/relationships/hyperlink" Target="#&apos;VMR0015 A2.1 DataParameter Ava&apos;!A1" TargetMode="External"/><Relationship Id="rId105" Type="http://schemas.openxmlformats.org/officeDocument/2006/relationships/hyperlink" Target="#&apos;VMR0015 A2.1 DataParameter Ava&apos;!A1" TargetMode="External"/><Relationship Id="rId106" Type="http://schemas.openxmlformats.org/officeDocument/2006/relationships/hyperlink" Target="#&apos;VMR0015 A2.1 DataParameter Ava&apos;!A1" TargetMode="External"/><Relationship Id="rId107" Type="http://schemas.openxmlformats.org/officeDocument/2006/relationships/hyperlink" Target="#&apos;VMR0015 A2.1 DataParameter Ava&apos;!A1" TargetMode="External"/><Relationship Id="rId108" Type="http://schemas.openxmlformats.org/officeDocument/2006/relationships/hyperlink" Target="#&apos;VMR0015 A2.1 DataParameter Ava&apos;!A1" TargetMode="External"/><Relationship Id="rId109" Type="http://schemas.openxmlformats.org/officeDocument/2006/relationships/hyperlink" Target="#&apos;VMR0015 A2.1 DataParameter Ava&apos;!A1" TargetMode="External"/><Relationship Id="rId110" Type="http://schemas.openxmlformats.org/officeDocument/2006/relationships/hyperlink" Target="#&apos;VMR0015 A2.1 DataParameter Ava&apos;!A1" TargetMode="External"/><Relationship Id="rId111" Type="http://schemas.openxmlformats.org/officeDocument/2006/relationships/hyperlink" Target="#&apos;VMR0015 A2.1 DataParameter Ava&apos;!A1" TargetMode="External"/><Relationship Id="rId112" Type="http://schemas.openxmlformats.org/officeDocument/2006/relationships/hyperlink" Target="#&apos;VMR0015 A2.1 DataParameter Ava&apos;!A1" TargetMode="External"/><Relationship Id="rId113" Type="http://schemas.openxmlformats.org/officeDocument/2006/relationships/hyperlink" Target="#&apos;VMR0015 A2.1 DataParameter Ava&apos;!A1" TargetMode="External"/><Relationship Id="rId114" Type="http://schemas.openxmlformats.org/officeDocument/2006/relationships/hyperlink" Target="#&apos;VMR0015 A2.1.2 TOOL03 paramete&apos;!A1" TargetMode="External"/><Relationship Id="rId115" Type="http://schemas.openxmlformats.org/officeDocument/2006/relationships/hyperlink" Target="#&apos;VMR0015 A2.1 DataParameter Ava&apos;!A1" TargetMode="External"/><Relationship Id="rId116" Type="http://schemas.openxmlformats.org/officeDocument/2006/relationships/hyperlink" Target="#&apos;VMR0015 A2.1.3 VT0010  VT0011&apos;!A1" TargetMode="External"/><Relationship Id="rId117" Type="http://schemas.openxmlformats.org/officeDocument/2006/relationships/hyperlink" Target="#&apos;VMR0015 A2.1 DataParameter Ava&apos;!A1" TargetMode="External"/><Relationship Id="rId118" Type="http://schemas.openxmlformats.org/officeDocument/2006/relationships/hyperlink" Target="#&apos;VMR0015 A2.1 DataParameter Ava&apos;!A1" TargetMode="External"/><Relationship Id="rId119" Type="http://schemas.openxmlformats.org/officeDocument/2006/relationships/hyperlink" Target="#&apos;VMR0015 A2.1.4 AMS-I.E paramet&apos;!A1" TargetMode="External"/><Relationship Id="rId120" Type="http://schemas.openxmlformats.org/officeDocument/2006/relationships/hyperlink" Target="#&apos;VMR0015 A2.1 DataParameter Ava&apos;!A1" TargetMode="External"/><Relationship Id="rId121" Type="http://schemas.openxmlformats.org/officeDocument/2006/relationships/hyperlink" Target="#&apos;VMR0015 A2.2.1 VMR0015  AMS-II&apos;!A1" TargetMode="External"/><Relationship Id="rId122" Type="http://schemas.openxmlformats.org/officeDocument/2006/relationships/hyperlink" Target="#&apos;VMR0015 A2.2 DataParameter Mon&apos;!A1" TargetMode="External"/><Relationship Id="rId123" Type="http://schemas.openxmlformats.org/officeDocument/2006/relationships/hyperlink" Target="#&apos;VMR0015 A2.2 DataParameter Mon&apos;!A1" TargetMode="External"/><Relationship Id="rId124" Type="http://schemas.openxmlformats.org/officeDocument/2006/relationships/hyperlink" Target="#&apos;VMR0015 A2.2 DataParameter Mon&apos;!A1" TargetMode="External"/><Relationship Id="rId125" Type="http://schemas.openxmlformats.org/officeDocument/2006/relationships/hyperlink" Target="#&apos;VMR0015 A2.2 DataParameter Mon&apos;!A1" TargetMode="External"/><Relationship Id="rId126" Type="http://schemas.openxmlformats.org/officeDocument/2006/relationships/hyperlink" Target="#&apos;VMR0015 A2.2 DataParameter Mon&apos;!A1" TargetMode="External"/><Relationship Id="rId127" Type="http://schemas.openxmlformats.org/officeDocument/2006/relationships/hyperlink" Target="#&apos;VMR0015 A2.2 DataParameter Mon&apos;!A1" TargetMode="External"/><Relationship Id="rId128" Type="http://schemas.openxmlformats.org/officeDocument/2006/relationships/hyperlink" Target="#&apos;VMR0015 A2.2 DataParameter Mon&apos;!A1" TargetMode="External"/><Relationship Id="rId129" Type="http://schemas.openxmlformats.org/officeDocument/2006/relationships/hyperlink" Target="#&apos;VMR0015 A2.2.2 TOOL03 monitore&apos;!A1" TargetMode="External"/><Relationship Id="rId130" Type="http://schemas.openxmlformats.org/officeDocument/2006/relationships/hyperlink" Target="#&apos;VMR0015 A2.2 DataParameter Mon&apos;!A1" TargetMode="External"/><Relationship Id="rId131" Type="http://schemas.openxmlformats.org/officeDocument/2006/relationships/hyperlink" Target="#&apos;VMR0015 A2.2 DataParameter Mon&apos;!A1" TargetMode="External"/><Relationship Id="rId132" Type="http://schemas.openxmlformats.org/officeDocument/2006/relationships/hyperlink" Target="#&apos;VMR0015 A2.2 DataParameter Mon&apos;!A1" TargetMode="External"/><Relationship Id="rId133" Type="http://schemas.openxmlformats.org/officeDocument/2006/relationships/hyperlink" Target="#&apos;VMR0015 A2.2 DataParameter Mon&apos;!A1" TargetMode="External"/><Relationship Id="rId134" Type="http://schemas.openxmlformats.org/officeDocument/2006/relationships/hyperlink" Target="#&apos;VMR0015 A2.2 DataParameter Mon&apos;!A1" TargetMode="External"/><Relationship Id="rId135" Type="http://schemas.openxmlformats.org/officeDocument/2006/relationships/hyperlink" Target="#&apos;TOOL03 fuel combustion row (fu&apos;!A1" TargetMode="External"/><Relationship Id="rId136" Type="http://schemas.openxmlformats.org/officeDocument/2006/relationships/hyperlink" Target="#&apos;VMR0015 A2.2.3 VT0010  VT0011&apos;!A1" TargetMode="External"/><Relationship Id="rId137" Type="http://schemas.openxmlformats.org/officeDocument/2006/relationships/hyperlink" Target="#&apos;VMR0015 A2.2 DataParameter Mon&apos;!A1" TargetMode="External"/><Relationship Id="rId138" Type="http://schemas.openxmlformats.org/officeDocument/2006/relationships/hyperlink" Target="#&apos;VMR0015 A2.2 DataParameter Mon&apos;!A1" TargetMode="External"/><Relationship Id="rId139" Type="http://schemas.openxmlformats.org/officeDocument/2006/relationships/hyperlink" Target="#&apos;VMR0015 A2.2 DataParameter Mon&apos;!A1" TargetMode="External"/><Relationship Id="rId140" Type="http://schemas.openxmlformats.org/officeDocument/2006/relationships/hyperlink" Target="#&apos;VMR0015 A2.2 DataParameter Mon&apos;!A1" TargetMode="External"/><Relationship Id="rId141" Type="http://schemas.openxmlformats.org/officeDocument/2006/relationships/hyperlink" Target="#&apos;VMR0015 A2.2 DataParameter Mon&apos;!A1" TargetMode="External"/><Relationship Id="rId142" Type="http://schemas.openxmlformats.org/officeDocument/2006/relationships/hyperlink" Target="#&apos;VMR0015 A2.2 DataParameter Mon&apos;!A1" TargetMode="External"/><Relationship Id="rId143" Type="http://schemas.openxmlformats.org/officeDocument/2006/relationships/hyperlink" Target="#&apos;VMR0015 A2.2 DataParameter Mon&apos;!A1" TargetMode="External"/><Relationship Id="rId144" Type="http://schemas.openxmlformats.org/officeDocument/2006/relationships/hyperlink" Target="#&apos;VMR0015 A2.2 DataParameter Mon&apos;!A1" TargetMode="External"/><Relationship Id="rId145" Type="http://schemas.openxmlformats.org/officeDocument/2006/relationships/hyperlink" Target="#&apos;VMR0015 A2.2 DataParameter Mon&apos;!A1" TargetMode="External"/><Relationship Id="rId146" Type="http://schemas.openxmlformats.org/officeDocument/2006/relationships/hyperlink" Target="#&apos;VMR0015 A2.2 DataParameter Mon&apos;!A1" TargetMode="External"/><Relationship Id="rId147" Type="http://schemas.openxmlformats.org/officeDocument/2006/relationships/hyperlink" Target="#&apos;VMR0015 A2.2 DataParameter Mon&apos;!A1" TargetMode="External"/><Relationship Id="rId148" Type="http://schemas.openxmlformats.org/officeDocument/2006/relationships/hyperlink" Target="#&apos;VMR0015 A2.2 DataParameter Mon&apos;!A1" TargetMode="External"/><Relationship Id="rId149" Type="http://schemas.openxmlformats.org/officeDocument/2006/relationships/hyperlink" Target="#&apos;VMR0015 A2.2 DataParameter Mon&apos;!A1" TargetMode="External"/><Relationship Id="rId150" Type="http://schemas.openxmlformats.org/officeDocument/2006/relationships/hyperlink" Target="#&apos;VMR0015 A2.2 DataParameter Mon&apos;!A1" TargetMode="External"/><Relationship Id="rId151" Type="http://schemas.openxmlformats.org/officeDocument/2006/relationships/hyperlink" Target="#&apos;VT0010 grid load row (load L;&apos;!A1" TargetMode="External"/><Relationship Id="rId152" Type="http://schemas.openxmlformats.org/officeDocument/2006/relationships/hyperlink" Target="#&apos;VT0010 shared plant fuel row (&apos;!A1" TargetMode="External"/><Relationship Id="rId153" Type="http://schemas.openxmlformats.org/officeDocument/2006/relationships/hyperlink" Target="#&apos;VMR0015 A2.2.4 fNRB monitored&apos;!A1" TargetMode="External"/><Relationship Id="rId154" Type="http://schemas.openxmlformats.org/officeDocument/2006/relationships/hyperlink" Target="#&apos;VMR0015 A2.2 DataParameter Mon&apos;!A1" TargetMode="External"/><Relationship Id="rId155" Type="http://schemas.openxmlformats.org/officeDocument/2006/relationships/hyperlink" Target="#&apos;VMR0015 Methodology Records -&apos;!A1" TargetMode="External"/><Relationship Id="rId156" Type="http://schemas.openxmlformats.org/officeDocument/2006/relationships/hyperlink" Target="#&apos;VMR0015 Project Section - PD (&apos;!A1" TargetMode="External"/><Relationship Id="rId157" Type="http://schemas.openxmlformats.org/officeDocument/2006/relationships/hyperlink" Target="#&apos;VMR0015 Baseline Fuel Row (fue&apos;!A1" TargetMode="External"/><Relationship Id="rId158" Type="http://schemas.openxmlformats.org/officeDocument/2006/relationships/hyperlink" Target="#&apos;VMR0015 Survey Household Row&apos;!A1" TargetMode="External"/><Relationship Id="rId159" Type="http://schemas.openxmlformats.org/officeDocument/2006/relationships/hyperlink" Target="#&apos;VMR0015 Survey Device Use Row&apos;!A1" TargetMode="External"/><Relationship Id="rId160" Type="http://schemas.openxmlformats.org/officeDocument/2006/relationships/hyperlink" Target="#&apos;VMR0015 fNRB Determination&apos;!A1" TargetMode="External"/><Relationship Id="rId161" Type="http://schemas.openxmlformats.org/officeDocument/2006/relationships/hyperlink" Target="#&apos;Evidence item&apos;!A1" TargetMode="External"/><Relationship Id="rId162" Type="http://schemas.openxmlformats.org/officeDocument/2006/relationships/hyperlink" Target="#&apos;VMR0015 Leakage Adjustment Det&apos;!A1" TargetMode="External"/><Relationship Id="rId163" Type="http://schemas.openxmlformats.org/officeDocument/2006/relationships/hyperlink" Target="#&apos;VMR0015 Additionality&apos;!A1" TargetMode="External"/><Relationship Id="rId164" Type="http://schemas.openxmlformats.org/officeDocument/2006/relationships/hyperlink" Target="#&apos;Interactive effects survey res&apos;!A1"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Reductions and removals claime&apos;!A1"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Project Proponent Contact (VCS&apos;!A1"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MR 4.2.1 GHG Data Collection a&apos;!A1" TargetMode="External"/><Relationship Id="rId2" Type="http://schemas.openxmlformats.org/officeDocument/2006/relationships/hyperlink" Target="#&apos;MR 4.2.2 Procedures for Calibr&apos;!A1" TargetMode="External"/><Relationship Id="rId3" Type="http://schemas.openxmlformats.org/officeDocument/2006/relationships/hyperlink" Target="#&apos;MR 4.2.3 Monitoring Personnel&apos;!A1" TargetMode="External"/><Relationship Id="rId4" Type="http://schemas.openxmlformats.org/officeDocument/2006/relationships/hyperlink" Target="#&apos;MR 4.2.4 Procedures for Intern&apos;!A1" TargetMode="External"/><Relationship Id="rId5" Type="http://schemas.openxmlformats.org/officeDocument/2006/relationships/hyperlink" Target="#&apos;MR 4.2.5 Procedures for Handli&apos;!A1" TargetMode="External"/><Relationship Id="rId6" Type="http://schemas.openxmlformats.org/officeDocument/2006/relationships/hyperlink" Target="#&apos;MR 4.2.6 Sampling Approaches (&apos;!A1" TargetMode="External"/><Relationship Id="rId7" Type="http://schemas.openxmlformats.org/officeDocument/2006/relationships/hyperlink" Target="#&apos;MR 4.2.7 Updates to Monitoring&apos;!A1"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3.5.1 Regulatory Surplus (VCS&apos;!A1" TargetMode="External"/><Relationship Id="rId2" Type="http://schemas.openxmlformats.org/officeDocument/2006/relationships/hyperlink" Target="#&apos;3.5.2 Additionality Methods (V&apos;!A1" TargetMode="External"/><Relationship Id="rId3" Type="http://schemas.openxmlformats.org/officeDocument/2006/relationships/hyperlink" Target="#&apos;Laws reviewed for regulatory s&apos;!A1"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REDD+ Double Counting Assessme&apos;!A1" TargetMode="External"/><Relationship Id="rId2" Type="http://schemas.openxmlformats.org/officeDocument/2006/relationships/hyperlink" Target="#&apos;SDW Public Distribution Networ&apos;!A1" TargetMode="External"/><Relationship Id="rId3" Type="http://schemas.openxmlformats.org/officeDocument/2006/relationships/hyperlink" Target="#&apos;Evidence item&apos;!A1"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1.1 Summary Description of the&apos;!A1" TargetMode="External"/><Relationship Id="rId2" Type="http://schemas.openxmlformats.org/officeDocument/2006/relationships/hyperlink" Target="#&apos;1.2 Audit History (VCS PD 1.2)&apos;!A1" TargetMode="External"/><Relationship Id="rId3" Type="http://schemas.openxmlformats.org/officeDocument/2006/relationships/hyperlink" Target="#&apos;1.3 Sectoral Scope and Project&apos;!A1" TargetMode="External"/><Relationship Id="rId4" Type="http://schemas.openxmlformats.org/officeDocument/2006/relationships/hyperlink" Target="#&apos;1.4 Project Eligibility (VCS P&apos;!A1" TargetMode="External"/><Relationship Id="rId5" Type="http://schemas.openxmlformats.org/officeDocument/2006/relationships/hyperlink" Target="#&apos;1.5 Project Proponent (VCS PD&apos;!A1" TargetMode="External"/><Relationship Id="rId6" Type="http://schemas.openxmlformats.org/officeDocument/2006/relationships/hyperlink" Target="#&apos;Project Proponent Contact (VCS&apos;!A1" TargetMode="External"/><Relationship Id="rId7" Type="http://schemas.openxmlformats.org/officeDocument/2006/relationships/hyperlink" Target="#&apos;1.6 Other Entities Involved in&apos;!A1" TargetMode="External"/><Relationship Id="rId8" Type="http://schemas.openxmlformats.org/officeDocument/2006/relationships/hyperlink" Target="#&apos;1.7 Right to Operate and Ri 2&apos;!A1" TargetMode="External"/><Relationship Id="rId9" Type="http://schemas.openxmlformats.org/officeDocument/2006/relationships/hyperlink" Target="#&apos;1.7 Right to Operate and Right&apos;!A1" TargetMode="External"/><Relationship Id="rId10" Type="http://schemas.openxmlformats.org/officeDocument/2006/relationships/hyperlink" Target="#&apos;1.7.2 Land or Resource Rights&apos;!A1" TargetMode="External"/><Relationship Id="rId11" Type="http://schemas.openxmlformats.org/officeDocument/2006/relationships/hyperlink" Target="#&apos;1.7 Evidence of right to opera&apos;!A1" TargetMode="External"/><Relationship Id="rId12" Type="http://schemas.openxmlformats.org/officeDocument/2006/relationships/hyperlink" Target="#&apos;1.8 Project Start Date and Ini&apos;!A1" TargetMode="External"/><Relationship Id="rId13" Type="http://schemas.openxmlformats.org/officeDocument/2006/relationships/hyperlink" Target="#&apos;1.9 Project Crediting Period (&apos;!A1" TargetMode="External"/><Relationship Id="rId14" Type="http://schemas.openxmlformats.org/officeDocument/2006/relationships/hyperlink" Target="#&apos;1.10 Project Scale (VCS PD 1.1&apos;!A1" TargetMode="External"/><Relationship Id="rId15" Type="http://schemas.openxmlformats.org/officeDocument/2006/relationships/hyperlink" Target="#&apos;Estimated net reductions and r&apos;!A1" TargetMode="External"/><Relationship Id="rId16" Type="http://schemas.openxmlformats.org/officeDocument/2006/relationships/hyperlink" Target="#&apos;1.11 Project Design (VCS PD 1.&apos;!A1" TargetMode="External"/><Relationship Id="rId17" Type="http://schemas.openxmlformats.org/officeDocument/2006/relationships/hyperlink" Target="#&apos;Project activity instances row&apos;!A1" TargetMode="External"/><Relationship Id="rId18" Type="http://schemas.openxmlformats.org/officeDocument/2006/relationships/hyperlink" Target="#&apos;Grouped project eligibility ar&apos;!A1" TargetMode="External"/><Relationship Id="rId19" Type="http://schemas.openxmlformats.org/officeDocument/2006/relationships/hyperlink" Target="#&apos;Eligibility criteria per eligi&apos;!A1" TargetMode="External"/><Relationship Id="rId20" Type="http://schemas.openxmlformats.org/officeDocument/2006/relationships/hyperlink" Target="#&apos;1.12 Conditions Prior to Proje&apos;!A1" TargetMode="External"/><Relationship Id="rId21" Type="http://schemas.openxmlformats.org/officeDocument/2006/relationships/hyperlink" Target="#&apos;1.13 Description of the Projec&apos;!A1" TargetMode="External"/><Relationship Id="rId22" Type="http://schemas.openxmlformats.org/officeDocument/2006/relationships/hyperlink" Target="#&apos;Technology system or equipment&apos;!A1" TargetMode="External"/><Relationship Id="rId23" Type="http://schemas.openxmlformats.org/officeDocument/2006/relationships/hyperlink" Target="#&apos;Implementation schedule row (V&apos;!A1" TargetMode="External"/><Relationship Id="rId24" Type="http://schemas.openxmlformats.org/officeDocument/2006/relationships/hyperlink" Target="#&apos;1.14 Project Location (VCS PD&apos;!A1" TargetMode="External"/><Relationship Id="rId25" Type="http://schemas.openxmlformats.org/officeDocument/2006/relationships/hyperlink" Target="#&apos;Project Location Entry (VCS PD&apos;!A1" TargetMode="External"/><Relationship Id="rId26" Type="http://schemas.openxmlformats.org/officeDocument/2006/relationships/hyperlink" Target="#&apos;1.15 Compliance with Laws and&apos;!A1" TargetMode="External"/><Relationship Id="rId27" Type="http://schemas.openxmlformats.org/officeDocument/2006/relationships/hyperlink" Target="#&apos;Laws and other regulatory fram&apos;!A1" TargetMode="External"/><Relationship Id="rId28" Type="http://schemas.openxmlformats.org/officeDocument/2006/relationships/hyperlink" Target="#&apos;1.16 Double Counting and Parti&apos;!A1" TargetMode="External"/><Relationship Id="rId29" Type="http://schemas.openxmlformats.org/officeDocument/2006/relationships/hyperlink" Target="#&apos;Reductions and removals claime&apos;!A1" TargetMode="External"/><Relationship Id="rId30" Type="http://schemas.openxmlformats.org/officeDocument/2006/relationships/hyperlink" Target="#&apos;1.17 Double Claiming Other For&apos;!A1" TargetMode="External"/><Relationship Id="rId31" Type="http://schemas.openxmlformats.org/officeDocument/2006/relationships/hyperlink" Target="#&apos;1.18 Sustainable Development C&apos;!A1" TargetMode="External"/><Relationship Id="rId32" Type="http://schemas.openxmlformats.org/officeDocument/2006/relationships/hyperlink" Target="#&apos;1.18 Sustainable developmen 2&apos;!A1" TargetMode="External"/><Relationship Id="rId33" Type="http://schemas.openxmlformats.org/officeDocument/2006/relationships/hyperlink" Target="#&apos;1.19 Additional Information (V&apos;!A1" TargetMode="External"/><Relationship Id="rId34" Type="http://schemas.openxmlformats.org/officeDocument/2006/relationships/hyperlink" Target="#&apos;Sensitive Information Row (VCS&apos;!A1"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Grievance Entry (VCS PD 2.4.2)&apos;!A1"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apos;Methodology details row (VCS P&apos;!A1"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apos;MR 3.2.1 General Implementatio&apos;!A1" TargetMode="External"/><Relationship Id="rId2" Type="http://schemas.openxmlformats.org/officeDocument/2006/relationships/hyperlink" Target="#&apos;MR 3.2.2 Loss Events (VCS MR 3&apos;!A1" TargetMode="External"/><Relationship Id="rId3" Type="http://schemas.openxmlformats.org/officeDocument/2006/relationships/hyperlink" Target="#&apos;General implementation status&apos;!A1" TargetMode="External"/><Relationship Id="rId4" Type="http://schemas.openxmlformats.org/officeDocument/2006/relationships/hyperlink" Target="#&apos;Loss events row (VCS v5.0B)&apos;!A1" TargetMode="External"/></Relationships>
</file>

<file path=xl/worksheets/_rels/sheet93.xml.rels><?xml version="1.0" encoding="UTF-8" standalone="yes"?>
<Relationships xmlns="http://schemas.openxmlformats.org/package/2006/relationships"><Relationship Id="rId1" Type="http://schemas.openxmlformats.org/officeDocument/2006/relationships/hyperlink" Target="#&apos;Project Location Entry (VCS PD&apos;!A1"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apos;2.1 Stakeholder consultation a&apos;!A1"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apos;2.5.1 Ecosystem Restoration (V&apos;!A1" TargetMode="External"/><Relationship Id="rId2" Type="http://schemas.openxmlformats.org/officeDocument/2006/relationships/hyperlink" Target="#&apos;2.5.2 Management Experience (V&apos;!A1" TargetMode="External"/><Relationship Id="rId3" Type="http://schemas.openxmlformats.org/officeDocument/2006/relationships/hyperlink" Target="#&apos;2.5.3 Legal Compliance (VCS PD&apos;!A1"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apos;GHG Source Row (VCS PD 3.3)&apos;!A1" TargetMode="External"/><Relationship Id="rId2" Type="http://schemas.openxmlformats.org/officeDocument/2006/relationships/hyperlink" Target="#&apos;3.3.1 De Minimis GHG Sources a&apos;!A1" TargetMode="External"/><Relationship Id="rId3" Type="http://schemas.openxmlformats.org/officeDocument/2006/relationships/hyperlink" Target="#&apos;De minimis comparison period r&apos;!A1" TargetMode="External"/><Relationship Id="rId4" Type="http://schemas.openxmlformats.org/officeDocument/2006/relationships/hyperlink" Target="#&apos;De minimis quantification per&apos;!A1" TargetMode="External"/></Relationships>
</file>

<file path=xl/worksheets/_rels/sheet100.xml.rels><?xml version="1.0" encoding="UTF-8" standalone="yes"?>
<Relationships xmlns="http://schemas.openxmlformats.org/package/2006/relationships"><Relationship Id="rId1" Type="http://schemas.openxmlformats.org/officeDocument/2006/relationships/hyperlink" Target="#&apos;Report file row (Validation)&apos;!A1" TargetMode="External"/><Relationship Id="rId2" Type="http://schemas.openxmlformats.org/officeDocument/2006/relationships/hyperlink" Target="#&apos;1. Introduction (VCS Validatio&apos;!A1" TargetMode="External"/><Relationship Id="rId3" Type="http://schemas.openxmlformats.org/officeDocument/2006/relationships/hyperlink" Target="#&apos;2. Validation Process (VCS Val&apos;!A1" TargetMode="External"/><Relationship Id="rId4" Type="http://schemas.openxmlformats.org/officeDocument/2006/relationships/hyperlink" Target="#&apos;2.1 Method and Criteria (VC 2&apos;!A1" TargetMode="External"/><Relationship Id="rId5" Type="http://schemas.openxmlformats.org/officeDocument/2006/relationships/hyperlink" Target="#&apos;Schedule milestone (Validation&apos;!A1" TargetMode="External"/><Relationship Id="rId6" Type="http://schemas.openxmlformats.org/officeDocument/2006/relationships/hyperlink" Target="#&apos;2.2 Document Review (VCS Valid&apos;!A1" TargetMode="External"/><Relationship Id="rId7" Type="http://schemas.openxmlformats.org/officeDocument/2006/relationships/hyperlink" Target="#&apos;Document review summary (Valid&apos;!A1" TargetMode="External"/><Relationship Id="rId8" Type="http://schemas.openxmlformats.org/officeDocument/2006/relationships/hyperlink" Target="#&apos;Document list row (Validation&apos;!A1" TargetMode="External"/><Relationship Id="rId9" Type="http://schemas.openxmlformats.org/officeDocument/2006/relationships/hyperlink" Target="#&apos;Document review details row (V&apos;!A1" TargetMode="External"/><Relationship Id="rId10" Type="http://schemas.openxmlformats.org/officeDocument/2006/relationships/hyperlink" Target="#&apos;Interviews (Validation)&apos;!A1" TargetMode="External"/><Relationship Id="rId11" Type="http://schemas.openxmlformats.org/officeDocument/2006/relationships/hyperlink" Target="#&apos;Interviewee row (Validation an&apos;!A1" TargetMode="External"/><Relationship Id="rId12" Type="http://schemas.openxmlformats.org/officeDocument/2006/relationships/hyperlink" Target="#&apos;Site visits (Validation and Ve&apos;!A1" TargetMode="External"/><Relationship Id="rId13" Type="http://schemas.openxmlformats.org/officeDocument/2006/relationships/hyperlink" Target="#&apos;Resolution of CARs CLs and  2&apos;!A1" TargetMode="External"/><Relationship Id="rId14" Type="http://schemas.openxmlformats.org/officeDocument/2006/relationships/hyperlink" Target="#&apos;CARCLFAR reference row (Valida&apos;!A1" TargetMode="External"/><Relationship Id="rId15" Type="http://schemas.openxmlformats.org/officeDocument/2006/relationships/hyperlink" Target="#&apos;3. Validation Findings (VCS Va&apos;!A1" TargetMode="External"/><Relationship Id="rId16" Type="http://schemas.openxmlformats.org/officeDocument/2006/relationships/hyperlink" Target="#&apos;3.1 Project Details (VCS Valid&apos;!A1" TargetMode="External"/><Relationship Id="rId17" Type="http://schemas.openxmlformats.org/officeDocument/2006/relationships/hyperlink" Target="#&apos;3.1.1 Summary Description of P&apos;!A1" TargetMode="External"/><Relationship Id="rId18" Type="http://schemas.openxmlformats.org/officeDocument/2006/relationships/hyperlink" Target="#&apos;3.1.2 Audit History&apos;!A1" TargetMode="External"/><Relationship Id="rId19" Type="http://schemas.openxmlformats.org/officeDocument/2006/relationships/hyperlink" Target="#&apos;3.1.3 Sectoral Scope and Proje&apos;!A1" TargetMode="External"/><Relationship Id="rId20" Type="http://schemas.openxmlformats.org/officeDocument/2006/relationships/hyperlink" Target="#&apos;3.1.4 Project Eligibility&apos;!A1" TargetMode="External"/><Relationship Id="rId21" Type="http://schemas.openxmlformats.org/officeDocument/2006/relationships/hyperlink" Target="#&apos;3.1.4.1 Deadlines for Particip&apos;!A1" TargetMode="External"/><Relationship Id="rId22" Type="http://schemas.openxmlformats.org/officeDocument/2006/relationships/hyperlink" Target="#&apos;3.1.4.2 AFOLU Project Eligibil&apos;!A1" TargetMode="External"/><Relationship Id="rId23" Type="http://schemas.openxmlformats.org/officeDocument/2006/relationships/hyperlink" Target="#&apos;3.1.4.3 Eligibility of Project&apos;!A1" TargetMode="External"/><Relationship Id="rId24" Type="http://schemas.openxmlformats.org/officeDocument/2006/relationships/hyperlink" Target="#&apos;3.1.4.4 Capacity Limit Eligibi&apos;!A1" TargetMode="External"/><Relationship Id="rId25" Type="http://schemas.openxmlformats.org/officeDocument/2006/relationships/hyperlink" Target="#&apos;Deadlines for Participation ro&apos;!A1" TargetMode="External"/><Relationship Id="rId26" Type="http://schemas.openxmlformats.org/officeDocument/2006/relationships/hyperlink" Target="#&apos;3.1.6 Project Start Date and I&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3.1.7 Project Crediting Period&apos;!A1" TargetMode="External"/><Relationship Id="rId29" Type="http://schemas.openxmlformats.org/officeDocument/2006/relationships/hyperlink" Target="#&apos;3.1.8 Project Scale&apos;!A1" TargetMode="External"/><Relationship Id="rId30" Type="http://schemas.openxmlformats.org/officeDocument/2006/relationships/hyperlink" Target="#&apos;3.1.9 Project Design&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3.1.10 Conditions Prior to Pro&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3.1.11 Description of the Proj&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3.1.12 Project Location&apos;!A1" TargetMode="External"/><Relationship Id="rId37" Type="http://schemas.openxmlformats.org/officeDocument/2006/relationships/hyperlink" Target="#&apos;Deadlines for Participation ro&apos;!A1" TargetMode="External"/><Relationship Id="rId38" Type="http://schemas.openxmlformats.org/officeDocument/2006/relationships/hyperlink" Target="#&apos;3.1.13 Compliance with Laws an&apos;!A1" TargetMode="External"/><Relationship Id="rId39" Type="http://schemas.openxmlformats.org/officeDocument/2006/relationships/hyperlink" Target="#&apos;Deadlines for Participation ro&apos;!A1" TargetMode="External"/><Relationship Id="rId40" Type="http://schemas.openxmlformats.org/officeDocument/2006/relationships/hyperlink" Target="#&apos;3.1.14 Double Counting and Par&apos;!A1" TargetMode="External"/><Relationship Id="rId41" Type="http://schemas.openxmlformats.org/officeDocument/2006/relationships/hyperlink" Target="#&apos;3.1.14.1 No Double Issuance (V&apos;!A1" TargetMode="External"/><Relationship Id="rId42" Type="http://schemas.openxmlformats.org/officeDocument/2006/relationships/hyperlink" Target="#&apos;3.1.14.2 Registration with Oth&apos;!A1" TargetMode="External"/><Relationship Id="rId43" Type="http://schemas.openxmlformats.org/officeDocument/2006/relationships/hyperlink" Target="#&apos;3.1.14.3 Projects Rejected by&apos;!A1" TargetMode="External"/><Relationship Id="rId44" Type="http://schemas.openxmlformats.org/officeDocument/2006/relationships/hyperlink" Target="#&apos;3.1.15 Double Claiming Other F&apos;!A1" TargetMode="External"/><Relationship Id="rId45" Type="http://schemas.openxmlformats.org/officeDocument/2006/relationships/hyperlink" Target="#&apos;3.1.15.1 No Double Claiming wi&apos;!A1" TargetMode="External"/><Relationship Id="rId46" Type="http://schemas.openxmlformats.org/officeDocument/2006/relationships/hyperlink" Target="#&apos;3.1.15.2 No Double Claiming wi&apos;!A1" TargetMode="External"/><Relationship Id="rId47" Type="http://schemas.openxmlformats.org/officeDocument/2006/relationships/hyperlink" Target="#&apos;3.1.15.3 Supply Chain (Scope 3&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3.1.16 Sustainable Development&apos;!A1" TargetMode="External"/><Relationship Id="rId50" Type="http://schemas.openxmlformats.org/officeDocument/2006/relationships/hyperlink" Target="#&apos;Deadlines for Participation ro&apos;!A1" TargetMode="External"/><Relationship Id="rId51" Type="http://schemas.openxmlformats.org/officeDocument/2006/relationships/hyperlink" Target="#&apos;3.1.17 Additional Information&apos;!A1" TargetMode="External"/><Relationship Id="rId52" Type="http://schemas.openxmlformats.org/officeDocument/2006/relationships/hyperlink" Target="#&apos;3.1.17.1 Leakage Management (V&apos;!A1" TargetMode="External"/><Relationship Id="rId53" Type="http://schemas.openxmlformats.org/officeDocument/2006/relationships/hyperlink" Target="#&apos;3.1.17.2 Sensitive Information&apos;!A1" TargetMode="External"/><Relationship Id="rId54" Type="http://schemas.openxmlformats.org/officeDocument/2006/relationships/hyperlink" Target="#&apos;3.1.17.3 Further Information (&apos;!A1" TargetMode="External"/><Relationship Id="rId55" Type="http://schemas.openxmlformats.org/officeDocument/2006/relationships/hyperlink" Target="#&apos;Leakage Management (VCS Valida&apos;!A1" TargetMode="External"/><Relationship Id="rId56" Type="http://schemas.openxmlformats.org/officeDocument/2006/relationships/hyperlink" Target="#&apos;Sensitive Information (VCS Val&apos;!A1" TargetMode="External"/><Relationship Id="rId57" Type="http://schemas.openxmlformats.org/officeDocument/2006/relationships/hyperlink" Target="#&apos;Further Information (VCS Valid&apos;!A1" TargetMode="External"/><Relationship Id="rId58" Type="http://schemas.openxmlformats.org/officeDocument/2006/relationships/hyperlink" Target="#&apos;Deadlines for Participation (V&apos;!A1" TargetMode="External"/><Relationship Id="rId59" Type="http://schemas.openxmlformats.org/officeDocument/2006/relationships/hyperlink" Target="#&apos;Deadlines for Participation ro&apos;!A1" TargetMode="External"/><Relationship Id="rId60" Type="http://schemas.openxmlformats.org/officeDocument/2006/relationships/hyperlink" Target="#&apos;Eligibility of Projects Regist&apos;!A1" TargetMode="External"/><Relationship Id="rId61" Type="http://schemas.openxmlformats.org/officeDocument/2006/relationships/hyperlink" Target="#&apos;Deadlines for Participation ro&apos;!A1" TargetMode="External"/><Relationship Id="rId62" Type="http://schemas.openxmlformats.org/officeDocument/2006/relationships/hyperlink" Target="#&apos;Capacity Limit Eligibility (VC&apos;!A1" TargetMode="External"/><Relationship Id="rId63" Type="http://schemas.openxmlformats.org/officeDocument/2006/relationships/hyperlink" Target="#&apos;Deadlines for Participation ro&apos;!A1" TargetMode="External"/><Relationship Id="rId64" Type="http://schemas.openxmlformats.org/officeDocument/2006/relationships/hyperlink" Target="#&apos;Right to Operate and Right to&apos;!A1" TargetMode="External"/><Relationship Id="rId65" Type="http://schemas.openxmlformats.org/officeDocument/2006/relationships/hyperlink" Target="#&apos;Deadlines for Participation ro&apos;!A1" TargetMode="External"/><Relationship Id="rId66" Type="http://schemas.openxmlformats.org/officeDocument/2006/relationships/hyperlink" Target="#&apos;Land or Resource Rights Analys&apos;!A1" TargetMode="External"/><Relationship Id="rId67" Type="http://schemas.openxmlformats.org/officeDocument/2006/relationships/hyperlink" Target="#&apos;Deadlines for Participation ro&apos;!A1" TargetMode="External"/><Relationship Id="rId68" Type="http://schemas.openxmlformats.org/officeDocument/2006/relationships/hyperlink" Target="#&apos;No Double Issuance (VCS Valida&apos;!A1" TargetMode="External"/><Relationship Id="rId69" Type="http://schemas.openxmlformats.org/officeDocument/2006/relationships/hyperlink" Target="#&apos;Deadlines for Participation ro&apos;!A1" TargetMode="External"/><Relationship Id="rId70" Type="http://schemas.openxmlformats.org/officeDocument/2006/relationships/hyperlink" Target="#&apos;Registration with Other GHG 2&apos;!A1" TargetMode="External"/><Relationship Id="rId71" Type="http://schemas.openxmlformats.org/officeDocument/2006/relationships/hyperlink" Target="#&apos;Deadlines for Participation ro&apos;!A1" TargetMode="External"/><Relationship Id="rId72" Type="http://schemas.openxmlformats.org/officeDocument/2006/relationships/hyperlink" Target="#&apos;No Double Claiming with Emi 2&apos;!A1" TargetMode="External"/><Relationship Id="rId73" Type="http://schemas.openxmlformats.org/officeDocument/2006/relationships/hyperlink" Target="#&apos;Deadlines for Participation ro&apos;!A1" TargetMode="External"/><Relationship Id="rId74" Type="http://schemas.openxmlformats.org/officeDocument/2006/relationships/hyperlink" Target="#&apos;Supply Chain (Scope 3) Emissio&apos;!A1" TargetMode="External"/><Relationship Id="rId75" Type="http://schemas.openxmlformats.org/officeDocument/2006/relationships/hyperlink" Target="#&apos;Deadlines for Participation ro&apos;!A1" TargetMode="External"/><Relationship Id="rId76" Type="http://schemas.openxmlformats.org/officeDocument/2006/relationships/hyperlink" Target="#&apos;3.3 Application of Methodology&apos;!A1" TargetMode="External"/><Relationship Id="rId77" Type="http://schemas.openxmlformats.org/officeDocument/2006/relationships/hyperlink" Target="#&apos;3.3.1 Methodology Details&apos;!A1" TargetMode="External"/><Relationship Id="rId78" Type="http://schemas.openxmlformats.org/officeDocument/2006/relationships/hyperlink" Target="#&apos;3.3.2 Applicability and Eligib&apos;!A1" TargetMode="External"/><Relationship Id="rId79" Type="http://schemas.openxmlformats.org/officeDocument/2006/relationships/hyperlink" Target="#&apos;3.3.2.1 Eligibility of Methodo&apos;!A1" TargetMode="External"/><Relationship Id="rId80" Type="http://schemas.openxmlformats.org/officeDocument/2006/relationships/hyperlink" Target="#&apos;3.3.2.2 Applicability of Metho&apos;!A1" TargetMode="External"/><Relationship Id="rId81" Type="http://schemas.openxmlformats.org/officeDocument/2006/relationships/hyperlink" Target="#&apos;3.3.2.2 Applicability conditio&apos;!A1" TargetMode="External"/><Relationship Id="rId82" Type="http://schemas.openxmlformats.org/officeDocument/2006/relationships/hyperlink" Target="#&apos;3.3.3 Project Boundary&apos;!A1" TargetMode="External"/><Relationship Id="rId83" Type="http://schemas.openxmlformats.org/officeDocument/2006/relationships/hyperlink" Target="#&apos;3.3.3.1 De Minimis GHG Sources&apos;!A1" TargetMode="External"/><Relationship Id="rId84" Type="http://schemas.openxmlformats.org/officeDocument/2006/relationships/hyperlink" Target="#&apos;Deadlines for Participation ro&apos;!A1" TargetMode="External"/><Relationship Id="rId85" Type="http://schemas.openxmlformats.org/officeDocument/2006/relationships/hyperlink" Target="#&apos;3.3.4 Baseline Scenario&apos;!A1" TargetMode="External"/><Relationship Id="rId86" Type="http://schemas.openxmlformats.org/officeDocument/2006/relationships/hyperlink" Target="#&apos;3.3.4.1 Baseline Reassessment&apos;!A1" TargetMode="External"/><Relationship Id="rId87" Type="http://schemas.openxmlformats.org/officeDocument/2006/relationships/hyperlink" Target="#&apos;Deadlines for Participation ro&apos;!A1" TargetMode="External"/><Relationship Id="rId88" Type="http://schemas.openxmlformats.org/officeDocument/2006/relationships/hyperlink" Target="#&apos;3.3.5 Additionality&apos;!A1" TargetMode="External"/><Relationship Id="rId89" Type="http://schemas.openxmlformats.org/officeDocument/2006/relationships/hyperlink" Target="#&apos;3.3.5.1 Regulatory Surplus (VC&apos;!A1" TargetMode="External"/><Relationship Id="rId90" Type="http://schemas.openxmlformats.org/officeDocument/2006/relationships/hyperlink" Target="#&apos;3.3.5.2 Additionality Methods&apos;!A1" TargetMode="External"/><Relationship Id="rId91" Type="http://schemas.openxmlformats.org/officeDocument/2006/relationships/hyperlink" Target="#&apos;3.3.6 Methodology Deviations&apos;!A1" TargetMode="External"/><Relationship Id="rId92" Type="http://schemas.openxmlformats.org/officeDocument/2006/relationships/hyperlink" Target="#&apos;Deadlines for Participation ro&apos;!A1" TargetMode="External"/><Relationship Id="rId93" Type="http://schemas.openxmlformats.org/officeDocument/2006/relationships/hyperlink" Target="#&apos;3.3 Methodology details row (V&apos;!A1" TargetMode="External"/><Relationship Id="rId94" Type="http://schemas.openxmlformats.org/officeDocument/2006/relationships/hyperlink" Target="#&apos;3.3 Applicability of methodolo&apos;!A1" TargetMode="External"/><Relationship Id="rId95" Type="http://schemas.openxmlformats.org/officeDocument/2006/relationships/hyperlink" Target="#&apos;Project boundary carbon pools&apos;!A1" TargetMode="External"/><Relationship Id="rId96" Type="http://schemas.openxmlformats.org/officeDocument/2006/relationships/hyperlink" Target="#&apos;Project boundary GHG sources a&apos;!A1" TargetMode="External"/><Relationship Id="rId97" Type="http://schemas.openxmlformats.org/officeDocument/2006/relationships/hyperlink" Target="#&apos;De Minimis GHG Sources and Car&apos;!A1" TargetMode="External"/><Relationship Id="rId98" Type="http://schemas.openxmlformats.org/officeDocument/2006/relationships/hyperlink" Target="#&apos;Deadlines for Participation ro&apos;!A1" TargetMode="External"/><Relationship Id="rId99" Type="http://schemas.openxmlformats.org/officeDocument/2006/relationships/hyperlink" Target="#&apos;Baseline Reassessment (VCS Val&apos;!A1" TargetMode="External"/><Relationship Id="rId100" Type="http://schemas.openxmlformats.org/officeDocument/2006/relationships/hyperlink" Target="#&apos;Deadlines for Participation ro&apos;!A1" TargetMode="External"/><Relationship Id="rId101" Type="http://schemas.openxmlformats.org/officeDocument/2006/relationships/hyperlink" Target="#&apos;Regulatory Surplus (VCS Valida&apos;!A1" TargetMode="External"/><Relationship Id="rId102" Type="http://schemas.openxmlformats.org/officeDocument/2006/relationships/hyperlink" Target="#&apos;Deadlines for Participation ro&apos;!A1" TargetMode="External"/><Relationship Id="rId103" Type="http://schemas.openxmlformats.org/officeDocument/2006/relationships/hyperlink" Target="#&apos;Additionality Methods (VCS Val&apos;!A1" TargetMode="External"/><Relationship Id="rId104" Type="http://schemas.openxmlformats.org/officeDocument/2006/relationships/hyperlink" Target="#&apos;Deadlines for Participation ro&apos;!A1" TargetMode="External"/><Relationship Id="rId105" Type="http://schemas.openxmlformats.org/officeDocument/2006/relationships/hyperlink" Target="#&apos;3.4 Quantification of Estimate&apos;!A1" TargetMode="External"/><Relationship Id="rId106" Type="http://schemas.openxmlformats.org/officeDocument/2006/relationships/hyperlink" Target="#&apos;3.4.1 Quantification of Baseli&apos;!A1" TargetMode="External"/><Relationship Id="rId107" Type="http://schemas.openxmlformats.org/officeDocument/2006/relationships/hyperlink" Target="#&apos;Deadlines for Participation ro&apos;!A1" TargetMode="External"/><Relationship Id="rId108" Type="http://schemas.openxmlformats.org/officeDocument/2006/relationships/hyperlink" Target="#&apos;3.4.2 Other Relevant Quantific&apos;!A1" TargetMode="External"/><Relationship Id="rId109" Type="http://schemas.openxmlformats.org/officeDocument/2006/relationships/hyperlink" Target="#&apos;3.4.2.1 Non-Permanence Risk An&apos;!A1" TargetMode="External"/><Relationship Id="rId110" Type="http://schemas.openxmlformats.org/officeDocument/2006/relationships/hyperlink" Target="#&apos;3.4.2.2 Buffer Pool Allocation&apos;!A1" TargetMode="External"/><Relationship Id="rId111" Type="http://schemas.openxmlformats.org/officeDocument/2006/relationships/hyperlink" Target="#&apos;3.4.2.3 Long-Term Average (VCS&apos;!A1" TargetMode="External"/><Relationship Id="rId112" Type="http://schemas.openxmlformats.org/officeDocument/2006/relationships/hyperlink" Target="#&apos;3.5 Monitoring (VCS Validation&apos;!A1" TargetMode="External"/><Relationship Id="rId113" Type="http://schemas.openxmlformats.org/officeDocument/2006/relationships/hyperlink" Target="#&apos;Data and parameter row (Valida&apos;!A1" TargetMode="External"/><Relationship Id="rId114" Type="http://schemas.openxmlformats.org/officeDocument/2006/relationships/hyperlink" Target="#&apos;3.5.2 Monitoring Plan&apos;!A1" TargetMode="External"/><Relationship Id="rId115" Type="http://schemas.openxmlformats.org/officeDocument/2006/relationships/hyperlink" Target="#&apos;Deadlines for Participation ro&apos;!A1" TargetMode="External"/><Relationship Id="rId116" Type="http://schemas.openxmlformats.org/officeDocument/2006/relationships/hyperlink" Target="#&apos;3.1.5 Right to Operate and Rig&apos;!A1" TargetMode="External"/><Relationship Id="rId117" Type="http://schemas.openxmlformats.org/officeDocument/2006/relationships/hyperlink" Target="#&apos;Safeguards assessment row item&apos;!A1" TargetMode="External"/><Relationship Id="rId118" Type="http://schemas.openxmlformats.org/officeDocument/2006/relationships/hyperlink" Target="#&apos;Safeguards assessment row item&apos;!A1" TargetMode="External"/><Relationship Id="rId119" Type="http://schemas.openxmlformats.org/officeDocument/2006/relationships/hyperlink" Target="#&apos;3.2 Stakeholder Engagement and&apos;!A1" TargetMode="External"/><Relationship Id="rId120" Type="http://schemas.openxmlformats.org/officeDocument/2006/relationships/hyperlink" Target="#&apos;Safeguards assessment row item&apos;!A1" TargetMode="External"/><Relationship Id="rId121" Type="http://schemas.openxmlformats.org/officeDocument/2006/relationships/hyperlink" Target="#&apos;Safeguards assessment row item&apos;!A1" TargetMode="External"/><Relationship Id="rId122" Type="http://schemas.openxmlformats.org/officeDocument/2006/relationships/hyperlink" Target="#&apos;Safeguards assessment row item&apos;!A1" TargetMode="External"/><Relationship Id="rId123" Type="http://schemas.openxmlformats.org/officeDocument/2006/relationships/hyperlink" Target="#&apos;Safeguards assessment row item&apos;!A1" TargetMode="External"/><Relationship Id="rId124" Type="http://schemas.openxmlformats.org/officeDocument/2006/relationships/hyperlink" Target="#&apos;Safeguards assessment row item&apos;!A1" TargetMode="External"/><Relationship Id="rId125" Type="http://schemas.openxmlformats.org/officeDocument/2006/relationships/hyperlink" Target="#&apos;Safeguards assessment row item&apos;!A1" TargetMode="External"/><Relationship Id="rId126" Type="http://schemas.openxmlformats.org/officeDocument/2006/relationships/hyperlink" Target="#&apos;Safeguards assessment row item&apos;!A1" TargetMode="External"/><Relationship Id="rId127" Type="http://schemas.openxmlformats.org/officeDocument/2006/relationships/hyperlink" Target="#&apos;Safeguards assessment row item&apos;!A1" TargetMode="External"/><Relationship Id="rId128" Type="http://schemas.openxmlformats.org/officeDocument/2006/relationships/hyperlink" Target="#&apos;Safeguards assessment row item&apos;!A1" TargetMode="External"/><Relationship Id="rId129" Type="http://schemas.openxmlformats.org/officeDocument/2006/relationships/hyperlink" Target="#&apos;Stakeholder Identification  2&apos;!A1" TargetMode="External"/><Relationship Id="rId130" Type="http://schemas.openxmlformats.org/officeDocument/2006/relationships/hyperlink" Target="#&apos;Deadlines for Participation ro&apos;!A1" TargetMode="External"/><Relationship Id="rId131" Type="http://schemas.openxmlformats.org/officeDocument/2006/relationships/hyperlink" Target="#&apos;Stakeholder Consultation an 2&apos;!A1" TargetMode="External"/><Relationship Id="rId132" Type="http://schemas.openxmlformats.org/officeDocument/2006/relationships/hyperlink" Target="#&apos;Deadlines for Participation ro&apos;!A1" TargetMode="External"/><Relationship Id="rId133" Type="http://schemas.openxmlformats.org/officeDocument/2006/relationships/hyperlink" Target="#&apos;Free Prior and Informed Con 3&apos;!A1" TargetMode="External"/><Relationship Id="rId134" Type="http://schemas.openxmlformats.org/officeDocument/2006/relationships/hyperlink" Target="#&apos;Deadlines for Participation ro&apos;!A1" TargetMode="External"/><Relationship Id="rId135" Type="http://schemas.openxmlformats.org/officeDocument/2006/relationships/hyperlink" Target="#&apos;Benefit-Sharing Mechanism (Oth&apos;!A1" TargetMode="External"/><Relationship Id="rId136" Type="http://schemas.openxmlformats.org/officeDocument/2006/relationships/hyperlink" Target="#&apos;Deadlines for Participation ro&apos;!A1" TargetMode="External"/><Relationship Id="rId137" Type="http://schemas.openxmlformats.org/officeDocument/2006/relationships/hyperlink" Target="#&apos;Stakeholder Input Tracker ( 2&apos;!A1" TargetMode="External"/><Relationship Id="rId138" Type="http://schemas.openxmlformats.org/officeDocument/2006/relationships/hyperlink" Target="#&apos;Deadlines for Participation ro&apos;!A1" TargetMode="External"/><Relationship Id="rId139" Type="http://schemas.openxmlformats.org/officeDocument/2006/relationships/hyperlink" Target="#&apos;Grievance Redress Mechanism (V&apos;!A1" TargetMode="External"/><Relationship Id="rId140" Type="http://schemas.openxmlformats.org/officeDocument/2006/relationships/hyperlink" Target="#&apos;Deadlines for Participation ro&apos;!A1" TargetMode="External"/><Relationship Id="rId141" Type="http://schemas.openxmlformats.org/officeDocument/2006/relationships/hyperlink" Target="#&apos;Ecosystem Restoration (VCS Val&apos;!A1" TargetMode="External"/><Relationship Id="rId142" Type="http://schemas.openxmlformats.org/officeDocument/2006/relationships/hyperlink" Target="#&apos;Deadlines for Participation ro&apos;!A1" TargetMode="External"/><Relationship Id="rId143" Type="http://schemas.openxmlformats.org/officeDocument/2006/relationships/hyperlink" Target="#&apos;Management Expertise (VCS Vali&apos;!A1" TargetMode="External"/><Relationship Id="rId144" Type="http://schemas.openxmlformats.org/officeDocument/2006/relationships/hyperlink" Target="#&apos;Deadlines for Participation ro&apos;!A1" TargetMode="External"/><Relationship Id="rId145" Type="http://schemas.openxmlformats.org/officeDocument/2006/relationships/hyperlink" Target="#&apos;Environmental Social and Gover&apos;!A1" TargetMode="External"/><Relationship Id="rId146" Type="http://schemas.openxmlformats.org/officeDocument/2006/relationships/hyperlink" Target="#&apos;Deadlines for Participation ro&apos;!A1" TargetMode="External"/><Relationship Id="rId147" Type="http://schemas.openxmlformats.org/officeDocument/2006/relationships/hyperlink" Target="#&apos;4. Validation Opinion (VCS Val&apos;!A1" TargetMode="External"/><Relationship Id="rId148" Type="http://schemas.openxmlformats.org/officeDocument/2006/relationships/hyperlink" Target="#&apos;4.1 Validation Conclusion Summ&apos;!A1" TargetMode="External"/><Relationship Id="rId149" Type="http://schemas.openxmlformats.org/officeDocument/2006/relationships/hyperlink" Target="#&apos;4.2 Conclusion on Estimated Re&apos;!A1" TargetMode="External"/><Relationship Id="rId150" Type="http://schemas.openxmlformats.org/officeDocument/2006/relationships/hyperlink" Target="#&apos;Estimated reductions by vintag&apos;!A1" TargetMode="External"/><Relationship Id="rId151" Type="http://schemas.openxmlformats.org/officeDocument/2006/relationships/hyperlink" Target="#&apos;Appendix 1 row (Validation and&apos;!A1" TargetMode="External"/><Relationship Id="rId152" Type="http://schemas.openxmlformats.org/officeDocument/2006/relationships/hyperlink" Target="#&apos;Appendix 2 row (Validation and&apos;!A1" TargetMode="External"/><Relationship Id="rId153" Type="http://schemas.openxmlformats.org/officeDocument/2006/relationships/hyperlink" Target="#&apos;Appendix 3 row (Validation and&apos;!A1" TargetMode="External"/><Relationship Id="rId154" Type="http://schemas.openxmlformats.org/officeDocument/2006/relationships/hyperlink" Target="#&apos;Appendix X row (Validation and&apos;!A1" TargetMode="External"/><Relationship Id="rId155" Type="http://schemas.openxmlformats.org/officeDocument/2006/relationships/hyperlink" Target="#&apos;Document history row (Validati&apos;!A1" TargetMode="External"/></Relationships>
</file>

<file path=xl/worksheets/_rels/sheet101.xml.rels><?xml version="1.0" encoding="UTF-8" standalone="yes"?>
<Relationships xmlns="http://schemas.openxmlformats.org/package/2006/relationships"><Relationship Id="rId1" Type="http://schemas.openxmlformats.org/officeDocument/2006/relationships/hyperlink" Target="#&apos;VMR0015 MR 4.1 Summary row (VC&apos;!A1"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apos;4.1 Baseline Emissions (VCS PD&apos;!A1" TargetMode="External"/><Relationship Id="rId2" Type="http://schemas.openxmlformats.org/officeDocument/2006/relationships/hyperlink" Target="#&apos;4.2 Project Emissions (VCS PD&apos;!A1" TargetMode="External"/><Relationship Id="rId3" Type="http://schemas.openxmlformats.org/officeDocument/2006/relationships/hyperlink" Target="#&apos;4.3 Leakage Emissions (VCS PD&apos;!A1" TargetMode="External"/><Relationship Id="rId4" Type="http://schemas.openxmlformats.org/officeDocument/2006/relationships/hyperlink" Target="#&apos;4.4 Other Relevant Quantificat&apos;!A1" TargetMode="External"/><Relationship Id="rId5" Type="http://schemas.openxmlformats.org/officeDocument/2006/relationships/hyperlink" Target="#&apos;4.4.1 Non-Permanence Risk Anal&apos;!A1" TargetMode="External"/><Relationship Id="rId6" Type="http://schemas.openxmlformats.org/officeDocument/2006/relationships/hyperlink" Target="#&apos;4.4.1.1 Buffer Pool Allocation&apos;!A1" TargetMode="External"/><Relationship Id="rId7" Type="http://schemas.openxmlformats.org/officeDocument/2006/relationships/hyperlink" Target="#&apos;4.4.2 Buffer pool allocation r&apos;!A1" TargetMode="External"/><Relationship Id="rId8" Type="http://schemas.openxmlformats.org/officeDocument/2006/relationships/hyperlink" Target="#&apos;4.4.2 Buffer pool allocatio 2&apos;!A1" TargetMode="External"/><Relationship Id="rId9" Type="http://schemas.openxmlformats.org/officeDocument/2006/relationships/hyperlink" Target="#&apos;4.4.2 Long-Term Average (VCS P&apos;!A1" TargetMode="External"/><Relationship Id="rId10" Type="http://schemas.openxmlformats.org/officeDocument/2006/relationships/hyperlink" Target="#&apos;Non-permanence risk rating row&apos;!A1" TargetMode="External"/><Relationship Id="rId11" Type="http://schemas.openxmlformats.org/officeDocument/2006/relationships/hyperlink" Target="#&apos;4.4 Buffer pool allocation (re&apos;!A1" TargetMode="External"/><Relationship Id="rId12" Type="http://schemas.openxmlformats.org/officeDocument/2006/relationships/hyperlink" Target="#&apos;4.5 Estimated GHG Emission Red&apos;!A1" TargetMode="External"/><Relationship Id="rId13" Type="http://schemas.openxmlformats.org/officeDocument/2006/relationships/hyperlink" Target="#&apos;4.5.1 Quantification of Estima&apos;!A1" TargetMode="External"/><Relationship Id="rId14" Type="http://schemas.openxmlformats.org/officeDocument/2006/relationships/hyperlink" Target="#&apos;4.5.2 Summary of Estimated Red&apos;!A1" TargetMode="External"/><Relationship Id="rId15" Type="http://schemas.openxmlformats.org/officeDocument/2006/relationships/hyperlink" Target="#&apos;Estimated reductions and remov&apos;!A1" TargetMode="External"/></Relationships>
</file>

<file path=xl/worksheets/_rels/sheet106.xml.rels><?xml version="1.0" encoding="UTF-8" standalone="yes"?>
<Relationships xmlns="http://schemas.openxmlformats.org/package/2006/relationships"><Relationship Id="rId1" Type="http://schemas.openxmlformats.org/officeDocument/2006/relationships/hyperlink" Target="#&apos;Project Proponent Contact (VCS&apos;!A1" TargetMode="External"/></Relationships>
</file>

<file path=xl/worksheets/_rels/sheet107.xml.rels><?xml version="1.0" encoding="UTF-8" standalone="yes"?>
<Relationships xmlns="http://schemas.openxmlformats.org/package/2006/relationships"><Relationship Id="rId1" Type="http://schemas.openxmlformats.org/officeDocument/2006/relationships/hyperlink" Target="#&apos;MR 2.6.1 Management Experience&apos;!A1" TargetMode="External"/><Relationship Id="rId2" Type="http://schemas.openxmlformats.org/officeDocument/2006/relationships/hyperlink" Target="#&apos;MR 2.6.2 Legal Compliance (VCS&apos;!A1"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apos;Project Location Entry (VCS PD&apos;!A1" TargetMode="External"/></Relationships>
</file>

<file path=xl/worksheets/_rels/sheet111.xml.rels><?xml version="1.0" encoding="UTF-8" standalone="yes"?>
<Relationships xmlns="http://schemas.openxmlformats.org/package/2006/relationships"><Relationship Id="rId1" Type="http://schemas.openxmlformats.org/officeDocument/2006/relationships/hyperlink" Target="#&apos;Sensitive Information Row (VCS&apos;!A1"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apos;Methodology deviation row (VCS&apos;!A1" TargetMode="External"/></Relationships>
</file>

<file path=xl/worksheets/_rels/sheet113.xml.rels><?xml version="1.0" encoding="UTF-8" standalone="yes"?>
<Relationships xmlns="http://schemas.openxmlformats.org/package/2006/relationships"><Relationship Id="rId1" Type="http://schemas.openxmlformats.org/officeDocument/2006/relationships/hyperlink" Target="#&apos;MR 5.4.1 Non-Permanence Risk A&apos;!A1" TargetMode="External"/><Relationship Id="rId2" Type="http://schemas.openxmlformats.org/officeDocument/2006/relationships/hyperlink" Target="#&apos;MR 5.4.2 Buffer Pool Allocatio&apos;!A1" TargetMode="External"/><Relationship Id="rId3" Type="http://schemas.openxmlformats.org/officeDocument/2006/relationships/hyperlink" Target="#&apos;MR 5.4.3 Long-Term Average (VC&apos;!A1" TargetMode="External"/><Relationship Id="rId4" Type="http://schemas.openxmlformats.org/officeDocument/2006/relationships/hyperlink" Target="#&apos;MR 5.4.4 De Minimis Quantifica&apos;!A1" TargetMode="External"/><Relationship Id="rId5" Type="http://schemas.openxmlformats.org/officeDocument/2006/relationships/hyperlink" Target="#&apos;Non-permanence risk rating row&apos;!A1" TargetMode="External"/><Relationship Id="rId6" Type="http://schemas.openxmlformats.org/officeDocument/2006/relationships/hyperlink" Target="#&apos;5.4 Buffer pool allocation (re&apos;!A1" TargetMode="External"/><Relationship Id="rId7" Type="http://schemas.openxmlformats.org/officeDocument/2006/relationships/hyperlink" Target="#&apos;5.4 Buffer pool allocation (co&apos;!A1"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apos;1.13 Evidence of right to oper&apos;!A1" TargetMode="External"/></Relationships>
</file>

<file path=xl/worksheets/_rels/sheet122.xml.rels><?xml version="1.0" encoding="UTF-8" standalone="yes"?>
<Relationships xmlns="http://schemas.openxmlformats.org/package/2006/relationships"><Relationship Id="rId1" Type="http://schemas.openxmlformats.org/officeDocument/2006/relationships/hyperlink" Target="#&apos;2.2 Stakeholder consultation a&apos;!A1" TargetMode="External"/><Relationship Id="rId2" Type="http://schemas.openxmlformats.org/officeDocument/2006/relationships/hyperlink" Target="#&apos;Free prior and informed con 2&apos;!A1" TargetMode="External"/></Relationships>
</file>

<file path=xl/worksheets/_rels/sheet124.xml.rels><?xml version="1.0" encoding="UTF-8" standalone="yes"?>
<Relationships xmlns="http://schemas.openxmlformats.org/package/2006/relationships"><Relationship Id="rId1" Type="http://schemas.openxmlformats.org/officeDocument/2006/relationships/hyperlink" Target="#&apos;Laws and other regulatory fram&apos;!A1" TargetMode="External"/></Relationships>
</file>

<file path=xl/worksheets/_rels/sheet127.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29.xml.rels><?xml version="1.0" encoding="UTF-8" standalone="yes"?>
<Relationships xmlns="http://schemas.openxmlformats.org/package/2006/relationships"><Relationship Id="rId1" Type="http://schemas.openxmlformats.org/officeDocument/2006/relationships/hyperlink" Target="#&apos;Methodology deviation row (VCS&apos;!A1" TargetMode="External"/><Relationship Id="rId2" Type="http://schemas.openxmlformats.org/officeDocument/2006/relationships/hyperlink" Target="#&apos;Project description deviation&apos;!A1" TargetMode="External"/></Relationships>
</file>

<file path=xl/worksheets/_rels/sheet132.xml.rels><?xml version="1.0" encoding="UTF-8" standalone="yes"?>
<Relationships xmlns="http://schemas.openxmlformats.org/package/2006/relationships"><Relationship Id="rId1" Type="http://schemas.openxmlformats.org/officeDocument/2006/relationships/hyperlink" Target="#&apos;3.4.1 Baseline Reassessment (V&apos;!A1" TargetMode="External"/></Relationships>
</file>

<file path=xl/worksheets/_rels/sheet134.xml.rels><?xml version="1.0" encoding="UTF-8" standalone="yes"?>
<Relationships xmlns="http://schemas.openxmlformats.org/package/2006/relationships"><Relationship Id="rId1" Type="http://schemas.openxmlformats.org/officeDocument/2006/relationships/hyperlink" Target="#&apos;3.1 Methodology Details (VCS P&apos;!A1" TargetMode="External"/><Relationship Id="rId2" Type="http://schemas.openxmlformats.org/officeDocument/2006/relationships/hyperlink" Target="#&apos;Methodology details row (VCS P&apos;!A1" TargetMode="External"/><Relationship Id="rId3" Type="http://schemas.openxmlformats.org/officeDocument/2006/relationships/hyperlink" Target="#&apos;3.2 Applicability and Eligibil&apos;!A1" TargetMode="External"/><Relationship Id="rId4" Type="http://schemas.openxmlformats.org/officeDocument/2006/relationships/hyperlink" Target="#&apos;3.2.1 Eligibility of Methodolo&apos;!A1" TargetMode="External"/><Relationship Id="rId5" Type="http://schemas.openxmlformats.org/officeDocument/2006/relationships/hyperlink" Target="#&apos;3.2.2 Applicability of Methodo&apos;!A1" TargetMode="External"/><Relationship Id="rId6" Type="http://schemas.openxmlformats.org/officeDocument/2006/relationships/hyperlink" Target="#&apos;REDD+ Double Counting Assessme&apos;!A1" TargetMode="External"/><Relationship Id="rId7" Type="http://schemas.openxmlformats.org/officeDocument/2006/relationships/hyperlink" Target="#&apos;SDW Public Distribution Networ&apos;!A1" TargetMode="External"/><Relationship Id="rId8" Type="http://schemas.openxmlformats.org/officeDocument/2006/relationships/hyperlink" Target="#&apos;Evidence item&apos;!A1" TargetMode="External"/><Relationship Id="rId9" Type="http://schemas.openxmlformats.org/officeDocument/2006/relationships/hyperlink" Target="#&apos;3.2 Applicability of methodolo&apos;!A1" TargetMode="External"/><Relationship Id="rId10" Type="http://schemas.openxmlformats.org/officeDocument/2006/relationships/hyperlink" Target="#&apos;3.3 Project Boundary (VCS PD 3&apos;!A1" TargetMode="External"/><Relationship Id="rId11" Type="http://schemas.openxmlformats.org/officeDocument/2006/relationships/hyperlink" Target="#&apos;GHG Source Row (VCS PD 3.3)&apos;!A1" TargetMode="External"/><Relationship Id="rId12" Type="http://schemas.openxmlformats.org/officeDocument/2006/relationships/hyperlink" Target="#&apos;3.3.1 De Minimis GHG Sources a&apos;!A1" TargetMode="External"/><Relationship Id="rId13" Type="http://schemas.openxmlformats.org/officeDocument/2006/relationships/hyperlink" Target="#&apos;De minimis comparison period r&apos;!A1" TargetMode="External"/><Relationship Id="rId14" Type="http://schemas.openxmlformats.org/officeDocument/2006/relationships/hyperlink" Target="#&apos;De minimis quantification per&apos;!A1" TargetMode="External"/><Relationship Id="rId15" Type="http://schemas.openxmlformats.org/officeDocument/2006/relationships/hyperlink" Target="#&apos;3.4 Baseline Scenario (VCS PD&apos;!A1" TargetMode="External"/><Relationship Id="rId16" Type="http://schemas.openxmlformats.org/officeDocument/2006/relationships/hyperlink" Target="#&apos;3.4.1 Baseline Reassessment (V&apos;!A1" TargetMode="External"/><Relationship Id="rId17" Type="http://schemas.openxmlformats.org/officeDocument/2006/relationships/hyperlink" Target="#&apos;3.5 Additionality (VCS PD 3.5)&apos;!A1" TargetMode="External"/><Relationship Id="rId18" Type="http://schemas.openxmlformats.org/officeDocument/2006/relationships/hyperlink" Target="#&apos;3.5.1 Regulatory Surplus (VCS&apos;!A1" TargetMode="External"/><Relationship Id="rId19" Type="http://schemas.openxmlformats.org/officeDocument/2006/relationships/hyperlink" Target="#&apos;3.5.2 Additionality Methods (V&apos;!A1" TargetMode="External"/><Relationship Id="rId20" Type="http://schemas.openxmlformats.org/officeDocument/2006/relationships/hyperlink" Target="#&apos;Laws reviewed for regulatory s&apos;!A1" TargetMode="External"/><Relationship Id="rId21" Type="http://schemas.openxmlformats.org/officeDocument/2006/relationships/hyperlink" Target="#&apos;3.6 Methodology Deviations (VC&apos;!A1" TargetMode="External"/><Relationship Id="rId22" Type="http://schemas.openxmlformats.org/officeDocument/2006/relationships/hyperlink" Target="#&apos;Methodology deviation row (VCS&apos;!A1" TargetMode="External"/></Relationships>
</file>

<file path=xl/worksheets/_rels/sheet136.xml.rels><?xml version="1.0" encoding="UTF-8" standalone="yes"?>
<Relationships xmlns="http://schemas.openxmlformats.org/package/2006/relationships"><Relationship Id="rId1" Type="http://schemas.openxmlformats.org/officeDocument/2006/relationships/hyperlink" Target="#&apos;MR 3.3.1 Grouped Project Desig&apos;!A1" TargetMode="External"/><Relationship Id="rId2" Type="http://schemas.openxmlformats.org/officeDocument/2006/relationships/hyperlink" Target="#&apos;MR 3.3.2 New Project Activity&apos;!A1" TargetMode="External"/><Relationship Id="rId3" Type="http://schemas.openxmlformats.org/officeDocument/2006/relationships/hyperlink" Target="#&apos;Grouped project eligibility ar&apos;!A1" TargetMode="External"/></Relationships>
</file>

<file path=xl/worksheets/_rels/sheet139.xml.rels><?xml version="1.0" encoding="UTF-8" standalone="yes"?>
<Relationships xmlns="http://schemas.openxmlformats.org/package/2006/relationships"><Relationship Id="rId1" Type="http://schemas.openxmlformats.org/officeDocument/2006/relationships/hyperlink" Target="#&apos;Project activity instances row&apos;!A1" TargetMode="External"/><Relationship Id="rId2" Type="http://schemas.openxmlformats.org/officeDocument/2006/relationships/hyperlink" Target="#&apos;Grouped project eligibility ar&apos;!A1" TargetMode="External"/><Relationship Id="rId3" Type="http://schemas.openxmlformats.org/officeDocument/2006/relationships/hyperlink" Target="#&apos;Eligibility criteria per eligi&apos;!A1" TargetMode="External"/></Relationships>
</file>

<file path=xl/worksheets/_rels/sheet143.xml.rels><?xml version="1.0" encoding="UTF-8" standalone="yes"?>
<Relationships xmlns="http://schemas.openxmlformats.org/package/2006/relationships"><Relationship Id="rId1" Type="http://schemas.openxmlformats.org/officeDocument/2006/relationships/hyperlink" Target="#&apos;VMR0015 Survey Device Use Row&apos;!A1" TargetMode="External"/></Relationships>
</file>

<file path=xl/worksheets/_rels/sheet144.xml.rels><?xml version="1.0" encoding="UTF-8" standalone="yes"?>
<Relationships xmlns="http://schemas.openxmlformats.org/package/2006/relationships"><Relationship Id="rId1" Type="http://schemas.openxmlformats.org/officeDocument/2006/relationships/hyperlink" Target="#&apos;VMR0015 Baseline Fuel Row (fue&apos;!A1" TargetMode="External"/><Relationship Id="rId2" Type="http://schemas.openxmlformats.org/officeDocument/2006/relationships/hyperlink" Target="#&apos;VMR0015 Survey Household Row&apos;!A1" TargetMode="External"/><Relationship Id="rId3" Type="http://schemas.openxmlformats.org/officeDocument/2006/relationships/hyperlink" Target="#&apos;VMR0015 Survey Device Use Row&apos;!A1" TargetMode="External"/></Relationships>
</file>

<file path=xl/worksheets/_rels/sheet145.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48.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49.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50.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56.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s>
</file>

<file path=xl/worksheets/_rels/sheet157.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s>
</file>

<file path=xl/worksheets/_rels/sheet158.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 Id="rId2" Type="http://schemas.openxmlformats.org/officeDocument/2006/relationships/hyperlink" Target="#&apos;VMR0015 A2.1 DataParameter Ava&apos;!A1" TargetMode="External"/></Relationships>
</file>

<file path=xl/worksheets/_rels/sheet159.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s>
</file>

<file path=xl/worksheets/_rels/sheet160.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VMR0015 A2.2 DataParameter Mon&apos;!A1" TargetMode="External"/><Relationship Id="rId7" Type="http://schemas.openxmlformats.org/officeDocument/2006/relationships/hyperlink" Target="#&apos;VMR0015 A2.2 DataParameter Mon&apos;!A1" TargetMode="External"/></Relationships>
</file>

<file path=xl/worksheets/_rels/sheet161.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TOOL03 fuel combustion row (fu&apos;!A1" TargetMode="External"/></Relationships>
</file>

<file path=xl/worksheets/_rels/sheet162.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VMR0015 A2.2 DataParameter Mon&apos;!A1" TargetMode="External"/><Relationship Id="rId7" Type="http://schemas.openxmlformats.org/officeDocument/2006/relationships/hyperlink" Target="#&apos;VMR0015 A2.2 DataParameter Mon&apos;!A1" TargetMode="External"/><Relationship Id="rId8" Type="http://schemas.openxmlformats.org/officeDocument/2006/relationships/hyperlink" Target="#&apos;VMR0015 A2.2 DataParameter Mon&apos;!A1" TargetMode="External"/><Relationship Id="rId9" Type="http://schemas.openxmlformats.org/officeDocument/2006/relationships/hyperlink" Target="#&apos;VMR0015 A2.2 DataParameter Mon&apos;!A1" TargetMode="External"/><Relationship Id="rId10" Type="http://schemas.openxmlformats.org/officeDocument/2006/relationships/hyperlink" Target="#&apos;VMR0015 A2.2 DataParameter Mon&apos;!A1" TargetMode="External"/><Relationship Id="rId11" Type="http://schemas.openxmlformats.org/officeDocument/2006/relationships/hyperlink" Target="#&apos;VMR0015 A2.2 DataParameter Mon&apos;!A1" TargetMode="External"/><Relationship Id="rId12" Type="http://schemas.openxmlformats.org/officeDocument/2006/relationships/hyperlink" Target="#&apos;VMR0015 A2.2 DataParameter Mon&apos;!A1" TargetMode="External"/><Relationship Id="rId13" Type="http://schemas.openxmlformats.org/officeDocument/2006/relationships/hyperlink" Target="#&apos;VMR0015 A2.2 DataParameter Mon&apos;!A1" TargetMode="External"/><Relationship Id="rId14" Type="http://schemas.openxmlformats.org/officeDocument/2006/relationships/hyperlink" Target="#&apos;VMR0015 A2.2 DataParameter Mon&apos;!A1" TargetMode="External"/><Relationship Id="rId15" Type="http://schemas.openxmlformats.org/officeDocument/2006/relationships/hyperlink" Target="#&apos;VT0010 grid load row (load L;&apos;!A1" TargetMode="External"/><Relationship Id="rId16" Type="http://schemas.openxmlformats.org/officeDocument/2006/relationships/hyperlink" Target="#&apos;VT0010 shared plant fuel row (&apos;!A1" TargetMode="External"/></Relationships>
</file>

<file path=xl/worksheets/_rels/sheet163.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s>
</file>

<file path=xl/worksheets/_rels/sheet164.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VMR0015 A2.2 DataParameter  2&apos;!A1" TargetMode="External"/><Relationship Id="rId7" Type="http://schemas.openxmlformats.org/officeDocument/2006/relationships/hyperlink" Target="#&apos;VMR0015 A2.2 DataParameter  2&apos;!A1" TargetMode="External"/></Relationships>
</file>

<file path=xl/worksheets/_rels/sheet165.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TOOL03 fuel combustion row (fu&apos;!A1" TargetMode="External"/></Relationships>
</file>

<file path=xl/worksheets/_rels/sheet166.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VMR0015 A2.2 DataParameter  2&apos;!A1" TargetMode="External"/><Relationship Id="rId7" Type="http://schemas.openxmlformats.org/officeDocument/2006/relationships/hyperlink" Target="#&apos;VMR0015 A2.2 DataParameter  2&apos;!A1" TargetMode="External"/><Relationship Id="rId8" Type="http://schemas.openxmlformats.org/officeDocument/2006/relationships/hyperlink" Target="#&apos;VMR0015 A2.2 DataParameter  2&apos;!A1" TargetMode="External"/><Relationship Id="rId9" Type="http://schemas.openxmlformats.org/officeDocument/2006/relationships/hyperlink" Target="#&apos;VMR0015 A2.2 DataParameter  2&apos;!A1" TargetMode="External"/><Relationship Id="rId10" Type="http://schemas.openxmlformats.org/officeDocument/2006/relationships/hyperlink" Target="#&apos;VMR0015 A2.2 DataParameter  2&apos;!A1" TargetMode="External"/><Relationship Id="rId11" Type="http://schemas.openxmlformats.org/officeDocument/2006/relationships/hyperlink" Target="#&apos;VMR0015 A2.2 DataParameter  2&apos;!A1" TargetMode="External"/><Relationship Id="rId12" Type="http://schemas.openxmlformats.org/officeDocument/2006/relationships/hyperlink" Target="#&apos;VMR0015 A2.2 DataParameter  2&apos;!A1" TargetMode="External"/><Relationship Id="rId13" Type="http://schemas.openxmlformats.org/officeDocument/2006/relationships/hyperlink" Target="#&apos;VMR0015 A2.2 DataParameter  2&apos;!A1" TargetMode="External"/><Relationship Id="rId14" Type="http://schemas.openxmlformats.org/officeDocument/2006/relationships/hyperlink" Target="#&apos;VMR0015 A2.2 DataParameter  2&apos;!A1" TargetMode="External"/><Relationship Id="rId15" Type="http://schemas.openxmlformats.org/officeDocument/2006/relationships/hyperlink" Target="#&apos;VT0010 grid load row (load L;&apos;!A1" TargetMode="External"/><Relationship Id="rId16" Type="http://schemas.openxmlformats.org/officeDocument/2006/relationships/hyperlink" Target="#&apos;VT0010 shared plant fuel row (&apos;!A1" TargetMode="External"/></Relationships>
</file>

<file path=xl/worksheets/_rels/sheet167.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s>
</file>

<file path=xl/worksheets/_rels/sheet168.xml.rels><?xml version="1.0" encoding="UTF-8" standalone="yes"?>
<Relationships xmlns="http://schemas.openxmlformats.org/package/2006/relationships"><Relationship Id="rId1" Type="http://schemas.openxmlformats.org/officeDocument/2006/relationships/hyperlink" Target="#&apos;VMR0015 A2.1.1 VMR0015  AMS-II&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 Id="rId15" Type="http://schemas.openxmlformats.org/officeDocument/2006/relationships/hyperlink" Target="#&apos;VMR0015 A2.1 DataParameter Ava&apos;!A1" TargetMode="External"/><Relationship Id="rId16" Type="http://schemas.openxmlformats.org/officeDocument/2006/relationships/hyperlink" Target="#&apos;VMR0015 A2.1.2 TOOL03 paramete&apos;!A1" TargetMode="External"/><Relationship Id="rId17" Type="http://schemas.openxmlformats.org/officeDocument/2006/relationships/hyperlink" Target="#&apos;VMR0015 A2.1 DataParameter Ava&apos;!A1" TargetMode="External"/><Relationship Id="rId18" Type="http://schemas.openxmlformats.org/officeDocument/2006/relationships/hyperlink" Target="#&apos;VMR0015 A2.1.3 VT0010  VT0011&apos;!A1" TargetMode="External"/><Relationship Id="rId19" Type="http://schemas.openxmlformats.org/officeDocument/2006/relationships/hyperlink" Target="#&apos;VMR0015 A2.1 DataParameter Ava&apos;!A1" TargetMode="External"/><Relationship Id="rId20" Type="http://schemas.openxmlformats.org/officeDocument/2006/relationships/hyperlink" Target="#&apos;VMR0015 A2.1 DataParameter Ava&apos;!A1" TargetMode="External"/><Relationship Id="rId21" Type="http://schemas.openxmlformats.org/officeDocument/2006/relationships/hyperlink" Target="#&apos;VMR0015 A2.1.4 AMS-I.E paramet&apos;!A1" TargetMode="External"/><Relationship Id="rId22" Type="http://schemas.openxmlformats.org/officeDocument/2006/relationships/hyperlink" Target="#&apos;VMR0015 A2.1 DataParameter Ava&apos;!A1" TargetMode="External"/><Relationship Id="rId23" Type="http://schemas.openxmlformats.org/officeDocument/2006/relationships/hyperlink" Target="#&apos;VMR0015 A2.2.1 VMR0015  AMS-II&apos;!A1" TargetMode="External"/><Relationship Id="rId24" Type="http://schemas.openxmlformats.org/officeDocument/2006/relationships/hyperlink" Target="#&apos;VMR0015 A2.2 DataParameter Mon&apos;!A1" TargetMode="External"/><Relationship Id="rId25" Type="http://schemas.openxmlformats.org/officeDocument/2006/relationships/hyperlink" Target="#&apos;VMR0015 A2.2 DataParameter Mon&apos;!A1" TargetMode="External"/><Relationship Id="rId26" Type="http://schemas.openxmlformats.org/officeDocument/2006/relationships/hyperlink" Target="#&apos;VMR0015 A2.2 DataParameter Mon&apos;!A1" TargetMode="External"/><Relationship Id="rId27" Type="http://schemas.openxmlformats.org/officeDocument/2006/relationships/hyperlink" Target="#&apos;VMR0015 A2.2 DataParameter Mon&apos;!A1" TargetMode="External"/><Relationship Id="rId28" Type="http://schemas.openxmlformats.org/officeDocument/2006/relationships/hyperlink" Target="#&apos;VMR0015 A2.2 DataParameter Mon&apos;!A1" TargetMode="External"/><Relationship Id="rId29" Type="http://schemas.openxmlformats.org/officeDocument/2006/relationships/hyperlink" Target="#&apos;VMR0015 A2.2 DataParameter Mon&apos;!A1" TargetMode="External"/><Relationship Id="rId30" Type="http://schemas.openxmlformats.org/officeDocument/2006/relationships/hyperlink" Target="#&apos;VMR0015 A2.2 DataParameter Mon&apos;!A1" TargetMode="External"/><Relationship Id="rId31" Type="http://schemas.openxmlformats.org/officeDocument/2006/relationships/hyperlink" Target="#&apos;VMR0015 A2.2.2 TOOL03 monitore&apos;!A1" TargetMode="External"/><Relationship Id="rId32" Type="http://schemas.openxmlformats.org/officeDocument/2006/relationships/hyperlink" Target="#&apos;VMR0015 A2.2 DataParameter Mon&apos;!A1" TargetMode="External"/><Relationship Id="rId33" Type="http://schemas.openxmlformats.org/officeDocument/2006/relationships/hyperlink" Target="#&apos;VMR0015 A2.2 DataParameter Mon&apos;!A1" TargetMode="External"/><Relationship Id="rId34" Type="http://schemas.openxmlformats.org/officeDocument/2006/relationships/hyperlink" Target="#&apos;VMR0015 A2.2 DataParameter Mon&apos;!A1" TargetMode="External"/><Relationship Id="rId35" Type="http://schemas.openxmlformats.org/officeDocument/2006/relationships/hyperlink" Target="#&apos;VMR0015 A2.2 DataParameter Mon&apos;!A1" TargetMode="External"/><Relationship Id="rId36" Type="http://schemas.openxmlformats.org/officeDocument/2006/relationships/hyperlink" Target="#&apos;VMR0015 A2.2 DataParameter Mon&apos;!A1" TargetMode="External"/><Relationship Id="rId37" Type="http://schemas.openxmlformats.org/officeDocument/2006/relationships/hyperlink" Target="#&apos;TOOL03 fuel combustion row (fu&apos;!A1" TargetMode="External"/><Relationship Id="rId38" Type="http://schemas.openxmlformats.org/officeDocument/2006/relationships/hyperlink" Target="#&apos;VMR0015 A2.2.3 VT0010  VT0011&apos;!A1" TargetMode="External"/><Relationship Id="rId39" Type="http://schemas.openxmlformats.org/officeDocument/2006/relationships/hyperlink" Target="#&apos;VMR0015 A2.2 DataParameter Mon&apos;!A1" TargetMode="External"/><Relationship Id="rId40" Type="http://schemas.openxmlformats.org/officeDocument/2006/relationships/hyperlink" Target="#&apos;VMR0015 A2.2 DataParameter Mon&apos;!A1" TargetMode="External"/><Relationship Id="rId41" Type="http://schemas.openxmlformats.org/officeDocument/2006/relationships/hyperlink" Target="#&apos;VMR0015 A2.2 DataParameter Mon&apos;!A1" TargetMode="External"/><Relationship Id="rId42" Type="http://schemas.openxmlformats.org/officeDocument/2006/relationships/hyperlink" Target="#&apos;VMR0015 A2.2 DataParameter Mon&apos;!A1" TargetMode="External"/><Relationship Id="rId43" Type="http://schemas.openxmlformats.org/officeDocument/2006/relationships/hyperlink" Target="#&apos;VMR0015 A2.2 DataParameter Mon&apos;!A1" TargetMode="External"/><Relationship Id="rId44" Type="http://schemas.openxmlformats.org/officeDocument/2006/relationships/hyperlink" Target="#&apos;VMR0015 A2.2 DataParameter Mon&apos;!A1" TargetMode="External"/><Relationship Id="rId45" Type="http://schemas.openxmlformats.org/officeDocument/2006/relationships/hyperlink" Target="#&apos;VMR0015 A2.2 DataParameter Mon&apos;!A1" TargetMode="External"/><Relationship Id="rId46" Type="http://schemas.openxmlformats.org/officeDocument/2006/relationships/hyperlink" Target="#&apos;VMR0015 A2.2 DataParameter Mon&apos;!A1" TargetMode="External"/><Relationship Id="rId47" Type="http://schemas.openxmlformats.org/officeDocument/2006/relationships/hyperlink" Target="#&apos;VMR0015 A2.2 DataParameter Mon&apos;!A1" TargetMode="External"/><Relationship Id="rId48" Type="http://schemas.openxmlformats.org/officeDocument/2006/relationships/hyperlink" Target="#&apos;VMR0015 A2.2 DataParameter Mon&apos;!A1" TargetMode="External"/><Relationship Id="rId49" Type="http://schemas.openxmlformats.org/officeDocument/2006/relationships/hyperlink" Target="#&apos;VMR0015 A2.2 DataParameter Mon&apos;!A1" TargetMode="External"/><Relationship Id="rId50" Type="http://schemas.openxmlformats.org/officeDocument/2006/relationships/hyperlink" Target="#&apos;VMR0015 A2.2 DataParameter Mon&apos;!A1" TargetMode="External"/><Relationship Id="rId51" Type="http://schemas.openxmlformats.org/officeDocument/2006/relationships/hyperlink" Target="#&apos;VMR0015 A2.2 DataParameter Mon&apos;!A1" TargetMode="External"/><Relationship Id="rId52" Type="http://schemas.openxmlformats.org/officeDocument/2006/relationships/hyperlink" Target="#&apos;VMR0015 A2.2 DataParameter Mon&apos;!A1" TargetMode="External"/><Relationship Id="rId53" Type="http://schemas.openxmlformats.org/officeDocument/2006/relationships/hyperlink" Target="#&apos;VT0010 grid load row (load L;&apos;!A1" TargetMode="External"/><Relationship Id="rId54" Type="http://schemas.openxmlformats.org/officeDocument/2006/relationships/hyperlink" Target="#&apos;VT0010 shared plant fuel row (&apos;!A1" TargetMode="External"/><Relationship Id="rId55" Type="http://schemas.openxmlformats.org/officeDocument/2006/relationships/hyperlink" Target="#&apos;VMR0015 A2.2.4 fNRB monitored&apos;!A1" TargetMode="External"/><Relationship Id="rId56" Type="http://schemas.openxmlformats.org/officeDocument/2006/relationships/hyperlink" Target="#&apos;VMR0015 A2.2 DataParameter Mon&apos;!A1" TargetMode="External"/></Relationships>
</file>

<file path=xl/worksheets/_rels/sheet169.xml.rels><?xml version="1.0" encoding="UTF-8" standalone="yes"?>
<Relationships xmlns="http://schemas.openxmlformats.org/package/2006/relationships"><Relationship Id="rId1" Type="http://schemas.openxmlformats.org/officeDocument/2006/relationships/hyperlink" Target="#&apos;VMR0015 A2.1.1 VMR0015  AMS-II&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 Id="rId15" Type="http://schemas.openxmlformats.org/officeDocument/2006/relationships/hyperlink" Target="#&apos;VMR0015 A2.1 DataParameter Ava&apos;!A1" TargetMode="External"/><Relationship Id="rId16" Type="http://schemas.openxmlformats.org/officeDocument/2006/relationships/hyperlink" Target="#&apos;VMR0015 A2.1.2 TOOL03 paramete&apos;!A1" TargetMode="External"/><Relationship Id="rId17" Type="http://schemas.openxmlformats.org/officeDocument/2006/relationships/hyperlink" Target="#&apos;VMR0015 A2.1 DataParameter Ava&apos;!A1" TargetMode="External"/><Relationship Id="rId18" Type="http://schemas.openxmlformats.org/officeDocument/2006/relationships/hyperlink" Target="#&apos;VMR0015 A2.1.3 VT0010  VT0011&apos;!A1" TargetMode="External"/><Relationship Id="rId19" Type="http://schemas.openxmlformats.org/officeDocument/2006/relationships/hyperlink" Target="#&apos;VMR0015 A2.1 DataParameter Ava&apos;!A1" TargetMode="External"/><Relationship Id="rId20" Type="http://schemas.openxmlformats.org/officeDocument/2006/relationships/hyperlink" Target="#&apos;VMR0015 A2.1 DataParameter Ava&apos;!A1" TargetMode="External"/><Relationship Id="rId21" Type="http://schemas.openxmlformats.org/officeDocument/2006/relationships/hyperlink" Target="#&apos;VMR0015 A2.1.4 AMS-I.E paramet&apos;!A1" TargetMode="External"/><Relationship Id="rId22" Type="http://schemas.openxmlformats.org/officeDocument/2006/relationships/hyperlink" Target="#&apos;VMR0015 A2.1 DataParameter Ava&apos;!A1" TargetMode="External"/><Relationship Id="rId23" Type="http://schemas.openxmlformats.org/officeDocument/2006/relationships/hyperlink" Target="#&apos;VMR0015 A2.2.1 VMR0015  AMS 2&apos;!A1" TargetMode="External"/><Relationship Id="rId24" Type="http://schemas.openxmlformats.org/officeDocument/2006/relationships/hyperlink" Target="#&apos;VMR0015 A2.2 DataParameter  2&apos;!A1" TargetMode="External"/><Relationship Id="rId25" Type="http://schemas.openxmlformats.org/officeDocument/2006/relationships/hyperlink" Target="#&apos;VMR0015 A2.2 DataParameter  2&apos;!A1" TargetMode="External"/><Relationship Id="rId26" Type="http://schemas.openxmlformats.org/officeDocument/2006/relationships/hyperlink" Target="#&apos;VMR0015 A2.2 DataParameter  2&apos;!A1" TargetMode="External"/><Relationship Id="rId27" Type="http://schemas.openxmlformats.org/officeDocument/2006/relationships/hyperlink" Target="#&apos;VMR0015 A2.2 DataParameter  2&apos;!A1" TargetMode="External"/><Relationship Id="rId28" Type="http://schemas.openxmlformats.org/officeDocument/2006/relationships/hyperlink" Target="#&apos;VMR0015 A2.2 DataParameter  2&apos;!A1" TargetMode="External"/><Relationship Id="rId29" Type="http://schemas.openxmlformats.org/officeDocument/2006/relationships/hyperlink" Target="#&apos;VMR0015 A2.2 DataParameter  2&apos;!A1" TargetMode="External"/><Relationship Id="rId30" Type="http://schemas.openxmlformats.org/officeDocument/2006/relationships/hyperlink" Target="#&apos;VMR0015 A2.2 DataParameter  2&apos;!A1" TargetMode="External"/><Relationship Id="rId31" Type="http://schemas.openxmlformats.org/officeDocument/2006/relationships/hyperlink" Target="#&apos;VMR0015 A2.2.2 TOOL03 monit 2&apos;!A1" TargetMode="External"/><Relationship Id="rId32" Type="http://schemas.openxmlformats.org/officeDocument/2006/relationships/hyperlink" Target="#&apos;VMR0015 A2.2 DataParameter  2&apos;!A1" TargetMode="External"/><Relationship Id="rId33" Type="http://schemas.openxmlformats.org/officeDocument/2006/relationships/hyperlink" Target="#&apos;VMR0015 A2.2 DataParameter  2&apos;!A1" TargetMode="External"/><Relationship Id="rId34" Type="http://schemas.openxmlformats.org/officeDocument/2006/relationships/hyperlink" Target="#&apos;VMR0015 A2.2 DataParameter  2&apos;!A1" TargetMode="External"/><Relationship Id="rId35" Type="http://schemas.openxmlformats.org/officeDocument/2006/relationships/hyperlink" Target="#&apos;VMR0015 A2.2 DataParameter  2&apos;!A1" TargetMode="External"/><Relationship Id="rId36" Type="http://schemas.openxmlformats.org/officeDocument/2006/relationships/hyperlink" Target="#&apos;VMR0015 A2.2 DataParameter  2&apos;!A1" TargetMode="External"/><Relationship Id="rId37" Type="http://schemas.openxmlformats.org/officeDocument/2006/relationships/hyperlink" Target="#&apos;TOOL03 fuel combustion row (fu&apos;!A1" TargetMode="External"/><Relationship Id="rId38" Type="http://schemas.openxmlformats.org/officeDocument/2006/relationships/hyperlink" Target="#&apos;VMR0015 A2.2.3 VT0010  VT00 2&apos;!A1" TargetMode="External"/><Relationship Id="rId39" Type="http://schemas.openxmlformats.org/officeDocument/2006/relationships/hyperlink" Target="#&apos;VMR0015 A2.2 DataParameter  2&apos;!A1" TargetMode="External"/><Relationship Id="rId40" Type="http://schemas.openxmlformats.org/officeDocument/2006/relationships/hyperlink" Target="#&apos;VMR0015 A2.2 DataParameter  2&apos;!A1" TargetMode="External"/><Relationship Id="rId41" Type="http://schemas.openxmlformats.org/officeDocument/2006/relationships/hyperlink" Target="#&apos;VMR0015 A2.2 DataParameter  2&apos;!A1" TargetMode="External"/><Relationship Id="rId42" Type="http://schemas.openxmlformats.org/officeDocument/2006/relationships/hyperlink" Target="#&apos;VMR0015 A2.2 DataParameter  2&apos;!A1" TargetMode="External"/><Relationship Id="rId43" Type="http://schemas.openxmlformats.org/officeDocument/2006/relationships/hyperlink" Target="#&apos;VMR0015 A2.2 DataParameter  2&apos;!A1" TargetMode="External"/><Relationship Id="rId44" Type="http://schemas.openxmlformats.org/officeDocument/2006/relationships/hyperlink" Target="#&apos;VMR0015 A2.2 DataParameter  2&apos;!A1" TargetMode="External"/><Relationship Id="rId45" Type="http://schemas.openxmlformats.org/officeDocument/2006/relationships/hyperlink" Target="#&apos;VMR0015 A2.2 DataParameter  2&apos;!A1" TargetMode="External"/><Relationship Id="rId46" Type="http://schemas.openxmlformats.org/officeDocument/2006/relationships/hyperlink" Target="#&apos;VMR0015 A2.2 DataParameter  2&apos;!A1" TargetMode="External"/><Relationship Id="rId47" Type="http://schemas.openxmlformats.org/officeDocument/2006/relationships/hyperlink" Target="#&apos;VMR0015 A2.2 DataParameter  2&apos;!A1" TargetMode="External"/><Relationship Id="rId48" Type="http://schemas.openxmlformats.org/officeDocument/2006/relationships/hyperlink" Target="#&apos;VMR0015 A2.2 DataParameter  2&apos;!A1" TargetMode="External"/><Relationship Id="rId49" Type="http://schemas.openxmlformats.org/officeDocument/2006/relationships/hyperlink" Target="#&apos;VMR0015 A2.2 DataParameter  2&apos;!A1" TargetMode="External"/><Relationship Id="rId50" Type="http://schemas.openxmlformats.org/officeDocument/2006/relationships/hyperlink" Target="#&apos;VMR0015 A2.2 DataParameter  2&apos;!A1" TargetMode="External"/><Relationship Id="rId51" Type="http://schemas.openxmlformats.org/officeDocument/2006/relationships/hyperlink" Target="#&apos;VMR0015 A2.2 DataParameter  2&apos;!A1" TargetMode="External"/><Relationship Id="rId52" Type="http://schemas.openxmlformats.org/officeDocument/2006/relationships/hyperlink" Target="#&apos;VMR0015 A2.2 DataParameter  2&apos;!A1" TargetMode="External"/><Relationship Id="rId53" Type="http://schemas.openxmlformats.org/officeDocument/2006/relationships/hyperlink" Target="#&apos;VT0010 grid load row (load L;&apos;!A1" TargetMode="External"/><Relationship Id="rId54" Type="http://schemas.openxmlformats.org/officeDocument/2006/relationships/hyperlink" Target="#&apos;VT0010 shared plant fuel row (&apos;!A1" TargetMode="External"/><Relationship Id="rId55" Type="http://schemas.openxmlformats.org/officeDocument/2006/relationships/hyperlink" Target="#&apos;VMR0015 A2.2.4 fNRB monitor 2&apos;!A1" TargetMode="External"/><Relationship Id="rId56" Type="http://schemas.openxmlformats.org/officeDocument/2006/relationships/hyperlink" Target="#&apos;VMR0015 A2.2 DataParameter  2&apos;!A1" TargetMode="External"/></Relationships>
</file>

<file path=xl/worksheets/_rels/sheet170.xml.rels><?xml version="1.0" encoding="UTF-8" standalone="yes"?>
<Relationships xmlns="http://schemas.openxmlformats.org/package/2006/relationships"><Relationship Id="rId1" Type="http://schemas.openxmlformats.org/officeDocument/2006/relationships/hyperlink" Target="#&apos;VMR0015 Water Quantity Record&apos;!A1" TargetMode="External"/><Relationship Id="rId2" Type="http://schemas.openxmlformats.org/officeDocument/2006/relationships/hyperlink" Target="#&apos;Evidence item&apos;!A1" TargetMode="External"/><Relationship Id="rId3" Type="http://schemas.openxmlformats.org/officeDocument/2006/relationships/hyperlink" Target="#&apos;VMR0015 Water Quantity Reco 2&apos;!A1" TargetMode="External"/><Relationship Id="rId4" Type="http://schemas.openxmlformats.org/officeDocument/2006/relationships/hyperlink" Target="#&apos;VMR0015 Water Quantity Reco 3&apos;!A1" TargetMode="External"/><Relationship Id="rId5" Type="http://schemas.openxmlformats.org/officeDocument/2006/relationships/hyperlink" Target="#&apos;VMR0015 Appliance Functionalit&apos;!A1" TargetMode="External"/><Relationship Id="rId6" Type="http://schemas.openxmlformats.org/officeDocument/2006/relationships/hyperlink" Target="#&apos;Evidence item&apos;!A1" TargetMode="External"/><Relationship Id="rId7" Type="http://schemas.openxmlformats.org/officeDocument/2006/relationships/hyperlink" Target="#&apos;SDW Public Distribution Networ&apos;!A1" TargetMode="External"/><Relationship Id="rId8" Type="http://schemas.openxmlformats.org/officeDocument/2006/relationships/hyperlink" Target="#&apos;Evidence item&apos;!A1" TargetMode="External"/><Relationship Id="rId9" Type="http://schemas.openxmlformats.org/officeDocument/2006/relationships/hyperlink" Target="#&apos;Biennial Water Quality Check (&apos;!A1" TargetMode="External"/><Relationship Id="rId10" Type="http://schemas.openxmlformats.org/officeDocument/2006/relationships/hyperlink" Target="#&apos;Evidence item&apos;!A1" TargetMode="External"/><Relationship Id="rId11" Type="http://schemas.openxmlformats.org/officeDocument/2006/relationships/hyperlink" Target="#&apos;VMR0015 Sampling Plan and Resu&apos;!A1" TargetMode="External"/><Relationship Id="rId12" Type="http://schemas.openxmlformats.org/officeDocument/2006/relationships/hyperlink" Target="#&apos;Evidence item&apos;!A1" TargetMode="External"/></Relationships>
</file>

<file path=xl/worksheets/_rels/sheet171.xml.rels><?xml version="1.0" encoding="UTF-8" standalone="yes"?>
<Relationships xmlns="http://schemas.openxmlformats.org/package/2006/relationships"><Relationship Id="rId1" Type="http://schemas.openxmlformats.org/officeDocument/2006/relationships/hyperlink" Target="#&apos;VMR0015 Project Section - PD (&apos;!A1" TargetMode="External"/><Relationship Id="rId2" Type="http://schemas.openxmlformats.org/officeDocument/2006/relationships/hyperlink" Target="#&apos;VMR0015 Baseline Fuel Row (fue&apos;!A1" TargetMode="External"/><Relationship Id="rId3" Type="http://schemas.openxmlformats.org/officeDocument/2006/relationships/hyperlink" Target="#&apos;VMR0015 Survey Household Row&apos;!A1" TargetMode="External"/><Relationship Id="rId4" Type="http://schemas.openxmlformats.org/officeDocument/2006/relationships/hyperlink" Target="#&apos;VMR0015 Survey Device Use Row&apos;!A1" TargetMode="External"/><Relationship Id="rId5" Type="http://schemas.openxmlformats.org/officeDocument/2006/relationships/hyperlink" Target="#&apos;VMR0015 fNRB Determination&apos;!A1" TargetMode="External"/><Relationship Id="rId6" Type="http://schemas.openxmlformats.org/officeDocument/2006/relationships/hyperlink" Target="#&apos;Evidence item&apos;!A1" TargetMode="External"/><Relationship Id="rId7" Type="http://schemas.openxmlformats.org/officeDocument/2006/relationships/hyperlink" Target="#&apos;VMR0015 Leakage Adjustment Det&apos;!A1" TargetMode="External"/><Relationship Id="rId8" Type="http://schemas.openxmlformats.org/officeDocument/2006/relationships/hyperlink" Target="#&apos;VMR0015 Additionality&apos;!A1" TargetMode="External"/><Relationship Id="rId9" Type="http://schemas.openxmlformats.org/officeDocument/2006/relationships/hyperlink" Target="#&apos;Interactive effects survey res&apos;!A1" TargetMode="External"/></Relationships>
</file>

<file path=xl/worksheets/_rels/sheet172.xml.rels><?xml version="1.0" encoding="UTF-8" standalone="yes"?>
<Relationships xmlns="http://schemas.openxmlformats.org/package/2006/relationships"><Relationship Id="rId1" Type="http://schemas.openxmlformats.org/officeDocument/2006/relationships/hyperlink" Target="#&apos;VMR0015 Project Section - MR (&apos;!A1" TargetMode="External"/><Relationship Id="rId2" Type="http://schemas.openxmlformats.org/officeDocument/2006/relationships/hyperlink" Target="#&apos;VMR0015 Water Quantity Record&apos;!A1" TargetMode="External"/><Relationship Id="rId3" Type="http://schemas.openxmlformats.org/officeDocument/2006/relationships/hyperlink" Target="#&apos;Evidence item&apos;!A1" TargetMode="External"/><Relationship Id="rId4" Type="http://schemas.openxmlformats.org/officeDocument/2006/relationships/hyperlink" Target="#&apos;VMR0015 Water Quantity Reco 2&apos;!A1" TargetMode="External"/><Relationship Id="rId5" Type="http://schemas.openxmlformats.org/officeDocument/2006/relationships/hyperlink" Target="#&apos;VMR0015 Water Quantity Reco 3&apos;!A1" TargetMode="External"/><Relationship Id="rId6" Type="http://schemas.openxmlformats.org/officeDocument/2006/relationships/hyperlink" Target="#&apos;VMR0015 Appliance Functionalit&apos;!A1" TargetMode="External"/><Relationship Id="rId7" Type="http://schemas.openxmlformats.org/officeDocument/2006/relationships/hyperlink" Target="#&apos;Evidence item&apos;!A1" TargetMode="External"/><Relationship Id="rId8" Type="http://schemas.openxmlformats.org/officeDocument/2006/relationships/hyperlink" Target="#&apos;SDW Public Distribution Networ&apos;!A1" TargetMode="External"/><Relationship Id="rId9" Type="http://schemas.openxmlformats.org/officeDocument/2006/relationships/hyperlink" Target="#&apos;Evidence item&apos;!A1" TargetMode="External"/><Relationship Id="rId10" Type="http://schemas.openxmlformats.org/officeDocument/2006/relationships/hyperlink" Target="#&apos;Biennial Water Quality Check (&apos;!A1" TargetMode="External"/><Relationship Id="rId11" Type="http://schemas.openxmlformats.org/officeDocument/2006/relationships/hyperlink" Target="#&apos;Evidence item&apos;!A1" TargetMode="External"/><Relationship Id="rId12" Type="http://schemas.openxmlformats.org/officeDocument/2006/relationships/hyperlink" Target="#&apos;VMR0015 Sampling Plan and Resu&apos;!A1" TargetMode="External"/><Relationship Id="rId13" Type="http://schemas.openxmlformats.org/officeDocument/2006/relationships/hyperlink" Target="#&apos;Evidence item&apos;!A1" TargetMode="External"/><Relationship Id="rId14" Type="http://schemas.openxmlformats.org/officeDocument/2006/relationships/hyperlink" Target="#&apos;VMR0015 fNRB Determination&apos;!A1" TargetMode="External"/><Relationship Id="rId15" Type="http://schemas.openxmlformats.org/officeDocument/2006/relationships/hyperlink" Target="#&apos;Evidence item&apos;!A1" TargetMode="External"/><Relationship Id="rId16" Type="http://schemas.openxmlformats.org/officeDocument/2006/relationships/hyperlink" Target="#&apos;Project device record (VMR0015&apos;!A1" TargetMode="External"/><Relationship Id="rId17" Type="http://schemas.openxmlformats.org/officeDocument/2006/relationships/hyperlink" Target="#&apos;Interactive effects survey res&apos;!A1" TargetMode="External"/></Relationships>
</file>

<file path=xl/worksheets/_rels/sheet174.xml.rels><?xml version="1.0" encoding="UTF-8" standalone="yes"?>
<Relationships xmlns="http://schemas.openxmlformats.org/package/2006/relationships"><Relationship Id="rId1" Type="http://schemas.openxmlformats.org/officeDocument/2006/relationships/hyperlink" Target="#&apos;Sampling check row (ERR)&apos;!A1" TargetMode="External"/></Relationships>
</file>

<file path=xl/worksheets/_rels/sheet175.xml.rels><?xml version="1.0" encoding="UTF-8" standalone="yes"?>
<Relationships xmlns="http://schemas.openxmlformats.org/package/2006/relationships"><Relationship Id="rId1" Type="http://schemas.openxmlformats.org/officeDocument/2006/relationships/hyperlink" Target="#&apos;VMR0015 ERR Vintage Row (PD 4.&apos;!A1" TargetMode="External"/></Relationships>
</file>

<file path=xl/worksheets/_rels/sheet176.xml.rels><?xml version="1.0" encoding="UTF-8" standalone="yes"?>
<Relationships xmlns="http://schemas.openxmlformats.org/package/2006/relationships"><Relationship Id="rId1" Type="http://schemas.openxmlformats.org/officeDocument/2006/relationships/hyperlink" Target="#&apos;VMR0015 ERR Ex-Post Section Re&apos;!A1" TargetMode="External"/><Relationship Id="rId2" Type="http://schemas.openxmlformats.org/officeDocument/2006/relationships/hyperlink" Target="#&apos;Sampling check row (ERR)&apos;!A1" TargetMode="External"/><Relationship Id="rId3" Type="http://schemas.openxmlformats.org/officeDocument/2006/relationships/hyperlink" Target="#&apos;VMR0015 ERR Vintage Row (PD 4.&apos;!A1" TargetMode="External"/></Relationships>
</file>

<file path=xl/worksheets/_rels/sheet177.xml.rels><?xml version="1.0" encoding="UTF-8" standalone="yes"?>
<Relationships xmlns="http://schemas.openxmlformats.org/package/2006/relationships"><Relationship Id="rId1" Type="http://schemas.openxmlformats.org/officeDocument/2006/relationships/hyperlink" Target="#&apos;VMR0015 ERR Ex-Ante Result (PD&apos;!A1" TargetMode="External"/><Relationship Id="rId2" Type="http://schemas.openxmlformats.org/officeDocument/2006/relationships/hyperlink" Target="#&apos;VMR0015 ERR Vintage Row (PD 4.&apos;!A1" TargetMode="External"/><Relationship Id="rId3" Type="http://schemas.openxmlformats.org/officeDocument/2006/relationships/hyperlink" Target="#&apos;VMR0015 ERR Ex-Post Result (MR&apos;!A1" TargetMode="External"/><Relationship Id="rId4" Type="http://schemas.openxmlformats.org/officeDocument/2006/relationships/hyperlink" Target="#&apos;VMR0015 ERR Ex-Post Section Re&apos;!A1" TargetMode="External"/><Relationship Id="rId5" Type="http://schemas.openxmlformats.org/officeDocument/2006/relationships/hyperlink" Target="#&apos;Sampling check row (ERR)&apos;!A1" TargetMode="External"/><Relationship Id="rId6" Type="http://schemas.openxmlformats.org/officeDocument/2006/relationships/hyperlink" Target="#&apos;VMR0015 ERR Vintage Row (PD 4.&apos;!A1" TargetMode="External"/></Relationships>
</file>

<file path=xl/worksheets/_rels/sheet179.xml.rels><?xml version="1.0" encoding="UTF-8" standalone="yes"?>
<Relationships xmlns="http://schemas.openxmlformats.org/package/2006/relationships"><Relationship Id="rId1" Type="http://schemas.openxmlformats.org/officeDocument/2006/relationships/hyperlink" Target="#&apos;1.7 Right to Operate and Right&apos;!A1" TargetMode="External"/><Relationship Id="rId2" Type="http://schemas.openxmlformats.org/officeDocument/2006/relationships/hyperlink" Target="#&apos;1.7.2 Land or Resource Rights&apos;!A1" TargetMode="External"/><Relationship Id="rId3" Type="http://schemas.openxmlformats.org/officeDocument/2006/relationships/hyperlink" Target="#&apos;1.7 Evidence of right to opera&apos;!A1" TargetMode="External"/></Relationships>
</file>

<file path=xl/worksheets/_rels/sheet183.xml.rels><?xml version="1.0" encoding="UTF-8" standalone="yes"?>
<Relationships xmlns="http://schemas.openxmlformats.org/package/2006/relationships"><Relationship Id="rId1" Type="http://schemas.openxmlformats.org/officeDocument/2006/relationships/hyperlink" Target="#&apos;Schedule milestone (Validation&apos;!A1" TargetMode="External"/></Relationships>
</file>

<file path=xl/worksheets/_rels/sheet184.xml.rels><?xml version="1.0" encoding="UTF-8" standalone="yes"?>
<Relationships xmlns="http://schemas.openxmlformats.org/package/2006/relationships"><Relationship Id="rId1" Type="http://schemas.openxmlformats.org/officeDocument/2006/relationships/hyperlink" Target="#&apos;Document review summary (Valid&apos;!A1" TargetMode="External"/><Relationship Id="rId2" Type="http://schemas.openxmlformats.org/officeDocument/2006/relationships/hyperlink" Target="#&apos;Document list row (Validation&apos;!A1" TargetMode="External"/><Relationship Id="rId3" Type="http://schemas.openxmlformats.org/officeDocument/2006/relationships/hyperlink" Target="#&apos;Document review details row (V&apos;!A1" TargetMode="External"/></Relationships>
</file>

<file path=xl/worksheets/_rels/sheet185.xml.rels><?xml version="1.0" encoding="UTF-8" standalone="yes"?>
<Relationships xmlns="http://schemas.openxmlformats.org/package/2006/relationships"><Relationship Id="rId1" Type="http://schemas.openxmlformats.org/officeDocument/2006/relationships/hyperlink" Target="#&apos;Interviewee row (Validation an&apos;!A1" TargetMode="External"/></Relationships>
</file>

<file path=xl/worksheets/_rels/sheet186.xml.rels><?xml version="1.0" encoding="UTF-8" standalone="yes"?>
<Relationships xmlns="http://schemas.openxmlformats.org/package/2006/relationships"><Relationship Id="rId1" Type="http://schemas.openxmlformats.org/officeDocument/2006/relationships/hyperlink" Target="#&apos;CARCLFAR reference row (Valida&apos;!A1" TargetMode="External"/></Relationships>
</file>

<file path=xl/worksheets/_rels/sheet187.xml.rels><?xml version="1.0" encoding="UTF-8" standalone="yes"?>
<Relationships xmlns="http://schemas.openxmlformats.org/package/2006/relationships"><Relationship Id="rId1" Type="http://schemas.openxmlformats.org/officeDocument/2006/relationships/hyperlink" Target="#&apos;2.1 Method and Criteria (VCS V&apos;!A1" TargetMode="External"/><Relationship Id="rId2" Type="http://schemas.openxmlformats.org/officeDocument/2006/relationships/hyperlink" Target="#&apos;Schedule milestone (Validation&apos;!A1" TargetMode="External"/><Relationship Id="rId3" Type="http://schemas.openxmlformats.org/officeDocument/2006/relationships/hyperlink" Target="#&apos;2.2 Document Review (VCS Verif&apos;!A1" TargetMode="External"/><Relationship Id="rId4" Type="http://schemas.openxmlformats.org/officeDocument/2006/relationships/hyperlink" Target="#&apos;Document review summary (Valid&apos;!A1" TargetMode="External"/><Relationship Id="rId5" Type="http://schemas.openxmlformats.org/officeDocument/2006/relationships/hyperlink" Target="#&apos;Document list row (Validation&apos;!A1" TargetMode="External"/><Relationship Id="rId6" Type="http://schemas.openxmlformats.org/officeDocument/2006/relationships/hyperlink" Target="#&apos;Document review details row (V&apos;!A1" TargetMode="External"/><Relationship Id="rId7" Type="http://schemas.openxmlformats.org/officeDocument/2006/relationships/hyperlink" Target="#&apos;Interviews (Verification)&apos;!A1" TargetMode="External"/><Relationship Id="rId8" Type="http://schemas.openxmlformats.org/officeDocument/2006/relationships/hyperlink" Target="#&apos;Interviewee row (Validation an&apos;!A1" TargetMode="External"/><Relationship Id="rId9" Type="http://schemas.openxmlformats.org/officeDocument/2006/relationships/hyperlink" Target="#&apos;Site visits (Validation and Ve&apos;!A1" TargetMode="External"/><Relationship Id="rId10" Type="http://schemas.openxmlformats.org/officeDocument/2006/relationships/hyperlink" Target="#&apos;Resolution of CARs CLs and FAR&apos;!A1" TargetMode="External"/><Relationship Id="rId11" Type="http://schemas.openxmlformats.org/officeDocument/2006/relationships/hyperlink" Target="#&apos;CARCLFAR reference row (Valida&apos;!A1" TargetMode="External"/></Relationships>
</file>

<file path=xl/worksheets/_rels/sheet188.xml.rels><?xml version="1.0" encoding="UTF-8" standalone="yes"?>
<Relationships xmlns="http://schemas.openxmlformats.org/package/2006/relationships"><Relationship Id="rId1" Type="http://schemas.openxmlformats.org/officeDocument/2006/relationships/hyperlink" Target="#&apos;Methodology Deviations (VCS Ve&apos;!A1" TargetMode="External"/><Relationship Id="rId2" Type="http://schemas.openxmlformats.org/officeDocument/2006/relationships/hyperlink" Target="#&apos;Deadlines for Participation ro&apos;!A1" TargetMode="External"/></Relationships>
</file>

<file path=xl/worksheets/_rels/sheet189.xml.rels><?xml version="1.0" encoding="UTF-8" standalone="yes"?>
<Relationships xmlns="http://schemas.openxmlformats.org/package/2006/relationships"><Relationship Id="rId1" Type="http://schemas.openxmlformats.org/officeDocument/2006/relationships/hyperlink" Target="#&apos;Project Description Deviations&apos;!A1" TargetMode="External"/><Relationship Id="rId2" Type="http://schemas.openxmlformats.org/officeDocument/2006/relationships/hyperlink" Target="#&apos;Deadlines for Participation ro&apos;!A1" TargetMode="External"/></Relationships>
</file>

<file path=xl/worksheets/_rels/sheet190.xml.rels><?xml version="1.0" encoding="UTF-8" standalone="yes"?>
<Relationships xmlns="http://schemas.openxmlformats.org/package/2006/relationships"><Relationship Id="rId1" Type="http://schemas.openxmlformats.org/officeDocument/2006/relationships/hyperlink" Target="#&apos;New Project Activity Instances&apos;!A1" TargetMode="External"/><Relationship Id="rId2" Type="http://schemas.openxmlformats.org/officeDocument/2006/relationships/hyperlink" Target="#&apos;Deadlines for Participation ro&apos;!A1" TargetMode="External"/></Relationships>
</file>

<file path=xl/worksheets/_rels/sheet191.xml.rels><?xml version="1.0" encoding="UTF-8" standalone="yes"?>
<Relationships xmlns="http://schemas.openxmlformats.org/package/2006/relationships"><Relationship Id="rId1" Type="http://schemas.openxmlformats.org/officeDocument/2006/relationships/hyperlink" Target="#&apos;Baseline Reassessment (VCS Ver&apos;!A1" TargetMode="External"/><Relationship Id="rId2" Type="http://schemas.openxmlformats.org/officeDocument/2006/relationships/hyperlink" Target="#&apos;Deadlines for Participation ro&apos;!A1" TargetMode="External"/></Relationships>
</file>

<file path=xl/worksheets/_rels/sheet192.xml.rels><?xml version="1.0" encoding="UTF-8" standalone="yes"?>
<Relationships xmlns="http://schemas.openxmlformats.org/package/2006/relationships"><Relationship Id="rId1" Type="http://schemas.openxmlformats.org/officeDocument/2006/relationships/hyperlink" Target="#&apos;3.1 Methodology Deviations&apos;!A1" TargetMode="External"/><Relationship Id="rId2" Type="http://schemas.openxmlformats.org/officeDocument/2006/relationships/hyperlink" Target="#&apos;Methodology Deviations (VCS Ve&apos;!A1" TargetMode="External"/><Relationship Id="rId3" Type="http://schemas.openxmlformats.org/officeDocument/2006/relationships/hyperlink" Target="#&apos;Deadlines for Participation ro&apos;!A1" TargetMode="External"/><Relationship Id="rId4" Type="http://schemas.openxmlformats.org/officeDocument/2006/relationships/hyperlink" Target="#&apos;3.2 Project Description Deviat&apos;!A1" TargetMode="External"/><Relationship Id="rId5" Type="http://schemas.openxmlformats.org/officeDocument/2006/relationships/hyperlink" Target="#&apos;Project Description Deviations&apos;!A1" TargetMode="External"/><Relationship Id="rId6" Type="http://schemas.openxmlformats.org/officeDocument/2006/relationships/hyperlink" Target="#&apos;Deadlines for Participation ro&apos;!A1" TargetMode="External"/><Relationship Id="rId7" Type="http://schemas.openxmlformats.org/officeDocument/2006/relationships/hyperlink" Target="#&apos;3.3 New Project Activity Insta&apos;!A1" TargetMode="External"/><Relationship Id="rId8" Type="http://schemas.openxmlformats.org/officeDocument/2006/relationships/hyperlink" Target="#&apos;New Project Activity Instances&apos;!A1" TargetMode="External"/><Relationship Id="rId9" Type="http://schemas.openxmlformats.org/officeDocument/2006/relationships/hyperlink" Target="#&apos;Deadlines for Participation ro&apos;!A1" TargetMode="External"/><Relationship Id="rId10" Type="http://schemas.openxmlformats.org/officeDocument/2006/relationships/hyperlink" Target="#&apos;3.4 Baseline Reassessment&apos;!A1" TargetMode="External"/><Relationship Id="rId11" Type="http://schemas.openxmlformats.org/officeDocument/2006/relationships/hyperlink" Target="#&apos;Baseline Reassessment (VCS Ver&apos;!A1" TargetMode="External"/><Relationship Id="rId12" Type="http://schemas.openxmlformats.org/officeDocument/2006/relationships/hyperlink" Target="#&apos;Deadlines for Participation ro&apos;!A1" TargetMode="External"/></Relationships>
</file>

<file path=xl/worksheets/_rels/sheet19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9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95.xml.rels><?xml version="1.0" encoding="UTF-8" standalone="yes"?>
<Relationships xmlns="http://schemas.openxmlformats.org/package/2006/relationships"><Relationship Id="rId1" Type="http://schemas.openxmlformats.org/officeDocument/2006/relationships/hyperlink" Target="#&apos;4.1.1 General Implementation S&apos;!A1" TargetMode="External"/><Relationship Id="rId2" Type="http://schemas.openxmlformats.org/officeDocument/2006/relationships/hyperlink" Target="#&apos;Deadlines for Participation ro&apos;!A1" TargetMode="External"/><Relationship Id="rId3" Type="http://schemas.openxmlformats.org/officeDocument/2006/relationships/hyperlink" Target="#&apos;4.1.2 Loss Events&apos;!A1" TargetMode="External"/><Relationship Id="rId4" Type="http://schemas.openxmlformats.org/officeDocument/2006/relationships/hyperlink" Target="#&apos;Deadlines for Participation ro&apos;!A1" TargetMode="External"/></Relationships>
</file>

<file path=xl/worksheets/_rels/sheet19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01.xml.rels><?xml version="1.0" encoding="UTF-8" standalone="yes"?>
<Relationships xmlns="http://schemas.openxmlformats.org/package/2006/relationships"><Relationship Id="rId1" Type="http://schemas.openxmlformats.org/officeDocument/2006/relationships/hyperlink" Target="#&apos;4.2.4.1 No Double Issuance&apos;!A1" TargetMode="External"/><Relationship Id="rId2" Type="http://schemas.openxmlformats.org/officeDocument/2006/relationships/hyperlink" Target="#&apos;4.2.4.2 Registration with Othe&apos;!A1" TargetMode="External"/></Relationships>
</file>

<file path=xl/worksheets/_rels/sheet205.xml.rels><?xml version="1.0" encoding="UTF-8" standalone="yes"?>
<Relationships xmlns="http://schemas.openxmlformats.org/package/2006/relationships"><Relationship Id="rId1" Type="http://schemas.openxmlformats.org/officeDocument/2006/relationships/hyperlink" Target="#&apos;4.2.5.1 No Double Claiming wit&apos;!A1" TargetMode="External"/><Relationship Id="rId2" Type="http://schemas.openxmlformats.org/officeDocument/2006/relationships/hyperlink" Target="#&apos;4.2.5.2 No Double Claiming wit&apos;!A1" TargetMode="External"/><Relationship Id="rId3" Type="http://schemas.openxmlformats.org/officeDocument/2006/relationships/hyperlink" Target="#&apos;4.2.5.3 Supply chain (Scope 3)&apos;!A1" TargetMode="External"/><Relationship Id="rId4" Type="http://schemas.openxmlformats.org/officeDocument/2006/relationships/hyperlink" Target="#&apos;Deadlines for Participation ro&apos;!A1" TargetMode="External"/></Relationships>
</file>

<file path=xl/worksheets/_rels/sheet20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10.xml.rels><?xml version="1.0" encoding="UTF-8" standalone="yes"?>
<Relationships xmlns="http://schemas.openxmlformats.org/package/2006/relationships"><Relationship Id="rId1" Type="http://schemas.openxmlformats.org/officeDocument/2006/relationships/hyperlink" Target="#&apos;4.2.7.1 Sensitive Information&apos;!A1" TargetMode="External"/><Relationship Id="rId2" Type="http://schemas.openxmlformats.org/officeDocument/2006/relationships/hyperlink" Target="#&apos;4.2.7.2 Core Carbon Principles&apos;!A1" TargetMode="External"/><Relationship Id="rId3" Type="http://schemas.openxmlformats.org/officeDocument/2006/relationships/hyperlink" Target="#&apos;4.2.7.3 CORSIA Label Eligibili&apos;!A1" TargetMode="External"/></Relationships>
</file>

<file path=xl/worksheets/_rels/sheet211.xml.rels><?xml version="1.0" encoding="UTF-8" standalone="yes"?>
<Relationships xmlns="http://schemas.openxmlformats.org/package/2006/relationships"><Relationship Id="rId1" Type="http://schemas.openxmlformats.org/officeDocument/2006/relationships/hyperlink" Target="#&apos;4.2.1 Audit History&apos;!A1" TargetMode="External"/><Relationship Id="rId2" Type="http://schemas.openxmlformats.org/officeDocument/2006/relationships/hyperlink" Target="#&apos;4.2.2 Sectoral Scope and Proje&apos;!A1" TargetMode="External"/><Relationship Id="rId3" Type="http://schemas.openxmlformats.org/officeDocument/2006/relationships/hyperlink" Target="#&apos;4.2.3 Project Location&apos;!A1" TargetMode="External"/><Relationship Id="rId4" Type="http://schemas.openxmlformats.org/officeDocument/2006/relationships/hyperlink" Target="#&apos;Deadlines for Participation ro&apos;!A1" TargetMode="External"/><Relationship Id="rId5" Type="http://schemas.openxmlformats.org/officeDocument/2006/relationships/hyperlink" Target="#&apos;4.2.4 Double Counting and Part&apos;!A1" TargetMode="External"/><Relationship Id="rId6" Type="http://schemas.openxmlformats.org/officeDocument/2006/relationships/hyperlink" Target="#&apos;4.2.4.1 No Double Issuance&apos;!A1" TargetMode="External"/><Relationship Id="rId7" Type="http://schemas.openxmlformats.org/officeDocument/2006/relationships/hyperlink" Target="#&apos;4.2.4.2 Registration with Othe&apos;!A1" TargetMode="External"/><Relationship Id="rId8" Type="http://schemas.openxmlformats.org/officeDocument/2006/relationships/hyperlink" Target="#&apos;4.2.5 Double Claiming Other Fo&apos;!A1" TargetMode="External"/><Relationship Id="rId9" Type="http://schemas.openxmlformats.org/officeDocument/2006/relationships/hyperlink" Target="#&apos;4.2.5.1 No Double Claiming wit&apos;!A1" TargetMode="External"/><Relationship Id="rId10" Type="http://schemas.openxmlformats.org/officeDocument/2006/relationships/hyperlink" Target="#&apos;4.2.5.2 No Double Claiming wit&apos;!A1" TargetMode="External"/><Relationship Id="rId11" Type="http://schemas.openxmlformats.org/officeDocument/2006/relationships/hyperlink" Target="#&apos;4.2.5.3 Supply chain (Scope 3)&apos;!A1" TargetMode="External"/><Relationship Id="rId12" Type="http://schemas.openxmlformats.org/officeDocument/2006/relationships/hyperlink" Target="#&apos;Deadlines for Participation ro&apos;!A1" TargetMode="External"/><Relationship Id="rId13" Type="http://schemas.openxmlformats.org/officeDocument/2006/relationships/hyperlink" Target="#&apos;4.2.6 Sustainable Development&apos;!A1" TargetMode="External"/><Relationship Id="rId14" Type="http://schemas.openxmlformats.org/officeDocument/2006/relationships/hyperlink" Target="#&apos;Deadlines for Participation ro&apos;!A1" TargetMode="External"/><Relationship Id="rId15" Type="http://schemas.openxmlformats.org/officeDocument/2006/relationships/hyperlink" Target="#&apos;4.2.7 Additional Information (&apos;!A1" TargetMode="External"/><Relationship Id="rId16" Type="http://schemas.openxmlformats.org/officeDocument/2006/relationships/hyperlink" Target="#&apos;4.2.7.1 Sensitive Information&apos;!A1" TargetMode="External"/><Relationship Id="rId17" Type="http://schemas.openxmlformats.org/officeDocument/2006/relationships/hyperlink" Target="#&apos;4.2.7.2 Core Carbon Principles&apos;!A1" TargetMode="External"/><Relationship Id="rId18" Type="http://schemas.openxmlformats.org/officeDocument/2006/relationships/hyperlink" Target="#&apos;4.2.7.3 CORSIA Label Eligibili&apos;!A1" TargetMode="External"/><Relationship Id="rId19" Type="http://schemas.openxmlformats.org/officeDocument/2006/relationships/hyperlink" Target="#&apos;Sensitive Information (VCS Ver&apos;!A1" TargetMode="External"/><Relationship Id="rId20" Type="http://schemas.openxmlformats.org/officeDocument/2006/relationships/hyperlink" Target="#&apos;Core Carbon Principles Label E&apos;!A1" TargetMode="External"/><Relationship Id="rId21" Type="http://schemas.openxmlformats.org/officeDocument/2006/relationships/hyperlink" Target="#&apos;CORSIA Label Eligibility (VCS&apos;!A1" TargetMode="External"/><Relationship Id="rId22" Type="http://schemas.openxmlformats.org/officeDocument/2006/relationships/hyperlink" Target="#&apos;No Double Issuance (VCS Verifi&apos;!A1" TargetMode="External"/><Relationship Id="rId23" Type="http://schemas.openxmlformats.org/officeDocument/2006/relationships/hyperlink" Target="#&apos;Deadlines for Participation ro&apos;!A1" TargetMode="External"/><Relationship Id="rId24" Type="http://schemas.openxmlformats.org/officeDocument/2006/relationships/hyperlink" Target="#&apos;Registration with Other GHG Pr&apos;!A1" TargetMode="External"/><Relationship Id="rId25" Type="http://schemas.openxmlformats.org/officeDocument/2006/relationships/hyperlink" Target="#&apos;Deadlines for Participation ro&apos;!A1" TargetMode="External"/><Relationship Id="rId26" Type="http://schemas.openxmlformats.org/officeDocument/2006/relationships/hyperlink" Target="#&apos;No Double Claiming with Emissi&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Supply Chain (Scope 3) Emis 2&apos;!A1" TargetMode="External"/><Relationship Id="rId29" Type="http://schemas.openxmlformats.org/officeDocument/2006/relationships/hyperlink" Target="#&apos;Deadlines for Participation ro&apos;!A1" TargetMode="External"/><Relationship Id="rId30" Type="http://schemas.openxmlformats.org/officeDocument/2006/relationships/hyperlink" Target="#&apos;Right to Operate and Right  2&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Land or Resource Rights Ana 2&apos;!A1" TargetMode="External"/><Relationship Id="rId33" Type="http://schemas.openxmlformats.org/officeDocument/2006/relationships/hyperlink" Target="#&apos;Deadlines for Participation ro&apos;!A1" TargetMode="External"/></Relationships>
</file>

<file path=xl/worksheets/_rels/sheet218.xml.rels><?xml version="1.0" encoding="UTF-8" standalone="yes"?>
<Relationships xmlns="http://schemas.openxmlformats.org/package/2006/relationships"><Relationship Id="rId1" Type="http://schemas.openxmlformats.org/officeDocument/2006/relationships/hyperlink" Target="#&apos;4.4.3.1 Non-Permanence Risk An&apos;!A1" TargetMode="External"/><Relationship Id="rId2" Type="http://schemas.openxmlformats.org/officeDocument/2006/relationships/hyperlink" Target="#&apos;4.4.3.2 Buffer Pool Allocation&apos;!A1" TargetMode="External"/><Relationship Id="rId3" Type="http://schemas.openxmlformats.org/officeDocument/2006/relationships/hyperlink" Target="#&apos;4.4.3.3 Long-Term Average&apos;!A1" TargetMode="External"/><Relationship Id="rId4" Type="http://schemas.openxmlformats.org/officeDocument/2006/relationships/hyperlink" Target="#&apos;4.4.3.4 De Minimis Quantificat&apos;!A1" TargetMode="External"/></Relationships>
</file>

<file path=xl/worksheets/_rels/sheet219.xml.rels><?xml version="1.0" encoding="UTF-8" standalone="yes"?>
<Relationships xmlns="http://schemas.openxmlformats.org/package/2006/relationships"><Relationship Id="rId1" Type="http://schemas.openxmlformats.org/officeDocument/2006/relationships/hyperlink" Target="#&apos;4.4.1 Accuracy of Reduction an&apos;!A1" TargetMode="External"/><Relationship Id="rId2" Type="http://schemas.openxmlformats.org/officeDocument/2006/relationships/hyperlink" Target="#&apos;4.4.2 Quality of Evidence to D&apos;!A1" TargetMode="External"/><Relationship Id="rId3" Type="http://schemas.openxmlformats.org/officeDocument/2006/relationships/hyperlink" Target="#&apos;4.4.3 Other Relevant Quantific&apos;!A1" TargetMode="External"/><Relationship Id="rId4" Type="http://schemas.openxmlformats.org/officeDocument/2006/relationships/hyperlink" Target="#&apos;4.4.3.1 Non-Permanence Risk An&apos;!A1" TargetMode="External"/><Relationship Id="rId5" Type="http://schemas.openxmlformats.org/officeDocument/2006/relationships/hyperlink" Target="#&apos;4.4.3.2 Buffer Pool Allocation&apos;!A1" TargetMode="External"/><Relationship Id="rId6" Type="http://schemas.openxmlformats.org/officeDocument/2006/relationships/hyperlink" Target="#&apos;4.4.3.3 Long-Term Average&apos;!A1" TargetMode="External"/><Relationship Id="rId7" Type="http://schemas.openxmlformats.org/officeDocument/2006/relationships/hyperlink" Target="#&apos;4.4.3.4 De Minimis Quantificat&apos;!A1" TargetMode="External"/><Relationship Id="rId8" Type="http://schemas.openxmlformats.org/officeDocument/2006/relationships/hyperlink" Target="#&apos;De Minimis Quantification (VCS&apos;!A1" TargetMode="External"/><Relationship Id="rId9" Type="http://schemas.openxmlformats.org/officeDocument/2006/relationships/hyperlink" Target="#&apos;Deadlines for Participation ro&apos;!A1" TargetMode="External"/></Relationships>
</file>

<file path=xl/worksheets/_rels/sheet22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22.xml.rels><?xml version="1.0" encoding="UTF-8" standalone="yes"?>
<Relationships xmlns="http://schemas.openxmlformats.org/package/2006/relationships"><Relationship Id="rId1" Type="http://schemas.openxmlformats.org/officeDocument/2006/relationships/hyperlink" Target="#&apos;Data and parameter row (Verifi&apos;!A1" TargetMode="External"/><Relationship Id="rId2" Type="http://schemas.openxmlformats.org/officeDocument/2006/relationships/hyperlink" Target="#&apos;4.5.2 Monitoring Plan&apos;!A1" TargetMode="External"/><Relationship Id="rId3" Type="http://schemas.openxmlformats.org/officeDocument/2006/relationships/hyperlink" Target="#&apos;Deadlines for Participation ro&apos;!A1" TargetMode="External"/></Relationships>
</file>

<file path=xl/worksheets/_rels/sheet223.xml.rels><?xml version="1.0" encoding="UTF-8" standalone="yes"?>
<Relationships xmlns="http://schemas.openxmlformats.org/package/2006/relationships"><Relationship Id="rId1" Type="http://schemas.openxmlformats.org/officeDocument/2006/relationships/hyperlink" Target="#&apos;4.1 Implementation Status of t&apos;!A1" TargetMode="External"/><Relationship Id="rId2" Type="http://schemas.openxmlformats.org/officeDocument/2006/relationships/hyperlink" Target="#&apos;4.1.1 General Implementation S&apos;!A1" TargetMode="External"/><Relationship Id="rId3" Type="http://schemas.openxmlformats.org/officeDocument/2006/relationships/hyperlink" Target="#&apos;Deadlines for Participation ro&apos;!A1" TargetMode="External"/><Relationship Id="rId4" Type="http://schemas.openxmlformats.org/officeDocument/2006/relationships/hyperlink" Target="#&apos;4.1.2 Loss Events&apos;!A1" TargetMode="External"/><Relationship Id="rId5" Type="http://schemas.openxmlformats.org/officeDocument/2006/relationships/hyperlink" Target="#&apos;Deadlines for Participation ro&apos;!A1" TargetMode="External"/><Relationship Id="rId6" Type="http://schemas.openxmlformats.org/officeDocument/2006/relationships/hyperlink" Target="#&apos;4.2 Project Details (VCS Verif&apos;!A1" TargetMode="External"/><Relationship Id="rId7" Type="http://schemas.openxmlformats.org/officeDocument/2006/relationships/hyperlink" Target="#&apos;4.2.1 Audit History&apos;!A1" TargetMode="External"/><Relationship Id="rId8" Type="http://schemas.openxmlformats.org/officeDocument/2006/relationships/hyperlink" Target="#&apos;4.2.2 Sectoral Scope and Proje&apos;!A1" TargetMode="External"/><Relationship Id="rId9" Type="http://schemas.openxmlformats.org/officeDocument/2006/relationships/hyperlink" Target="#&apos;4.2.3 Project Location&apos;!A1" TargetMode="External"/><Relationship Id="rId10" Type="http://schemas.openxmlformats.org/officeDocument/2006/relationships/hyperlink" Target="#&apos;Deadlines for Participation ro&apos;!A1" TargetMode="External"/><Relationship Id="rId11" Type="http://schemas.openxmlformats.org/officeDocument/2006/relationships/hyperlink" Target="#&apos;4.2.4 Double Counting and Part&apos;!A1" TargetMode="External"/><Relationship Id="rId12" Type="http://schemas.openxmlformats.org/officeDocument/2006/relationships/hyperlink" Target="#&apos;4.2.4.1 No Double Issuance&apos;!A1" TargetMode="External"/><Relationship Id="rId13" Type="http://schemas.openxmlformats.org/officeDocument/2006/relationships/hyperlink" Target="#&apos;4.2.4.2 Registration with Othe&apos;!A1" TargetMode="External"/><Relationship Id="rId14" Type="http://schemas.openxmlformats.org/officeDocument/2006/relationships/hyperlink" Target="#&apos;4.2.5 Double Claiming Other Fo&apos;!A1" TargetMode="External"/><Relationship Id="rId15" Type="http://schemas.openxmlformats.org/officeDocument/2006/relationships/hyperlink" Target="#&apos;4.2.5.1 No Double Claiming wit&apos;!A1" TargetMode="External"/><Relationship Id="rId16" Type="http://schemas.openxmlformats.org/officeDocument/2006/relationships/hyperlink" Target="#&apos;4.2.5.2 No Double Claiming wit&apos;!A1" TargetMode="External"/><Relationship Id="rId17" Type="http://schemas.openxmlformats.org/officeDocument/2006/relationships/hyperlink" Target="#&apos;4.2.5.3 Supply chain (Scope 3)&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4.2.6 Sustainable Development&apos;!A1" TargetMode="External"/><Relationship Id="rId20" Type="http://schemas.openxmlformats.org/officeDocument/2006/relationships/hyperlink" Target="#&apos;Deadlines for Participation ro&apos;!A1" TargetMode="External"/><Relationship Id="rId21" Type="http://schemas.openxmlformats.org/officeDocument/2006/relationships/hyperlink" Target="#&apos;4.2.7 Additional Information (&apos;!A1" TargetMode="External"/><Relationship Id="rId22" Type="http://schemas.openxmlformats.org/officeDocument/2006/relationships/hyperlink" Target="#&apos;4.2.7.1 Sensitive Information&apos;!A1" TargetMode="External"/><Relationship Id="rId23" Type="http://schemas.openxmlformats.org/officeDocument/2006/relationships/hyperlink" Target="#&apos;4.2.7.2 Core Carbon Principles&apos;!A1" TargetMode="External"/><Relationship Id="rId24" Type="http://schemas.openxmlformats.org/officeDocument/2006/relationships/hyperlink" Target="#&apos;4.2.7.3 CORSIA Label Eligibili&apos;!A1" TargetMode="External"/><Relationship Id="rId25" Type="http://schemas.openxmlformats.org/officeDocument/2006/relationships/hyperlink" Target="#&apos;Sensitive Information (VCS Ver&apos;!A1" TargetMode="External"/><Relationship Id="rId26" Type="http://schemas.openxmlformats.org/officeDocument/2006/relationships/hyperlink" Target="#&apos;Core Carbon Principles Label E&apos;!A1" TargetMode="External"/><Relationship Id="rId27" Type="http://schemas.openxmlformats.org/officeDocument/2006/relationships/hyperlink" Target="#&apos;CORSIA Label Eligibility (VCS&apos;!A1" TargetMode="External"/><Relationship Id="rId28" Type="http://schemas.openxmlformats.org/officeDocument/2006/relationships/hyperlink" Target="#&apos;No Double Issuance (VCS Verifi&apos;!A1" TargetMode="External"/><Relationship Id="rId29" Type="http://schemas.openxmlformats.org/officeDocument/2006/relationships/hyperlink" Target="#&apos;Deadlines for Participation ro&apos;!A1" TargetMode="External"/><Relationship Id="rId30" Type="http://schemas.openxmlformats.org/officeDocument/2006/relationships/hyperlink" Target="#&apos;Registration with Other GHG Pr&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No Double Claiming with Emissi&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Supply Chain (Scope 3) Emis 2&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Right to Operate and Right  2&apos;!A1" TargetMode="External"/><Relationship Id="rId37" Type="http://schemas.openxmlformats.org/officeDocument/2006/relationships/hyperlink" Target="#&apos;Deadlines for Participation ro&apos;!A1" TargetMode="External"/><Relationship Id="rId38" Type="http://schemas.openxmlformats.org/officeDocument/2006/relationships/hyperlink" Target="#&apos;Land or Resource Rights Ana 2&apos;!A1" TargetMode="External"/><Relationship Id="rId39" Type="http://schemas.openxmlformats.org/officeDocument/2006/relationships/hyperlink" Target="#&apos;Deadlines for Participation ro&apos;!A1" TargetMode="External"/><Relationship Id="rId40" Type="http://schemas.openxmlformats.org/officeDocument/2006/relationships/hyperlink" Target="#&apos;4.4 Quantification of Reductio&apos;!A1" TargetMode="External"/><Relationship Id="rId41" Type="http://schemas.openxmlformats.org/officeDocument/2006/relationships/hyperlink" Target="#&apos;4.4.1 Accuracy of Reduction an&apos;!A1" TargetMode="External"/><Relationship Id="rId42" Type="http://schemas.openxmlformats.org/officeDocument/2006/relationships/hyperlink" Target="#&apos;4.4.2 Quality of Evidence to D&apos;!A1" TargetMode="External"/><Relationship Id="rId43" Type="http://schemas.openxmlformats.org/officeDocument/2006/relationships/hyperlink" Target="#&apos;4.4.3 Other Relevant Quantific&apos;!A1" TargetMode="External"/><Relationship Id="rId44" Type="http://schemas.openxmlformats.org/officeDocument/2006/relationships/hyperlink" Target="#&apos;4.4.3.1 Non-Permanence Risk An&apos;!A1" TargetMode="External"/><Relationship Id="rId45" Type="http://schemas.openxmlformats.org/officeDocument/2006/relationships/hyperlink" Target="#&apos;4.4.3.2 Buffer Pool Allocation&apos;!A1" TargetMode="External"/><Relationship Id="rId46" Type="http://schemas.openxmlformats.org/officeDocument/2006/relationships/hyperlink" Target="#&apos;4.4.3.3 Long-Term Average&apos;!A1" TargetMode="External"/><Relationship Id="rId47" Type="http://schemas.openxmlformats.org/officeDocument/2006/relationships/hyperlink" Target="#&apos;4.4.3.4 De Minimis Quantificat&apos;!A1" TargetMode="External"/><Relationship Id="rId48" Type="http://schemas.openxmlformats.org/officeDocument/2006/relationships/hyperlink" Target="#&apos;De Minimis Quantification (VCS&apos;!A1" TargetMode="External"/><Relationship Id="rId49" Type="http://schemas.openxmlformats.org/officeDocument/2006/relationships/hyperlink" Target="#&apos;Deadlines for Participation ro&apos;!A1" TargetMode="External"/><Relationship Id="rId50" Type="http://schemas.openxmlformats.org/officeDocument/2006/relationships/hyperlink" Target="#&apos;4.5 Monitoring (VCS Verificati&apos;!A1" TargetMode="External"/><Relationship Id="rId51" Type="http://schemas.openxmlformats.org/officeDocument/2006/relationships/hyperlink" Target="#&apos;Data and parameter row (Verifi&apos;!A1" TargetMode="External"/><Relationship Id="rId52" Type="http://schemas.openxmlformats.org/officeDocument/2006/relationships/hyperlink" Target="#&apos;4.5.2 Monitoring Plan&apos;!A1" TargetMode="External"/><Relationship Id="rId53" Type="http://schemas.openxmlformats.org/officeDocument/2006/relationships/hyperlink" Target="#&apos;Deadlines for Participation ro&apos;!A1" TargetMode="External"/></Relationships>
</file>

<file path=xl/worksheets/_rels/sheet224.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 Id="rId6" Type="http://schemas.openxmlformats.org/officeDocument/2006/relationships/hyperlink" Target="#&apos;Safeguards assessment row item&apos;!A1" TargetMode="External"/><Relationship Id="rId7" Type="http://schemas.openxmlformats.org/officeDocument/2006/relationships/hyperlink" Target="#&apos;Safeguards assessment row item&apos;!A1" TargetMode="External"/><Relationship Id="rId8" Type="http://schemas.openxmlformats.org/officeDocument/2006/relationships/hyperlink" Target="#&apos;Safeguards assessment row item&apos;!A1" TargetMode="External"/><Relationship Id="rId9" Type="http://schemas.openxmlformats.org/officeDocument/2006/relationships/hyperlink" Target="#&apos;Stakeholder Identification (VC&apos;!A1" TargetMode="External"/><Relationship Id="rId10" Type="http://schemas.openxmlformats.org/officeDocument/2006/relationships/hyperlink" Target="#&apos;Deadlines for Participation ro&apos;!A1" TargetMode="External"/><Relationship Id="rId11" Type="http://schemas.openxmlformats.org/officeDocument/2006/relationships/hyperlink" Target="#&apos;Stakeholder Consultation and O&apos;!A1" TargetMode="External"/><Relationship Id="rId12" Type="http://schemas.openxmlformats.org/officeDocument/2006/relationships/hyperlink" Target="#&apos;Deadlines for Participation ro&apos;!A1" TargetMode="External"/><Relationship Id="rId13" Type="http://schemas.openxmlformats.org/officeDocument/2006/relationships/hyperlink" Target="#&apos;Free Prior and Informed Consen&apos;!A1" TargetMode="External"/><Relationship Id="rId14" Type="http://schemas.openxmlformats.org/officeDocument/2006/relationships/hyperlink" Target="#&apos;Deadlines for Participation ro&apos;!A1" TargetMode="External"/><Relationship Id="rId15" Type="http://schemas.openxmlformats.org/officeDocument/2006/relationships/hyperlink" Target="#&apos;Benefit-Sharing for Other Righ&apos;!A1" TargetMode="External"/><Relationship Id="rId16" Type="http://schemas.openxmlformats.org/officeDocument/2006/relationships/hyperlink" Target="#&apos;Deadlines for Participation ro&apos;!A1" TargetMode="External"/><Relationship Id="rId17" Type="http://schemas.openxmlformats.org/officeDocument/2006/relationships/hyperlink" Target="#&apos;Stakeholder Input Tracker (VCS&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Grievance Redress Mechanism 2&apos;!A1" TargetMode="External"/><Relationship Id="rId20" Type="http://schemas.openxmlformats.org/officeDocument/2006/relationships/hyperlink" Target="#&apos;Deadlines for Participation ro&apos;!A1" TargetMode="External"/><Relationship Id="rId21" Type="http://schemas.openxmlformats.org/officeDocument/2006/relationships/hyperlink" Target="#&apos;Management Expertise (VCS Veri&apos;!A1" TargetMode="External"/><Relationship Id="rId22" Type="http://schemas.openxmlformats.org/officeDocument/2006/relationships/hyperlink" Target="#&apos;Deadlines for Participation ro&apos;!A1" TargetMode="External"/><Relationship Id="rId23" Type="http://schemas.openxmlformats.org/officeDocument/2006/relationships/hyperlink" Target="#&apos;Environmental Social and Go 2&apos;!A1" TargetMode="External"/><Relationship Id="rId24" Type="http://schemas.openxmlformats.org/officeDocument/2006/relationships/hyperlink" Target="#&apos;Deadlines for Participation ro&apos;!A1" TargetMode="External"/></Relationships>
</file>

<file path=xl/worksheets/_rels/sheet229.xml.rels><?xml version="1.0" encoding="UTF-8" standalone="yes"?>
<Relationships xmlns="http://schemas.openxmlformats.org/package/2006/relationships"><Relationship Id="rId1" Type="http://schemas.openxmlformats.org/officeDocument/2006/relationships/hyperlink" Target="#&apos;Achieved reductions by vintage&apos;!A1" TargetMode="External"/><Relationship Id="rId2" Type="http://schemas.openxmlformats.org/officeDocument/2006/relationships/hyperlink" Target="#&apos;Buffer pool allocation by vint&apos;!A1" TargetMode="External"/><Relationship Id="rId3" Type="http://schemas.openxmlformats.org/officeDocument/2006/relationships/hyperlink" Target="#&apos;Vintage summary row&apos;!A1" TargetMode="External"/></Relationships>
</file>

<file path=xl/worksheets/_rels/sheet231.xml.rels><?xml version="1.0" encoding="UTF-8" standalone="yes"?>
<Relationships xmlns="http://schemas.openxmlformats.org/package/2006/relationships"><Relationship Id="rId1" Type="http://schemas.openxmlformats.org/officeDocument/2006/relationships/hyperlink" Target="#&apos;Ex-ante vs ex-post row&apos;!A1" TargetMode="External"/></Relationships>
</file>

<file path=xl/worksheets/_rels/sheet232.xml.rels><?xml version="1.0" encoding="UTF-8" standalone="yes"?>
<Relationships xmlns="http://schemas.openxmlformats.org/package/2006/relationships"><Relationship Id="rId1" Type="http://schemas.openxmlformats.org/officeDocument/2006/relationships/hyperlink" Target="#&apos;5.1 Verification Conclusion Su&apos;!A1" TargetMode="External"/><Relationship Id="rId2" Type="http://schemas.openxmlformats.org/officeDocument/2006/relationships/hyperlink" Target="#&apos;5.2 Conclusion on Achieved Red&apos;!A1" TargetMode="External"/><Relationship Id="rId3" Type="http://schemas.openxmlformats.org/officeDocument/2006/relationships/hyperlink" Target="#&apos;Achieved reductions by vintage&apos;!A1" TargetMode="External"/><Relationship Id="rId4" Type="http://schemas.openxmlformats.org/officeDocument/2006/relationships/hyperlink" Target="#&apos;Buffer pool allocation by vint&apos;!A1" TargetMode="External"/><Relationship Id="rId5" Type="http://schemas.openxmlformats.org/officeDocument/2006/relationships/hyperlink" Target="#&apos;Vintage summary row&apos;!A1" TargetMode="External"/><Relationship Id="rId6" Type="http://schemas.openxmlformats.org/officeDocument/2006/relationships/hyperlink" Target="#&apos;5.3 Ex-Ante vs Ex-Post Compari&apos;!A1" TargetMode="External"/><Relationship Id="rId7" Type="http://schemas.openxmlformats.org/officeDocument/2006/relationships/hyperlink" Target="#&apos;Ex-ante vs ex-post row&apos;!A1" TargetMode="External"/></Relationships>
</file>

<file path=xl/worksheets/_rels/sheet239.xml.rels><?xml version="1.0" encoding="UTF-8" standalone="yes"?>
<Relationships xmlns="http://schemas.openxmlformats.org/package/2006/relationships"><Relationship Id="rId1" Type="http://schemas.openxmlformats.org/officeDocument/2006/relationships/hyperlink" Target="#&apos;Schedule milestone (Validation&apos;!A1" TargetMode="External"/></Relationships>
</file>

<file path=xl/worksheets/_rels/sheet242.xml.rels><?xml version="1.0" encoding="UTF-8" standalone="yes"?>
<Relationships xmlns="http://schemas.openxmlformats.org/package/2006/relationships"><Relationship Id="rId1" Type="http://schemas.openxmlformats.org/officeDocument/2006/relationships/hyperlink" Target="#&apos;Document review summary (Valid&apos;!A1" TargetMode="External"/><Relationship Id="rId2" Type="http://schemas.openxmlformats.org/officeDocument/2006/relationships/hyperlink" Target="#&apos;Document list row (Validation&apos;!A1" TargetMode="External"/><Relationship Id="rId3" Type="http://schemas.openxmlformats.org/officeDocument/2006/relationships/hyperlink" Target="#&apos;Document review details row (V&apos;!A1" TargetMode="External"/></Relationships>
</file>

<file path=xl/worksheets/_rels/sheet244.xml.rels><?xml version="1.0" encoding="UTF-8" standalone="yes"?>
<Relationships xmlns="http://schemas.openxmlformats.org/package/2006/relationships"><Relationship Id="rId1" Type="http://schemas.openxmlformats.org/officeDocument/2006/relationships/hyperlink" Target="#&apos;Interviewee row (Validation an&apos;!A1" TargetMode="External"/></Relationships>
</file>

<file path=xl/worksheets/_rels/sheet247.xml.rels><?xml version="1.0" encoding="UTF-8" standalone="yes"?>
<Relationships xmlns="http://schemas.openxmlformats.org/package/2006/relationships"><Relationship Id="rId1" Type="http://schemas.openxmlformats.org/officeDocument/2006/relationships/hyperlink" Target="#&apos;CARCLFAR reference row (Valida&apos;!A1" TargetMode="External"/></Relationships>
</file>

<file path=xl/worksheets/_rels/sheet248.xml.rels><?xml version="1.0" encoding="UTF-8" standalone="yes"?>
<Relationships xmlns="http://schemas.openxmlformats.org/package/2006/relationships"><Relationship Id="rId1" Type="http://schemas.openxmlformats.org/officeDocument/2006/relationships/hyperlink" Target="#&apos;2.1 Method and Criteria (VC 2&apos;!A1" TargetMode="External"/><Relationship Id="rId2" Type="http://schemas.openxmlformats.org/officeDocument/2006/relationships/hyperlink" Target="#&apos;Schedule milestone (Validation&apos;!A1" TargetMode="External"/><Relationship Id="rId3" Type="http://schemas.openxmlformats.org/officeDocument/2006/relationships/hyperlink" Target="#&apos;2.2 Document Review (VCS Valid&apos;!A1" TargetMode="External"/><Relationship Id="rId4" Type="http://schemas.openxmlformats.org/officeDocument/2006/relationships/hyperlink" Target="#&apos;Document review summary (Valid&apos;!A1" TargetMode="External"/><Relationship Id="rId5" Type="http://schemas.openxmlformats.org/officeDocument/2006/relationships/hyperlink" Target="#&apos;Document list row (Validation&apos;!A1" TargetMode="External"/><Relationship Id="rId6" Type="http://schemas.openxmlformats.org/officeDocument/2006/relationships/hyperlink" Target="#&apos;Document review details row (V&apos;!A1" TargetMode="External"/><Relationship Id="rId7" Type="http://schemas.openxmlformats.org/officeDocument/2006/relationships/hyperlink" Target="#&apos;Interviews (Validation)&apos;!A1" TargetMode="External"/><Relationship Id="rId8" Type="http://schemas.openxmlformats.org/officeDocument/2006/relationships/hyperlink" Target="#&apos;Interviewee row (Validation an&apos;!A1" TargetMode="External"/><Relationship Id="rId9" Type="http://schemas.openxmlformats.org/officeDocument/2006/relationships/hyperlink" Target="#&apos;Site visits (Validation and Ve&apos;!A1" TargetMode="External"/><Relationship Id="rId10" Type="http://schemas.openxmlformats.org/officeDocument/2006/relationships/hyperlink" Target="#&apos;Resolution of CARs CLs and  2&apos;!A1" TargetMode="External"/><Relationship Id="rId11" Type="http://schemas.openxmlformats.org/officeDocument/2006/relationships/hyperlink" Target="#&apos;CARCLFAR reference row (Valida&apos;!A1" TargetMode="External"/></Relationships>
</file>

<file path=xl/worksheets/_rels/sheet252.xml.rels><?xml version="1.0" encoding="UTF-8" standalone="yes"?>
<Relationships xmlns="http://schemas.openxmlformats.org/package/2006/relationships"><Relationship Id="rId1" Type="http://schemas.openxmlformats.org/officeDocument/2006/relationships/hyperlink" Target="#&apos;3.1.4.1 Deadlines for Particip&apos;!A1" TargetMode="External"/><Relationship Id="rId2" Type="http://schemas.openxmlformats.org/officeDocument/2006/relationships/hyperlink" Target="#&apos;3.1.4.2 AFOLU Project Eligibil&apos;!A1" TargetMode="External"/><Relationship Id="rId3" Type="http://schemas.openxmlformats.org/officeDocument/2006/relationships/hyperlink" Target="#&apos;3.1.4.3 Eligibility of Project&apos;!A1" TargetMode="External"/><Relationship Id="rId4" Type="http://schemas.openxmlformats.org/officeDocument/2006/relationships/hyperlink" Target="#&apos;3.1.4.4 Capacity Limit Eligibi&apos;!A1" TargetMode="External"/><Relationship Id="rId5" Type="http://schemas.openxmlformats.org/officeDocument/2006/relationships/hyperlink" Target="#&apos;Deadlines for Participation ro&apos;!A1" TargetMode="External"/></Relationships>
</file>

<file path=xl/worksheets/_rels/sheet25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6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61.xml.rels><?xml version="1.0" encoding="UTF-8" standalone="yes"?>
<Relationships xmlns="http://schemas.openxmlformats.org/package/2006/relationships"><Relationship Id="rId1" Type="http://schemas.openxmlformats.org/officeDocument/2006/relationships/hyperlink" Target="#&apos;3.1.14.1 No Double Issuance (V&apos;!A1" TargetMode="External"/><Relationship Id="rId2" Type="http://schemas.openxmlformats.org/officeDocument/2006/relationships/hyperlink" Target="#&apos;3.1.14.2 Registration with Oth&apos;!A1" TargetMode="External"/><Relationship Id="rId3" Type="http://schemas.openxmlformats.org/officeDocument/2006/relationships/hyperlink" Target="#&apos;3.1.14.3 Projects Rejected by&apos;!A1" TargetMode="External"/></Relationships>
</file>

<file path=xl/worksheets/_rels/sheet262.xml.rels><?xml version="1.0" encoding="UTF-8" standalone="yes"?>
<Relationships xmlns="http://schemas.openxmlformats.org/package/2006/relationships"><Relationship Id="rId1" Type="http://schemas.openxmlformats.org/officeDocument/2006/relationships/hyperlink" Target="#&apos;3.1.15.1 No Double Claiming wi&apos;!A1" TargetMode="External"/><Relationship Id="rId2" Type="http://schemas.openxmlformats.org/officeDocument/2006/relationships/hyperlink" Target="#&apos;3.1.15.2 No Double Claiming wi&apos;!A1" TargetMode="External"/><Relationship Id="rId3" Type="http://schemas.openxmlformats.org/officeDocument/2006/relationships/hyperlink" Target="#&apos;3.1.15.3 Supply Chain (Scope 3&apos;!A1" TargetMode="External"/><Relationship Id="rId4" Type="http://schemas.openxmlformats.org/officeDocument/2006/relationships/hyperlink" Target="#&apos;Deadlines for Participation ro&apos;!A1" TargetMode="External"/></Relationships>
</file>

<file path=xl/worksheets/_rels/sheet26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64.xml.rels><?xml version="1.0" encoding="UTF-8" standalone="yes"?>
<Relationships xmlns="http://schemas.openxmlformats.org/package/2006/relationships"><Relationship Id="rId1" Type="http://schemas.openxmlformats.org/officeDocument/2006/relationships/hyperlink" Target="#&apos;3.1.17.1 Leakage Management (V&apos;!A1" TargetMode="External"/><Relationship Id="rId2" Type="http://schemas.openxmlformats.org/officeDocument/2006/relationships/hyperlink" Target="#&apos;3.1.17.2 Sensitive Information&apos;!A1" TargetMode="External"/><Relationship Id="rId3" Type="http://schemas.openxmlformats.org/officeDocument/2006/relationships/hyperlink" Target="#&apos;3.1.17.3 Further Information (&apos;!A1" TargetMode="External"/></Relationships>
</file>

<file path=xl/worksheets/_rels/sheet265.xml.rels><?xml version="1.0" encoding="UTF-8" standalone="yes"?>
<Relationships xmlns="http://schemas.openxmlformats.org/package/2006/relationships"><Relationship Id="rId1" Type="http://schemas.openxmlformats.org/officeDocument/2006/relationships/hyperlink" Target="#&apos;3.1.1 Summary Description of P&apos;!A1" TargetMode="External"/><Relationship Id="rId2" Type="http://schemas.openxmlformats.org/officeDocument/2006/relationships/hyperlink" Target="#&apos;3.1.2 Audit History&apos;!A1" TargetMode="External"/><Relationship Id="rId3" Type="http://schemas.openxmlformats.org/officeDocument/2006/relationships/hyperlink" Target="#&apos;3.1.3 Sectoral Scope and Proje&apos;!A1" TargetMode="External"/><Relationship Id="rId4" Type="http://schemas.openxmlformats.org/officeDocument/2006/relationships/hyperlink" Target="#&apos;3.1.4 Project Eligibility&apos;!A1" TargetMode="External"/><Relationship Id="rId5" Type="http://schemas.openxmlformats.org/officeDocument/2006/relationships/hyperlink" Target="#&apos;3.1.4.1 Deadlines for Particip&apos;!A1" TargetMode="External"/><Relationship Id="rId6" Type="http://schemas.openxmlformats.org/officeDocument/2006/relationships/hyperlink" Target="#&apos;3.1.4.2 AFOLU Project Eligibil&apos;!A1" TargetMode="External"/><Relationship Id="rId7" Type="http://schemas.openxmlformats.org/officeDocument/2006/relationships/hyperlink" Target="#&apos;3.1.4.3 Eligibility of Project&apos;!A1" TargetMode="External"/><Relationship Id="rId8" Type="http://schemas.openxmlformats.org/officeDocument/2006/relationships/hyperlink" Target="#&apos;3.1.4.4 Capacity Limit Eligibi&apos;!A1" TargetMode="External"/><Relationship Id="rId9" Type="http://schemas.openxmlformats.org/officeDocument/2006/relationships/hyperlink" Target="#&apos;Deadlines for Participation ro&apos;!A1" TargetMode="External"/><Relationship Id="rId10" Type="http://schemas.openxmlformats.org/officeDocument/2006/relationships/hyperlink" Target="#&apos;3.1.6 Project Start Date and I&apos;!A1" TargetMode="External"/><Relationship Id="rId11" Type="http://schemas.openxmlformats.org/officeDocument/2006/relationships/hyperlink" Target="#&apos;Deadlines for Participation ro&apos;!A1" TargetMode="External"/><Relationship Id="rId12" Type="http://schemas.openxmlformats.org/officeDocument/2006/relationships/hyperlink" Target="#&apos;3.1.7 Project Crediting Period&apos;!A1" TargetMode="External"/><Relationship Id="rId13" Type="http://schemas.openxmlformats.org/officeDocument/2006/relationships/hyperlink" Target="#&apos;3.1.8 Project Scale&apos;!A1" TargetMode="External"/><Relationship Id="rId14" Type="http://schemas.openxmlformats.org/officeDocument/2006/relationships/hyperlink" Target="#&apos;3.1.9 Project Design&apos;!A1" TargetMode="External"/><Relationship Id="rId15" Type="http://schemas.openxmlformats.org/officeDocument/2006/relationships/hyperlink" Target="#&apos;Deadlines for Participation ro&apos;!A1" TargetMode="External"/><Relationship Id="rId16" Type="http://schemas.openxmlformats.org/officeDocument/2006/relationships/hyperlink" Target="#&apos;3.1.10 Conditions Prior to Pro&apos;!A1" TargetMode="External"/><Relationship Id="rId17" Type="http://schemas.openxmlformats.org/officeDocument/2006/relationships/hyperlink" Target="#&apos;Deadlines for Participation ro&apos;!A1" TargetMode="External"/><Relationship Id="rId18" Type="http://schemas.openxmlformats.org/officeDocument/2006/relationships/hyperlink" Target="#&apos;3.1.11 Description of the Proj&apos;!A1" TargetMode="External"/><Relationship Id="rId19" Type="http://schemas.openxmlformats.org/officeDocument/2006/relationships/hyperlink" Target="#&apos;Deadlines for Participation ro&apos;!A1" TargetMode="External"/><Relationship Id="rId20" Type="http://schemas.openxmlformats.org/officeDocument/2006/relationships/hyperlink" Target="#&apos;3.1.12 Project Location&apos;!A1" TargetMode="External"/><Relationship Id="rId21" Type="http://schemas.openxmlformats.org/officeDocument/2006/relationships/hyperlink" Target="#&apos;Deadlines for Participation ro&apos;!A1" TargetMode="External"/><Relationship Id="rId22" Type="http://schemas.openxmlformats.org/officeDocument/2006/relationships/hyperlink" Target="#&apos;3.1.13 Compliance with Laws an&apos;!A1" TargetMode="External"/><Relationship Id="rId23" Type="http://schemas.openxmlformats.org/officeDocument/2006/relationships/hyperlink" Target="#&apos;Deadlines for Participation ro&apos;!A1" TargetMode="External"/><Relationship Id="rId24" Type="http://schemas.openxmlformats.org/officeDocument/2006/relationships/hyperlink" Target="#&apos;3.1.14 Double Counting and Par&apos;!A1" TargetMode="External"/><Relationship Id="rId25" Type="http://schemas.openxmlformats.org/officeDocument/2006/relationships/hyperlink" Target="#&apos;3.1.14.1 No Double Issuance (V&apos;!A1" TargetMode="External"/><Relationship Id="rId26" Type="http://schemas.openxmlformats.org/officeDocument/2006/relationships/hyperlink" Target="#&apos;3.1.14.2 Registration with Oth&apos;!A1" TargetMode="External"/><Relationship Id="rId27" Type="http://schemas.openxmlformats.org/officeDocument/2006/relationships/hyperlink" Target="#&apos;3.1.14.3 Projects Rejected by&apos;!A1" TargetMode="External"/><Relationship Id="rId28" Type="http://schemas.openxmlformats.org/officeDocument/2006/relationships/hyperlink" Target="#&apos;3.1.15 Double Claiming Other F&apos;!A1" TargetMode="External"/><Relationship Id="rId29" Type="http://schemas.openxmlformats.org/officeDocument/2006/relationships/hyperlink" Target="#&apos;3.1.15.1 No Double Claiming wi&apos;!A1" TargetMode="External"/><Relationship Id="rId30" Type="http://schemas.openxmlformats.org/officeDocument/2006/relationships/hyperlink" Target="#&apos;3.1.15.2 No Double Claiming wi&apos;!A1" TargetMode="External"/><Relationship Id="rId31" Type="http://schemas.openxmlformats.org/officeDocument/2006/relationships/hyperlink" Target="#&apos;3.1.15.3 Supply Chain (Scope 3&apos;!A1" TargetMode="External"/><Relationship Id="rId32" Type="http://schemas.openxmlformats.org/officeDocument/2006/relationships/hyperlink" Target="#&apos;Deadlines for Participation ro&apos;!A1" TargetMode="External"/><Relationship Id="rId33" Type="http://schemas.openxmlformats.org/officeDocument/2006/relationships/hyperlink" Target="#&apos;3.1.16 Sustainable Development&apos;!A1" TargetMode="External"/><Relationship Id="rId34" Type="http://schemas.openxmlformats.org/officeDocument/2006/relationships/hyperlink" Target="#&apos;Deadlines for Participation ro&apos;!A1" TargetMode="External"/><Relationship Id="rId35" Type="http://schemas.openxmlformats.org/officeDocument/2006/relationships/hyperlink" Target="#&apos;3.1.17 Additional Information&apos;!A1" TargetMode="External"/><Relationship Id="rId36" Type="http://schemas.openxmlformats.org/officeDocument/2006/relationships/hyperlink" Target="#&apos;3.1.17.1 Leakage Management (V&apos;!A1" TargetMode="External"/><Relationship Id="rId37" Type="http://schemas.openxmlformats.org/officeDocument/2006/relationships/hyperlink" Target="#&apos;3.1.17.2 Sensitive Information&apos;!A1" TargetMode="External"/><Relationship Id="rId38" Type="http://schemas.openxmlformats.org/officeDocument/2006/relationships/hyperlink" Target="#&apos;3.1.17.3 Further Information (&apos;!A1" TargetMode="External"/><Relationship Id="rId39" Type="http://schemas.openxmlformats.org/officeDocument/2006/relationships/hyperlink" Target="#&apos;Leakage Management (VCS Valida&apos;!A1" TargetMode="External"/><Relationship Id="rId40" Type="http://schemas.openxmlformats.org/officeDocument/2006/relationships/hyperlink" Target="#&apos;Sensitive Information (VCS Val&apos;!A1" TargetMode="External"/><Relationship Id="rId41" Type="http://schemas.openxmlformats.org/officeDocument/2006/relationships/hyperlink" Target="#&apos;Further Information (VCS Valid&apos;!A1" TargetMode="External"/><Relationship Id="rId42" Type="http://schemas.openxmlformats.org/officeDocument/2006/relationships/hyperlink" Target="#&apos;Deadlines for Participation (V&apos;!A1" TargetMode="External"/><Relationship Id="rId43" Type="http://schemas.openxmlformats.org/officeDocument/2006/relationships/hyperlink" Target="#&apos;Deadlines for Participation ro&apos;!A1" TargetMode="External"/><Relationship Id="rId44" Type="http://schemas.openxmlformats.org/officeDocument/2006/relationships/hyperlink" Target="#&apos;Eligibility of Projects Regist&apos;!A1" TargetMode="External"/><Relationship Id="rId45" Type="http://schemas.openxmlformats.org/officeDocument/2006/relationships/hyperlink" Target="#&apos;Deadlines for Participation ro&apos;!A1" TargetMode="External"/><Relationship Id="rId46" Type="http://schemas.openxmlformats.org/officeDocument/2006/relationships/hyperlink" Target="#&apos;Capacity Limit Eligibility (VC&apos;!A1" TargetMode="External"/><Relationship Id="rId47" Type="http://schemas.openxmlformats.org/officeDocument/2006/relationships/hyperlink" Target="#&apos;Deadlines for Participation ro&apos;!A1" TargetMode="External"/><Relationship Id="rId48" Type="http://schemas.openxmlformats.org/officeDocument/2006/relationships/hyperlink" Target="#&apos;Right to Operate and Right to&apos;!A1" TargetMode="External"/><Relationship Id="rId49" Type="http://schemas.openxmlformats.org/officeDocument/2006/relationships/hyperlink" Target="#&apos;Deadlines for Participation ro&apos;!A1" TargetMode="External"/><Relationship Id="rId50" Type="http://schemas.openxmlformats.org/officeDocument/2006/relationships/hyperlink" Target="#&apos;Land or Resource Rights Analys&apos;!A1" TargetMode="External"/><Relationship Id="rId51" Type="http://schemas.openxmlformats.org/officeDocument/2006/relationships/hyperlink" Target="#&apos;Deadlines for Participation ro&apos;!A1" TargetMode="External"/><Relationship Id="rId52" Type="http://schemas.openxmlformats.org/officeDocument/2006/relationships/hyperlink" Target="#&apos;No Double Issuance (VCS Valida&apos;!A1" TargetMode="External"/><Relationship Id="rId53" Type="http://schemas.openxmlformats.org/officeDocument/2006/relationships/hyperlink" Target="#&apos;Deadlines for Participation ro&apos;!A1" TargetMode="External"/><Relationship Id="rId54" Type="http://schemas.openxmlformats.org/officeDocument/2006/relationships/hyperlink" Target="#&apos;Registration with Other GHG 2&apos;!A1" TargetMode="External"/><Relationship Id="rId55" Type="http://schemas.openxmlformats.org/officeDocument/2006/relationships/hyperlink" Target="#&apos;Deadlines for Participation ro&apos;!A1" TargetMode="External"/><Relationship Id="rId56" Type="http://schemas.openxmlformats.org/officeDocument/2006/relationships/hyperlink" Target="#&apos;No Double Claiming with Emi 2&apos;!A1" TargetMode="External"/><Relationship Id="rId57" Type="http://schemas.openxmlformats.org/officeDocument/2006/relationships/hyperlink" Target="#&apos;Deadlines for Participation ro&apos;!A1" TargetMode="External"/><Relationship Id="rId58" Type="http://schemas.openxmlformats.org/officeDocument/2006/relationships/hyperlink" Target="#&apos;Supply Chain (Scope 3) Emissio&apos;!A1" TargetMode="External"/><Relationship Id="rId59" Type="http://schemas.openxmlformats.org/officeDocument/2006/relationships/hyperlink" Target="#&apos;Deadlines for Participation ro&apos;!A1" TargetMode="External"/></Relationships>
</file>

<file path=xl/worksheets/_rels/sheet267.xml.rels><?xml version="1.0" encoding="UTF-8" standalone="yes"?>
<Relationships xmlns="http://schemas.openxmlformats.org/package/2006/relationships"><Relationship Id="rId1" Type="http://schemas.openxmlformats.org/officeDocument/2006/relationships/hyperlink" Target="#&apos;3.3.2.1 Eligibility of Methodo&apos;!A1" TargetMode="External"/><Relationship Id="rId2" Type="http://schemas.openxmlformats.org/officeDocument/2006/relationships/hyperlink" Target="#&apos;3.3.2.2 Applicability of Metho&apos;!A1" TargetMode="External"/><Relationship Id="rId3" Type="http://schemas.openxmlformats.org/officeDocument/2006/relationships/hyperlink" Target="#&apos;3.3.2.2 Applicability conditio&apos;!A1" TargetMode="External"/></Relationships>
</file>

<file path=xl/worksheets/_rels/sheet268.xml.rels><?xml version="1.0" encoding="UTF-8" standalone="yes"?>
<Relationships xmlns="http://schemas.openxmlformats.org/package/2006/relationships"><Relationship Id="rId1" Type="http://schemas.openxmlformats.org/officeDocument/2006/relationships/hyperlink" Target="#&apos;3.3.3.1 De Minimis GHG Sources&apos;!A1" TargetMode="External"/><Relationship Id="rId2" Type="http://schemas.openxmlformats.org/officeDocument/2006/relationships/hyperlink" Target="#&apos;Deadlines for Participation ro&apos;!A1" TargetMode="External"/></Relationships>
</file>

<file path=xl/worksheets/_rels/sheet269.xml.rels><?xml version="1.0" encoding="UTF-8" standalone="yes"?>
<Relationships xmlns="http://schemas.openxmlformats.org/package/2006/relationships"><Relationship Id="rId1" Type="http://schemas.openxmlformats.org/officeDocument/2006/relationships/hyperlink" Target="#&apos;3.3.4.1 Baseline Reassessment&apos;!A1" TargetMode="External"/><Relationship Id="rId2" Type="http://schemas.openxmlformats.org/officeDocument/2006/relationships/hyperlink" Target="#&apos;Deadlines for Participation ro&apos;!A1" TargetMode="External"/></Relationships>
</file>

<file path=xl/worksheets/_rels/sheet270.xml.rels><?xml version="1.0" encoding="UTF-8" standalone="yes"?>
<Relationships xmlns="http://schemas.openxmlformats.org/package/2006/relationships"><Relationship Id="rId1" Type="http://schemas.openxmlformats.org/officeDocument/2006/relationships/hyperlink" Target="#&apos;3.3.5.1 Regulatory Surplus (VC&apos;!A1" TargetMode="External"/><Relationship Id="rId2" Type="http://schemas.openxmlformats.org/officeDocument/2006/relationships/hyperlink" Target="#&apos;3.3.5.2 Additionality Methods&apos;!A1" TargetMode="External"/></Relationships>
</file>

<file path=xl/worksheets/_rels/sheet27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72.xml.rels><?xml version="1.0" encoding="UTF-8" standalone="yes"?>
<Relationships xmlns="http://schemas.openxmlformats.org/package/2006/relationships"><Relationship Id="rId1" Type="http://schemas.openxmlformats.org/officeDocument/2006/relationships/hyperlink" Target="#&apos;3.3.1 Methodology Details&apos;!A1" TargetMode="External"/><Relationship Id="rId2" Type="http://schemas.openxmlformats.org/officeDocument/2006/relationships/hyperlink" Target="#&apos;3.3.2 Applicability and Eligib&apos;!A1" TargetMode="External"/><Relationship Id="rId3" Type="http://schemas.openxmlformats.org/officeDocument/2006/relationships/hyperlink" Target="#&apos;3.3.2.1 Eligibility of Methodo&apos;!A1" TargetMode="External"/><Relationship Id="rId4" Type="http://schemas.openxmlformats.org/officeDocument/2006/relationships/hyperlink" Target="#&apos;3.3.2.2 Applicability of Metho&apos;!A1" TargetMode="External"/><Relationship Id="rId5" Type="http://schemas.openxmlformats.org/officeDocument/2006/relationships/hyperlink" Target="#&apos;3.3.2.2 Applicability conditio&apos;!A1" TargetMode="External"/><Relationship Id="rId6" Type="http://schemas.openxmlformats.org/officeDocument/2006/relationships/hyperlink" Target="#&apos;3.3.3 Project Boundary&apos;!A1" TargetMode="External"/><Relationship Id="rId7" Type="http://schemas.openxmlformats.org/officeDocument/2006/relationships/hyperlink" Target="#&apos;3.3.3.1 De Minimis GHG Sources&apos;!A1" TargetMode="External"/><Relationship Id="rId8" Type="http://schemas.openxmlformats.org/officeDocument/2006/relationships/hyperlink" Target="#&apos;Deadlines for Participation ro&apos;!A1" TargetMode="External"/><Relationship Id="rId9" Type="http://schemas.openxmlformats.org/officeDocument/2006/relationships/hyperlink" Target="#&apos;3.3.4 Baseline Scenario&apos;!A1" TargetMode="External"/><Relationship Id="rId10" Type="http://schemas.openxmlformats.org/officeDocument/2006/relationships/hyperlink" Target="#&apos;3.3.4.1 Baseline Reassessment&apos;!A1" TargetMode="External"/><Relationship Id="rId11" Type="http://schemas.openxmlformats.org/officeDocument/2006/relationships/hyperlink" Target="#&apos;Deadlines for Participation ro&apos;!A1" TargetMode="External"/><Relationship Id="rId12" Type="http://schemas.openxmlformats.org/officeDocument/2006/relationships/hyperlink" Target="#&apos;3.3.5 Additionality&apos;!A1" TargetMode="External"/><Relationship Id="rId13" Type="http://schemas.openxmlformats.org/officeDocument/2006/relationships/hyperlink" Target="#&apos;3.3.5.1 Regulatory Surplus (VC&apos;!A1" TargetMode="External"/><Relationship Id="rId14" Type="http://schemas.openxmlformats.org/officeDocument/2006/relationships/hyperlink" Target="#&apos;3.3.5.2 Additionality Methods&apos;!A1" TargetMode="External"/><Relationship Id="rId15" Type="http://schemas.openxmlformats.org/officeDocument/2006/relationships/hyperlink" Target="#&apos;3.3.6 Methodology Deviations&apos;!A1" TargetMode="External"/><Relationship Id="rId16" Type="http://schemas.openxmlformats.org/officeDocument/2006/relationships/hyperlink" Target="#&apos;Deadlines for Participation ro&apos;!A1" TargetMode="External"/><Relationship Id="rId17" Type="http://schemas.openxmlformats.org/officeDocument/2006/relationships/hyperlink" Target="#&apos;3.3 Methodology details row (V&apos;!A1" TargetMode="External"/><Relationship Id="rId18" Type="http://schemas.openxmlformats.org/officeDocument/2006/relationships/hyperlink" Target="#&apos;3.3 Applicability of methodolo&apos;!A1" TargetMode="External"/><Relationship Id="rId19" Type="http://schemas.openxmlformats.org/officeDocument/2006/relationships/hyperlink" Target="#&apos;Project boundary carbon pools&apos;!A1" TargetMode="External"/><Relationship Id="rId20" Type="http://schemas.openxmlformats.org/officeDocument/2006/relationships/hyperlink" Target="#&apos;Project boundary GHG sources a&apos;!A1" TargetMode="External"/><Relationship Id="rId21" Type="http://schemas.openxmlformats.org/officeDocument/2006/relationships/hyperlink" Target="#&apos;De Minimis GHG Sources and Car&apos;!A1" TargetMode="External"/><Relationship Id="rId22" Type="http://schemas.openxmlformats.org/officeDocument/2006/relationships/hyperlink" Target="#&apos;Deadlines for Participation ro&apos;!A1" TargetMode="External"/><Relationship Id="rId23" Type="http://schemas.openxmlformats.org/officeDocument/2006/relationships/hyperlink" Target="#&apos;Baseline Reassessment (VCS Val&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Regulatory Surplus (VCS Valida&apos;!A1" TargetMode="External"/><Relationship Id="rId26" Type="http://schemas.openxmlformats.org/officeDocument/2006/relationships/hyperlink" Target="#&apos;Deadlines for Participation ro&apos;!A1" TargetMode="External"/><Relationship Id="rId27" Type="http://schemas.openxmlformats.org/officeDocument/2006/relationships/hyperlink" Target="#&apos;Additionality Methods (VCS Val&apos;!A1" TargetMode="External"/><Relationship Id="rId28" Type="http://schemas.openxmlformats.org/officeDocument/2006/relationships/hyperlink" Target="#&apos;Deadlines for Participation ro&apos;!A1" TargetMode="External"/></Relationships>
</file>

<file path=xl/worksheets/_rels/sheet27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74.xml.rels><?xml version="1.0" encoding="UTF-8" standalone="yes"?>
<Relationships xmlns="http://schemas.openxmlformats.org/package/2006/relationships"><Relationship Id="rId1" Type="http://schemas.openxmlformats.org/officeDocument/2006/relationships/hyperlink" Target="#&apos;3.4.2.1 Non-Permanence Risk An&apos;!A1" TargetMode="External"/><Relationship Id="rId2" Type="http://schemas.openxmlformats.org/officeDocument/2006/relationships/hyperlink" Target="#&apos;3.4.2.2 Buffer Pool Allocation&apos;!A1" TargetMode="External"/><Relationship Id="rId3" Type="http://schemas.openxmlformats.org/officeDocument/2006/relationships/hyperlink" Target="#&apos;3.4.2.3 Long-Term Average (VCS&apos;!A1" TargetMode="External"/></Relationships>
</file>

<file path=xl/worksheets/_rels/sheet275.xml.rels><?xml version="1.0" encoding="UTF-8" standalone="yes"?>
<Relationships xmlns="http://schemas.openxmlformats.org/package/2006/relationships"><Relationship Id="rId1" Type="http://schemas.openxmlformats.org/officeDocument/2006/relationships/hyperlink" Target="#&apos;3.4.1 Quantification of Baseli&apos;!A1" TargetMode="External"/><Relationship Id="rId2" Type="http://schemas.openxmlformats.org/officeDocument/2006/relationships/hyperlink" Target="#&apos;Deadlines for Participation ro&apos;!A1" TargetMode="External"/><Relationship Id="rId3" Type="http://schemas.openxmlformats.org/officeDocument/2006/relationships/hyperlink" Target="#&apos;3.4.2 Other Relevant Quantific&apos;!A1" TargetMode="External"/><Relationship Id="rId4" Type="http://schemas.openxmlformats.org/officeDocument/2006/relationships/hyperlink" Target="#&apos;3.4.2.1 Non-Permanence Risk An&apos;!A1" TargetMode="External"/><Relationship Id="rId5" Type="http://schemas.openxmlformats.org/officeDocument/2006/relationships/hyperlink" Target="#&apos;3.4.2.2 Buffer Pool Allocation&apos;!A1" TargetMode="External"/><Relationship Id="rId6" Type="http://schemas.openxmlformats.org/officeDocument/2006/relationships/hyperlink" Target="#&apos;3.4.2.3 Long-Term Average (VCS&apos;!A1" TargetMode="External"/></Relationships>
</file>

<file path=xl/worksheets/_rels/sheet27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78.xml.rels><?xml version="1.0" encoding="UTF-8" standalone="yes"?>
<Relationships xmlns="http://schemas.openxmlformats.org/package/2006/relationships"><Relationship Id="rId1" Type="http://schemas.openxmlformats.org/officeDocument/2006/relationships/hyperlink" Target="#&apos;Data and parameter row (Valida&apos;!A1" TargetMode="External"/><Relationship Id="rId2" Type="http://schemas.openxmlformats.org/officeDocument/2006/relationships/hyperlink" Target="#&apos;3.5.2 Monitoring Plan&apos;!A1" TargetMode="External"/><Relationship Id="rId3" Type="http://schemas.openxmlformats.org/officeDocument/2006/relationships/hyperlink" Target="#&apos;Deadlines for Participation ro&apos;!A1" TargetMode="External"/></Relationships>
</file>

<file path=xl/worksheets/_rels/sheet279.xml.rels><?xml version="1.0" encoding="UTF-8" standalone="yes"?>
<Relationships xmlns="http://schemas.openxmlformats.org/package/2006/relationships"><Relationship Id="rId1" Type="http://schemas.openxmlformats.org/officeDocument/2006/relationships/hyperlink" Target="#&apos;3.1 Project Details (VCS Valid&apos;!A1" TargetMode="External"/><Relationship Id="rId2" Type="http://schemas.openxmlformats.org/officeDocument/2006/relationships/hyperlink" Target="#&apos;3.1.1 Summary Description of P&apos;!A1" TargetMode="External"/><Relationship Id="rId3" Type="http://schemas.openxmlformats.org/officeDocument/2006/relationships/hyperlink" Target="#&apos;3.1.2 Audit History&apos;!A1" TargetMode="External"/><Relationship Id="rId4" Type="http://schemas.openxmlformats.org/officeDocument/2006/relationships/hyperlink" Target="#&apos;3.1.3 Sectoral Scope and Proje&apos;!A1" TargetMode="External"/><Relationship Id="rId5" Type="http://schemas.openxmlformats.org/officeDocument/2006/relationships/hyperlink" Target="#&apos;3.1.4 Project Eligibility&apos;!A1" TargetMode="External"/><Relationship Id="rId6" Type="http://schemas.openxmlformats.org/officeDocument/2006/relationships/hyperlink" Target="#&apos;3.1.4.1 Deadlines for Particip&apos;!A1" TargetMode="External"/><Relationship Id="rId7" Type="http://schemas.openxmlformats.org/officeDocument/2006/relationships/hyperlink" Target="#&apos;3.1.4.2 AFOLU Project Eligibil&apos;!A1" TargetMode="External"/><Relationship Id="rId8" Type="http://schemas.openxmlformats.org/officeDocument/2006/relationships/hyperlink" Target="#&apos;3.1.4.3 Eligibility of Project&apos;!A1" TargetMode="External"/><Relationship Id="rId9" Type="http://schemas.openxmlformats.org/officeDocument/2006/relationships/hyperlink" Target="#&apos;3.1.4.4 Capacity Limit Eligibi&apos;!A1" TargetMode="External"/><Relationship Id="rId10" Type="http://schemas.openxmlformats.org/officeDocument/2006/relationships/hyperlink" Target="#&apos;Deadlines for Participation ro&apos;!A1" TargetMode="External"/><Relationship Id="rId11" Type="http://schemas.openxmlformats.org/officeDocument/2006/relationships/hyperlink" Target="#&apos;3.1.6 Project Start Date and I&apos;!A1" TargetMode="External"/><Relationship Id="rId12" Type="http://schemas.openxmlformats.org/officeDocument/2006/relationships/hyperlink" Target="#&apos;Deadlines for Participation ro&apos;!A1" TargetMode="External"/><Relationship Id="rId13" Type="http://schemas.openxmlformats.org/officeDocument/2006/relationships/hyperlink" Target="#&apos;3.1.7 Project Crediting Period&apos;!A1" TargetMode="External"/><Relationship Id="rId14" Type="http://schemas.openxmlformats.org/officeDocument/2006/relationships/hyperlink" Target="#&apos;3.1.8 Project Scale&apos;!A1" TargetMode="External"/><Relationship Id="rId15" Type="http://schemas.openxmlformats.org/officeDocument/2006/relationships/hyperlink" Target="#&apos;3.1.9 Project Design&apos;!A1" TargetMode="External"/><Relationship Id="rId16" Type="http://schemas.openxmlformats.org/officeDocument/2006/relationships/hyperlink" Target="#&apos;Deadlines for Participation ro&apos;!A1" TargetMode="External"/><Relationship Id="rId17" Type="http://schemas.openxmlformats.org/officeDocument/2006/relationships/hyperlink" Target="#&apos;3.1.10 Conditions Prior to Pro&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3.1.11 Description of the Proj&apos;!A1" TargetMode="External"/><Relationship Id="rId20" Type="http://schemas.openxmlformats.org/officeDocument/2006/relationships/hyperlink" Target="#&apos;Deadlines for Participation ro&apos;!A1" TargetMode="External"/><Relationship Id="rId21" Type="http://schemas.openxmlformats.org/officeDocument/2006/relationships/hyperlink" Target="#&apos;3.1.12 Project Location&apos;!A1" TargetMode="External"/><Relationship Id="rId22" Type="http://schemas.openxmlformats.org/officeDocument/2006/relationships/hyperlink" Target="#&apos;Deadlines for Participation ro&apos;!A1" TargetMode="External"/><Relationship Id="rId23" Type="http://schemas.openxmlformats.org/officeDocument/2006/relationships/hyperlink" Target="#&apos;3.1.13 Compliance with Laws an&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3.1.14 Double Counting and Par&apos;!A1" TargetMode="External"/><Relationship Id="rId26" Type="http://schemas.openxmlformats.org/officeDocument/2006/relationships/hyperlink" Target="#&apos;3.1.14.1 No Double Issuance (V&apos;!A1" TargetMode="External"/><Relationship Id="rId27" Type="http://schemas.openxmlformats.org/officeDocument/2006/relationships/hyperlink" Target="#&apos;3.1.14.2 Registration with Oth&apos;!A1" TargetMode="External"/><Relationship Id="rId28" Type="http://schemas.openxmlformats.org/officeDocument/2006/relationships/hyperlink" Target="#&apos;3.1.14.3 Projects Rejected by&apos;!A1" TargetMode="External"/><Relationship Id="rId29" Type="http://schemas.openxmlformats.org/officeDocument/2006/relationships/hyperlink" Target="#&apos;3.1.15 Double Claiming Other F&apos;!A1" TargetMode="External"/><Relationship Id="rId30" Type="http://schemas.openxmlformats.org/officeDocument/2006/relationships/hyperlink" Target="#&apos;3.1.15.1 No Double Claiming wi&apos;!A1" TargetMode="External"/><Relationship Id="rId31" Type="http://schemas.openxmlformats.org/officeDocument/2006/relationships/hyperlink" Target="#&apos;3.1.15.2 No Double Claiming wi&apos;!A1" TargetMode="External"/><Relationship Id="rId32" Type="http://schemas.openxmlformats.org/officeDocument/2006/relationships/hyperlink" Target="#&apos;3.1.15.3 Supply Chain (Scope 3&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3.1.16 Sustainable Development&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3.1.17 Additional Information&apos;!A1" TargetMode="External"/><Relationship Id="rId37" Type="http://schemas.openxmlformats.org/officeDocument/2006/relationships/hyperlink" Target="#&apos;3.1.17.1 Leakage Management (V&apos;!A1" TargetMode="External"/><Relationship Id="rId38" Type="http://schemas.openxmlformats.org/officeDocument/2006/relationships/hyperlink" Target="#&apos;3.1.17.2 Sensitive Information&apos;!A1" TargetMode="External"/><Relationship Id="rId39" Type="http://schemas.openxmlformats.org/officeDocument/2006/relationships/hyperlink" Target="#&apos;3.1.17.3 Further Information (&apos;!A1" TargetMode="External"/><Relationship Id="rId40" Type="http://schemas.openxmlformats.org/officeDocument/2006/relationships/hyperlink" Target="#&apos;Leakage Management (VCS Valida&apos;!A1" TargetMode="External"/><Relationship Id="rId41" Type="http://schemas.openxmlformats.org/officeDocument/2006/relationships/hyperlink" Target="#&apos;Sensitive Information (VCS Val&apos;!A1" TargetMode="External"/><Relationship Id="rId42" Type="http://schemas.openxmlformats.org/officeDocument/2006/relationships/hyperlink" Target="#&apos;Further Information (VCS Valid&apos;!A1" TargetMode="External"/><Relationship Id="rId43" Type="http://schemas.openxmlformats.org/officeDocument/2006/relationships/hyperlink" Target="#&apos;Deadlines for Participation (V&apos;!A1" TargetMode="External"/><Relationship Id="rId44" Type="http://schemas.openxmlformats.org/officeDocument/2006/relationships/hyperlink" Target="#&apos;Deadlines for Participation ro&apos;!A1" TargetMode="External"/><Relationship Id="rId45" Type="http://schemas.openxmlformats.org/officeDocument/2006/relationships/hyperlink" Target="#&apos;Eligibility of Projects Regist&apos;!A1" TargetMode="External"/><Relationship Id="rId46" Type="http://schemas.openxmlformats.org/officeDocument/2006/relationships/hyperlink" Target="#&apos;Deadlines for Participation ro&apos;!A1" TargetMode="External"/><Relationship Id="rId47" Type="http://schemas.openxmlformats.org/officeDocument/2006/relationships/hyperlink" Target="#&apos;Capacity Limit Eligibility (VC&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Right to Operate and Right to&apos;!A1" TargetMode="External"/><Relationship Id="rId50" Type="http://schemas.openxmlformats.org/officeDocument/2006/relationships/hyperlink" Target="#&apos;Deadlines for Participation ro&apos;!A1" TargetMode="External"/><Relationship Id="rId51" Type="http://schemas.openxmlformats.org/officeDocument/2006/relationships/hyperlink" Target="#&apos;Land or Resource Rights Analys&apos;!A1" TargetMode="External"/><Relationship Id="rId52" Type="http://schemas.openxmlformats.org/officeDocument/2006/relationships/hyperlink" Target="#&apos;Deadlines for Participation ro&apos;!A1" TargetMode="External"/><Relationship Id="rId53" Type="http://schemas.openxmlformats.org/officeDocument/2006/relationships/hyperlink" Target="#&apos;No Double Issuance (VCS Valida&apos;!A1" TargetMode="External"/><Relationship Id="rId54" Type="http://schemas.openxmlformats.org/officeDocument/2006/relationships/hyperlink" Target="#&apos;Deadlines for Participation ro&apos;!A1" TargetMode="External"/><Relationship Id="rId55" Type="http://schemas.openxmlformats.org/officeDocument/2006/relationships/hyperlink" Target="#&apos;Registration with Other GHG 2&apos;!A1" TargetMode="External"/><Relationship Id="rId56" Type="http://schemas.openxmlformats.org/officeDocument/2006/relationships/hyperlink" Target="#&apos;Deadlines for Participation ro&apos;!A1" TargetMode="External"/><Relationship Id="rId57" Type="http://schemas.openxmlformats.org/officeDocument/2006/relationships/hyperlink" Target="#&apos;No Double Claiming with Emi 2&apos;!A1" TargetMode="External"/><Relationship Id="rId58" Type="http://schemas.openxmlformats.org/officeDocument/2006/relationships/hyperlink" Target="#&apos;Deadlines for Participation ro&apos;!A1" TargetMode="External"/><Relationship Id="rId59" Type="http://schemas.openxmlformats.org/officeDocument/2006/relationships/hyperlink" Target="#&apos;Supply Chain (Scope 3) Emissio&apos;!A1" TargetMode="External"/><Relationship Id="rId60" Type="http://schemas.openxmlformats.org/officeDocument/2006/relationships/hyperlink" Target="#&apos;Deadlines for Participation ro&apos;!A1" TargetMode="External"/><Relationship Id="rId61" Type="http://schemas.openxmlformats.org/officeDocument/2006/relationships/hyperlink" Target="#&apos;3.3 Application of Methodology&apos;!A1" TargetMode="External"/><Relationship Id="rId62" Type="http://schemas.openxmlformats.org/officeDocument/2006/relationships/hyperlink" Target="#&apos;3.3.1 Methodology Details&apos;!A1" TargetMode="External"/><Relationship Id="rId63" Type="http://schemas.openxmlformats.org/officeDocument/2006/relationships/hyperlink" Target="#&apos;3.3.2 Applicability and Eligib&apos;!A1" TargetMode="External"/><Relationship Id="rId64" Type="http://schemas.openxmlformats.org/officeDocument/2006/relationships/hyperlink" Target="#&apos;3.3.2.1 Eligibility of Methodo&apos;!A1" TargetMode="External"/><Relationship Id="rId65" Type="http://schemas.openxmlformats.org/officeDocument/2006/relationships/hyperlink" Target="#&apos;3.3.2.2 Applicability of Metho&apos;!A1" TargetMode="External"/><Relationship Id="rId66" Type="http://schemas.openxmlformats.org/officeDocument/2006/relationships/hyperlink" Target="#&apos;3.3.2.2 Applicability conditio&apos;!A1" TargetMode="External"/><Relationship Id="rId67" Type="http://schemas.openxmlformats.org/officeDocument/2006/relationships/hyperlink" Target="#&apos;3.3.3 Project Boundary&apos;!A1" TargetMode="External"/><Relationship Id="rId68" Type="http://schemas.openxmlformats.org/officeDocument/2006/relationships/hyperlink" Target="#&apos;3.3.3.1 De Minimis GHG Sources&apos;!A1" TargetMode="External"/><Relationship Id="rId69" Type="http://schemas.openxmlformats.org/officeDocument/2006/relationships/hyperlink" Target="#&apos;Deadlines for Participation ro&apos;!A1" TargetMode="External"/><Relationship Id="rId70" Type="http://schemas.openxmlformats.org/officeDocument/2006/relationships/hyperlink" Target="#&apos;3.3.4 Baseline Scenario&apos;!A1" TargetMode="External"/><Relationship Id="rId71" Type="http://schemas.openxmlformats.org/officeDocument/2006/relationships/hyperlink" Target="#&apos;3.3.4.1 Baseline Reassessment&apos;!A1" TargetMode="External"/><Relationship Id="rId72" Type="http://schemas.openxmlformats.org/officeDocument/2006/relationships/hyperlink" Target="#&apos;Deadlines for Participation ro&apos;!A1" TargetMode="External"/><Relationship Id="rId73" Type="http://schemas.openxmlformats.org/officeDocument/2006/relationships/hyperlink" Target="#&apos;3.3.5 Additionality&apos;!A1" TargetMode="External"/><Relationship Id="rId74" Type="http://schemas.openxmlformats.org/officeDocument/2006/relationships/hyperlink" Target="#&apos;3.3.5.1 Regulatory Surplus (VC&apos;!A1" TargetMode="External"/><Relationship Id="rId75" Type="http://schemas.openxmlformats.org/officeDocument/2006/relationships/hyperlink" Target="#&apos;3.3.5.2 Additionality Methods&apos;!A1" TargetMode="External"/><Relationship Id="rId76" Type="http://schemas.openxmlformats.org/officeDocument/2006/relationships/hyperlink" Target="#&apos;3.3.6 Methodology Deviations&apos;!A1" TargetMode="External"/><Relationship Id="rId77" Type="http://schemas.openxmlformats.org/officeDocument/2006/relationships/hyperlink" Target="#&apos;Deadlines for Participation ro&apos;!A1" TargetMode="External"/><Relationship Id="rId78" Type="http://schemas.openxmlformats.org/officeDocument/2006/relationships/hyperlink" Target="#&apos;3.3 Methodology details row (V&apos;!A1" TargetMode="External"/><Relationship Id="rId79" Type="http://schemas.openxmlformats.org/officeDocument/2006/relationships/hyperlink" Target="#&apos;3.3 Applicability of methodolo&apos;!A1" TargetMode="External"/><Relationship Id="rId80" Type="http://schemas.openxmlformats.org/officeDocument/2006/relationships/hyperlink" Target="#&apos;Project boundary carbon pools&apos;!A1" TargetMode="External"/><Relationship Id="rId81" Type="http://schemas.openxmlformats.org/officeDocument/2006/relationships/hyperlink" Target="#&apos;Project boundary GHG sources a&apos;!A1" TargetMode="External"/><Relationship Id="rId82" Type="http://schemas.openxmlformats.org/officeDocument/2006/relationships/hyperlink" Target="#&apos;De Minimis GHG Sources and Car&apos;!A1" TargetMode="External"/><Relationship Id="rId83" Type="http://schemas.openxmlformats.org/officeDocument/2006/relationships/hyperlink" Target="#&apos;Deadlines for Participation ro&apos;!A1" TargetMode="External"/><Relationship Id="rId84" Type="http://schemas.openxmlformats.org/officeDocument/2006/relationships/hyperlink" Target="#&apos;Baseline Reassessment (VCS Val&apos;!A1" TargetMode="External"/><Relationship Id="rId85" Type="http://schemas.openxmlformats.org/officeDocument/2006/relationships/hyperlink" Target="#&apos;Deadlines for Participation ro&apos;!A1" TargetMode="External"/><Relationship Id="rId86" Type="http://schemas.openxmlformats.org/officeDocument/2006/relationships/hyperlink" Target="#&apos;Regulatory Surplus (VCS Valida&apos;!A1" TargetMode="External"/><Relationship Id="rId87" Type="http://schemas.openxmlformats.org/officeDocument/2006/relationships/hyperlink" Target="#&apos;Deadlines for Participation ro&apos;!A1" TargetMode="External"/><Relationship Id="rId88" Type="http://schemas.openxmlformats.org/officeDocument/2006/relationships/hyperlink" Target="#&apos;Additionality Methods (VCS Val&apos;!A1" TargetMode="External"/><Relationship Id="rId89" Type="http://schemas.openxmlformats.org/officeDocument/2006/relationships/hyperlink" Target="#&apos;Deadlines for Participation ro&apos;!A1" TargetMode="External"/><Relationship Id="rId90" Type="http://schemas.openxmlformats.org/officeDocument/2006/relationships/hyperlink" Target="#&apos;3.4 Quantification of Estimate&apos;!A1" TargetMode="External"/><Relationship Id="rId91" Type="http://schemas.openxmlformats.org/officeDocument/2006/relationships/hyperlink" Target="#&apos;3.4.1 Quantification of Baseli&apos;!A1" TargetMode="External"/><Relationship Id="rId92" Type="http://schemas.openxmlformats.org/officeDocument/2006/relationships/hyperlink" Target="#&apos;Deadlines for Participation ro&apos;!A1" TargetMode="External"/><Relationship Id="rId93" Type="http://schemas.openxmlformats.org/officeDocument/2006/relationships/hyperlink" Target="#&apos;3.4.2 Other Relevant Quantific&apos;!A1" TargetMode="External"/><Relationship Id="rId94" Type="http://schemas.openxmlformats.org/officeDocument/2006/relationships/hyperlink" Target="#&apos;3.4.2.1 Non-Permanence Risk An&apos;!A1" TargetMode="External"/><Relationship Id="rId95" Type="http://schemas.openxmlformats.org/officeDocument/2006/relationships/hyperlink" Target="#&apos;3.4.2.2 Buffer Pool Allocation&apos;!A1" TargetMode="External"/><Relationship Id="rId96" Type="http://schemas.openxmlformats.org/officeDocument/2006/relationships/hyperlink" Target="#&apos;3.4.2.3 Long-Term Average (VCS&apos;!A1" TargetMode="External"/><Relationship Id="rId97" Type="http://schemas.openxmlformats.org/officeDocument/2006/relationships/hyperlink" Target="#&apos;3.5 Monitoring (VCS Validation&apos;!A1" TargetMode="External"/><Relationship Id="rId98" Type="http://schemas.openxmlformats.org/officeDocument/2006/relationships/hyperlink" Target="#&apos;Data and parameter row (Valida&apos;!A1" TargetMode="External"/><Relationship Id="rId99" Type="http://schemas.openxmlformats.org/officeDocument/2006/relationships/hyperlink" Target="#&apos;3.5.2 Monitoring Plan&apos;!A1" TargetMode="External"/><Relationship Id="rId100" Type="http://schemas.openxmlformats.org/officeDocument/2006/relationships/hyperlink" Target="#&apos;Deadlines for Participation ro&apos;!A1" TargetMode="External"/></Relationships>
</file>

<file path=xl/worksheets/_rels/sheet281.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 Id="rId6" Type="http://schemas.openxmlformats.org/officeDocument/2006/relationships/hyperlink" Target="#&apos;Safeguards assessment row item&apos;!A1" TargetMode="External"/><Relationship Id="rId7" Type="http://schemas.openxmlformats.org/officeDocument/2006/relationships/hyperlink" Target="#&apos;Safeguards assessment row item&apos;!A1" TargetMode="External"/><Relationship Id="rId8" Type="http://schemas.openxmlformats.org/officeDocument/2006/relationships/hyperlink" Target="#&apos;Safeguards assessment row item&apos;!A1" TargetMode="External"/><Relationship Id="rId9" Type="http://schemas.openxmlformats.org/officeDocument/2006/relationships/hyperlink" Target="#&apos;Safeguards assessment row item&apos;!A1" TargetMode="External"/><Relationship Id="rId10" Type="http://schemas.openxmlformats.org/officeDocument/2006/relationships/hyperlink" Target="#&apos;Stakeholder Identification  2&apos;!A1" TargetMode="External"/><Relationship Id="rId11" Type="http://schemas.openxmlformats.org/officeDocument/2006/relationships/hyperlink" Target="#&apos;Deadlines for Participation ro&apos;!A1" TargetMode="External"/><Relationship Id="rId12" Type="http://schemas.openxmlformats.org/officeDocument/2006/relationships/hyperlink" Target="#&apos;Stakeholder Consultation an 2&apos;!A1" TargetMode="External"/><Relationship Id="rId13" Type="http://schemas.openxmlformats.org/officeDocument/2006/relationships/hyperlink" Target="#&apos;Deadlines for Participation ro&apos;!A1" TargetMode="External"/><Relationship Id="rId14" Type="http://schemas.openxmlformats.org/officeDocument/2006/relationships/hyperlink" Target="#&apos;Free Prior and Informed Con 3&apos;!A1" TargetMode="External"/><Relationship Id="rId15" Type="http://schemas.openxmlformats.org/officeDocument/2006/relationships/hyperlink" Target="#&apos;Deadlines for Participation ro&apos;!A1" TargetMode="External"/><Relationship Id="rId16" Type="http://schemas.openxmlformats.org/officeDocument/2006/relationships/hyperlink" Target="#&apos;Benefit-Sharing Mechanism (Oth&apos;!A1" TargetMode="External"/><Relationship Id="rId17" Type="http://schemas.openxmlformats.org/officeDocument/2006/relationships/hyperlink" Target="#&apos;Deadlines for Participation ro&apos;!A1" TargetMode="External"/><Relationship Id="rId18" Type="http://schemas.openxmlformats.org/officeDocument/2006/relationships/hyperlink" Target="#&apos;Stakeholder Input Tracker ( 2&apos;!A1" TargetMode="External"/><Relationship Id="rId19" Type="http://schemas.openxmlformats.org/officeDocument/2006/relationships/hyperlink" Target="#&apos;Deadlines for Participation ro&apos;!A1" TargetMode="External"/><Relationship Id="rId20" Type="http://schemas.openxmlformats.org/officeDocument/2006/relationships/hyperlink" Target="#&apos;Grievance Redress Mechanism (V&apos;!A1" TargetMode="External"/><Relationship Id="rId21" Type="http://schemas.openxmlformats.org/officeDocument/2006/relationships/hyperlink" Target="#&apos;Deadlines for Participation ro&apos;!A1" TargetMode="External"/><Relationship Id="rId22" Type="http://schemas.openxmlformats.org/officeDocument/2006/relationships/hyperlink" Target="#&apos;Ecosystem Restoration (VCS Val&apos;!A1" TargetMode="External"/><Relationship Id="rId23" Type="http://schemas.openxmlformats.org/officeDocument/2006/relationships/hyperlink" Target="#&apos;Deadlines for Participation ro&apos;!A1" TargetMode="External"/><Relationship Id="rId24" Type="http://schemas.openxmlformats.org/officeDocument/2006/relationships/hyperlink" Target="#&apos;Management Expertise (VCS Vali&apos;!A1" TargetMode="External"/><Relationship Id="rId25" Type="http://schemas.openxmlformats.org/officeDocument/2006/relationships/hyperlink" Target="#&apos;Deadlines for Participation ro&apos;!A1" TargetMode="External"/><Relationship Id="rId26" Type="http://schemas.openxmlformats.org/officeDocument/2006/relationships/hyperlink" Target="#&apos;Environmental Social and Gover&apos;!A1" TargetMode="External"/><Relationship Id="rId27" Type="http://schemas.openxmlformats.org/officeDocument/2006/relationships/hyperlink" Target="#&apos;Deadlines for Participation ro&apos;!A1" TargetMode="External"/></Relationships>
</file>

<file path=xl/worksheets/_rels/sheet284.xml.rels><?xml version="1.0" encoding="UTF-8" standalone="yes"?>
<Relationships xmlns="http://schemas.openxmlformats.org/package/2006/relationships"><Relationship Id="rId1" Type="http://schemas.openxmlformats.org/officeDocument/2006/relationships/hyperlink" Target="#&apos;Estimated reductions by vintag&apos;!A1" TargetMode="External"/></Relationships>
</file>

<file path=xl/worksheets/_rels/sheet285.xml.rels><?xml version="1.0" encoding="UTF-8" standalone="yes"?>
<Relationships xmlns="http://schemas.openxmlformats.org/package/2006/relationships"><Relationship Id="rId1" Type="http://schemas.openxmlformats.org/officeDocument/2006/relationships/hyperlink" Target="#&apos;4.1 Validation Conclusion Summ&apos;!A1" TargetMode="External"/><Relationship Id="rId2" Type="http://schemas.openxmlformats.org/officeDocument/2006/relationships/hyperlink" Target="#&apos;4.2 Conclusion on Estimated Re&apos;!A1" TargetMode="External"/><Relationship Id="rId3" Type="http://schemas.openxmlformats.org/officeDocument/2006/relationships/hyperlink" Target="#&apos;Estimated reductions by vintag&apos;!A1" TargetMode="External"/></Relationships>
</file>

<file path=xl/worksheets/_rels/sheet292.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s>
</file>

<file path=xl/worksheets/_rels/sheet293.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s>
</file>

<file path=xl/worksheets/_rels/sheet309.xml.rels><?xml version="1.0" encoding="UTF-8" standalone="yes"?>
<Relationships xmlns="http://schemas.openxmlformats.org/package/2006/relationships"><Relationship Id="rId1" Type="http://schemas.openxmlformats.org/officeDocument/2006/relationships/hyperlink" Target="#&apos;3.3.2.2 Applicability conditio&apos;!A1" TargetMode="External"/></Relationships>
</file>

<file path=xl/worksheets/_rels/sheet319.xml.rels><?xml version="1.0" encoding="UTF-8" standalone="yes"?>
<Relationships xmlns="http://schemas.openxmlformats.org/package/2006/relationships"><Relationship Id="rId1" Type="http://schemas.openxmlformats.org/officeDocument/2006/relationships/hyperlink" Target="#&apos;4.4.2 Buffer pool allocation r&apos;!A1" TargetMode="External"/><Relationship Id="rId2" Type="http://schemas.openxmlformats.org/officeDocument/2006/relationships/hyperlink" Target="#&apos;4.4.2 Buffer pool allocatio 2&apos;!A1" TargetMode="External"/></Relationships>
</file>

<file path=xl/worksheets/_rels/sheet32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2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2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3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3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3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3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4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4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4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4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5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5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5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5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5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0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0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0</v>
      </c>
      <c r="B1" s="1"/>
      <c r="C1" s="1"/>
      <c r="D1" s="1"/>
      <c r="E1" s="1"/>
      <c r="F1" s="1"/>
      <c r="G1" s="1"/>
      <c r="H1" s="1"/>
      <c r="I1" s="1"/>
      <c r="J1" s="1"/>
    </row>
    <row r="2" spans="1:10" x14ac:dyDescent="0.25">
      <c r="A2" s="2" t="s">
        <v>1</v>
      </c>
      <c r="B2" s="3" t="s">
        <v>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v>
      </c>
      <c r="F5" s="5" t="s">
        <v>19</v>
      </c>
      <c r="G5" s="5" t="s">
        <v>20</v>
      </c>
      <c r="H5" s="5" t="s">
        <v>17</v>
      </c>
      <c r="I5" s="5" t="s">
        <v>17</v>
      </c>
      <c r="J5" s="5" t="s">
        <v>21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v>
      </c>
      <c r="B1" s="1"/>
      <c r="C1" s="1"/>
      <c r="D1" s="1"/>
      <c r="E1" s="1"/>
      <c r="F1" s="1"/>
      <c r="G1" s="1"/>
      <c r="H1" s="1"/>
      <c r="I1" s="1"/>
      <c r="J1" s="1"/>
    </row>
    <row r="2" spans="1:10" x14ac:dyDescent="0.25">
      <c r="A2" s="2" t="s">
        <v>1</v>
      </c>
      <c r="B2" s="3" t="s">
        <v>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v>
      </c>
      <c r="F5" s="5" t="s">
        <v>19</v>
      </c>
      <c r="G5" s="5" t="s">
        <v>25</v>
      </c>
      <c r="H5" s="5" t="s">
        <v>17</v>
      </c>
      <c r="I5" s="5" t="s">
        <v>17</v>
      </c>
      <c r="J5" s="5" t="s">
        <v>26</v>
      </c>
    </row>
    <row r="6" spans="1:10" x14ac:dyDescent="0.25">
      <c r="A6" s="5" t="s">
        <v>19</v>
      </c>
      <c r="B6" s="6" t="s">
        <v>27</v>
      </c>
      <c r="C6" s="5" t="s">
        <v>17</v>
      </c>
      <c r="D6" s="5"/>
      <c r="E6" s="5" t="s">
        <v>28</v>
      </c>
      <c r="F6" s="5" t="s">
        <v>15</v>
      </c>
      <c r="G6" s="5" t="s">
        <v>17</v>
      </c>
      <c r="H6" s="5" t="s">
        <v>17</v>
      </c>
      <c r="I6" s="5" t="s">
        <v>17</v>
      </c>
      <c r="J6" s="5" t="s">
        <v>29</v>
      </c>
    </row>
    <row r="7" spans="1:10" x14ac:dyDescent="0.25" outlineLevel="1" collapsed="1">
      <c r="A7" s="7" t="s">
        <v>19</v>
      </c>
      <c r="B7" s="7" t="s">
        <v>16</v>
      </c>
      <c r="C7" s="7" t="s">
        <v>17</v>
      </c>
      <c r="D7" s="7"/>
      <c r="E7" s="7" t="s">
        <v>30</v>
      </c>
      <c r="F7" s="7" t="s">
        <v>19</v>
      </c>
      <c r="G7" s="7" t="s">
        <v>31</v>
      </c>
      <c r="H7" s="7" t="s">
        <v>17</v>
      </c>
      <c r="I7" s="7" t="s">
        <v>17</v>
      </c>
      <c r="J7" s="7" t="s">
        <v>32</v>
      </c>
    </row>
    <row r="8" spans="1:10" x14ac:dyDescent="0.25" outlineLevel="1" collapsed="1">
      <c r="A8" s="7" t="s">
        <v>19</v>
      </c>
      <c r="B8" s="7" t="s">
        <v>16</v>
      </c>
      <c r="C8" s="7" t="s">
        <v>17</v>
      </c>
      <c r="D8" s="7"/>
      <c r="E8" s="7" t="s">
        <v>33</v>
      </c>
      <c r="F8" s="7" t="s">
        <v>19</v>
      </c>
      <c r="G8" s="7" t="s">
        <v>31</v>
      </c>
      <c r="H8" s="7" t="s">
        <v>17</v>
      </c>
      <c r="I8" s="7" t="s">
        <v>17</v>
      </c>
      <c r="J8" s="7" t="s">
        <v>34</v>
      </c>
    </row>
    <row r="9" spans="1:10" x14ac:dyDescent="0.25" outlineLevel="1" collapsed="1">
      <c r="A9" s="7" t="s">
        <v>19</v>
      </c>
      <c r="B9" s="7" t="s">
        <v>16</v>
      </c>
      <c r="C9" s="7" t="s">
        <v>17</v>
      </c>
      <c r="D9" s="7"/>
      <c r="E9" s="7" t="s">
        <v>35</v>
      </c>
      <c r="F9" s="7" t="s">
        <v>19</v>
      </c>
      <c r="G9" s="7" t="s">
        <v>31</v>
      </c>
      <c r="H9" s="7" t="s">
        <v>17</v>
      </c>
      <c r="I9" s="7" t="s">
        <v>17</v>
      </c>
      <c r="J9" s="7" t="s">
        <v>36</v>
      </c>
    </row>
    <row r="10" spans="1:10" x14ac:dyDescent="0.25" outlineLevel="1" collapsed="1">
      <c r="A10" s="7" t="s">
        <v>19</v>
      </c>
      <c r="B10" s="7" t="s">
        <v>16</v>
      </c>
      <c r="C10" s="7" t="s">
        <v>17</v>
      </c>
      <c r="D10" s="7"/>
      <c r="E10" s="7" t="s">
        <v>37</v>
      </c>
      <c r="F10" s="7" t="s">
        <v>19</v>
      </c>
      <c r="G10" s="7" t="s">
        <v>31</v>
      </c>
      <c r="H10" s="7" t="s">
        <v>17</v>
      </c>
      <c r="I10" s="7" t="s">
        <v>17</v>
      </c>
      <c r="J10" s="7" t="s">
        <v>38</v>
      </c>
    </row>
    <row r="11" spans="1:10" x14ac:dyDescent="0.25" outlineLevel="1" collapsed="1">
      <c r="A11" s="7" t="s">
        <v>19</v>
      </c>
      <c r="B11" s="7" t="s">
        <v>16</v>
      </c>
      <c r="C11" s="7" t="s">
        <v>17</v>
      </c>
      <c r="D11" s="7"/>
      <c r="E11" s="7" t="s">
        <v>39</v>
      </c>
      <c r="F11" s="7" t="s">
        <v>19</v>
      </c>
      <c r="G11" s="7" t="s">
        <v>31</v>
      </c>
      <c r="H11" s="7" t="s">
        <v>17</v>
      </c>
      <c r="I11" s="7" t="s">
        <v>17</v>
      </c>
      <c r="J11" s="7" t="s">
        <v>40</v>
      </c>
    </row>
    <row r="12" spans="1:10" x14ac:dyDescent="0.25">
      <c r="A12" s="5" t="s">
        <v>19</v>
      </c>
      <c r="B12" s="5" t="s">
        <v>16</v>
      </c>
      <c r="C12" s="5" t="s">
        <v>17</v>
      </c>
      <c r="D12" s="5"/>
      <c r="E12" s="5" t="s">
        <v>41</v>
      </c>
      <c r="F12" s="5" t="s">
        <v>19</v>
      </c>
      <c r="G12" s="5" t="s">
        <v>31</v>
      </c>
      <c r="H12" s="5" t="s">
        <v>17</v>
      </c>
      <c r="I12" s="5" t="s">
        <v>17</v>
      </c>
      <c r="J12" s="5" t="s">
        <v>42</v>
      </c>
    </row>
    <row r="13" spans="1:10" x14ac:dyDescent="0.25">
      <c r="A13" s="5" t="s">
        <v>19</v>
      </c>
      <c r="B13" s="5" t="s">
        <v>16</v>
      </c>
      <c r="C13" s="5" t="s">
        <v>17</v>
      </c>
      <c r="D13" s="5"/>
      <c r="E13" s="5" t="s">
        <v>43</v>
      </c>
      <c r="F13" s="5" t="s">
        <v>19</v>
      </c>
      <c r="G13" s="5" t="s">
        <v>31</v>
      </c>
      <c r="H13" s="5" t="s">
        <v>17</v>
      </c>
      <c r="I13" s="5" t="s">
        <v>17</v>
      </c>
      <c r="J13" s="5" t="s">
        <v>44</v>
      </c>
    </row>
    <row r="14" spans="1:10" x14ac:dyDescent="0.25">
      <c r="A14" s="5" t="s">
        <v>19</v>
      </c>
      <c r="B14" s="5" t="s">
        <v>16</v>
      </c>
      <c r="C14" s="5" t="s">
        <v>17</v>
      </c>
      <c r="D14" s="5"/>
      <c r="E14" s="5" t="s">
        <v>45</v>
      </c>
      <c r="F14" s="5" t="s">
        <v>19</v>
      </c>
      <c r="G14" s="5" t="s">
        <v>31</v>
      </c>
      <c r="H14" s="5" t="s">
        <v>17</v>
      </c>
      <c r="I14" s="5" t="s">
        <v>17</v>
      </c>
      <c r="J14" s="5" t="s">
        <v>46</v>
      </c>
    </row>
    <row r="15" spans="1:10" x14ac:dyDescent="0.25">
      <c r="A15" s="5" t="s">
        <v>19</v>
      </c>
      <c r="B15" s="5" t="s">
        <v>16</v>
      </c>
      <c r="C15" s="5" t="s">
        <v>17</v>
      </c>
      <c r="D15" s="5"/>
      <c r="E15" s="5" t="s">
        <v>47</v>
      </c>
      <c r="F15" s="5" t="s">
        <v>19</v>
      </c>
      <c r="G15" s="5" t="s">
        <v>31</v>
      </c>
      <c r="H15" s="5" t="s">
        <v>17</v>
      </c>
      <c r="I15" s="5" t="s">
        <v>17</v>
      </c>
      <c r="J15" s="5" t="s">
        <v>48</v>
      </c>
    </row>
    <row r="16" spans="1:10" x14ac:dyDescent="0.25">
      <c r="A16" s="5" t="s">
        <v>19</v>
      </c>
      <c r="B16" s="5" t="s">
        <v>16</v>
      </c>
      <c r="C16" s="5" t="s">
        <v>17</v>
      </c>
      <c r="D16" s="5"/>
      <c r="E16" s="5" t="s">
        <v>49</v>
      </c>
      <c r="F16" s="5" t="s">
        <v>19</v>
      </c>
      <c r="G16" s="5" t="s">
        <v>31</v>
      </c>
      <c r="H16" s="5" t="s">
        <v>17</v>
      </c>
      <c r="I16" s="5" t="s">
        <v>17</v>
      </c>
      <c r="J16" s="5" t="s">
        <v>50</v>
      </c>
    </row>
    <row r="17" spans="1:10" x14ac:dyDescent="0.25">
      <c r="A17" s="5" t="s">
        <v>19</v>
      </c>
      <c r="B17" s="5" t="s">
        <v>16</v>
      </c>
      <c r="C17" s="5" t="s">
        <v>17</v>
      </c>
      <c r="D17" s="5"/>
      <c r="E17" s="5" t="s">
        <v>51</v>
      </c>
      <c r="F17" s="5" t="s">
        <v>19</v>
      </c>
      <c r="G17" s="5" t="s">
        <v>31</v>
      </c>
      <c r="H17" s="5" t="s">
        <v>17</v>
      </c>
      <c r="I17" s="5" t="s">
        <v>17</v>
      </c>
      <c r="J17" s="5" t="s">
        <v>52</v>
      </c>
    </row>
    <row r="18" spans="1:10" x14ac:dyDescent="0.25">
      <c r="A18" s="5" t="s">
        <v>19</v>
      </c>
      <c r="B18" s="5" t="s">
        <v>16</v>
      </c>
      <c r="C18" s="5" t="s">
        <v>17</v>
      </c>
      <c r="D18" s="5"/>
      <c r="E18" s="5" t="s">
        <v>53</v>
      </c>
      <c r="F18" s="5" t="s">
        <v>19</v>
      </c>
      <c r="G18" s="5" t="s">
        <v>31</v>
      </c>
      <c r="H18" s="5" t="s">
        <v>17</v>
      </c>
      <c r="I18" s="5" t="s">
        <v>17</v>
      </c>
      <c r="J18" s="5" t="s">
        <v>54</v>
      </c>
    </row>
  </sheetData>
  <mergeCells count="3">
    <mergeCell ref="A1:J1"/>
    <mergeCell ref="B2:J2"/>
    <mergeCell ref="B3:J3"/>
  </mergeCells>
  <hyperlinks>
    <hyperlink ref="B6" r:id="rId1" location="#'Reductions and removals claime'!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55</v>
      </c>
      <c r="B1" s="1"/>
      <c r="C1" s="1"/>
      <c r="D1" s="1"/>
      <c r="E1" s="1"/>
      <c r="F1" s="1"/>
      <c r="G1" s="1"/>
      <c r="H1" s="1"/>
      <c r="I1" s="1"/>
      <c r="J1" s="1"/>
    </row>
    <row r="2" spans="1:10" x14ac:dyDescent="0.25">
      <c r="A2" s="2" t="s">
        <v>1</v>
      </c>
      <c r="B2" s="3" t="s">
        <v>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57</v>
      </c>
      <c r="F5" s="5" t="s">
        <v>19</v>
      </c>
      <c r="G5" s="5" t="s">
        <v>58</v>
      </c>
      <c r="H5" s="5" t="s">
        <v>17</v>
      </c>
      <c r="I5" s="5" t="s">
        <v>17</v>
      </c>
      <c r="J5" s="5" t="s">
        <v>59</v>
      </c>
    </row>
    <row r="6" spans="1:10" x14ac:dyDescent="0.25">
      <c r="A6" s="5" t="s">
        <v>19</v>
      </c>
      <c r="B6" s="6" t="s">
        <v>60</v>
      </c>
      <c r="C6" s="5" t="s">
        <v>17</v>
      </c>
      <c r="D6" s="5"/>
      <c r="E6" s="5" t="s">
        <v>61</v>
      </c>
      <c r="F6" s="5" t="s">
        <v>15</v>
      </c>
      <c r="G6" s="5" t="s">
        <v>17</v>
      </c>
      <c r="H6" s="5" t="s">
        <v>17</v>
      </c>
      <c r="I6" s="5" t="s">
        <v>17</v>
      </c>
      <c r="J6" s="5" t="s">
        <v>62</v>
      </c>
    </row>
    <row r="7" spans="1:10" x14ac:dyDescent="0.25" outlineLevel="1" collapsed="1">
      <c r="A7" s="7" t="s">
        <v>19</v>
      </c>
      <c r="B7" s="7" t="s">
        <v>16</v>
      </c>
      <c r="C7" s="7" t="s">
        <v>17</v>
      </c>
      <c r="D7" s="7"/>
      <c r="E7" s="7" t="s">
        <v>30</v>
      </c>
      <c r="F7" s="7" t="s">
        <v>19</v>
      </c>
      <c r="G7" s="7" t="s">
        <v>31</v>
      </c>
      <c r="H7" s="7" t="s">
        <v>17</v>
      </c>
      <c r="I7" s="7" t="s">
        <v>17</v>
      </c>
      <c r="J7" s="7" t="s">
        <v>32</v>
      </c>
    </row>
    <row r="8" spans="1:10" x14ac:dyDescent="0.25" outlineLevel="1" collapsed="1">
      <c r="A8" s="7" t="s">
        <v>19</v>
      </c>
      <c r="B8" s="7" t="s">
        <v>16</v>
      </c>
      <c r="C8" s="7" t="s">
        <v>17</v>
      </c>
      <c r="D8" s="7"/>
      <c r="E8" s="7" t="s">
        <v>33</v>
      </c>
      <c r="F8" s="7" t="s">
        <v>19</v>
      </c>
      <c r="G8" s="7" t="s">
        <v>31</v>
      </c>
      <c r="H8" s="7" t="s">
        <v>17</v>
      </c>
      <c r="I8" s="7" t="s">
        <v>17</v>
      </c>
      <c r="J8" s="7" t="s">
        <v>34</v>
      </c>
    </row>
    <row r="9" spans="1:10" x14ac:dyDescent="0.25" outlineLevel="1" collapsed="1">
      <c r="A9" s="7" t="s">
        <v>19</v>
      </c>
      <c r="B9" s="7" t="s">
        <v>63</v>
      </c>
      <c r="C9" s="7" t="s">
        <v>17</v>
      </c>
      <c r="D9" s="7"/>
      <c r="E9" s="7" t="s">
        <v>64</v>
      </c>
      <c r="F9" s="7" t="s">
        <v>19</v>
      </c>
      <c r="G9" s="7">
        <v>1</v>
      </c>
      <c r="H9" s="7" t="s">
        <v>17</v>
      </c>
      <c r="I9" s="7" t="s">
        <v>17</v>
      </c>
      <c r="J9" s="7" t="s">
        <v>65</v>
      </c>
    </row>
    <row r="10" spans="1:10" x14ac:dyDescent="0.25">
      <c r="A10" s="5" t="s">
        <v>19</v>
      </c>
      <c r="B10" s="5" t="s">
        <v>16</v>
      </c>
      <c r="C10" s="5" t="s">
        <v>17</v>
      </c>
      <c r="D10" s="5"/>
      <c r="E10" s="5" t="s">
        <v>66</v>
      </c>
      <c r="F10" s="5" t="s">
        <v>19</v>
      </c>
      <c r="G10" s="5" t="s">
        <v>31</v>
      </c>
      <c r="H10" s="5" t="s">
        <v>17</v>
      </c>
      <c r="I10" s="5" t="s">
        <v>17</v>
      </c>
      <c r="J10" s="5" t="s">
        <v>67</v>
      </c>
    </row>
    <row r="11" spans="1:10" x14ac:dyDescent="0.25">
      <c r="A11" s="5" t="s">
        <v>19</v>
      </c>
      <c r="B11" s="5" t="s">
        <v>16</v>
      </c>
      <c r="C11" s="5" t="s">
        <v>17</v>
      </c>
      <c r="D11" s="5"/>
      <c r="E11" s="5" t="s">
        <v>68</v>
      </c>
      <c r="F11" s="5" t="s">
        <v>19</v>
      </c>
      <c r="G11" s="5" t="s">
        <v>31</v>
      </c>
      <c r="H11" s="5" t="s">
        <v>17</v>
      </c>
      <c r="I11" s="5" t="s">
        <v>17</v>
      </c>
      <c r="J11" s="5" t="s">
        <v>69</v>
      </c>
    </row>
    <row r="12" spans="1:10" x14ac:dyDescent="0.25">
      <c r="A12" s="5" t="s">
        <v>19</v>
      </c>
      <c r="B12" s="5" t="s">
        <v>16</v>
      </c>
      <c r="C12" s="5" t="s">
        <v>17</v>
      </c>
      <c r="D12" s="5"/>
      <c r="E12" s="5" t="s">
        <v>70</v>
      </c>
      <c r="F12" s="5" t="s">
        <v>19</v>
      </c>
      <c r="G12" s="5" t="s">
        <v>31</v>
      </c>
      <c r="H12" s="5" t="s">
        <v>17</v>
      </c>
      <c r="I12" s="5" t="s">
        <v>17</v>
      </c>
      <c r="J12" s="5" t="s">
        <v>71</v>
      </c>
    </row>
  </sheetData>
  <mergeCells count="3">
    <mergeCell ref="A1:J1"/>
    <mergeCell ref="B2:J2"/>
    <mergeCell ref="B3:J3"/>
  </mergeCells>
  <hyperlinks>
    <hyperlink ref="B6" r:id="rId1" location="#'Estimated net reductions and r'!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72</v>
      </c>
      <c r="B1" s="1"/>
      <c r="C1" s="1"/>
      <c r="D1" s="1"/>
      <c r="E1" s="1"/>
      <c r="F1" s="1"/>
      <c r="G1" s="1"/>
      <c r="H1" s="1"/>
      <c r="I1" s="1"/>
      <c r="J1" s="1"/>
    </row>
    <row r="2" spans="1:10" x14ac:dyDescent="0.25">
      <c r="A2" s="2" t="s">
        <v>1</v>
      </c>
      <c r="B2" s="3" t="s">
        <v>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74</v>
      </c>
      <c r="C5" s="5" t="s">
        <v>17</v>
      </c>
      <c r="D5" s="5"/>
      <c r="E5" s="5" t="s">
        <v>75</v>
      </c>
      <c r="F5" s="5" t="s">
        <v>19</v>
      </c>
      <c r="G5" s="5" t="s">
        <v>17</v>
      </c>
      <c r="H5" s="5" t="s">
        <v>17</v>
      </c>
      <c r="I5" s="5" t="s">
        <v>17</v>
      </c>
      <c r="J5" s="5" t="s">
        <v>76</v>
      </c>
    </row>
    <row r="6" spans="1:10" x14ac:dyDescent="0.25" outlineLevel="1" collapsed="1">
      <c r="A6" s="7" t="s">
        <v>15</v>
      </c>
      <c r="B6" s="7" t="s">
        <v>16</v>
      </c>
      <c r="C6" s="7" t="s">
        <v>17</v>
      </c>
      <c r="D6" s="7"/>
      <c r="E6" s="7" t="s">
        <v>77</v>
      </c>
      <c r="F6" s="7" t="s">
        <v>19</v>
      </c>
      <c r="G6" s="7" t="s">
        <v>78</v>
      </c>
      <c r="H6" s="7" t="s">
        <v>17</v>
      </c>
      <c r="I6" s="7" t="s">
        <v>17</v>
      </c>
      <c r="J6" s="7" t="s">
        <v>79</v>
      </c>
    </row>
    <row r="7" spans="1:10" x14ac:dyDescent="0.25" outlineLevel="1" collapsed="1">
      <c r="A7" s="7" t="s">
        <v>19</v>
      </c>
      <c r="B7" s="7" t="s">
        <v>16</v>
      </c>
      <c r="C7" s="7" t="s">
        <v>17</v>
      </c>
      <c r="D7" s="7"/>
      <c r="E7" s="7" t="s">
        <v>80</v>
      </c>
      <c r="F7" s="7" t="s">
        <v>19</v>
      </c>
      <c r="G7" s="7" t="s">
        <v>81</v>
      </c>
      <c r="H7" s="7" t="s">
        <v>17</v>
      </c>
      <c r="I7" s="7" t="s">
        <v>17</v>
      </c>
      <c r="J7" s="7" t="s">
        <v>82</v>
      </c>
    </row>
    <row r="8" spans="1:10" x14ac:dyDescent="0.25">
      <c r="A8" s="5" t="s">
        <v>15</v>
      </c>
      <c r="B8" s="6" t="s">
        <v>83</v>
      </c>
      <c r="C8" s="5" t="s">
        <v>17</v>
      </c>
      <c r="D8" s="5"/>
      <c r="E8" s="5" t="s">
        <v>84</v>
      </c>
      <c r="F8" s="5" t="s">
        <v>19</v>
      </c>
      <c r="G8" s="5" t="s">
        <v>17</v>
      </c>
      <c r="H8" s="5" t="s">
        <v>17</v>
      </c>
      <c r="I8" s="5" t="s">
        <v>17</v>
      </c>
      <c r="J8" s="5" t="s">
        <v>85</v>
      </c>
    </row>
    <row r="9" spans="1:10" x14ac:dyDescent="0.25" outlineLevel="1" collapsed="1">
      <c r="A9" s="7" t="s">
        <v>15</v>
      </c>
      <c r="B9" s="7" t="s">
        <v>16</v>
      </c>
      <c r="C9" s="7" t="s">
        <v>17</v>
      </c>
      <c r="D9" s="7"/>
      <c r="E9" s="7" t="s">
        <v>86</v>
      </c>
      <c r="F9" s="7" t="s">
        <v>19</v>
      </c>
      <c r="G9" s="7" t="s">
        <v>87</v>
      </c>
      <c r="H9" s="7" t="s">
        <v>17</v>
      </c>
      <c r="I9" s="7" t="s">
        <v>17</v>
      </c>
      <c r="J9" s="7" t="s">
        <v>88</v>
      </c>
    </row>
    <row r="10" spans="1:10" x14ac:dyDescent="0.25">
      <c r="A10" s="5" t="s">
        <v>15</v>
      </c>
      <c r="B10" s="6" t="s">
        <v>89</v>
      </c>
      <c r="C10" s="5" t="s">
        <v>17</v>
      </c>
      <c r="D10" s="5"/>
      <c r="E10" s="5" t="s">
        <v>90</v>
      </c>
      <c r="F10" s="5" t="s">
        <v>19</v>
      </c>
      <c r="G10" s="5" t="s">
        <v>17</v>
      </c>
      <c r="H10" s="5" t="s">
        <v>17</v>
      </c>
      <c r="I10" s="5" t="s">
        <v>17</v>
      </c>
      <c r="J10" s="5" t="s">
        <v>91</v>
      </c>
    </row>
    <row r="11" spans="1:10" x14ac:dyDescent="0.25" outlineLevel="1" collapsed="1">
      <c r="A11" s="7" t="s">
        <v>15</v>
      </c>
      <c r="B11" s="7" t="s">
        <v>16</v>
      </c>
      <c r="C11" s="7" t="s">
        <v>17</v>
      </c>
      <c r="D11" s="7"/>
      <c r="E11" s="7" t="s">
        <v>92</v>
      </c>
      <c r="F11" s="7" t="s">
        <v>19</v>
      </c>
      <c r="G11" s="7" t="s">
        <v>93</v>
      </c>
      <c r="H11" s="7" t="s">
        <v>17</v>
      </c>
      <c r="I11" s="7" t="s">
        <v>17</v>
      </c>
      <c r="J11" s="7" t="s">
        <v>94</v>
      </c>
    </row>
    <row r="12" spans="1:10" x14ac:dyDescent="0.25">
      <c r="A12" s="5" t="s">
        <v>15</v>
      </c>
      <c r="B12" s="6" t="s">
        <v>95</v>
      </c>
      <c r="C12" s="5" t="s">
        <v>17</v>
      </c>
      <c r="D12" s="5"/>
      <c r="E12" s="5" t="s">
        <v>96</v>
      </c>
      <c r="F12" s="5" t="s">
        <v>19</v>
      </c>
      <c r="G12" s="5" t="s">
        <v>17</v>
      </c>
      <c r="H12" s="5" t="s">
        <v>17</v>
      </c>
      <c r="I12" s="5" t="s">
        <v>17</v>
      </c>
      <c r="J12" s="5" t="s">
        <v>97</v>
      </c>
    </row>
    <row r="13" spans="1:10" x14ac:dyDescent="0.25" outlineLevel="1" collapsed="1">
      <c r="A13" s="7" t="s">
        <v>15</v>
      </c>
      <c r="B13" s="7" t="s">
        <v>16</v>
      </c>
      <c r="C13" s="7" t="s">
        <v>17</v>
      </c>
      <c r="D13" s="7"/>
      <c r="E13" s="7" t="s">
        <v>98</v>
      </c>
      <c r="F13" s="7" t="s">
        <v>19</v>
      </c>
      <c r="G13" s="7" t="s">
        <v>99</v>
      </c>
      <c r="H13" s="7" t="s">
        <v>17</v>
      </c>
      <c r="I13" s="7" t="s">
        <v>17</v>
      </c>
      <c r="J13" s="7" t="s">
        <v>100</v>
      </c>
    </row>
    <row r="14" spans="1:10" x14ac:dyDescent="0.25">
      <c r="A14" s="5" t="s">
        <v>15</v>
      </c>
      <c r="B14" s="6" t="s">
        <v>101</v>
      </c>
      <c r="C14" s="5" t="s">
        <v>17</v>
      </c>
      <c r="D14" s="5"/>
      <c r="E14" s="5" t="s">
        <v>102</v>
      </c>
      <c r="F14" s="5" t="s">
        <v>19</v>
      </c>
      <c r="G14" s="5" t="s">
        <v>17</v>
      </c>
      <c r="H14" s="5" t="s">
        <v>17</v>
      </c>
      <c r="I14" s="5" t="s">
        <v>17</v>
      </c>
      <c r="J14" s="5" t="s">
        <v>103</v>
      </c>
    </row>
    <row r="15" spans="1:10" x14ac:dyDescent="0.25" outlineLevel="1" collapsed="1">
      <c r="A15" s="7" t="s">
        <v>19</v>
      </c>
      <c r="B15" s="7" t="s">
        <v>16</v>
      </c>
      <c r="C15" s="7" t="s">
        <v>17</v>
      </c>
      <c r="D15" s="7"/>
      <c r="E15" s="7" t="s">
        <v>104</v>
      </c>
      <c r="F15" s="7" t="s">
        <v>19</v>
      </c>
      <c r="G15" s="7" t="s">
        <v>105</v>
      </c>
      <c r="H15" s="7" t="s">
        <v>17</v>
      </c>
      <c r="I15" s="7" t="s">
        <v>17</v>
      </c>
      <c r="J15" s="7" t="s">
        <v>106</v>
      </c>
    </row>
    <row r="16" spans="1:10" x14ac:dyDescent="0.25">
      <c r="A16" s="5" t="s">
        <v>15</v>
      </c>
      <c r="B16" s="6" t="s">
        <v>107</v>
      </c>
      <c r="C16" s="5" t="s">
        <v>17</v>
      </c>
      <c r="D16" s="5"/>
      <c r="E16" s="5" t="s">
        <v>108</v>
      </c>
      <c r="F16" s="5" t="s">
        <v>19</v>
      </c>
      <c r="G16" s="5" t="s">
        <v>17</v>
      </c>
      <c r="H16" s="5" t="s">
        <v>17</v>
      </c>
      <c r="I16" s="5" t="s">
        <v>17</v>
      </c>
      <c r="J16" s="5" t="s">
        <v>109</v>
      </c>
    </row>
    <row r="17" spans="1:10" x14ac:dyDescent="0.25" outlineLevel="1" collapsed="1">
      <c r="A17" s="7" t="s">
        <v>19</v>
      </c>
      <c r="B17" s="7" t="s">
        <v>16</v>
      </c>
      <c r="C17" s="7" t="s">
        <v>17</v>
      </c>
      <c r="D17" s="7"/>
      <c r="E17" s="7" t="s">
        <v>110</v>
      </c>
      <c r="F17" s="7" t="s">
        <v>19</v>
      </c>
      <c r="G17" s="7" t="s">
        <v>111</v>
      </c>
      <c r="H17" s="7" t="s">
        <v>17</v>
      </c>
      <c r="I17" s="7" t="s">
        <v>17</v>
      </c>
      <c r="J17" s="7" t="s">
        <v>112</v>
      </c>
    </row>
  </sheetData>
  <mergeCells count="3">
    <mergeCell ref="A1:J1"/>
    <mergeCell ref="B2:J2"/>
    <mergeCell ref="B3:J3"/>
  </mergeCells>
  <hyperlinks>
    <hyperlink ref="B5" r:id="rId1" location="#'5.2.1 GHG Data Collection and'!A1"/>
    <hyperlink ref="B8" r:id="rId2" location="#'5.2.2 Procedures for Calibrati'!A1"/>
    <hyperlink ref="B10" r:id="rId3" location="#'5.2.3 Monitoring Personnel (VC'!A1"/>
    <hyperlink ref="B12" r:id="rId4" location="#'5.2.4 Procedures for Internal'!A1"/>
    <hyperlink ref="B14" r:id="rId5" location="#'5.2.5 Procedures for Handling'!A1"/>
    <hyperlink ref="B16" r:id="rId6" location="#'5.2.6 Sampling Approaches (VCS'!A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113</v>
      </c>
      <c r="B1" s="1"/>
      <c r="C1" s="1"/>
      <c r="D1" s="1"/>
      <c r="E1" s="1"/>
      <c r="F1" s="1"/>
      <c r="G1" s="1"/>
      <c r="H1" s="1"/>
      <c r="I1" s="1"/>
      <c r="J1" s="1"/>
    </row>
    <row r="2" spans="1:10" x14ac:dyDescent="0.25">
      <c r="A2" s="2" t="s">
        <v>1</v>
      </c>
      <c r="B2" s="3" t="s">
        <v>114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115</v>
      </c>
      <c r="C5" s="5" t="s">
        <v>17</v>
      </c>
      <c r="D5" s="5"/>
      <c r="E5" s="5" t="s">
        <v>116</v>
      </c>
      <c r="F5" s="5" t="s">
        <v>19</v>
      </c>
      <c r="G5" s="5" t="s">
        <v>17</v>
      </c>
      <c r="H5" s="5" t="s">
        <v>17</v>
      </c>
      <c r="I5" s="5" t="s">
        <v>17</v>
      </c>
      <c r="J5" s="5" t="s">
        <v>117</v>
      </c>
    </row>
    <row r="6" spans="1:10" x14ac:dyDescent="0.25" outlineLevel="1" collapsed="1">
      <c r="A6" s="8" t="s">
        <v>15</v>
      </c>
      <c r="B6" s="9" t="s">
        <v>118</v>
      </c>
      <c r="C6" s="8" t="s">
        <v>17</v>
      </c>
      <c r="D6" s="8"/>
      <c r="E6" s="8" t="s">
        <v>119</v>
      </c>
      <c r="F6" s="8" t="s">
        <v>19</v>
      </c>
      <c r="G6" s="8" t="s">
        <v>17</v>
      </c>
      <c r="H6" s="8" t="s">
        <v>17</v>
      </c>
      <c r="I6" s="8" t="s">
        <v>17</v>
      </c>
      <c r="J6" s="8" t="s">
        <v>120</v>
      </c>
    </row>
    <row r="7" spans="1:10" x14ac:dyDescent="0.25" outlineLevel="2" collapsed="1">
      <c r="A7" s="7" t="s">
        <v>15</v>
      </c>
      <c r="B7" s="7" t="s">
        <v>16</v>
      </c>
      <c r="C7" s="7" t="s">
        <v>17</v>
      </c>
      <c r="D7" s="7"/>
      <c r="E7" s="7" t="s">
        <v>121</v>
      </c>
      <c r="F7" s="7" t="s">
        <v>19</v>
      </c>
      <c r="G7" s="7" t="s">
        <v>122</v>
      </c>
      <c r="H7" s="7" t="s">
        <v>122</v>
      </c>
      <c r="I7" s="7" t="s">
        <v>17</v>
      </c>
      <c r="J7" s="7" t="s">
        <v>123</v>
      </c>
    </row>
    <row r="8" spans="1:10" x14ac:dyDescent="0.25">
      <c r="A8" s="5" t="s">
        <v>15</v>
      </c>
      <c r="B8" s="6" t="s">
        <v>124</v>
      </c>
      <c r="C8" s="5" t="s">
        <v>17</v>
      </c>
      <c r="D8" s="5"/>
      <c r="E8" s="5" t="s">
        <v>125</v>
      </c>
      <c r="F8" s="5" t="s">
        <v>19</v>
      </c>
      <c r="G8" s="5" t="s">
        <v>17</v>
      </c>
      <c r="H8" s="5" t="s">
        <v>17</v>
      </c>
      <c r="I8" s="5" t="s">
        <v>17</v>
      </c>
      <c r="J8" s="5" t="s">
        <v>126</v>
      </c>
    </row>
    <row r="9" spans="1:10" x14ac:dyDescent="0.25" outlineLevel="1" collapsed="1">
      <c r="A9" s="8" t="s">
        <v>15</v>
      </c>
      <c r="B9" s="9" t="s">
        <v>74</v>
      </c>
      <c r="C9" s="8" t="s">
        <v>17</v>
      </c>
      <c r="D9" s="8"/>
      <c r="E9" s="8" t="s">
        <v>75</v>
      </c>
      <c r="F9" s="8" t="s">
        <v>19</v>
      </c>
      <c r="G9" s="8" t="s">
        <v>17</v>
      </c>
      <c r="H9" s="8" t="s">
        <v>17</v>
      </c>
      <c r="I9" s="8" t="s">
        <v>17</v>
      </c>
      <c r="J9" s="8" t="s">
        <v>76</v>
      </c>
    </row>
    <row r="10" spans="1:10" x14ac:dyDescent="0.25" outlineLevel="2" collapsed="1">
      <c r="A10" s="7" t="s">
        <v>15</v>
      </c>
      <c r="B10" s="7" t="s">
        <v>16</v>
      </c>
      <c r="C10" s="7" t="s">
        <v>17</v>
      </c>
      <c r="D10" s="7"/>
      <c r="E10" s="7" t="s">
        <v>77</v>
      </c>
      <c r="F10" s="7" t="s">
        <v>19</v>
      </c>
      <c r="G10" s="7" t="s">
        <v>78</v>
      </c>
      <c r="H10" s="7" t="s">
        <v>17</v>
      </c>
      <c r="I10" s="7" t="s">
        <v>17</v>
      </c>
      <c r="J10" s="7" t="s">
        <v>79</v>
      </c>
    </row>
    <row r="11" spans="1:10" x14ac:dyDescent="0.25" outlineLevel="2" collapsed="1">
      <c r="A11" s="7" t="s">
        <v>19</v>
      </c>
      <c r="B11" s="7" t="s">
        <v>16</v>
      </c>
      <c r="C11" s="7" t="s">
        <v>17</v>
      </c>
      <c r="D11" s="7"/>
      <c r="E11" s="7" t="s">
        <v>80</v>
      </c>
      <c r="F11" s="7" t="s">
        <v>19</v>
      </c>
      <c r="G11" s="7" t="s">
        <v>81</v>
      </c>
      <c r="H11" s="7" t="s">
        <v>17</v>
      </c>
      <c r="I11" s="7" t="s">
        <v>17</v>
      </c>
      <c r="J11" s="7" t="s">
        <v>82</v>
      </c>
    </row>
    <row r="12" spans="1:10" x14ac:dyDescent="0.25" outlineLevel="1" collapsed="1">
      <c r="A12" s="8" t="s">
        <v>15</v>
      </c>
      <c r="B12" s="9" t="s">
        <v>83</v>
      </c>
      <c r="C12" s="8" t="s">
        <v>17</v>
      </c>
      <c r="D12" s="8"/>
      <c r="E12" s="8" t="s">
        <v>84</v>
      </c>
      <c r="F12" s="8" t="s">
        <v>19</v>
      </c>
      <c r="G12" s="8" t="s">
        <v>17</v>
      </c>
      <c r="H12" s="8" t="s">
        <v>17</v>
      </c>
      <c r="I12" s="8" t="s">
        <v>17</v>
      </c>
      <c r="J12" s="8" t="s">
        <v>85</v>
      </c>
    </row>
    <row r="13" spans="1:10" x14ac:dyDescent="0.25" outlineLevel="2" collapsed="1">
      <c r="A13" s="7" t="s">
        <v>15</v>
      </c>
      <c r="B13" s="7" t="s">
        <v>16</v>
      </c>
      <c r="C13" s="7" t="s">
        <v>17</v>
      </c>
      <c r="D13" s="7"/>
      <c r="E13" s="7" t="s">
        <v>86</v>
      </c>
      <c r="F13" s="7" t="s">
        <v>19</v>
      </c>
      <c r="G13" s="7" t="s">
        <v>87</v>
      </c>
      <c r="H13" s="7" t="s">
        <v>17</v>
      </c>
      <c r="I13" s="7" t="s">
        <v>17</v>
      </c>
      <c r="J13" s="7" t="s">
        <v>88</v>
      </c>
    </row>
    <row r="14" spans="1:10" x14ac:dyDescent="0.25" outlineLevel="1" collapsed="1">
      <c r="A14" s="8" t="s">
        <v>15</v>
      </c>
      <c r="B14" s="9" t="s">
        <v>89</v>
      </c>
      <c r="C14" s="8" t="s">
        <v>17</v>
      </c>
      <c r="D14" s="8"/>
      <c r="E14" s="8" t="s">
        <v>90</v>
      </c>
      <c r="F14" s="8" t="s">
        <v>19</v>
      </c>
      <c r="G14" s="8" t="s">
        <v>17</v>
      </c>
      <c r="H14" s="8" t="s">
        <v>17</v>
      </c>
      <c r="I14" s="8" t="s">
        <v>17</v>
      </c>
      <c r="J14" s="8" t="s">
        <v>91</v>
      </c>
    </row>
    <row r="15" spans="1:10" x14ac:dyDescent="0.25" outlineLevel="2" collapsed="1">
      <c r="A15" s="7" t="s">
        <v>15</v>
      </c>
      <c r="B15" s="7" t="s">
        <v>16</v>
      </c>
      <c r="C15" s="7" t="s">
        <v>17</v>
      </c>
      <c r="D15" s="7"/>
      <c r="E15" s="7" t="s">
        <v>92</v>
      </c>
      <c r="F15" s="7" t="s">
        <v>19</v>
      </c>
      <c r="G15" s="7" t="s">
        <v>93</v>
      </c>
      <c r="H15" s="7" t="s">
        <v>17</v>
      </c>
      <c r="I15" s="7" t="s">
        <v>17</v>
      </c>
      <c r="J15" s="7" t="s">
        <v>94</v>
      </c>
    </row>
    <row r="16" spans="1:10" x14ac:dyDescent="0.25" outlineLevel="1" collapsed="1">
      <c r="A16" s="8" t="s">
        <v>15</v>
      </c>
      <c r="B16" s="9" t="s">
        <v>95</v>
      </c>
      <c r="C16" s="8" t="s">
        <v>17</v>
      </c>
      <c r="D16" s="8"/>
      <c r="E16" s="8" t="s">
        <v>96</v>
      </c>
      <c r="F16" s="8" t="s">
        <v>19</v>
      </c>
      <c r="G16" s="8" t="s">
        <v>17</v>
      </c>
      <c r="H16" s="8" t="s">
        <v>17</v>
      </c>
      <c r="I16" s="8" t="s">
        <v>17</v>
      </c>
      <c r="J16" s="8" t="s">
        <v>97</v>
      </c>
    </row>
    <row r="17" spans="1:10" x14ac:dyDescent="0.25" outlineLevel="2" collapsed="1">
      <c r="A17" s="7" t="s">
        <v>15</v>
      </c>
      <c r="B17" s="7" t="s">
        <v>16</v>
      </c>
      <c r="C17" s="7" t="s">
        <v>17</v>
      </c>
      <c r="D17" s="7"/>
      <c r="E17" s="7" t="s">
        <v>98</v>
      </c>
      <c r="F17" s="7" t="s">
        <v>19</v>
      </c>
      <c r="G17" s="7" t="s">
        <v>99</v>
      </c>
      <c r="H17" s="7" t="s">
        <v>17</v>
      </c>
      <c r="I17" s="7" t="s">
        <v>17</v>
      </c>
      <c r="J17" s="7" t="s">
        <v>100</v>
      </c>
    </row>
    <row r="18" spans="1:10" x14ac:dyDescent="0.25" outlineLevel="1" collapsed="1">
      <c r="A18" s="8" t="s">
        <v>15</v>
      </c>
      <c r="B18" s="9" t="s">
        <v>101</v>
      </c>
      <c r="C18" s="8" t="s">
        <v>17</v>
      </c>
      <c r="D18" s="8"/>
      <c r="E18" s="8" t="s">
        <v>102</v>
      </c>
      <c r="F18" s="8" t="s">
        <v>19</v>
      </c>
      <c r="G18" s="8" t="s">
        <v>17</v>
      </c>
      <c r="H18" s="8" t="s">
        <v>17</v>
      </c>
      <c r="I18" s="8" t="s">
        <v>17</v>
      </c>
      <c r="J18" s="8" t="s">
        <v>103</v>
      </c>
    </row>
    <row r="19" spans="1:10" x14ac:dyDescent="0.25" outlineLevel="2" collapsed="1">
      <c r="A19" s="7" t="s">
        <v>19</v>
      </c>
      <c r="B19" s="7" t="s">
        <v>16</v>
      </c>
      <c r="C19" s="7" t="s">
        <v>17</v>
      </c>
      <c r="D19" s="7"/>
      <c r="E19" s="7" t="s">
        <v>104</v>
      </c>
      <c r="F19" s="7" t="s">
        <v>19</v>
      </c>
      <c r="G19" s="7" t="s">
        <v>105</v>
      </c>
      <c r="H19" s="7" t="s">
        <v>17</v>
      </c>
      <c r="I19" s="7" t="s">
        <v>17</v>
      </c>
      <c r="J19" s="7" t="s">
        <v>106</v>
      </c>
    </row>
    <row r="20" spans="1:10" x14ac:dyDescent="0.25" outlineLevel="1" collapsed="1">
      <c r="A20" s="8" t="s">
        <v>15</v>
      </c>
      <c r="B20" s="9" t="s">
        <v>107</v>
      </c>
      <c r="C20" s="8" t="s">
        <v>17</v>
      </c>
      <c r="D20" s="8"/>
      <c r="E20" s="8" t="s">
        <v>108</v>
      </c>
      <c r="F20" s="8" t="s">
        <v>19</v>
      </c>
      <c r="G20" s="8" t="s">
        <v>17</v>
      </c>
      <c r="H20" s="8" t="s">
        <v>17</v>
      </c>
      <c r="I20" s="8" t="s">
        <v>17</v>
      </c>
      <c r="J20" s="8" t="s">
        <v>109</v>
      </c>
    </row>
    <row r="21" spans="1:10" x14ac:dyDescent="0.25" outlineLevel="2" collapsed="1">
      <c r="A21" s="7" t="s">
        <v>19</v>
      </c>
      <c r="B21" s="7" t="s">
        <v>16</v>
      </c>
      <c r="C21" s="7" t="s">
        <v>17</v>
      </c>
      <c r="D21" s="7"/>
      <c r="E21" s="7" t="s">
        <v>110</v>
      </c>
      <c r="F21" s="7" t="s">
        <v>19</v>
      </c>
      <c r="G21" s="7" t="s">
        <v>111</v>
      </c>
      <c r="H21" s="7" t="s">
        <v>17</v>
      </c>
      <c r="I21" s="7" t="s">
        <v>17</v>
      </c>
      <c r="J21" s="7" t="s">
        <v>112</v>
      </c>
    </row>
  </sheetData>
  <mergeCells count="3">
    <mergeCell ref="A1:J1"/>
    <mergeCell ref="B2:J2"/>
    <mergeCell ref="B3:J3"/>
  </mergeCells>
  <hyperlinks>
    <hyperlink ref="B5" r:id="rId1" location="#'5.1 Data and Parameters (VCS P'!A1"/>
    <hyperlink ref="B6" r:id="rId2" location="#'Data and Parameters Available'!A1"/>
    <hyperlink ref="B8" r:id="rId3" location="#'5.2 Monitoring Plan (VCS PD 5.'!A1"/>
    <hyperlink ref="B9" r:id="rId4" location="#'5.2.1 GHG Data Collection and'!A1"/>
    <hyperlink ref="B12" r:id="rId5" location="#'5.2.2 Procedures for Calibrati'!A1"/>
    <hyperlink ref="B14" r:id="rId6" location="#'5.2.3 Monitoring Personnel (VC'!A1"/>
    <hyperlink ref="B16" r:id="rId7" location="#'5.2.4 Procedures for Internal'!A1"/>
    <hyperlink ref="B18" r:id="rId8" location="#'5.2.5 Procedures for Handling'!A1"/>
    <hyperlink ref="B20" r:id="rId9" location="#'5.2.6 Sampling Approaches (VCS'!A1"/>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127</v>
      </c>
      <c r="B1" s="1"/>
      <c r="C1" s="1"/>
      <c r="D1" s="1"/>
      <c r="E1" s="1"/>
      <c r="F1" s="1"/>
      <c r="G1" s="1"/>
      <c r="H1" s="1"/>
      <c r="I1" s="1"/>
      <c r="J1" s="1"/>
    </row>
    <row r="2" spans="1:10" x14ac:dyDescent="0.25">
      <c r="A2" s="2" t="s">
        <v>1</v>
      </c>
      <c r="B2" s="3" t="s">
        <v>128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129</v>
      </c>
      <c r="C5" s="5" t="s">
        <v>17</v>
      </c>
      <c r="D5" s="5"/>
      <c r="E5" s="5" t="s">
        <v>130</v>
      </c>
      <c r="F5" s="5" t="s">
        <v>19</v>
      </c>
      <c r="G5" s="5" t="s">
        <v>17</v>
      </c>
      <c r="H5" s="5" t="s">
        <v>17</v>
      </c>
      <c r="I5" s="5" t="s">
        <v>17</v>
      </c>
      <c r="J5" s="5" t="s">
        <v>131</v>
      </c>
    </row>
    <row r="6" spans="1:10" x14ac:dyDescent="0.25" outlineLevel="1" collapsed="1">
      <c r="A6" s="8" t="s">
        <v>19</v>
      </c>
      <c r="B6" s="9" t="s">
        <v>132</v>
      </c>
      <c r="C6" s="8" t="s">
        <v>17</v>
      </c>
      <c r="D6" s="8"/>
      <c r="E6" s="8" t="s">
        <v>133</v>
      </c>
      <c r="F6" s="8" t="s">
        <v>15</v>
      </c>
      <c r="G6" s="8" t="s">
        <v>17</v>
      </c>
      <c r="H6" s="8" t="s">
        <v>17</v>
      </c>
      <c r="I6" s="8" t="s">
        <v>17</v>
      </c>
      <c r="J6" s="8" t="s">
        <v>134</v>
      </c>
    </row>
    <row r="7" spans="1:10" x14ac:dyDescent="0.25" outlineLevel="2" collapsed="1">
      <c r="A7" s="7" t="s">
        <v>19</v>
      </c>
      <c r="B7" s="7" t="s">
        <v>16</v>
      </c>
      <c r="C7" s="7" t="s">
        <v>17</v>
      </c>
      <c r="D7" s="7"/>
      <c r="E7" s="7" t="s">
        <v>135</v>
      </c>
      <c r="F7" s="7" t="s">
        <v>19</v>
      </c>
      <c r="G7" s="7" t="s">
        <v>31</v>
      </c>
      <c r="H7" s="7" t="s">
        <v>17</v>
      </c>
      <c r="I7" s="7" t="s">
        <v>17</v>
      </c>
      <c r="J7" s="7" t="s">
        <v>136</v>
      </c>
    </row>
    <row r="8" spans="1:10" x14ac:dyDescent="0.25" outlineLevel="2" collapsed="1">
      <c r="A8" s="7" t="s">
        <v>19</v>
      </c>
      <c r="B8" s="7" t="s">
        <v>16</v>
      </c>
      <c r="C8" s="7" t="s">
        <v>17</v>
      </c>
      <c r="D8" s="7"/>
      <c r="E8" s="7" t="s">
        <v>137</v>
      </c>
      <c r="F8" s="7" t="s">
        <v>19</v>
      </c>
      <c r="G8" s="7" t="s">
        <v>31</v>
      </c>
      <c r="H8" s="7" t="s">
        <v>17</v>
      </c>
      <c r="I8" s="7" t="s">
        <v>17</v>
      </c>
      <c r="J8" s="7" t="s">
        <v>138</v>
      </c>
    </row>
    <row r="9" spans="1:10" x14ac:dyDescent="0.25" outlineLevel="2" collapsed="1">
      <c r="A9" s="7" t="s">
        <v>19</v>
      </c>
      <c r="B9" s="7" t="s">
        <v>16</v>
      </c>
      <c r="C9" s="7" t="s">
        <v>17</v>
      </c>
      <c r="D9" s="7"/>
      <c r="E9" s="7" t="s">
        <v>139</v>
      </c>
      <c r="F9" s="7" t="s">
        <v>19</v>
      </c>
      <c r="G9" s="7" t="s">
        <v>31</v>
      </c>
      <c r="H9" s="7" t="s">
        <v>17</v>
      </c>
      <c r="I9" s="7" t="s">
        <v>17</v>
      </c>
      <c r="J9" s="7" t="s">
        <v>140</v>
      </c>
    </row>
    <row r="10" spans="1:10" x14ac:dyDescent="0.25" outlineLevel="2" collapsed="1">
      <c r="A10" s="7" t="s">
        <v>19</v>
      </c>
      <c r="B10" s="7" t="s">
        <v>16</v>
      </c>
      <c r="C10" s="7" t="s">
        <v>17</v>
      </c>
      <c r="D10" s="7"/>
      <c r="E10" s="7" t="s">
        <v>141</v>
      </c>
      <c r="F10" s="7" t="s">
        <v>19</v>
      </c>
      <c r="G10" s="7" t="s">
        <v>31</v>
      </c>
      <c r="H10" s="7" t="s">
        <v>17</v>
      </c>
      <c r="I10" s="7" t="s">
        <v>17</v>
      </c>
      <c r="J10" s="7" t="s">
        <v>142</v>
      </c>
    </row>
    <row r="11" spans="1:10" x14ac:dyDescent="0.25" outlineLevel="2" collapsed="1">
      <c r="A11" s="7" t="s">
        <v>19</v>
      </c>
      <c r="B11" s="7" t="s">
        <v>16</v>
      </c>
      <c r="C11" s="7" t="s">
        <v>17</v>
      </c>
      <c r="D11" s="7"/>
      <c r="E11" s="7" t="s">
        <v>143</v>
      </c>
      <c r="F11" s="7" t="s">
        <v>19</v>
      </c>
      <c r="G11" s="7" t="s">
        <v>31</v>
      </c>
      <c r="H11" s="7" t="s">
        <v>17</v>
      </c>
      <c r="I11" s="7" t="s">
        <v>17</v>
      </c>
      <c r="J11" s="7" t="s">
        <v>144</v>
      </c>
    </row>
    <row r="12" spans="1:10" x14ac:dyDescent="0.25" outlineLevel="2" collapsed="1">
      <c r="A12" s="7" t="s">
        <v>19</v>
      </c>
      <c r="B12" s="7" t="s">
        <v>16</v>
      </c>
      <c r="C12" s="7" t="s">
        <v>17</v>
      </c>
      <c r="D12" s="7"/>
      <c r="E12" s="7" t="s">
        <v>145</v>
      </c>
      <c r="F12" s="7" t="s">
        <v>19</v>
      </c>
      <c r="G12" s="7" t="s">
        <v>31</v>
      </c>
      <c r="H12" s="7" t="s">
        <v>17</v>
      </c>
      <c r="I12" s="7" t="s">
        <v>17</v>
      </c>
      <c r="J12" s="7" t="s">
        <v>146</v>
      </c>
    </row>
    <row r="13" spans="1:10" x14ac:dyDescent="0.25" outlineLevel="2" collapsed="1">
      <c r="A13" s="7" t="s">
        <v>19</v>
      </c>
      <c r="B13" s="7" t="s">
        <v>16</v>
      </c>
      <c r="C13" s="7" t="s">
        <v>17</v>
      </c>
      <c r="D13" s="7"/>
      <c r="E13" s="7" t="s">
        <v>147</v>
      </c>
      <c r="F13" s="7" t="s">
        <v>19</v>
      </c>
      <c r="G13" s="7" t="s">
        <v>31</v>
      </c>
      <c r="H13" s="7" t="s">
        <v>17</v>
      </c>
      <c r="I13" s="7" t="s">
        <v>17</v>
      </c>
      <c r="J13" s="7" t="s">
        <v>148</v>
      </c>
    </row>
    <row r="14" spans="1:10" x14ac:dyDescent="0.25" outlineLevel="2" collapsed="1">
      <c r="A14" s="7" t="s">
        <v>19</v>
      </c>
      <c r="B14" s="7" t="s">
        <v>16</v>
      </c>
      <c r="C14" s="7" t="s">
        <v>17</v>
      </c>
      <c r="D14" s="7"/>
      <c r="E14" s="7" t="s">
        <v>149</v>
      </c>
      <c r="F14" s="7" t="s">
        <v>19</v>
      </c>
      <c r="G14" s="7" t="s">
        <v>31</v>
      </c>
      <c r="H14" s="7" t="s">
        <v>17</v>
      </c>
      <c r="I14" s="7" t="s">
        <v>17</v>
      </c>
      <c r="J14" s="7" t="s">
        <v>150</v>
      </c>
    </row>
    <row r="15" spans="1:10" x14ac:dyDescent="0.25">
      <c r="A15" s="5" t="s">
        <v>15</v>
      </c>
      <c r="B15" s="6" t="s">
        <v>151</v>
      </c>
      <c r="C15" s="5" t="s">
        <v>17</v>
      </c>
      <c r="D15" s="5"/>
      <c r="E15" s="5" t="s">
        <v>152</v>
      </c>
      <c r="F15" s="5" t="s">
        <v>15</v>
      </c>
      <c r="G15" s="5" t="s">
        <v>17</v>
      </c>
      <c r="H15" s="5" t="s">
        <v>17</v>
      </c>
      <c r="I15" s="5" t="s">
        <v>17</v>
      </c>
      <c r="J15" s="5" t="s">
        <v>153</v>
      </c>
    </row>
    <row r="16" spans="1:10" x14ac:dyDescent="0.25" outlineLevel="1" collapsed="1">
      <c r="A16" s="7" t="s">
        <v>15</v>
      </c>
      <c r="B16" s="7" t="s">
        <v>16</v>
      </c>
      <c r="C16" s="7" t="s">
        <v>17</v>
      </c>
      <c r="D16" s="7"/>
      <c r="E16" s="7" t="s">
        <v>154</v>
      </c>
      <c r="F16" s="7" t="s">
        <v>19</v>
      </c>
      <c r="G16" s="7" t="s">
        <v>155</v>
      </c>
      <c r="H16" s="7" t="s">
        <v>17</v>
      </c>
      <c r="I16" s="7" t="s">
        <v>17</v>
      </c>
      <c r="J16" s="7" t="s">
        <v>136</v>
      </c>
    </row>
    <row r="17" spans="1:10" x14ac:dyDescent="0.25" outlineLevel="1" collapsed="1">
      <c r="A17" s="7" t="s">
        <v>15</v>
      </c>
      <c r="B17" s="7" t="s">
        <v>16</v>
      </c>
      <c r="C17" s="7" t="s">
        <v>17</v>
      </c>
      <c r="D17" s="7"/>
      <c r="E17" s="7" t="s">
        <v>156</v>
      </c>
      <c r="F17" s="7" t="s">
        <v>19</v>
      </c>
      <c r="G17" s="7" t="s">
        <v>157</v>
      </c>
      <c r="H17" s="7" t="s">
        <v>17</v>
      </c>
      <c r="I17" s="7" t="s">
        <v>17</v>
      </c>
      <c r="J17" s="7" t="s">
        <v>158</v>
      </c>
    </row>
    <row r="18" spans="1:10" x14ac:dyDescent="0.25" outlineLevel="1" collapsed="1">
      <c r="A18" s="7" t="s">
        <v>15</v>
      </c>
      <c r="B18" s="7" t="s">
        <v>159</v>
      </c>
      <c r="C18" s="7" t="s">
        <v>17</v>
      </c>
      <c r="D18" s="7"/>
      <c r="E18" s="7" t="s">
        <v>160</v>
      </c>
      <c r="F18" s="7" t="s">
        <v>19</v>
      </c>
      <c r="G18" s="7" t="b">
        <v>0</v>
      </c>
      <c r="H18" s="7" t="s">
        <v>17</v>
      </c>
      <c r="I18" s="7" t="s">
        <v>17</v>
      </c>
      <c r="J18" s="7" t="s">
        <v>161</v>
      </c>
    </row>
    <row r="19" spans="1:10" x14ac:dyDescent="0.25" outlineLevel="1" collapsed="1">
      <c r="A19" s="7" t="s">
        <v>19</v>
      </c>
      <c r="B19" s="7" t="s">
        <v>16</v>
      </c>
      <c r="C19" s="7" t="s">
        <v>17</v>
      </c>
      <c r="D19" s="7"/>
      <c r="E19" s="7" t="s">
        <v>162</v>
      </c>
      <c r="F19" s="7" t="s">
        <v>19</v>
      </c>
      <c r="G19" s="7" t="s">
        <v>31</v>
      </c>
      <c r="H19" s="7" t="s">
        <v>17</v>
      </c>
      <c r="I19" s="7" t="s">
        <v>17</v>
      </c>
      <c r="J19" s="7" t="s">
        <v>163</v>
      </c>
    </row>
    <row r="20" spans="1:10" x14ac:dyDescent="0.25" outlineLevel="1" collapsed="1">
      <c r="A20" s="7" t="s">
        <v>19</v>
      </c>
      <c r="B20" s="7" t="s">
        <v>16</v>
      </c>
      <c r="C20" s="7" t="s">
        <v>17</v>
      </c>
      <c r="D20" s="7"/>
      <c r="E20" s="7" t="s">
        <v>164</v>
      </c>
      <c r="F20" s="7" t="s">
        <v>19</v>
      </c>
      <c r="G20" s="7" t="s">
        <v>31</v>
      </c>
      <c r="H20" s="7" t="s">
        <v>17</v>
      </c>
      <c r="I20" s="7" t="s">
        <v>17</v>
      </c>
      <c r="J20" s="7" t="s">
        <v>165</v>
      </c>
    </row>
    <row r="21" spans="1:10" x14ac:dyDescent="0.25" outlineLevel="1" collapsed="1">
      <c r="A21" s="7" t="s">
        <v>19</v>
      </c>
      <c r="B21" s="7" t="s">
        <v>16</v>
      </c>
      <c r="C21" s="7" t="s">
        <v>17</v>
      </c>
      <c r="D21" s="7"/>
      <c r="E21" s="7" t="s">
        <v>166</v>
      </c>
      <c r="F21" s="7" t="s">
        <v>19</v>
      </c>
      <c r="G21" s="7" t="s">
        <v>31</v>
      </c>
      <c r="H21" s="7" t="s">
        <v>17</v>
      </c>
      <c r="I21" s="7" t="s">
        <v>17</v>
      </c>
      <c r="J21" s="7" t="s">
        <v>167</v>
      </c>
    </row>
    <row r="22" spans="1:10" x14ac:dyDescent="0.25">
      <c r="A22" s="5" t="s">
        <v>15</v>
      </c>
      <c r="B22" s="6" t="s">
        <v>168</v>
      </c>
      <c r="C22" s="5" t="s">
        <v>17</v>
      </c>
      <c r="D22" s="5"/>
      <c r="E22" s="5" t="s">
        <v>169</v>
      </c>
      <c r="F22" s="5" t="s">
        <v>15</v>
      </c>
      <c r="G22" s="5" t="s">
        <v>17</v>
      </c>
      <c r="H22" s="5" t="s">
        <v>17</v>
      </c>
      <c r="I22" s="5" t="s">
        <v>17</v>
      </c>
      <c r="J22" s="5" t="s">
        <v>170</v>
      </c>
    </row>
    <row r="23" spans="1:10" x14ac:dyDescent="0.25" outlineLevel="1" collapsed="1">
      <c r="A23" s="7" t="s">
        <v>15</v>
      </c>
      <c r="B23" s="7" t="s">
        <v>16</v>
      </c>
      <c r="C23" s="7" t="s">
        <v>17</v>
      </c>
      <c r="D23" s="7"/>
      <c r="E23" s="7" t="s">
        <v>171</v>
      </c>
      <c r="F23" s="7" t="s">
        <v>19</v>
      </c>
      <c r="G23" s="7" t="s">
        <v>172</v>
      </c>
      <c r="H23" s="7" t="s">
        <v>17</v>
      </c>
      <c r="I23" s="7" t="s">
        <v>17</v>
      </c>
      <c r="J23" s="7" t="s">
        <v>173</v>
      </c>
    </row>
    <row r="24" spans="1:10" x14ac:dyDescent="0.25" outlineLevel="1" collapsed="1">
      <c r="A24" s="7" t="s">
        <v>15</v>
      </c>
      <c r="B24" s="7" t="s">
        <v>16</v>
      </c>
      <c r="C24" s="7" t="s">
        <v>17</v>
      </c>
      <c r="D24" s="7"/>
      <c r="E24" s="7" t="s">
        <v>174</v>
      </c>
      <c r="F24" s="7" t="s">
        <v>19</v>
      </c>
      <c r="G24" s="7" t="s">
        <v>175</v>
      </c>
      <c r="H24" s="7" t="s">
        <v>17</v>
      </c>
      <c r="I24" s="7" t="s">
        <v>17</v>
      </c>
      <c r="J24" s="7" t="s">
        <v>176</v>
      </c>
    </row>
    <row r="25" spans="1:10" x14ac:dyDescent="0.25" outlineLevel="1" collapsed="1">
      <c r="A25" s="7" t="s">
        <v>19</v>
      </c>
      <c r="B25" s="7" t="s">
        <v>16</v>
      </c>
      <c r="C25" s="7" t="s">
        <v>17</v>
      </c>
      <c r="D25" s="7"/>
      <c r="E25" s="7" t="s">
        <v>177</v>
      </c>
      <c r="F25" s="7" t="s">
        <v>19</v>
      </c>
      <c r="G25" s="7" t="s">
        <v>178</v>
      </c>
      <c r="H25" s="7" t="s">
        <v>17</v>
      </c>
      <c r="I25" s="7" t="s">
        <v>17</v>
      </c>
      <c r="J25" s="7" t="s">
        <v>179</v>
      </c>
    </row>
    <row r="26" spans="1:10" x14ac:dyDescent="0.25" outlineLevel="1" collapsed="1">
      <c r="A26" s="7" t="s">
        <v>19</v>
      </c>
      <c r="B26" s="7" t="s">
        <v>16</v>
      </c>
      <c r="C26" s="7" t="s">
        <v>17</v>
      </c>
      <c r="D26" s="7"/>
      <c r="E26" s="7" t="s">
        <v>180</v>
      </c>
      <c r="F26" s="7" t="s">
        <v>19</v>
      </c>
      <c r="G26" s="7" t="s">
        <v>181</v>
      </c>
      <c r="H26" s="7" t="s">
        <v>17</v>
      </c>
      <c r="I26" s="7" t="s">
        <v>17</v>
      </c>
      <c r="J26" s="7" t="s">
        <v>182</v>
      </c>
    </row>
    <row r="27" spans="1:10" x14ac:dyDescent="0.25">
      <c r="A27" s="5" t="s">
        <v>15</v>
      </c>
      <c r="B27" s="6" t="s">
        <v>183</v>
      </c>
      <c r="C27" s="5" t="s">
        <v>17</v>
      </c>
      <c r="D27" s="5"/>
      <c r="E27" s="5" t="s">
        <v>184</v>
      </c>
      <c r="F27" s="5" t="s">
        <v>19</v>
      </c>
      <c r="G27" s="5" t="s">
        <v>17</v>
      </c>
      <c r="H27" s="5" t="s">
        <v>17</v>
      </c>
      <c r="I27" s="5" t="s">
        <v>17</v>
      </c>
      <c r="J27" s="5" t="s">
        <v>185</v>
      </c>
    </row>
    <row r="28" spans="1:10" x14ac:dyDescent="0.25" outlineLevel="1" collapsed="1">
      <c r="A28" s="8" t="s">
        <v>15</v>
      </c>
      <c r="B28" s="9" t="s">
        <v>186</v>
      </c>
      <c r="C28" s="8" t="s">
        <v>17</v>
      </c>
      <c r="D28" s="8"/>
      <c r="E28" s="8" t="s">
        <v>187</v>
      </c>
      <c r="F28" s="8" t="s">
        <v>19</v>
      </c>
      <c r="G28" s="8" t="s">
        <v>17</v>
      </c>
      <c r="H28" s="8" t="s">
        <v>17</v>
      </c>
      <c r="I28" s="8" t="s">
        <v>17</v>
      </c>
      <c r="J28" s="8" t="s">
        <v>188</v>
      </c>
    </row>
    <row r="29" spans="1:10" x14ac:dyDescent="0.25" outlineLevel="2" collapsed="1">
      <c r="A29" s="7" t="s">
        <v>15</v>
      </c>
      <c r="B29" s="7" t="s">
        <v>16</v>
      </c>
      <c r="C29" s="7" t="s">
        <v>17</v>
      </c>
      <c r="D29" s="7"/>
      <c r="E29" s="7" t="s">
        <v>189</v>
      </c>
      <c r="F29" s="7" t="s">
        <v>19</v>
      </c>
      <c r="G29" s="7" t="s">
        <v>190</v>
      </c>
      <c r="H29" s="7" t="s">
        <v>17</v>
      </c>
      <c r="I29" s="7" t="s">
        <v>17</v>
      </c>
      <c r="J29" s="7" t="s">
        <v>191</v>
      </c>
    </row>
    <row r="30" spans="1:10" x14ac:dyDescent="0.25" outlineLevel="2" collapsed="1">
      <c r="A30" s="7" t="s">
        <v>15</v>
      </c>
      <c r="B30" s="7" t="s">
        <v>16</v>
      </c>
      <c r="C30" s="7" t="s">
        <v>17</v>
      </c>
      <c r="D30" s="7"/>
      <c r="E30" s="7" t="s">
        <v>192</v>
      </c>
      <c r="F30" s="7" t="s">
        <v>19</v>
      </c>
      <c r="G30" s="7" t="s">
        <v>193</v>
      </c>
      <c r="H30" s="7" t="s">
        <v>17</v>
      </c>
      <c r="I30" s="7" t="s">
        <v>17</v>
      </c>
      <c r="J30" s="7" t="s">
        <v>194</v>
      </c>
    </row>
    <row r="31" spans="1:10" x14ac:dyDescent="0.25" outlineLevel="2" collapsed="1">
      <c r="A31" s="7" t="s">
        <v>15</v>
      </c>
      <c r="B31" s="7" t="s">
        <v>16</v>
      </c>
      <c r="C31" s="7" t="s">
        <v>17</v>
      </c>
      <c r="D31" s="7"/>
      <c r="E31" s="7" t="s">
        <v>195</v>
      </c>
      <c r="F31" s="7" t="s">
        <v>19</v>
      </c>
      <c r="G31" s="7" t="s">
        <v>196</v>
      </c>
      <c r="H31" s="7" t="s">
        <v>17</v>
      </c>
      <c r="I31" s="7" t="s">
        <v>17</v>
      </c>
      <c r="J31" s="7" t="s">
        <v>197</v>
      </c>
    </row>
    <row r="32" spans="1:10" x14ac:dyDescent="0.25" outlineLevel="2" collapsed="1">
      <c r="A32" s="7" t="s">
        <v>19</v>
      </c>
      <c r="B32" s="7" t="s">
        <v>16</v>
      </c>
      <c r="C32" s="7" t="s">
        <v>17</v>
      </c>
      <c r="D32" s="7"/>
      <c r="E32" s="7" t="s">
        <v>198</v>
      </c>
      <c r="F32" s="7" t="s">
        <v>19</v>
      </c>
      <c r="G32" s="7" t="s">
        <v>199</v>
      </c>
      <c r="H32" s="7" t="s">
        <v>17</v>
      </c>
      <c r="I32" s="7" t="s">
        <v>17</v>
      </c>
      <c r="J32" s="7" t="s">
        <v>200</v>
      </c>
    </row>
    <row r="33" spans="1:10" x14ac:dyDescent="0.25" outlineLevel="2" collapsed="1">
      <c r="A33" s="7" t="s">
        <v>15</v>
      </c>
      <c r="B33" s="7" t="s">
        <v>16</v>
      </c>
      <c r="C33" s="7" t="s">
        <v>17</v>
      </c>
      <c r="D33" s="7"/>
      <c r="E33" s="7" t="s">
        <v>201</v>
      </c>
      <c r="F33" s="7" t="s">
        <v>19</v>
      </c>
      <c r="G33" s="7" t="s">
        <v>202</v>
      </c>
      <c r="H33" s="7" t="s">
        <v>17</v>
      </c>
      <c r="I33" s="7" t="s">
        <v>17</v>
      </c>
      <c r="J33" s="7" t="s">
        <v>203</v>
      </c>
    </row>
    <row r="34" spans="1:10" x14ac:dyDescent="0.25" outlineLevel="1" collapsed="1">
      <c r="A34" s="7" t="s">
        <v>19</v>
      </c>
      <c r="B34" s="7" t="s">
        <v>16</v>
      </c>
      <c r="C34" s="7" t="s">
        <v>17</v>
      </c>
      <c r="D34" s="7"/>
      <c r="E34" s="7" t="s">
        <v>204</v>
      </c>
      <c r="F34" s="7" t="s">
        <v>19</v>
      </c>
      <c r="G34" s="7" t="s">
        <v>31</v>
      </c>
      <c r="H34" s="7" t="s">
        <v>17</v>
      </c>
      <c r="I34" s="7" t="s">
        <v>17</v>
      </c>
      <c r="J34" s="7" t="s">
        <v>205</v>
      </c>
    </row>
    <row r="35" spans="1:10" x14ac:dyDescent="0.25" outlineLevel="1" collapsed="1">
      <c r="A35" s="7" t="s">
        <v>19</v>
      </c>
      <c r="B35" s="7" t="s">
        <v>16</v>
      </c>
      <c r="C35" s="7" t="s">
        <v>17</v>
      </c>
      <c r="D35" s="7"/>
      <c r="E35" s="7" t="s">
        <v>206</v>
      </c>
      <c r="F35" s="7" t="s">
        <v>19</v>
      </c>
      <c r="G35" s="7" t="s">
        <v>31</v>
      </c>
      <c r="H35" s="7" t="s">
        <v>17</v>
      </c>
      <c r="I35" s="7" t="s">
        <v>17</v>
      </c>
      <c r="J35" s="7" t="s">
        <v>207</v>
      </c>
    </row>
    <row r="36" spans="1:10" x14ac:dyDescent="0.25" outlineLevel="1" collapsed="1">
      <c r="A36" s="7" t="s">
        <v>19</v>
      </c>
      <c r="B36" s="7" t="s">
        <v>16</v>
      </c>
      <c r="C36" s="7" t="s">
        <v>17</v>
      </c>
      <c r="D36" s="7"/>
      <c r="E36" s="7" t="s">
        <v>208</v>
      </c>
      <c r="F36" s="7" t="s">
        <v>19</v>
      </c>
      <c r="G36" s="7" t="s">
        <v>31</v>
      </c>
      <c r="H36" s="7" t="s">
        <v>17</v>
      </c>
      <c r="I36" s="7" t="s">
        <v>17</v>
      </c>
      <c r="J36" s="7" t="s">
        <v>209</v>
      </c>
    </row>
    <row r="37" spans="1:10" x14ac:dyDescent="0.25" outlineLevel="1" collapsed="1">
      <c r="A37" s="7" t="s">
        <v>19</v>
      </c>
      <c r="B37" s="7" t="s">
        <v>16</v>
      </c>
      <c r="C37" s="7" t="s">
        <v>17</v>
      </c>
      <c r="D37" s="7"/>
      <c r="E37" s="7" t="s">
        <v>210</v>
      </c>
      <c r="F37" s="7" t="s">
        <v>19</v>
      </c>
      <c r="G37" s="7" t="s">
        <v>31</v>
      </c>
      <c r="H37" s="7" t="s">
        <v>17</v>
      </c>
      <c r="I37" s="7" t="s">
        <v>17</v>
      </c>
      <c r="J37" s="7" t="s">
        <v>211</v>
      </c>
    </row>
    <row r="38" spans="1:10" x14ac:dyDescent="0.25">
      <c r="A38" s="5" t="s">
        <v>15</v>
      </c>
      <c r="B38" s="6" t="s">
        <v>212</v>
      </c>
      <c r="C38" s="5" t="s">
        <v>17</v>
      </c>
      <c r="D38" s="5"/>
      <c r="E38" s="5" t="s">
        <v>213</v>
      </c>
      <c r="F38" s="5" t="s">
        <v>19</v>
      </c>
      <c r="G38" s="5" t="s">
        <v>17</v>
      </c>
      <c r="H38" s="5" t="s">
        <v>17</v>
      </c>
      <c r="I38" s="5" t="s">
        <v>17</v>
      </c>
      <c r="J38" s="5" t="s">
        <v>214</v>
      </c>
    </row>
    <row r="39" spans="1:10" x14ac:dyDescent="0.25" outlineLevel="1" collapsed="1">
      <c r="A39" s="8" t="s">
        <v>15</v>
      </c>
      <c r="B39" s="9" t="s">
        <v>215</v>
      </c>
      <c r="C39" s="8" t="s">
        <v>17</v>
      </c>
      <c r="D39" s="8"/>
      <c r="E39" s="8" t="s">
        <v>216</v>
      </c>
      <c r="F39" s="8" t="s">
        <v>19</v>
      </c>
      <c r="G39" s="8" t="s">
        <v>17</v>
      </c>
      <c r="H39" s="8" t="s">
        <v>17</v>
      </c>
      <c r="I39" s="8" t="s">
        <v>17</v>
      </c>
      <c r="J39" s="8" t="s">
        <v>217</v>
      </c>
    </row>
    <row r="40" spans="1:10" x14ac:dyDescent="0.25" outlineLevel="2" collapsed="1">
      <c r="A40" s="7" t="s">
        <v>15</v>
      </c>
      <c r="B40" s="7" t="s">
        <v>159</v>
      </c>
      <c r="C40" s="7" t="s">
        <v>17</v>
      </c>
      <c r="D40" s="7"/>
      <c r="E40" s="7" t="s">
        <v>218</v>
      </c>
      <c r="F40" s="7" t="s">
        <v>19</v>
      </c>
      <c r="G40" s="7" t="b">
        <v>0</v>
      </c>
      <c r="H40" s="7" t="s">
        <v>17</v>
      </c>
      <c r="I40" s="7" t="s">
        <v>17</v>
      </c>
      <c r="J40" s="7" t="s">
        <v>219</v>
      </c>
    </row>
    <row r="41" spans="1:10" x14ac:dyDescent="0.25" outlineLevel="2" collapsed="1">
      <c r="A41" s="7" t="s">
        <v>15</v>
      </c>
      <c r="B41" s="7" t="s">
        <v>16</v>
      </c>
      <c r="C41" s="7" t="s">
        <v>17</v>
      </c>
      <c r="D41" s="7"/>
      <c r="E41" s="7" t="s">
        <v>220</v>
      </c>
      <c r="F41" s="7" t="s">
        <v>19</v>
      </c>
      <c r="G41" s="7" t="s">
        <v>221</v>
      </c>
      <c r="H41" s="7" t="s">
        <v>221</v>
      </c>
      <c r="I41" s="7" t="s">
        <v>17</v>
      </c>
      <c r="J41" s="7" t="s">
        <v>222</v>
      </c>
    </row>
    <row r="42" spans="1:10" x14ac:dyDescent="0.25" outlineLevel="1" collapsed="1">
      <c r="A42" s="8" t="s">
        <v>15</v>
      </c>
      <c r="B42" s="9" t="s">
        <v>223</v>
      </c>
      <c r="C42" s="8" t="s">
        <v>17</v>
      </c>
      <c r="D42" s="8"/>
      <c r="E42" s="8" t="s">
        <v>224</v>
      </c>
      <c r="F42" s="8" t="s">
        <v>19</v>
      </c>
      <c r="G42" s="8" t="s">
        <v>17</v>
      </c>
      <c r="H42" s="8" t="s">
        <v>17</v>
      </c>
      <c r="I42" s="8" t="s">
        <v>17</v>
      </c>
      <c r="J42" s="8" t="s">
        <v>225</v>
      </c>
    </row>
    <row r="43" spans="1:10" x14ac:dyDescent="0.25" outlineLevel="2" collapsed="1">
      <c r="A43" s="7" t="s">
        <v>15</v>
      </c>
      <c r="B43" s="7" t="s">
        <v>16</v>
      </c>
      <c r="C43" s="7" t="s">
        <v>17</v>
      </c>
      <c r="D43" s="7"/>
      <c r="E43" s="7" t="s">
        <v>226</v>
      </c>
      <c r="F43" s="7" t="s">
        <v>19</v>
      </c>
      <c r="G43" s="7" t="s">
        <v>227</v>
      </c>
      <c r="H43" s="7" t="s">
        <v>17</v>
      </c>
      <c r="I43" s="7" t="s">
        <v>17</v>
      </c>
      <c r="J43" s="7" t="s">
        <v>225</v>
      </c>
    </row>
    <row r="44" spans="1:10" x14ac:dyDescent="0.25" outlineLevel="1" collapsed="1">
      <c r="A44" s="8" t="s">
        <v>15</v>
      </c>
      <c r="B44" s="9" t="s">
        <v>228</v>
      </c>
      <c r="C44" s="8" t="s">
        <v>17</v>
      </c>
      <c r="D44" s="8"/>
      <c r="E44" s="8" t="s">
        <v>229</v>
      </c>
      <c r="F44" s="8" t="s">
        <v>19</v>
      </c>
      <c r="G44" s="8" t="s">
        <v>17</v>
      </c>
      <c r="H44" s="8" t="s">
        <v>17</v>
      </c>
      <c r="I44" s="8" t="s">
        <v>17</v>
      </c>
      <c r="J44" s="8" t="s">
        <v>230</v>
      </c>
    </row>
    <row r="45" spans="1:10" x14ac:dyDescent="0.25" outlineLevel="2" collapsed="1">
      <c r="A45" s="7" t="s">
        <v>15</v>
      </c>
      <c r="B45" s="7" t="s">
        <v>159</v>
      </c>
      <c r="C45" s="7" t="s">
        <v>17</v>
      </c>
      <c r="D45" s="7"/>
      <c r="E45" s="7" t="s">
        <v>231</v>
      </c>
      <c r="F45" s="7" t="s">
        <v>19</v>
      </c>
      <c r="G45" s="7" t="b">
        <v>0</v>
      </c>
      <c r="H45" s="7" t="s">
        <v>17</v>
      </c>
      <c r="I45" s="7" t="s">
        <v>17</v>
      </c>
      <c r="J45" s="7" t="s">
        <v>232</v>
      </c>
    </row>
    <row r="46" spans="1:10" x14ac:dyDescent="0.25" outlineLevel="2" collapsed="1">
      <c r="A46" s="7" t="s">
        <v>19</v>
      </c>
      <c r="B46" s="7" t="s">
        <v>16</v>
      </c>
      <c r="C46" s="7" t="s">
        <v>17</v>
      </c>
      <c r="D46" s="7"/>
      <c r="E46" s="7" t="s">
        <v>233</v>
      </c>
      <c r="F46" s="7" t="s">
        <v>19</v>
      </c>
      <c r="G46" s="7" t="s">
        <v>234</v>
      </c>
      <c r="H46" s="7" t="s">
        <v>17</v>
      </c>
      <c r="I46" s="7" t="s">
        <v>17</v>
      </c>
      <c r="J46" s="7" t="s">
        <v>235</v>
      </c>
    </row>
    <row r="47" spans="1:10" x14ac:dyDescent="0.25" outlineLevel="2" collapsed="1">
      <c r="A47" s="7" t="s">
        <v>19</v>
      </c>
      <c r="B47" s="7" t="s">
        <v>16</v>
      </c>
      <c r="C47" s="7" t="s">
        <v>17</v>
      </c>
      <c r="D47" s="7"/>
      <c r="E47" s="7" t="s">
        <v>236</v>
      </c>
      <c r="F47" s="7" t="s">
        <v>19</v>
      </c>
      <c r="G47" s="7" t="s">
        <v>237</v>
      </c>
      <c r="H47" s="7" t="s">
        <v>17</v>
      </c>
      <c r="I47" s="7" t="s">
        <v>17</v>
      </c>
      <c r="J47" s="7" t="s">
        <v>238</v>
      </c>
    </row>
  </sheetData>
  <mergeCells count="3">
    <mergeCell ref="A1:J1"/>
    <mergeCell ref="B2:J2"/>
    <mergeCell ref="B3:J3"/>
  </mergeCells>
  <hyperlinks>
    <hyperlink ref="B5" r:id="rId1" location="#'2.1 Stakeholder Engagement and'!A1"/>
    <hyperlink ref="B6" r:id="rId2" location="#'2.1 Stakeholder consultation a'!A1"/>
    <hyperlink ref="B15" r:id="rId3" location="#'2.2 Benefit-Sharing Mechanism'!A1"/>
    <hyperlink ref="B22" r:id="rId4" location="#'2.3 Stakeholder Input Tracker'!A1"/>
    <hyperlink ref="B27" r:id="rId5" location="#'2.4 Grievance Redress Mechanis'!A1"/>
    <hyperlink ref="B28" r:id="rId6" location="#'2.4.1 Design Process and Summa'!A1"/>
    <hyperlink ref="B38" r:id="rId7" location="#'2.5 Environmental Social and G'!A1"/>
    <hyperlink ref="B39" r:id="rId8" location="#'2.5.1 Ecosystem Restoration (V'!A1"/>
    <hyperlink ref="B42" r:id="rId9" location="#'2.5.2 Management Experience (V'!A1"/>
    <hyperlink ref="B44" r:id="rId10" location="#'2.5.3 Legal Compliance (VCS PD'!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239</v>
      </c>
      <c r="B1" s="1"/>
      <c r="C1" s="1"/>
      <c r="D1" s="1"/>
      <c r="E1" s="1"/>
      <c r="F1" s="1"/>
      <c r="G1" s="1"/>
      <c r="H1" s="1"/>
      <c r="I1" s="1"/>
      <c r="J1" s="1"/>
    </row>
    <row r="2" spans="1:10" x14ac:dyDescent="0.25">
      <c r="A2" s="2" t="s">
        <v>1</v>
      </c>
      <c r="B2" s="3" t="s">
        <v>240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159</v>
      </c>
      <c r="C5" s="5" t="s">
        <v>17</v>
      </c>
      <c r="D5" s="5"/>
      <c r="E5" s="5" t="s">
        <v>241</v>
      </c>
      <c r="F5" s="5" t="s">
        <v>19</v>
      </c>
      <c r="G5" s="5" t="b">
        <v>0</v>
      </c>
      <c r="H5" s="5" t="s">
        <v>17</v>
      </c>
      <c r="I5" s="5" t="s">
        <v>17</v>
      </c>
      <c r="J5" s="5" t="s">
        <v>242</v>
      </c>
    </row>
    <row r="6" spans="1:10" x14ac:dyDescent="0.25">
      <c r="A6" s="5" t="s">
        <v>19</v>
      </c>
      <c r="B6" s="5" t="s">
        <v>16</v>
      </c>
      <c r="C6" s="5" t="s">
        <v>17</v>
      </c>
      <c r="D6" s="5"/>
      <c r="E6" s="5" t="s">
        <v>243</v>
      </c>
      <c r="F6" s="5" t="s">
        <v>19</v>
      </c>
      <c r="G6" s="5" t="s">
        <v>244</v>
      </c>
      <c r="H6" s="5" t="s">
        <v>17</v>
      </c>
      <c r="I6" s="5" t="s">
        <v>17</v>
      </c>
      <c r="J6" s="5" t="s">
        <v>245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246</v>
      </c>
      <c r="B1" s="1"/>
      <c r="C1" s="1"/>
      <c r="D1" s="1"/>
      <c r="E1" s="1"/>
      <c r="F1" s="1"/>
      <c r="G1" s="1"/>
      <c r="H1" s="1"/>
      <c r="I1" s="1"/>
      <c r="J1" s="1"/>
    </row>
    <row r="2" spans="1:10" x14ac:dyDescent="0.25">
      <c r="A2" s="2" t="s">
        <v>1</v>
      </c>
      <c r="B2" s="3" t="s">
        <v>247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248</v>
      </c>
      <c r="F5" s="5" t="s">
        <v>19</v>
      </c>
      <c r="G5" s="5" t="s">
        <v>249</v>
      </c>
      <c r="H5" s="5" t="s">
        <v>17</v>
      </c>
      <c r="I5" s="5" t="s">
        <v>17</v>
      </c>
      <c r="J5" s="5" t="s">
        <v>250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251</v>
      </c>
      <c r="B1" s="1"/>
      <c r="C1" s="1"/>
      <c r="D1" s="1"/>
      <c r="E1" s="1"/>
      <c r="F1" s="1"/>
      <c r="G1" s="1"/>
      <c r="H1" s="1"/>
      <c r="I1" s="1"/>
      <c r="J1" s="1"/>
    </row>
    <row r="2" spans="1:10" x14ac:dyDescent="0.25">
      <c r="A2" s="2" t="s">
        <v>1</v>
      </c>
      <c r="B2" s="3" t="s">
        <v>252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253</v>
      </c>
      <c r="F5" s="5" t="s">
        <v>19</v>
      </c>
      <c r="G5" s="5" t="s">
        <v>254</v>
      </c>
      <c r="H5" s="5" t="s">
        <v>17</v>
      </c>
      <c r="I5" s="5" t="s">
        <v>17</v>
      </c>
      <c r="J5" s="5" t="s">
        <v>255</v>
      </c>
    </row>
    <row r="6" spans="1:10" x14ac:dyDescent="0.25">
      <c r="A6" s="5" t="s">
        <v>19</v>
      </c>
      <c r="B6" s="5" t="s">
        <v>16</v>
      </c>
      <c r="C6" s="5" t="s">
        <v>17</v>
      </c>
      <c r="D6" s="5"/>
      <c r="E6" s="5" t="s">
        <v>256</v>
      </c>
      <c r="F6" s="5" t="s">
        <v>19</v>
      </c>
      <c r="G6" s="5" t="s">
        <v>257</v>
      </c>
      <c r="H6" s="5" t="s">
        <v>17</v>
      </c>
      <c r="I6" s="5" t="s">
        <v>17</v>
      </c>
      <c r="J6" s="5" t="s">
        <v>258</v>
      </c>
    </row>
    <row r="7" spans="1:10" x14ac:dyDescent="0.25">
      <c r="A7" s="5" t="s">
        <v>19</v>
      </c>
      <c r="B7" s="5" t="s">
        <v>16</v>
      </c>
      <c r="C7" s="5" t="s">
        <v>17</v>
      </c>
      <c r="D7" s="5"/>
      <c r="E7" s="5" t="s">
        <v>259</v>
      </c>
      <c r="F7" s="5" t="s">
        <v>19</v>
      </c>
      <c r="G7" s="5" t="s">
        <v>260</v>
      </c>
      <c r="H7" s="5" t="s">
        <v>17</v>
      </c>
      <c r="I7" s="5" t="s">
        <v>17</v>
      </c>
      <c r="J7" s="5" t="s">
        <v>261</v>
      </c>
    </row>
    <row r="8" spans="1:10" x14ac:dyDescent="0.25">
      <c r="A8" s="5" t="s">
        <v>19</v>
      </c>
      <c r="B8" s="5" t="s">
        <v>16</v>
      </c>
      <c r="C8" s="5" t="s">
        <v>17</v>
      </c>
      <c r="D8" s="5"/>
      <c r="E8" s="5" t="s">
        <v>262</v>
      </c>
      <c r="F8" s="5" t="s">
        <v>19</v>
      </c>
      <c r="G8" s="5" t="s">
        <v>31</v>
      </c>
      <c r="H8" s="5" t="s">
        <v>17</v>
      </c>
      <c r="I8" s="5" t="s">
        <v>17</v>
      </c>
      <c r="J8" s="5" t="s">
        <v>263</v>
      </c>
    </row>
    <row r="9" spans="1:10" x14ac:dyDescent="0.25">
      <c r="A9" s="5" t="s">
        <v>19</v>
      </c>
      <c r="B9" s="5" t="s">
        <v>16</v>
      </c>
      <c r="C9" s="5" t="s">
        <v>17</v>
      </c>
      <c r="D9" s="5"/>
      <c r="E9" s="5" t="s">
        <v>264</v>
      </c>
      <c r="F9" s="5" t="s">
        <v>19</v>
      </c>
      <c r="G9" s="5" t="s">
        <v>31</v>
      </c>
      <c r="H9" s="5" t="s">
        <v>17</v>
      </c>
      <c r="I9" s="5" t="s">
        <v>17</v>
      </c>
      <c r="J9" s="5" t="s">
        <v>265</v>
      </c>
    </row>
    <row r="10" spans="1:10" x14ac:dyDescent="0.25">
      <c r="A10" s="5" t="s">
        <v>19</v>
      </c>
      <c r="B10" s="5" t="s">
        <v>16</v>
      </c>
      <c r="C10" s="5" t="s">
        <v>17</v>
      </c>
      <c r="D10" s="5"/>
      <c r="E10" s="5" t="s">
        <v>266</v>
      </c>
      <c r="F10" s="5" t="s">
        <v>19</v>
      </c>
      <c r="G10" s="5" t="s">
        <v>31</v>
      </c>
      <c r="H10" s="5" t="s">
        <v>17</v>
      </c>
      <c r="I10" s="5" t="s">
        <v>17</v>
      </c>
      <c r="J10" s="5" t="s">
        <v>267</v>
      </c>
    </row>
    <row r="11" spans="1:10" x14ac:dyDescent="0.25">
      <c r="A11" s="5" t="s">
        <v>19</v>
      </c>
      <c r="B11" s="5" t="s">
        <v>63</v>
      </c>
      <c r="C11" s="5" t="s">
        <v>17</v>
      </c>
      <c r="D11" s="5"/>
      <c r="E11" s="5" t="s">
        <v>268</v>
      </c>
      <c r="F11" s="5" t="s">
        <v>19</v>
      </c>
      <c r="G11" s="5">
        <v>1</v>
      </c>
      <c r="H11" s="5" t="s">
        <v>17</v>
      </c>
      <c r="I11" s="5" t="s">
        <v>17</v>
      </c>
      <c r="J11" s="5" t="s">
        <v>269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270</v>
      </c>
      <c r="B1" s="1"/>
      <c r="C1" s="1"/>
      <c r="D1" s="1"/>
      <c r="E1" s="1"/>
      <c r="F1" s="1"/>
      <c r="G1" s="1"/>
      <c r="H1" s="1"/>
      <c r="I1" s="1"/>
      <c r="J1" s="1"/>
    </row>
    <row r="2" spans="1:10" x14ac:dyDescent="0.25">
      <c r="A2" s="2" t="s">
        <v>1</v>
      </c>
      <c r="B2" s="3" t="s">
        <v>271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272</v>
      </c>
      <c r="B1" s="1"/>
      <c r="C1" s="1"/>
      <c r="D1" s="1"/>
      <c r="E1" s="1"/>
      <c r="F1" s="1"/>
      <c r="G1" s="1"/>
      <c r="H1" s="1"/>
      <c r="I1" s="1"/>
      <c r="J1" s="1"/>
    </row>
    <row r="2" spans="1:10" x14ac:dyDescent="0.25">
      <c r="A2" s="2" t="s">
        <v>1</v>
      </c>
      <c r="B2" s="3" t="s">
        <v>273</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275</v>
      </c>
      <c r="F5" s="5" t="s">
        <v>19</v>
      </c>
      <c r="G5" s="5" t="s">
        <v>276</v>
      </c>
      <c r="H5" s="5" t="s">
        <v>17</v>
      </c>
      <c r="I5" s="5" t="s">
        <v>17</v>
      </c>
      <c r="J5" s="5" t="s">
        <v>277</v>
      </c>
    </row>
    <row r="6" spans="1:10" x14ac:dyDescent="0.25">
      <c r="A6" s="5" t="s">
        <v>15</v>
      </c>
      <c r="B6" s="5" t="s">
        <v>16</v>
      </c>
      <c r="C6" s="5" t="s">
        <v>17</v>
      </c>
      <c r="D6" s="5"/>
      <c r="E6" s="5" t="s">
        <v>278</v>
      </c>
      <c r="F6" s="5" t="s">
        <v>19</v>
      </c>
      <c r="G6" s="5" t="s">
        <v>279</v>
      </c>
      <c r="H6" s="5" t="s">
        <v>17</v>
      </c>
      <c r="I6" s="5" t="s">
        <v>17</v>
      </c>
      <c r="J6" s="5" t="s">
        <v>280</v>
      </c>
    </row>
    <row r="7" spans="1:10" x14ac:dyDescent="0.25">
      <c r="A7" s="5" t="s">
        <v>15</v>
      </c>
      <c r="B7" s="5" t="s">
        <v>16</v>
      </c>
      <c r="C7" s="5" t="s">
        <v>17</v>
      </c>
      <c r="D7" s="5"/>
      <c r="E7" s="5" t="s">
        <v>281</v>
      </c>
      <c r="F7" s="5" t="s">
        <v>19</v>
      </c>
      <c r="G7" s="5" t="s">
        <v>282</v>
      </c>
      <c r="H7" s="5" t="s">
        <v>17</v>
      </c>
      <c r="I7" s="5" t="s">
        <v>17</v>
      </c>
      <c r="J7" s="5" t="s">
        <v>283</v>
      </c>
    </row>
    <row r="8" spans="1:10" x14ac:dyDescent="0.25">
      <c r="A8" s="5" t="s">
        <v>15</v>
      </c>
      <c r="B8" s="5" t="s">
        <v>284</v>
      </c>
      <c r="C8" s="10" t="s">
        <v>285</v>
      </c>
      <c r="D8" s="5"/>
      <c r="E8" s="5" t="s">
        <v>285</v>
      </c>
      <c r="F8" s="5" t="s">
        <v>19</v>
      </c>
      <c r="G8" s="5" t="s">
        <v>286</v>
      </c>
      <c r="H8" s="5" t="s">
        <v>17</v>
      </c>
      <c r="I8" s="5" t="s">
        <v>17</v>
      </c>
      <c r="J8" s="5" t="s">
        <v>287</v>
      </c>
    </row>
    <row r="9" spans="1:10" x14ac:dyDescent="0.25">
      <c r="A9" s="5" t="s">
        <v>15</v>
      </c>
      <c r="B9" s="5" t="s">
        <v>16</v>
      </c>
      <c r="C9" s="5" t="s">
        <v>17</v>
      </c>
      <c r="D9" s="5"/>
      <c r="E9" s="5" t="s">
        <v>288</v>
      </c>
      <c r="F9" s="5" t="s">
        <v>19</v>
      </c>
      <c r="G9" s="5" t="s">
        <v>289</v>
      </c>
      <c r="H9" s="5" t="s">
        <v>17</v>
      </c>
      <c r="I9" s="5" t="s">
        <v>17</v>
      </c>
      <c r="J9" s="5" t="s">
        <v>290</v>
      </c>
    </row>
    <row r="10" spans="1:10" x14ac:dyDescent="0.25">
      <c r="A10" s="5" t="s">
        <v>15</v>
      </c>
      <c r="B10" s="5" t="s">
        <v>291</v>
      </c>
      <c r="C10" s="5" t="s">
        <v>17</v>
      </c>
      <c r="D10" s="5"/>
      <c r="E10" s="5" t="s">
        <v>292</v>
      </c>
      <c r="F10" s="5" t="s">
        <v>19</v>
      </c>
      <c r="G10" s="5" t="s">
        <v>293</v>
      </c>
      <c r="H10" s="5" t="s">
        <v>17</v>
      </c>
      <c r="I10" s="5" t="s">
        <v>17</v>
      </c>
      <c r="J10" s="5" t="s">
        <v>294</v>
      </c>
    </row>
    <row r="11" spans="1:10" x14ac:dyDescent="0.25">
      <c r="A11" s="5" t="s">
        <v>15</v>
      </c>
      <c r="B11" s="5" t="s">
        <v>291</v>
      </c>
      <c r="C11" s="5" t="s">
        <v>17</v>
      </c>
      <c r="D11" s="5"/>
      <c r="E11" s="5" t="s">
        <v>295</v>
      </c>
      <c r="F11" s="5" t="s">
        <v>19</v>
      </c>
      <c r="G11" s="5" t="s">
        <v>293</v>
      </c>
      <c r="H11" s="5" t="s">
        <v>17</v>
      </c>
      <c r="I11" s="5" t="s">
        <v>17</v>
      </c>
      <c r="J11" s="5" t="s">
        <v>296</v>
      </c>
    </row>
    <row r="12" spans="1:10" x14ac:dyDescent="0.25">
      <c r="A12" s="5" t="s">
        <v>15</v>
      </c>
      <c r="B12" s="5" t="s">
        <v>291</v>
      </c>
      <c r="C12" s="5" t="s">
        <v>17</v>
      </c>
      <c r="D12" s="5"/>
      <c r="E12" s="5" t="s">
        <v>297</v>
      </c>
      <c r="F12" s="5" t="s">
        <v>19</v>
      </c>
      <c r="G12" s="5" t="s">
        <v>293</v>
      </c>
      <c r="H12" s="5" t="s">
        <v>17</v>
      </c>
      <c r="I12" s="5" t="s">
        <v>17</v>
      </c>
      <c r="J12" s="5" t="s">
        <v>298</v>
      </c>
    </row>
    <row r="13" spans="1:10" x14ac:dyDescent="0.25">
      <c r="A13" s="5" t="s">
        <v>15</v>
      </c>
      <c r="B13" s="5" t="s">
        <v>16</v>
      </c>
      <c r="C13" s="5" t="s">
        <v>17</v>
      </c>
      <c r="D13" s="5"/>
      <c r="E13" s="5" t="s">
        <v>299</v>
      </c>
      <c r="F13" s="5" t="s">
        <v>19</v>
      </c>
      <c r="G13" s="5" t="s">
        <v>300</v>
      </c>
      <c r="H13" s="5" t="s">
        <v>17</v>
      </c>
      <c r="I13" s="5" t="s">
        <v>17</v>
      </c>
      <c r="J13" s="5" t="s">
        <v>301</v>
      </c>
    </row>
    <row r="14" spans="1:10" x14ac:dyDescent="0.25">
      <c r="A14" s="5" t="s">
        <v>15</v>
      </c>
      <c r="B14" s="5" t="s">
        <v>16</v>
      </c>
      <c r="C14" s="5" t="s">
        <v>17</v>
      </c>
      <c r="D14" s="5"/>
      <c r="E14" s="5" t="s">
        <v>302</v>
      </c>
      <c r="F14" s="5" t="s">
        <v>19</v>
      </c>
      <c r="G14" s="5" t="s">
        <v>303</v>
      </c>
      <c r="H14" s="5" t="s">
        <v>17</v>
      </c>
      <c r="I14" s="5" t="s">
        <v>17</v>
      </c>
      <c r="J14" s="5" t="s">
        <v>304</v>
      </c>
    </row>
    <row r="15" spans="1:10" x14ac:dyDescent="0.25">
      <c r="A15" s="5" t="s">
        <v>15</v>
      </c>
      <c r="B15" s="5" t="s">
        <v>16</v>
      </c>
      <c r="C15" s="5" t="s">
        <v>17</v>
      </c>
      <c r="D15" s="5"/>
      <c r="E15" s="5" t="s">
        <v>305</v>
      </c>
      <c r="F15" s="5" t="s">
        <v>19</v>
      </c>
      <c r="G15" s="5" t="s">
        <v>306</v>
      </c>
      <c r="H15" s="5" t="s">
        <v>17</v>
      </c>
      <c r="I15" s="5" t="s">
        <v>17</v>
      </c>
      <c r="J15" s="5" t="s">
        <v>307</v>
      </c>
    </row>
    <row r="16" spans="1:10" x14ac:dyDescent="0.25">
      <c r="A16" s="5" t="s">
        <v>15</v>
      </c>
      <c r="B16" s="5" t="s">
        <v>16</v>
      </c>
      <c r="C16" s="5" t="s">
        <v>17</v>
      </c>
      <c r="D16" s="5"/>
      <c r="E16" s="5" t="s">
        <v>308</v>
      </c>
      <c r="F16" s="5" t="s">
        <v>19</v>
      </c>
      <c r="G16" s="5" t="s">
        <v>309</v>
      </c>
      <c r="H16" s="5" t="s">
        <v>17</v>
      </c>
      <c r="I16" s="5" t="s">
        <v>17</v>
      </c>
      <c r="J16" s="5" t="s">
        <v>310</v>
      </c>
    </row>
    <row r="17" spans="1:10" x14ac:dyDescent="0.25">
      <c r="A17" s="5" t="s">
        <v>15</v>
      </c>
      <c r="B17" s="5" t="s">
        <v>16</v>
      </c>
      <c r="C17" s="5" t="s">
        <v>17</v>
      </c>
      <c r="D17" s="5"/>
      <c r="E17" s="5" t="s">
        <v>311</v>
      </c>
      <c r="F17" s="5" t="s">
        <v>19</v>
      </c>
      <c r="G17" s="5" t="s">
        <v>312</v>
      </c>
      <c r="H17" s="5" t="s">
        <v>17</v>
      </c>
      <c r="I17" s="5" t="s">
        <v>17</v>
      </c>
      <c r="J17" s="5" t="s">
        <v>313</v>
      </c>
    </row>
    <row r="18" spans="1:10" x14ac:dyDescent="0.25">
      <c r="A18" s="5" t="s">
        <v>15</v>
      </c>
      <c r="B18" s="5" t="s">
        <v>16</v>
      </c>
      <c r="C18" s="5" t="s">
        <v>17</v>
      </c>
      <c r="D18" s="5"/>
      <c r="E18" s="5" t="s">
        <v>314</v>
      </c>
      <c r="F18" s="5" t="s">
        <v>19</v>
      </c>
      <c r="G18" s="5" t="s">
        <v>315</v>
      </c>
      <c r="H18" s="5" t="s">
        <v>17</v>
      </c>
      <c r="I18" s="5" t="s">
        <v>17</v>
      </c>
      <c r="J18" s="5" t="s">
        <v>261</v>
      </c>
    </row>
    <row r="19" spans="1:10" x14ac:dyDescent="0.25">
      <c r="A19" s="5" t="s">
        <v>15</v>
      </c>
      <c r="B19" s="5" t="s">
        <v>16</v>
      </c>
      <c r="C19" s="5" t="s">
        <v>17</v>
      </c>
      <c r="D19" s="5"/>
      <c r="E19" s="5" t="s">
        <v>316</v>
      </c>
      <c r="F19" s="5" t="s">
        <v>19</v>
      </c>
      <c r="G19" s="5" t="s">
        <v>317</v>
      </c>
      <c r="H19" s="5" t="s">
        <v>17</v>
      </c>
      <c r="I19" s="5" t="s">
        <v>17</v>
      </c>
      <c r="J19" s="5" t="s">
        <v>318</v>
      </c>
    </row>
    <row r="20" spans="1:10" x14ac:dyDescent="0.25">
      <c r="A20" s="5" t="s">
        <v>15</v>
      </c>
      <c r="B20" s="5" t="s">
        <v>16</v>
      </c>
      <c r="C20" s="5" t="s">
        <v>17</v>
      </c>
      <c r="D20" s="5"/>
      <c r="E20" s="5" t="s">
        <v>319</v>
      </c>
      <c r="F20" s="5" t="s">
        <v>19</v>
      </c>
      <c r="G20" s="5" t="s">
        <v>320</v>
      </c>
      <c r="H20" s="5" t="s">
        <v>17</v>
      </c>
      <c r="I20" s="5" t="s">
        <v>17</v>
      </c>
      <c r="J20" s="5" t="s">
        <v>321</v>
      </c>
    </row>
    <row r="21" spans="1:10" x14ac:dyDescent="0.25">
      <c r="A21" s="5" t="s">
        <v>15</v>
      </c>
      <c r="B21" s="5" t="s">
        <v>16</v>
      </c>
      <c r="C21" s="5" t="s">
        <v>17</v>
      </c>
      <c r="D21" s="5"/>
      <c r="E21" s="5" t="s">
        <v>322</v>
      </c>
      <c r="F21" s="5" t="s">
        <v>19</v>
      </c>
      <c r="G21" s="5" t="s">
        <v>323</v>
      </c>
      <c r="H21" s="5" t="s">
        <v>17</v>
      </c>
      <c r="I21" s="5" t="s">
        <v>17</v>
      </c>
      <c r="J21" s="5" t="s">
        <v>324</v>
      </c>
    </row>
    <row r="22" spans="1:10" x14ac:dyDescent="0.25">
      <c r="A22" s="5" t="s">
        <v>19</v>
      </c>
      <c r="B22" s="6" t="s">
        <v>325</v>
      </c>
      <c r="C22" s="5" t="s">
        <v>17</v>
      </c>
      <c r="D22" s="5"/>
      <c r="E22" s="5" t="s">
        <v>326</v>
      </c>
      <c r="F22" s="5" t="s">
        <v>15</v>
      </c>
      <c r="G22" s="5" t="s">
        <v>17</v>
      </c>
      <c r="H22" s="5" t="s">
        <v>17</v>
      </c>
      <c r="I22" s="5" t="s">
        <v>17</v>
      </c>
      <c r="J22" s="5" t="s">
        <v>327</v>
      </c>
    </row>
    <row r="23" spans="1:10" x14ac:dyDescent="0.25" outlineLevel="1" collapsed="1">
      <c r="A23" s="7" t="s">
        <v>15</v>
      </c>
      <c r="B23" s="7" t="s">
        <v>16</v>
      </c>
      <c r="C23" s="7" t="s">
        <v>17</v>
      </c>
      <c r="D23" s="7"/>
      <c r="E23" s="7" t="s">
        <v>328</v>
      </c>
      <c r="F23" s="7" t="s">
        <v>19</v>
      </c>
      <c r="G23" s="7" t="s">
        <v>329</v>
      </c>
      <c r="H23" s="7" t="s">
        <v>17</v>
      </c>
      <c r="I23" s="7" t="s">
        <v>17</v>
      </c>
      <c r="J23" s="7" t="s">
        <v>330</v>
      </c>
    </row>
    <row r="24" spans="1:10" x14ac:dyDescent="0.25" outlineLevel="1" collapsed="1">
      <c r="A24" s="7" t="s">
        <v>15</v>
      </c>
      <c r="B24" s="7" t="s">
        <v>16</v>
      </c>
      <c r="C24" s="7" t="s">
        <v>17</v>
      </c>
      <c r="D24" s="7"/>
      <c r="E24" s="7" t="s">
        <v>331</v>
      </c>
      <c r="F24" s="7" t="s">
        <v>19</v>
      </c>
      <c r="G24" s="7" t="s">
        <v>332</v>
      </c>
      <c r="H24" s="7" t="s">
        <v>17</v>
      </c>
      <c r="I24" s="7" t="s">
        <v>17</v>
      </c>
      <c r="J24" s="7" t="s">
        <v>333</v>
      </c>
    </row>
    <row r="25" spans="1:10" x14ac:dyDescent="0.25">
      <c r="A25" s="5" t="s">
        <v>15</v>
      </c>
      <c r="B25" s="5" t="s">
        <v>16</v>
      </c>
      <c r="C25" s="5" t="s">
        <v>17</v>
      </c>
      <c r="D25" s="5"/>
      <c r="E25" s="5" t="s">
        <v>334</v>
      </c>
      <c r="F25" s="5" t="s">
        <v>19</v>
      </c>
      <c r="G25" s="5" t="s">
        <v>335</v>
      </c>
      <c r="H25" s="5" t="s">
        <v>17</v>
      </c>
      <c r="I25" s="5" t="s">
        <v>17</v>
      </c>
      <c r="J25" s="5" t="s">
        <v>336</v>
      </c>
    </row>
    <row r="26" spans="1:10" x14ac:dyDescent="0.25">
      <c r="A26" s="5" t="s">
        <v>15</v>
      </c>
      <c r="B26" s="6" t="s">
        <v>337</v>
      </c>
      <c r="C26" s="5" t="s">
        <v>17</v>
      </c>
      <c r="D26" s="5"/>
      <c r="E26" s="5" t="s">
        <v>338</v>
      </c>
      <c r="F26" s="5" t="s">
        <v>19</v>
      </c>
      <c r="G26" s="5" t="s">
        <v>17</v>
      </c>
      <c r="H26" s="5" t="s">
        <v>17</v>
      </c>
      <c r="I26" s="5" t="s">
        <v>17</v>
      </c>
      <c r="J26" s="5" t="s">
        <v>339</v>
      </c>
    </row>
    <row r="27" spans="1:10" x14ac:dyDescent="0.25" outlineLevel="1" collapsed="1">
      <c r="A27" s="7" t="s">
        <v>15</v>
      </c>
      <c r="B27" s="7" t="s">
        <v>16</v>
      </c>
      <c r="C27" s="7" t="s">
        <v>17</v>
      </c>
      <c r="D27" s="7"/>
      <c r="E27" s="7" t="s">
        <v>340</v>
      </c>
      <c r="F27" s="7" t="s">
        <v>19</v>
      </c>
      <c r="G27" s="7" t="s">
        <v>341</v>
      </c>
      <c r="H27" s="7" t="s">
        <v>17</v>
      </c>
      <c r="I27" s="7" t="s">
        <v>17</v>
      </c>
      <c r="J27" s="7" t="s">
        <v>342</v>
      </c>
    </row>
    <row r="28" spans="1:10" x14ac:dyDescent="0.25" outlineLevel="1" collapsed="1">
      <c r="A28" s="7" t="s">
        <v>15</v>
      </c>
      <c r="B28" s="7" t="s">
        <v>16</v>
      </c>
      <c r="C28" s="7" t="s">
        <v>17</v>
      </c>
      <c r="D28" s="7"/>
      <c r="E28" s="7" t="s">
        <v>343</v>
      </c>
      <c r="F28" s="7" t="s">
        <v>19</v>
      </c>
      <c r="G28" s="7" t="s">
        <v>344</v>
      </c>
      <c r="H28" s="7" t="s">
        <v>17</v>
      </c>
      <c r="I28" s="7" t="s">
        <v>17</v>
      </c>
      <c r="J28" s="7" t="s">
        <v>345</v>
      </c>
    </row>
    <row r="29" spans="1:10" x14ac:dyDescent="0.25" outlineLevel="1" collapsed="1">
      <c r="A29" s="7" t="s">
        <v>15</v>
      </c>
      <c r="B29" s="7" t="s">
        <v>284</v>
      </c>
      <c r="C29" s="11" t="s">
        <v>346</v>
      </c>
      <c r="D29" s="7"/>
      <c r="E29" s="7" t="s">
        <v>347</v>
      </c>
      <c r="F29" s="7" t="s">
        <v>19</v>
      </c>
      <c r="G29" s="7" t="s">
        <v>348</v>
      </c>
      <c r="H29" s="7" t="s">
        <v>17</v>
      </c>
      <c r="I29" s="7" t="s">
        <v>17</v>
      </c>
      <c r="J29" s="7" t="s">
        <v>349</v>
      </c>
    </row>
    <row r="30" spans="1:10" x14ac:dyDescent="0.25" outlineLevel="1" collapsed="1">
      <c r="A30" s="7" t="s">
        <v>15</v>
      </c>
      <c r="B30" s="7" t="s">
        <v>16</v>
      </c>
      <c r="C30" s="7" t="s">
        <v>17</v>
      </c>
      <c r="D30" s="7"/>
      <c r="E30" s="7" t="s">
        <v>350</v>
      </c>
      <c r="F30" s="7" t="s">
        <v>19</v>
      </c>
      <c r="G30" s="7" t="s">
        <v>351</v>
      </c>
      <c r="H30" s="7" t="s">
        <v>17</v>
      </c>
      <c r="I30" s="7" t="s">
        <v>17</v>
      </c>
      <c r="J30" s="7" t="s">
        <v>352</v>
      </c>
    </row>
    <row r="31" spans="1:10" x14ac:dyDescent="0.25" outlineLevel="1" collapsed="1">
      <c r="A31" s="7" t="s">
        <v>15</v>
      </c>
      <c r="B31" s="7" t="s">
        <v>16</v>
      </c>
      <c r="C31" s="7" t="s">
        <v>17</v>
      </c>
      <c r="D31" s="7"/>
      <c r="E31" s="7" t="s">
        <v>353</v>
      </c>
      <c r="F31" s="7" t="s">
        <v>19</v>
      </c>
      <c r="G31" s="7" t="s">
        <v>354</v>
      </c>
      <c r="H31" s="7" t="s">
        <v>17</v>
      </c>
      <c r="I31" s="7" t="s">
        <v>17</v>
      </c>
      <c r="J31" s="7" t="s">
        <v>355</v>
      </c>
    </row>
    <row r="32" spans="1:10" x14ac:dyDescent="0.25">
      <c r="A32" s="5" t="s">
        <v>15</v>
      </c>
      <c r="B32" s="6" t="s">
        <v>356</v>
      </c>
      <c r="C32" s="5" t="s">
        <v>17</v>
      </c>
      <c r="D32" s="5"/>
      <c r="E32" s="5" t="s">
        <v>357</v>
      </c>
      <c r="F32" s="5" t="s">
        <v>19</v>
      </c>
      <c r="G32" s="5" t="s">
        <v>17</v>
      </c>
      <c r="H32" s="5" t="s">
        <v>17</v>
      </c>
      <c r="I32" s="5" t="s">
        <v>17</v>
      </c>
      <c r="J32" s="5" t="s">
        <v>358</v>
      </c>
    </row>
    <row r="33" spans="1:10" x14ac:dyDescent="0.25" outlineLevel="1" collapsed="1">
      <c r="A33" s="8" t="s">
        <v>15</v>
      </c>
      <c r="B33" s="9" t="s">
        <v>359</v>
      </c>
      <c r="C33" s="8" t="s">
        <v>17</v>
      </c>
      <c r="D33" s="8"/>
      <c r="E33" s="8" t="s">
        <v>360</v>
      </c>
      <c r="F33" s="8" t="s">
        <v>19</v>
      </c>
      <c r="G33" s="8" t="s">
        <v>17</v>
      </c>
      <c r="H33" s="8" t="s">
        <v>17</v>
      </c>
      <c r="I33" s="8" t="s">
        <v>17</v>
      </c>
      <c r="J33" s="8" t="s">
        <v>361</v>
      </c>
    </row>
    <row r="34" spans="1:10" x14ac:dyDescent="0.25" outlineLevel="2" collapsed="1">
      <c r="A34" s="7" t="s">
        <v>15</v>
      </c>
      <c r="B34" s="7" t="s">
        <v>16</v>
      </c>
      <c r="C34" s="7" t="s">
        <v>17</v>
      </c>
      <c r="D34" s="7"/>
      <c r="E34" s="7" t="s">
        <v>362</v>
      </c>
      <c r="F34" s="7" t="s">
        <v>19</v>
      </c>
      <c r="G34" s="7" t="s">
        <v>363</v>
      </c>
      <c r="H34" s="7" t="s">
        <v>17</v>
      </c>
      <c r="I34" s="7" t="s">
        <v>17</v>
      </c>
      <c r="J34" s="7" t="s">
        <v>361</v>
      </c>
    </row>
    <row r="35" spans="1:10" x14ac:dyDescent="0.25" outlineLevel="2" collapsed="1">
      <c r="A35" s="8" t="s">
        <v>19</v>
      </c>
      <c r="B35" s="9" t="s">
        <v>364</v>
      </c>
      <c r="C35" s="8" t="s">
        <v>17</v>
      </c>
      <c r="D35" s="8"/>
      <c r="E35" s="8" t="s">
        <v>365</v>
      </c>
      <c r="F35" s="8" t="s">
        <v>15</v>
      </c>
      <c r="G35" s="8" t="s">
        <v>17</v>
      </c>
      <c r="H35" s="8" t="s">
        <v>17</v>
      </c>
      <c r="I35" s="8" t="s">
        <v>17</v>
      </c>
      <c r="J35" s="8" t="s">
        <v>366</v>
      </c>
    </row>
    <row r="36" spans="1:10" x14ac:dyDescent="0.25" outlineLevel="3" collapsed="1">
      <c r="A36" s="7" t="s">
        <v>15</v>
      </c>
      <c r="B36" s="7" t="s">
        <v>16</v>
      </c>
      <c r="C36" s="7" t="s">
        <v>17</v>
      </c>
      <c r="D36" s="7"/>
      <c r="E36" s="7" t="s">
        <v>367</v>
      </c>
      <c r="F36" s="7" t="s">
        <v>19</v>
      </c>
      <c r="G36" s="7" t="s">
        <v>368</v>
      </c>
      <c r="H36" s="7" t="s">
        <v>17</v>
      </c>
      <c r="I36" s="7" t="s">
        <v>17</v>
      </c>
      <c r="J36" s="7" t="s">
        <v>369</v>
      </c>
    </row>
    <row r="37" spans="1:10" x14ac:dyDescent="0.25" outlineLevel="3" collapsed="1">
      <c r="A37" s="7" t="s">
        <v>15</v>
      </c>
      <c r="B37" s="7" t="s">
        <v>291</v>
      </c>
      <c r="C37" s="7" t="s">
        <v>17</v>
      </c>
      <c r="D37" s="7"/>
      <c r="E37" s="7" t="s">
        <v>370</v>
      </c>
      <c r="F37" s="7" t="s">
        <v>19</v>
      </c>
      <c r="G37" s="7" t="s">
        <v>293</v>
      </c>
      <c r="H37" s="7" t="s">
        <v>17</v>
      </c>
      <c r="I37" s="7" t="s">
        <v>17</v>
      </c>
      <c r="J37" s="7" t="s">
        <v>371</v>
      </c>
    </row>
    <row r="38" spans="1:10" x14ac:dyDescent="0.25" outlineLevel="1" collapsed="1">
      <c r="A38" s="8" t="s">
        <v>15</v>
      </c>
      <c r="B38" s="9" t="s">
        <v>372</v>
      </c>
      <c r="C38" s="8" t="s">
        <v>17</v>
      </c>
      <c r="D38" s="8"/>
      <c r="E38" s="8" t="s">
        <v>373</v>
      </c>
      <c r="F38" s="8" t="s">
        <v>19</v>
      </c>
      <c r="G38" s="8" t="s">
        <v>17</v>
      </c>
      <c r="H38" s="8" t="s">
        <v>17</v>
      </c>
      <c r="I38" s="8" t="s">
        <v>17</v>
      </c>
      <c r="J38" s="8" t="s">
        <v>374</v>
      </c>
    </row>
    <row r="39" spans="1:10" x14ac:dyDescent="0.25" outlineLevel="2" collapsed="1">
      <c r="A39" s="8" t="s">
        <v>15</v>
      </c>
      <c r="B39" s="9" t="s">
        <v>375</v>
      </c>
      <c r="C39" s="8" t="s">
        <v>17</v>
      </c>
      <c r="D39" s="8"/>
      <c r="E39" s="8" t="s">
        <v>376</v>
      </c>
      <c r="F39" s="8" t="s">
        <v>19</v>
      </c>
      <c r="G39" s="8" t="s">
        <v>17</v>
      </c>
      <c r="H39" s="8" t="s">
        <v>17</v>
      </c>
      <c r="I39" s="8" t="s">
        <v>17</v>
      </c>
      <c r="J39" s="8" t="s">
        <v>377</v>
      </c>
    </row>
    <row r="40" spans="1:10" x14ac:dyDescent="0.25" outlineLevel="3" collapsed="1">
      <c r="A40" s="7" t="s">
        <v>15</v>
      </c>
      <c r="B40" s="7" t="s">
        <v>291</v>
      </c>
      <c r="C40" s="7" t="s">
        <v>17</v>
      </c>
      <c r="D40" s="7"/>
      <c r="E40" s="7" t="s">
        <v>378</v>
      </c>
      <c r="F40" s="7" t="s">
        <v>19</v>
      </c>
      <c r="G40" s="7" t="s">
        <v>293</v>
      </c>
      <c r="H40" s="7" t="s">
        <v>17</v>
      </c>
      <c r="I40" s="7" t="s">
        <v>17</v>
      </c>
      <c r="J40" s="7" t="s">
        <v>379</v>
      </c>
    </row>
    <row r="41" spans="1:10" x14ac:dyDescent="0.25" outlineLevel="3" collapsed="1">
      <c r="A41" s="7" t="s">
        <v>15</v>
      </c>
      <c r="B41" s="7" t="s">
        <v>291</v>
      </c>
      <c r="C41" s="7" t="s">
        <v>17</v>
      </c>
      <c r="D41" s="7"/>
      <c r="E41" s="7" t="s">
        <v>380</v>
      </c>
      <c r="F41" s="7" t="s">
        <v>19</v>
      </c>
      <c r="G41" s="7" t="s">
        <v>293</v>
      </c>
      <c r="H41" s="7" t="s">
        <v>17</v>
      </c>
      <c r="I41" s="7" t="s">
        <v>17</v>
      </c>
      <c r="J41" s="7" t="s">
        <v>381</v>
      </c>
    </row>
    <row r="42" spans="1:10" x14ac:dyDescent="0.25" outlineLevel="3" collapsed="1">
      <c r="A42" s="7" t="s">
        <v>15</v>
      </c>
      <c r="B42" s="7" t="s">
        <v>63</v>
      </c>
      <c r="C42" s="7" t="s">
        <v>17</v>
      </c>
      <c r="D42" s="7"/>
      <c r="E42" s="7" t="s">
        <v>382</v>
      </c>
      <c r="F42" s="7" t="s">
        <v>19</v>
      </c>
      <c r="G42" s="7">
        <v>5</v>
      </c>
      <c r="H42" s="7" t="s">
        <v>17</v>
      </c>
      <c r="I42" s="7" t="s">
        <v>17</v>
      </c>
      <c r="J42" s="7" t="s">
        <v>383</v>
      </c>
    </row>
    <row r="43" spans="1:10" x14ac:dyDescent="0.25" outlineLevel="3" collapsed="1">
      <c r="A43" s="7" t="s">
        <v>15</v>
      </c>
      <c r="B43" s="7" t="s">
        <v>16</v>
      </c>
      <c r="C43" s="7" t="s">
        <v>17</v>
      </c>
      <c r="D43" s="7"/>
      <c r="E43" s="7" t="s">
        <v>384</v>
      </c>
      <c r="F43" s="7" t="s">
        <v>19</v>
      </c>
      <c r="G43" s="7" t="s">
        <v>385</v>
      </c>
      <c r="H43" s="7" t="s">
        <v>17</v>
      </c>
      <c r="I43" s="7" t="s">
        <v>17</v>
      </c>
      <c r="J43" s="7" t="s">
        <v>386</v>
      </c>
    </row>
    <row r="44" spans="1:10" x14ac:dyDescent="0.25" outlineLevel="3" collapsed="1">
      <c r="A44" s="7" t="s">
        <v>15</v>
      </c>
      <c r="B44" s="7" t="s">
        <v>16</v>
      </c>
      <c r="C44" s="7" t="s">
        <v>17</v>
      </c>
      <c r="D44" s="7"/>
      <c r="E44" s="7" t="s">
        <v>387</v>
      </c>
      <c r="F44" s="7" t="s">
        <v>19</v>
      </c>
      <c r="G44" s="7" t="s">
        <v>388</v>
      </c>
      <c r="H44" s="7" t="s">
        <v>17</v>
      </c>
      <c r="I44" s="7" t="s">
        <v>17</v>
      </c>
      <c r="J44" s="7" t="s">
        <v>389</v>
      </c>
    </row>
    <row r="45" spans="1:10" x14ac:dyDescent="0.25" outlineLevel="2" collapsed="1">
      <c r="A45" s="8" t="s">
        <v>19</v>
      </c>
      <c r="B45" s="9" t="s">
        <v>390</v>
      </c>
      <c r="C45" s="8" t="s">
        <v>17</v>
      </c>
      <c r="D45" s="8"/>
      <c r="E45" s="8" t="s">
        <v>391</v>
      </c>
      <c r="F45" s="8" t="s">
        <v>15</v>
      </c>
      <c r="G45" s="8" t="s">
        <v>17</v>
      </c>
      <c r="H45" s="8" t="s">
        <v>17</v>
      </c>
      <c r="I45" s="8" t="s">
        <v>17</v>
      </c>
      <c r="J45" s="8" t="s">
        <v>392</v>
      </c>
    </row>
    <row r="46" spans="1:10" x14ac:dyDescent="0.25" outlineLevel="3" collapsed="1">
      <c r="A46" s="7" t="s">
        <v>15</v>
      </c>
      <c r="B46" s="7" t="s">
        <v>16</v>
      </c>
      <c r="C46" s="7" t="s">
        <v>17</v>
      </c>
      <c r="D46" s="7"/>
      <c r="E46" s="7" t="s">
        <v>393</v>
      </c>
      <c r="F46" s="7" t="s">
        <v>19</v>
      </c>
      <c r="G46" s="7" t="s">
        <v>394</v>
      </c>
      <c r="H46" s="7" t="s">
        <v>17</v>
      </c>
      <c r="I46" s="7" t="s">
        <v>17</v>
      </c>
      <c r="J46" s="7" t="s">
        <v>395</v>
      </c>
    </row>
    <row r="47" spans="1:10" x14ac:dyDescent="0.25" outlineLevel="3" collapsed="1">
      <c r="A47" s="7" t="s">
        <v>15</v>
      </c>
      <c r="B47" s="7" t="s">
        <v>16</v>
      </c>
      <c r="C47" s="7" t="s">
        <v>17</v>
      </c>
      <c r="D47" s="7"/>
      <c r="E47" s="7" t="s">
        <v>396</v>
      </c>
      <c r="F47" s="7" t="s">
        <v>19</v>
      </c>
      <c r="G47" s="7" t="s">
        <v>397</v>
      </c>
      <c r="H47" s="7" t="s">
        <v>17</v>
      </c>
      <c r="I47" s="7" t="s">
        <v>17</v>
      </c>
      <c r="J47" s="7" t="s">
        <v>398</v>
      </c>
    </row>
    <row r="48" spans="1:10" x14ac:dyDescent="0.25" outlineLevel="3" collapsed="1">
      <c r="A48" s="7" t="s">
        <v>19</v>
      </c>
      <c r="B48" s="7" t="s">
        <v>16</v>
      </c>
      <c r="C48" s="7" t="s">
        <v>17</v>
      </c>
      <c r="D48" s="7"/>
      <c r="E48" s="7" t="s">
        <v>399</v>
      </c>
      <c r="F48" s="7" t="s">
        <v>19</v>
      </c>
      <c r="G48" s="7" t="s">
        <v>400</v>
      </c>
      <c r="H48" s="7" t="s">
        <v>17</v>
      </c>
      <c r="I48" s="7" t="s">
        <v>17</v>
      </c>
      <c r="J48" s="7" t="s">
        <v>401</v>
      </c>
    </row>
    <row r="49" spans="1:10" x14ac:dyDescent="0.25" outlineLevel="3" collapsed="1">
      <c r="A49" s="7" t="s">
        <v>19</v>
      </c>
      <c r="B49" s="7" t="s">
        <v>291</v>
      </c>
      <c r="C49" s="7" t="s">
        <v>17</v>
      </c>
      <c r="D49" s="7"/>
      <c r="E49" s="7" t="s">
        <v>402</v>
      </c>
      <c r="F49" s="7" t="s">
        <v>19</v>
      </c>
      <c r="G49" s="7" t="s">
        <v>293</v>
      </c>
      <c r="H49" s="7" t="s">
        <v>17</v>
      </c>
      <c r="I49" s="7" t="s">
        <v>17</v>
      </c>
      <c r="J49" s="7" t="s">
        <v>403</v>
      </c>
    </row>
    <row r="50" spans="1:10" x14ac:dyDescent="0.25" outlineLevel="2" collapsed="1">
      <c r="A50" s="8" t="s">
        <v>19</v>
      </c>
      <c r="B50" s="9" t="s">
        <v>404</v>
      </c>
      <c r="C50" s="8" t="s">
        <v>17</v>
      </c>
      <c r="D50" s="8"/>
      <c r="E50" s="8" t="s">
        <v>405</v>
      </c>
      <c r="F50" s="8" t="s">
        <v>15</v>
      </c>
      <c r="G50" s="8" t="s">
        <v>17</v>
      </c>
      <c r="H50" s="8" t="s">
        <v>17</v>
      </c>
      <c r="I50" s="8" t="s">
        <v>17</v>
      </c>
      <c r="J50" s="8" t="s">
        <v>406</v>
      </c>
    </row>
    <row r="51" spans="1:10" x14ac:dyDescent="0.25" outlineLevel="3" collapsed="1">
      <c r="A51" s="7" t="s">
        <v>19</v>
      </c>
      <c r="B51" s="7" t="s">
        <v>16</v>
      </c>
      <c r="C51" s="7" t="s">
        <v>17</v>
      </c>
      <c r="D51" s="7"/>
      <c r="E51" s="7" t="s">
        <v>378</v>
      </c>
      <c r="F51" s="7" t="s">
        <v>19</v>
      </c>
      <c r="G51" s="7" t="s">
        <v>31</v>
      </c>
      <c r="H51" s="7" t="s">
        <v>17</v>
      </c>
      <c r="I51" s="7" t="s">
        <v>17</v>
      </c>
      <c r="J51" s="7" t="s">
        <v>379</v>
      </c>
    </row>
    <row r="52" spans="1:10" x14ac:dyDescent="0.25" outlineLevel="3" collapsed="1">
      <c r="A52" s="7" t="s">
        <v>19</v>
      </c>
      <c r="B52" s="7" t="s">
        <v>16</v>
      </c>
      <c r="C52" s="7" t="s">
        <v>17</v>
      </c>
      <c r="D52" s="7"/>
      <c r="E52" s="7" t="s">
        <v>380</v>
      </c>
      <c r="F52" s="7" t="s">
        <v>19</v>
      </c>
      <c r="G52" s="7" t="s">
        <v>31</v>
      </c>
      <c r="H52" s="7" t="s">
        <v>17</v>
      </c>
      <c r="I52" s="7" t="s">
        <v>17</v>
      </c>
      <c r="J52" s="7" t="s">
        <v>381</v>
      </c>
    </row>
    <row r="53" spans="1:10" x14ac:dyDescent="0.25" outlineLevel="3" collapsed="1">
      <c r="A53" s="7" t="s">
        <v>19</v>
      </c>
      <c r="B53" s="7" t="s">
        <v>63</v>
      </c>
      <c r="C53" s="7" t="s">
        <v>17</v>
      </c>
      <c r="D53" s="7"/>
      <c r="E53" s="7" t="s">
        <v>407</v>
      </c>
      <c r="F53" s="7" t="s">
        <v>19</v>
      </c>
      <c r="G53" s="7">
        <v>1</v>
      </c>
      <c r="H53" s="7" t="s">
        <v>17</v>
      </c>
      <c r="I53" s="7" t="s">
        <v>17</v>
      </c>
      <c r="J53" s="7" t="s">
        <v>408</v>
      </c>
    </row>
    <row r="54" spans="1:10" x14ac:dyDescent="0.25" outlineLevel="3" collapsed="1">
      <c r="A54" s="7" t="s">
        <v>19</v>
      </c>
      <c r="B54" s="7" t="s">
        <v>16</v>
      </c>
      <c r="C54" s="7" t="s">
        <v>17</v>
      </c>
      <c r="D54" s="7"/>
      <c r="E54" s="7" t="s">
        <v>409</v>
      </c>
      <c r="F54" s="7" t="s">
        <v>19</v>
      </c>
      <c r="G54" s="7" t="s">
        <v>31</v>
      </c>
      <c r="H54" s="7" t="s">
        <v>17</v>
      </c>
      <c r="I54" s="7" t="s">
        <v>17</v>
      </c>
      <c r="J54" s="7" t="s">
        <v>386</v>
      </c>
    </row>
    <row r="55" spans="1:10" x14ac:dyDescent="0.25" outlineLevel="3" collapsed="1">
      <c r="A55" s="7" t="s">
        <v>19</v>
      </c>
      <c r="B55" s="7" t="s">
        <v>16</v>
      </c>
      <c r="C55" s="7" t="s">
        <v>17</v>
      </c>
      <c r="D55" s="7"/>
      <c r="E55" s="7" t="s">
        <v>410</v>
      </c>
      <c r="F55" s="7" t="s">
        <v>19</v>
      </c>
      <c r="G55" s="7" t="s">
        <v>31</v>
      </c>
      <c r="H55" s="7" t="s">
        <v>17</v>
      </c>
      <c r="I55" s="7" t="s">
        <v>17</v>
      </c>
      <c r="J55" s="7" t="s">
        <v>411</v>
      </c>
    </row>
    <row r="56" spans="1:10" x14ac:dyDescent="0.25" outlineLevel="1" collapsed="1">
      <c r="A56" s="8" t="s">
        <v>15</v>
      </c>
      <c r="B56" s="9" t="s">
        <v>412</v>
      </c>
      <c r="C56" s="8" t="s">
        <v>17</v>
      </c>
      <c r="D56" s="8"/>
      <c r="E56" s="8" t="s">
        <v>413</v>
      </c>
      <c r="F56" s="8" t="s">
        <v>19</v>
      </c>
      <c r="G56" s="8" t="s">
        <v>17</v>
      </c>
      <c r="H56" s="8" t="s">
        <v>17</v>
      </c>
      <c r="I56" s="8" t="s">
        <v>17</v>
      </c>
      <c r="J56" s="8" t="s">
        <v>414</v>
      </c>
    </row>
    <row r="57" spans="1:10" x14ac:dyDescent="0.25" outlineLevel="2" collapsed="1">
      <c r="A57" s="7" t="s">
        <v>15</v>
      </c>
      <c r="B57" s="7" t="s">
        <v>16</v>
      </c>
      <c r="C57" s="7" t="s">
        <v>17</v>
      </c>
      <c r="D57" s="7"/>
      <c r="E57" s="7" t="s">
        <v>415</v>
      </c>
      <c r="F57" s="7" t="s">
        <v>19</v>
      </c>
      <c r="G57" s="7" t="s">
        <v>416</v>
      </c>
      <c r="H57" s="7" t="s">
        <v>17</v>
      </c>
      <c r="I57" s="7" t="s">
        <v>17</v>
      </c>
      <c r="J57" s="7" t="s">
        <v>417</v>
      </c>
    </row>
    <row r="58" spans="1:10" x14ac:dyDescent="0.25" outlineLevel="2" collapsed="1">
      <c r="A58" s="7" t="s">
        <v>15</v>
      </c>
      <c r="B58" s="7" t="s">
        <v>16</v>
      </c>
      <c r="C58" s="7" t="s">
        <v>17</v>
      </c>
      <c r="D58" s="7"/>
      <c r="E58" s="7" t="s">
        <v>418</v>
      </c>
      <c r="F58" s="7" t="s">
        <v>19</v>
      </c>
      <c r="G58" s="7" t="s">
        <v>419</v>
      </c>
      <c r="H58" s="7" t="s">
        <v>17</v>
      </c>
      <c r="I58" s="7" t="s">
        <v>17</v>
      </c>
      <c r="J58" s="7" t="s">
        <v>420</v>
      </c>
    </row>
    <row r="59" spans="1:10" x14ac:dyDescent="0.25" outlineLevel="2" collapsed="1">
      <c r="A59" s="7" t="s">
        <v>19</v>
      </c>
      <c r="B59" s="7" t="s">
        <v>16</v>
      </c>
      <c r="C59" s="7" t="s">
        <v>17</v>
      </c>
      <c r="D59" s="7"/>
      <c r="E59" s="7" t="s">
        <v>421</v>
      </c>
      <c r="F59" s="7" t="s">
        <v>19</v>
      </c>
      <c r="G59" s="7" t="s">
        <v>422</v>
      </c>
      <c r="H59" s="7" t="s">
        <v>17</v>
      </c>
      <c r="I59" s="7" t="s">
        <v>17</v>
      </c>
      <c r="J59" s="7" t="s">
        <v>423</v>
      </c>
    </row>
    <row r="60" spans="1:10" x14ac:dyDescent="0.25" outlineLevel="2" collapsed="1">
      <c r="A60" s="8" t="s">
        <v>19</v>
      </c>
      <c r="B60" s="9" t="s">
        <v>424</v>
      </c>
      <c r="C60" s="8" t="s">
        <v>17</v>
      </c>
      <c r="D60" s="8"/>
      <c r="E60" s="8" t="s">
        <v>425</v>
      </c>
      <c r="F60" s="8" t="s">
        <v>15</v>
      </c>
      <c r="G60" s="8" t="s">
        <v>17</v>
      </c>
      <c r="H60" s="8" t="s">
        <v>17</v>
      </c>
      <c r="I60" s="8" t="s">
        <v>17</v>
      </c>
      <c r="J60" s="8" t="s">
        <v>426</v>
      </c>
    </row>
    <row r="61" spans="1:10" x14ac:dyDescent="0.25" outlineLevel="3" collapsed="1">
      <c r="A61" s="7" t="s">
        <v>15</v>
      </c>
      <c r="B61" s="7" t="s">
        <v>16</v>
      </c>
      <c r="C61" s="7" t="s">
        <v>17</v>
      </c>
      <c r="D61" s="7"/>
      <c r="E61" s="7" t="s">
        <v>427</v>
      </c>
      <c r="F61" s="7" t="s">
        <v>19</v>
      </c>
      <c r="G61" s="7" t="s">
        <v>428</v>
      </c>
      <c r="H61" s="7" t="s">
        <v>17</v>
      </c>
      <c r="I61" s="7" t="s">
        <v>17</v>
      </c>
      <c r="J61" s="7" t="s">
        <v>429</v>
      </c>
    </row>
    <row r="62" spans="1:10" x14ac:dyDescent="0.25" outlineLevel="3" collapsed="1">
      <c r="A62" s="7" t="s">
        <v>15</v>
      </c>
      <c r="B62" s="7" t="s">
        <v>16</v>
      </c>
      <c r="C62" s="7" t="s">
        <v>17</v>
      </c>
      <c r="D62" s="7"/>
      <c r="E62" s="7" t="s">
        <v>430</v>
      </c>
      <c r="F62" s="7" t="s">
        <v>19</v>
      </c>
      <c r="G62" s="7" t="s">
        <v>431</v>
      </c>
      <c r="H62" s="7" t="s">
        <v>17</v>
      </c>
      <c r="I62" s="7" t="s">
        <v>17</v>
      </c>
      <c r="J62" s="7" t="s">
        <v>432</v>
      </c>
    </row>
    <row r="63" spans="1:10" x14ac:dyDescent="0.25" outlineLevel="3" collapsed="1">
      <c r="A63" s="7" t="s">
        <v>15</v>
      </c>
      <c r="B63" s="7" t="s">
        <v>16</v>
      </c>
      <c r="C63" s="7" t="s">
        <v>17</v>
      </c>
      <c r="D63" s="7"/>
      <c r="E63" s="7" t="s">
        <v>433</v>
      </c>
      <c r="F63" s="7" t="s">
        <v>19</v>
      </c>
      <c r="G63" s="7" t="s">
        <v>434</v>
      </c>
      <c r="H63" s="7" t="s">
        <v>17</v>
      </c>
      <c r="I63" s="7" t="s">
        <v>17</v>
      </c>
      <c r="J63" s="7" t="s">
        <v>435</v>
      </c>
    </row>
    <row r="64" spans="1:10" x14ac:dyDescent="0.25" outlineLevel="1" collapsed="1">
      <c r="A64" s="8" t="s">
        <v>15</v>
      </c>
      <c r="B64" s="9" t="s">
        <v>436</v>
      </c>
      <c r="C64" s="8" t="s">
        <v>17</v>
      </c>
      <c r="D64" s="8"/>
      <c r="E64" s="8" t="s">
        <v>437</v>
      </c>
      <c r="F64" s="8" t="s">
        <v>19</v>
      </c>
      <c r="G64" s="8" t="s">
        <v>17</v>
      </c>
      <c r="H64" s="8" t="s">
        <v>17</v>
      </c>
      <c r="I64" s="8" t="s">
        <v>17</v>
      </c>
      <c r="J64" s="8" t="s">
        <v>438</v>
      </c>
    </row>
    <row r="65" spans="1:10" x14ac:dyDescent="0.25" outlineLevel="2" collapsed="1">
      <c r="A65" s="7" t="s">
        <v>15</v>
      </c>
      <c r="B65" s="7" t="s">
        <v>291</v>
      </c>
      <c r="C65" s="7" t="s">
        <v>17</v>
      </c>
      <c r="D65" s="7"/>
      <c r="E65" s="7" t="s">
        <v>439</v>
      </c>
      <c r="F65" s="7" t="s">
        <v>19</v>
      </c>
      <c r="G65" s="7" t="s">
        <v>293</v>
      </c>
      <c r="H65" s="7" t="s">
        <v>17</v>
      </c>
      <c r="I65" s="7" t="s">
        <v>17</v>
      </c>
      <c r="J65" s="7" t="s">
        <v>440</v>
      </c>
    </row>
    <row r="66" spans="1:10" x14ac:dyDescent="0.25" outlineLevel="2" collapsed="1">
      <c r="A66" s="7" t="s">
        <v>15</v>
      </c>
      <c r="B66" s="7" t="s">
        <v>291</v>
      </c>
      <c r="C66" s="7" t="s">
        <v>17</v>
      </c>
      <c r="D66" s="7"/>
      <c r="E66" s="7" t="s">
        <v>441</v>
      </c>
      <c r="F66" s="7" t="s">
        <v>19</v>
      </c>
      <c r="G66" s="7" t="s">
        <v>293</v>
      </c>
      <c r="H66" s="7" t="s">
        <v>17</v>
      </c>
      <c r="I66" s="7" t="s">
        <v>17</v>
      </c>
      <c r="J66" s="7" t="s">
        <v>442</v>
      </c>
    </row>
    <row r="67" spans="1:10" x14ac:dyDescent="0.25" outlineLevel="2" collapsed="1">
      <c r="A67" s="7" t="s">
        <v>15</v>
      </c>
      <c r="B67" s="7" t="s">
        <v>159</v>
      </c>
      <c r="C67" s="7" t="s">
        <v>17</v>
      </c>
      <c r="D67" s="7"/>
      <c r="E67" s="7" t="s">
        <v>443</v>
      </c>
      <c r="F67" s="7" t="s">
        <v>19</v>
      </c>
      <c r="G67" s="7" t="b">
        <v>1</v>
      </c>
      <c r="H67" s="7" t="s">
        <v>17</v>
      </c>
      <c r="I67" s="7" t="s">
        <v>17</v>
      </c>
      <c r="J67" s="7" t="s">
        <v>444</v>
      </c>
    </row>
    <row r="68" spans="1:10" x14ac:dyDescent="0.25" outlineLevel="2" collapsed="1">
      <c r="A68" s="7" t="s">
        <v>19</v>
      </c>
      <c r="B68" s="7" t="s">
        <v>16</v>
      </c>
      <c r="C68" s="7" t="s">
        <v>17</v>
      </c>
      <c r="D68" s="7"/>
      <c r="E68" s="7" t="s">
        <v>445</v>
      </c>
      <c r="F68" s="7" t="s">
        <v>19</v>
      </c>
      <c r="G68" s="7" t="s">
        <v>31</v>
      </c>
      <c r="H68" s="7" t="s">
        <v>17</v>
      </c>
      <c r="I68" s="7" t="s">
        <v>17</v>
      </c>
      <c r="J68" s="7" t="s">
        <v>446</v>
      </c>
    </row>
    <row r="69" spans="1:10" x14ac:dyDescent="0.25" outlineLevel="2" collapsed="1">
      <c r="A69" s="7" t="s">
        <v>15</v>
      </c>
      <c r="B69" s="7" t="s">
        <v>16</v>
      </c>
      <c r="C69" s="7" t="s">
        <v>17</v>
      </c>
      <c r="D69" s="7"/>
      <c r="E69" s="7" t="s">
        <v>447</v>
      </c>
      <c r="F69" s="7" t="s">
        <v>19</v>
      </c>
      <c r="G69" s="7" t="s">
        <v>448</v>
      </c>
      <c r="H69" s="7" t="s">
        <v>17</v>
      </c>
      <c r="I69" s="7" t="s">
        <v>17</v>
      </c>
      <c r="J69" s="7" t="s">
        <v>449</v>
      </c>
    </row>
    <row r="70" spans="1:10" x14ac:dyDescent="0.25" outlineLevel="2" collapsed="1">
      <c r="A70" s="7" t="s">
        <v>15</v>
      </c>
      <c r="B70" s="7" t="s">
        <v>16</v>
      </c>
      <c r="C70" s="7" t="s">
        <v>17</v>
      </c>
      <c r="D70" s="7"/>
      <c r="E70" s="7" t="s">
        <v>450</v>
      </c>
      <c r="F70" s="7" t="s">
        <v>19</v>
      </c>
      <c r="G70" s="7" t="s">
        <v>451</v>
      </c>
      <c r="H70" s="7" t="s">
        <v>17</v>
      </c>
      <c r="I70" s="7" t="s">
        <v>17</v>
      </c>
      <c r="J70" s="7" t="s">
        <v>452</v>
      </c>
    </row>
    <row r="71" spans="1:10" x14ac:dyDescent="0.25" outlineLevel="2" collapsed="1">
      <c r="A71" s="7" t="s">
        <v>15</v>
      </c>
      <c r="B71" s="7" t="s">
        <v>16</v>
      </c>
      <c r="C71" s="7" t="s">
        <v>17</v>
      </c>
      <c r="D71" s="7"/>
      <c r="E71" s="7" t="s">
        <v>453</v>
      </c>
      <c r="F71" s="7" t="s">
        <v>19</v>
      </c>
      <c r="G71" s="7" t="s">
        <v>454</v>
      </c>
      <c r="H71" s="7" t="s">
        <v>17</v>
      </c>
      <c r="I71" s="7" t="s">
        <v>17</v>
      </c>
      <c r="J71" s="7" t="s">
        <v>324</v>
      </c>
    </row>
    <row r="72" spans="1:10" x14ac:dyDescent="0.25" outlineLevel="2" collapsed="1">
      <c r="A72" s="7" t="s">
        <v>19</v>
      </c>
      <c r="B72" s="7" t="s">
        <v>16</v>
      </c>
      <c r="C72" s="7" t="s">
        <v>17</v>
      </c>
      <c r="D72" s="7"/>
      <c r="E72" s="7" t="s">
        <v>455</v>
      </c>
      <c r="F72" s="7" t="s">
        <v>19</v>
      </c>
      <c r="G72" s="7" t="s">
        <v>31</v>
      </c>
      <c r="H72" s="7" t="s">
        <v>17</v>
      </c>
      <c r="I72" s="7" t="s">
        <v>17</v>
      </c>
      <c r="J72" s="7" t="s">
        <v>456</v>
      </c>
    </row>
    <row r="73" spans="1:10" x14ac:dyDescent="0.25" outlineLevel="1" collapsed="1">
      <c r="A73" s="8" t="s">
        <v>15</v>
      </c>
      <c r="B73" s="9" t="s">
        <v>457</v>
      </c>
      <c r="C73" s="8" t="s">
        <v>17</v>
      </c>
      <c r="D73" s="8"/>
      <c r="E73" s="8" t="s">
        <v>458</v>
      </c>
      <c r="F73" s="8" t="s">
        <v>19</v>
      </c>
      <c r="G73" s="8" t="s">
        <v>17</v>
      </c>
      <c r="H73" s="8" t="s">
        <v>17</v>
      </c>
      <c r="I73" s="8" t="s">
        <v>17</v>
      </c>
      <c r="J73" s="8" t="s">
        <v>459</v>
      </c>
    </row>
    <row r="74" spans="1:10" x14ac:dyDescent="0.25" outlineLevel="2" collapsed="1">
      <c r="A74" s="7" t="s">
        <v>15</v>
      </c>
      <c r="B74" s="7" t="s">
        <v>16</v>
      </c>
      <c r="C74" s="7" t="s">
        <v>17</v>
      </c>
      <c r="D74" s="7"/>
      <c r="E74" s="7" t="s">
        <v>460</v>
      </c>
      <c r="F74" s="7" t="s">
        <v>19</v>
      </c>
      <c r="G74" s="7" t="s">
        <v>461</v>
      </c>
      <c r="H74" s="7" t="s">
        <v>17</v>
      </c>
      <c r="I74" s="7" t="s">
        <v>17</v>
      </c>
      <c r="J74" s="7" t="s">
        <v>462</v>
      </c>
    </row>
    <row r="75" spans="1:10" x14ac:dyDescent="0.25" outlineLevel="2" collapsed="1">
      <c r="A75" s="7" t="s">
        <v>15</v>
      </c>
      <c r="B75" s="7" t="s">
        <v>63</v>
      </c>
      <c r="C75" s="7" t="s">
        <v>17</v>
      </c>
      <c r="D75" s="7"/>
      <c r="E75" s="7" t="s">
        <v>463</v>
      </c>
      <c r="F75" s="7" t="s">
        <v>19</v>
      </c>
      <c r="G75" s="7">
        <v>0</v>
      </c>
      <c r="H75" s="7" t="s">
        <v>17</v>
      </c>
      <c r="I75" s="7" t="s">
        <v>17</v>
      </c>
      <c r="J75" s="7" t="s">
        <v>464</v>
      </c>
    </row>
    <row r="76" spans="1:10" x14ac:dyDescent="0.25" outlineLevel="2" collapsed="1">
      <c r="A76" s="7" t="s">
        <v>15</v>
      </c>
      <c r="B76" s="7" t="s">
        <v>63</v>
      </c>
      <c r="C76" s="7" t="s">
        <v>17</v>
      </c>
      <c r="D76" s="7"/>
      <c r="E76" s="7" t="s">
        <v>465</v>
      </c>
      <c r="F76" s="7" t="s">
        <v>19</v>
      </c>
      <c r="G76" s="7">
        <v>0</v>
      </c>
      <c r="H76" s="7" t="s">
        <v>17</v>
      </c>
      <c r="I76" s="7" t="s">
        <v>17</v>
      </c>
      <c r="J76" s="7" t="s">
        <v>466</v>
      </c>
    </row>
    <row r="77" spans="1:10" x14ac:dyDescent="0.25" outlineLevel="2" collapsed="1">
      <c r="A77" s="7" t="s">
        <v>15</v>
      </c>
      <c r="B77" s="7" t="s">
        <v>63</v>
      </c>
      <c r="C77" s="7" t="s">
        <v>17</v>
      </c>
      <c r="D77" s="7"/>
      <c r="E77" s="7" t="s">
        <v>467</v>
      </c>
      <c r="F77" s="7" t="s">
        <v>19</v>
      </c>
      <c r="G77" s="7">
        <v>0</v>
      </c>
      <c r="H77" s="7" t="s">
        <v>17</v>
      </c>
      <c r="I77" s="7" t="s">
        <v>17</v>
      </c>
      <c r="J77" s="7" t="s">
        <v>468</v>
      </c>
    </row>
    <row r="78" spans="1:10" x14ac:dyDescent="0.25" outlineLevel="2" collapsed="1">
      <c r="A78" s="7" t="s">
        <v>15</v>
      </c>
      <c r="B78" s="7" t="s">
        <v>63</v>
      </c>
      <c r="C78" s="7" t="s">
        <v>17</v>
      </c>
      <c r="D78" s="7"/>
      <c r="E78" s="7" t="s">
        <v>469</v>
      </c>
      <c r="F78" s="7" t="s">
        <v>19</v>
      </c>
      <c r="G78" s="7">
        <v>0</v>
      </c>
      <c r="H78" s="7" t="s">
        <v>17</v>
      </c>
      <c r="I78" s="7" t="s">
        <v>17</v>
      </c>
      <c r="J78" s="7" t="s">
        <v>470</v>
      </c>
    </row>
    <row r="79" spans="1:10" x14ac:dyDescent="0.25" outlineLevel="2" collapsed="1">
      <c r="A79" s="8" t="s">
        <v>19</v>
      </c>
      <c r="B79" s="9" t="s">
        <v>471</v>
      </c>
      <c r="C79" s="8" t="s">
        <v>17</v>
      </c>
      <c r="D79" s="8"/>
      <c r="E79" s="8" t="s">
        <v>472</v>
      </c>
      <c r="F79" s="8" t="s">
        <v>15</v>
      </c>
      <c r="G79" s="8" t="s">
        <v>17</v>
      </c>
      <c r="H79" s="8" t="s">
        <v>17</v>
      </c>
      <c r="I79" s="8" t="s">
        <v>17</v>
      </c>
      <c r="J79" s="8" t="s">
        <v>473</v>
      </c>
    </row>
    <row r="80" spans="1:10" x14ac:dyDescent="0.25" outlineLevel="3" collapsed="1">
      <c r="A80" s="7" t="s">
        <v>15</v>
      </c>
      <c r="B80" s="7" t="s">
        <v>16</v>
      </c>
      <c r="C80" s="7" t="s">
        <v>17</v>
      </c>
      <c r="D80" s="7"/>
      <c r="E80" s="7" t="s">
        <v>474</v>
      </c>
      <c r="F80" s="7" t="s">
        <v>19</v>
      </c>
      <c r="G80" s="7" t="s">
        <v>475</v>
      </c>
      <c r="H80" s="7" t="s">
        <v>17</v>
      </c>
      <c r="I80" s="7" t="s">
        <v>17</v>
      </c>
      <c r="J80" s="7" t="s">
        <v>476</v>
      </c>
    </row>
    <row r="81" spans="1:10" x14ac:dyDescent="0.25" outlineLevel="3" collapsed="1">
      <c r="A81" s="7" t="s">
        <v>15</v>
      </c>
      <c r="B81" s="7" t="s">
        <v>284</v>
      </c>
      <c r="C81" s="11" t="s">
        <v>477</v>
      </c>
      <c r="D81" s="7"/>
      <c r="E81" s="7" t="s">
        <v>478</v>
      </c>
      <c r="F81" s="7" t="s">
        <v>19</v>
      </c>
      <c r="G81" s="7" t="s">
        <v>479</v>
      </c>
      <c r="H81" s="7" t="s">
        <v>17</v>
      </c>
      <c r="I81" s="7" t="s">
        <v>17</v>
      </c>
      <c r="J81" s="7" t="s">
        <v>480</v>
      </c>
    </row>
    <row r="82" spans="1:10" x14ac:dyDescent="0.25" outlineLevel="3" collapsed="1">
      <c r="A82" s="7" t="s">
        <v>15</v>
      </c>
      <c r="B82" s="7" t="s">
        <v>16</v>
      </c>
      <c r="C82" s="7" t="s">
        <v>17</v>
      </c>
      <c r="D82" s="7"/>
      <c r="E82" s="7" t="s">
        <v>481</v>
      </c>
      <c r="F82" s="7" t="s">
        <v>19</v>
      </c>
      <c r="G82" s="7" t="s">
        <v>482</v>
      </c>
      <c r="H82" s="7" t="s">
        <v>17</v>
      </c>
      <c r="I82" s="7" t="s">
        <v>17</v>
      </c>
      <c r="J82" s="7" t="s">
        <v>483</v>
      </c>
    </row>
    <row r="83" spans="1:10" x14ac:dyDescent="0.25" outlineLevel="1" collapsed="1">
      <c r="A83" s="7" t="s">
        <v>15</v>
      </c>
      <c r="B83" s="7" t="s">
        <v>16</v>
      </c>
      <c r="C83" s="7" t="s">
        <v>17</v>
      </c>
      <c r="D83" s="7"/>
      <c r="E83" s="7" t="s">
        <v>484</v>
      </c>
      <c r="F83" s="7" t="s">
        <v>19</v>
      </c>
      <c r="G83" s="7" t="s">
        <v>485</v>
      </c>
      <c r="H83" s="7" t="s">
        <v>17</v>
      </c>
      <c r="I83" s="7" t="s">
        <v>17</v>
      </c>
      <c r="J83" s="7" t="s">
        <v>486</v>
      </c>
    </row>
    <row r="84" spans="1:10" x14ac:dyDescent="0.25">
      <c r="A84" s="5" t="s">
        <v>15</v>
      </c>
      <c r="B84" s="6" t="s">
        <v>487</v>
      </c>
      <c r="C84" s="5" t="s">
        <v>17</v>
      </c>
      <c r="D84" s="5"/>
      <c r="E84" s="5" t="s">
        <v>488</v>
      </c>
      <c r="F84" s="5" t="s">
        <v>19</v>
      </c>
      <c r="G84" s="5" t="s">
        <v>17</v>
      </c>
      <c r="H84" s="5" t="s">
        <v>17</v>
      </c>
      <c r="I84" s="5" t="s">
        <v>17</v>
      </c>
      <c r="J84" s="5" t="s">
        <v>489</v>
      </c>
    </row>
    <row r="85" spans="1:10" x14ac:dyDescent="0.25" outlineLevel="1" collapsed="1">
      <c r="A85" s="8" t="s">
        <v>15</v>
      </c>
      <c r="B85" s="9" t="s">
        <v>490</v>
      </c>
      <c r="C85" s="8" t="s">
        <v>17</v>
      </c>
      <c r="D85" s="8"/>
      <c r="E85" s="8" t="s">
        <v>490</v>
      </c>
      <c r="F85" s="8" t="s">
        <v>19</v>
      </c>
      <c r="G85" s="8" t="s">
        <v>17</v>
      </c>
      <c r="H85" s="8" t="s">
        <v>17</v>
      </c>
      <c r="I85" s="8" t="s">
        <v>17</v>
      </c>
      <c r="J85" s="8" t="s">
        <v>491</v>
      </c>
    </row>
    <row r="86" spans="1:10" x14ac:dyDescent="0.25" outlineLevel="2" collapsed="1">
      <c r="A86" s="7" t="s">
        <v>15</v>
      </c>
      <c r="B86" s="7" t="s">
        <v>16</v>
      </c>
      <c r="C86" s="7" t="s">
        <v>17</v>
      </c>
      <c r="D86" s="7"/>
      <c r="E86" s="7" t="s">
        <v>492</v>
      </c>
      <c r="F86" s="7" t="s">
        <v>19</v>
      </c>
      <c r="G86" s="7" t="s">
        <v>493</v>
      </c>
      <c r="H86" s="7" t="s">
        <v>17</v>
      </c>
      <c r="I86" s="7" t="s">
        <v>17</v>
      </c>
      <c r="J86" s="7" t="s">
        <v>494</v>
      </c>
    </row>
    <row r="87" spans="1:10" x14ac:dyDescent="0.25" outlineLevel="2" collapsed="1">
      <c r="A87" s="7" t="s">
        <v>15</v>
      </c>
      <c r="B87" s="7" t="s">
        <v>16</v>
      </c>
      <c r="C87" s="7" t="s">
        <v>17</v>
      </c>
      <c r="D87" s="7"/>
      <c r="E87" s="7" t="s">
        <v>495</v>
      </c>
      <c r="F87" s="7" t="s">
        <v>19</v>
      </c>
      <c r="G87" s="7" t="s">
        <v>496</v>
      </c>
      <c r="H87" s="7" t="s">
        <v>17</v>
      </c>
      <c r="I87" s="7" t="s">
        <v>17</v>
      </c>
      <c r="J87" s="7" t="s">
        <v>497</v>
      </c>
    </row>
    <row r="88" spans="1:10" x14ac:dyDescent="0.25" outlineLevel="2" collapsed="1">
      <c r="A88" s="8" t="s">
        <v>19</v>
      </c>
      <c r="B88" s="9" t="s">
        <v>498</v>
      </c>
      <c r="C88" s="8" t="s">
        <v>17</v>
      </c>
      <c r="D88" s="8"/>
      <c r="E88" s="8" t="s">
        <v>499</v>
      </c>
      <c r="F88" s="8" t="s">
        <v>19</v>
      </c>
      <c r="G88" s="8" t="s">
        <v>17</v>
      </c>
      <c r="H88" s="8" t="s">
        <v>17</v>
      </c>
      <c r="I88" s="8" t="s">
        <v>17</v>
      </c>
      <c r="J88" s="8" t="s">
        <v>491</v>
      </c>
    </row>
    <row r="89" spans="1:10" x14ac:dyDescent="0.25" outlineLevel="3" collapsed="1">
      <c r="A89" s="7" t="s">
        <v>19</v>
      </c>
      <c r="B89" s="7" t="s">
        <v>16</v>
      </c>
      <c r="C89" s="7" t="s">
        <v>17</v>
      </c>
      <c r="D89" s="7"/>
      <c r="E89" s="7" t="s">
        <v>500</v>
      </c>
      <c r="F89" s="7" t="s">
        <v>19</v>
      </c>
      <c r="G89" s="7" t="s">
        <v>31</v>
      </c>
      <c r="H89" s="7" t="s">
        <v>17</v>
      </c>
      <c r="I89" s="7" t="s">
        <v>17</v>
      </c>
      <c r="J89" s="7" t="s">
        <v>494</v>
      </c>
    </row>
    <row r="90" spans="1:10" x14ac:dyDescent="0.25" outlineLevel="3" collapsed="1">
      <c r="A90" s="7" t="s">
        <v>19</v>
      </c>
      <c r="B90" s="7" t="s">
        <v>16</v>
      </c>
      <c r="C90" s="7" t="s">
        <v>17</v>
      </c>
      <c r="D90" s="7"/>
      <c r="E90" s="7" t="s">
        <v>501</v>
      </c>
      <c r="F90" s="7" t="s">
        <v>19</v>
      </c>
      <c r="G90" s="7" t="s">
        <v>31</v>
      </c>
      <c r="H90" s="7" t="s">
        <v>17</v>
      </c>
      <c r="I90" s="7" t="s">
        <v>17</v>
      </c>
      <c r="J90" s="7" t="s">
        <v>497</v>
      </c>
    </row>
    <row r="91" spans="1:10" x14ac:dyDescent="0.25" outlineLevel="3" collapsed="1">
      <c r="A91" s="8" t="s">
        <v>19</v>
      </c>
      <c r="B91" s="9" t="s">
        <v>502</v>
      </c>
      <c r="C91" s="8" t="s">
        <v>17</v>
      </c>
      <c r="D91" s="8"/>
      <c r="E91" s="8" t="s">
        <v>503</v>
      </c>
      <c r="F91" s="8" t="s">
        <v>15</v>
      </c>
      <c r="G91" s="8" t="s">
        <v>17</v>
      </c>
      <c r="H91" s="8" t="s">
        <v>17</v>
      </c>
      <c r="I91" s="8" t="s">
        <v>17</v>
      </c>
      <c r="J91" s="8" t="s">
        <v>504</v>
      </c>
    </row>
    <row r="92" spans="1:10" x14ac:dyDescent="0.25" outlineLevel="4" collapsed="1">
      <c r="A92" s="7" t="s">
        <v>19</v>
      </c>
      <c r="B92" s="7" t="s">
        <v>16</v>
      </c>
      <c r="C92" s="7" t="s">
        <v>17</v>
      </c>
      <c r="D92" s="7"/>
      <c r="E92" s="7" t="s">
        <v>505</v>
      </c>
      <c r="F92" s="7" t="s">
        <v>19</v>
      </c>
      <c r="G92" s="7" t="s">
        <v>31</v>
      </c>
      <c r="H92" s="7" t="s">
        <v>17</v>
      </c>
      <c r="I92" s="7" t="s">
        <v>17</v>
      </c>
      <c r="J92" s="7" t="s">
        <v>506</v>
      </c>
    </row>
    <row r="93" spans="1:10" x14ac:dyDescent="0.25" outlineLevel="4" collapsed="1">
      <c r="A93" s="7" t="s">
        <v>19</v>
      </c>
      <c r="B93" s="7" t="s">
        <v>16</v>
      </c>
      <c r="C93" s="7" t="s">
        <v>17</v>
      </c>
      <c r="D93" s="7"/>
      <c r="E93" s="7" t="s">
        <v>501</v>
      </c>
      <c r="F93" s="7" t="s">
        <v>19</v>
      </c>
      <c r="G93" s="7" t="s">
        <v>31</v>
      </c>
      <c r="H93" s="7" t="s">
        <v>17</v>
      </c>
      <c r="I93" s="7" t="s">
        <v>17</v>
      </c>
      <c r="J93" s="7" t="s">
        <v>497</v>
      </c>
    </row>
    <row r="94" spans="1:10" x14ac:dyDescent="0.25" outlineLevel="1" collapsed="1">
      <c r="A94" s="8" t="s">
        <v>15</v>
      </c>
      <c r="B94" s="9" t="s">
        <v>507</v>
      </c>
      <c r="C94" s="8" t="s">
        <v>17</v>
      </c>
      <c r="D94" s="8"/>
      <c r="E94" s="8" t="s">
        <v>508</v>
      </c>
      <c r="F94" s="8" t="s">
        <v>19</v>
      </c>
      <c r="G94" s="8" t="s">
        <v>17</v>
      </c>
      <c r="H94" s="8" t="s">
        <v>17</v>
      </c>
      <c r="I94" s="8" t="s">
        <v>17</v>
      </c>
      <c r="J94" s="8" t="s">
        <v>509</v>
      </c>
    </row>
    <row r="95" spans="1:10" x14ac:dyDescent="0.25" outlineLevel="2" collapsed="1">
      <c r="A95" s="7" t="s">
        <v>15</v>
      </c>
      <c r="B95" s="7" t="s">
        <v>16</v>
      </c>
      <c r="C95" s="7" t="s">
        <v>17</v>
      </c>
      <c r="D95" s="7"/>
      <c r="E95" s="7" t="s">
        <v>492</v>
      </c>
      <c r="F95" s="7" t="s">
        <v>19</v>
      </c>
      <c r="G95" s="7" t="s">
        <v>493</v>
      </c>
      <c r="H95" s="7" t="s">
        <v>17</v>
      </c>
      <c r="I95" s="7" t="s">
        <v>17</v>
      </c>
      <c r="J95" s="7" t="s">
        <v>494</v>
      </c>
    </row>
    <row r="96" spans="1:10" x14ac:dyDescent="0.25" outlineLevel="2" collapsed="1">
      <c r="A96" s="7" t="s">
        <v>15</v>
      </c>
      <c r="B96" s="7" t="s">
        <v>16</v>
      </c>
      <c r="C96" s="7" t="s">
        <v>17</v>
      </c>
      <c r="D96" s="7"/>
      <c r="E96" s="7" t="s">
        <v>495</v>
      </c>
      <c r="F96" s="7" t="s">
        <v>19</v>
      </c>
      <c r="G96" s="7" t="s">
        <v>496</v>
      </c>
      <c r="H96" s="7" t="s">
        <v>17</v>
      </c>
      <c r="I96" s="7" t="s">
        <v>17</v>
      </c>
      <c r="J96" s="7" t="s">
        <v>497</v>
      </c>
    </row>
    <row r="97" spans="1:10" x14ac:dyDescent="0.25" outlineLevel="2" collapsed="1">
      <c r="A97" s="8" t="s">
        <v>19</v>
      </c>
      <c r="B97" s="9" t="s">
        <v>510</v>
      </c>
      <c r="C97" s="8" t="s">
        <v>17</v>
      </c>
      <c r="D97" s="8"/>
      <c r="E97" s="8" t="s">
        <v>510</v>
      </c>
      <c r="F97" s="8" t="s">
        <v>19</v>
      </c>
      <c r="G97" s="8" t="s">
        <v>17</v>
      </c>
      <c r="H97" s="8" t="s">
        <v>17</v>
      </c>
      <c r="I97" s="8" t="s">
        <v>17</v>
      </c>
      <c r="J97" s="8" t="s">
        <v>509</v>
      </c>
    </row>
    <row r="98" spans="1:10" x14ac:dyDescent="0.25" outlineLevel="3" collapsed="1">
      <c r="A98" s="7" t="s">
        <v>19</v>
      </c>
      <c r="B98" s="7" t="s">
        <v>16</v>
      </c>
      <c r="C98" s="7" t="s">
        <v>17</v>
      </c>
      <c r="D98" s="7"/>
      <c r="E98" s="7" t="s">
        <v>500</v>
      </c>
      <c r="F98" s="7" t="s">
        <v>19</v>
      </c>
      <c r="G98" s="7" t="s">
        <v>31</v>
      </c>
      <c r="H98" s="7" t="s">
        <v>17</v>
      </c>
      <c r="I98" s="7" t="s">
        <v>17</v>
      </c>
      <c r="J98" s="7" t="s">
        <v>494</v>
      </c>
    </row>
    <row r="99" spans="1:10" x14ac:dyDescent="0.25" outlineLevel="3" collapsed="1">
      <c r="A99" s="7" t="s">
        <v>19</v>
      </c>
      <c r="B99" s="7" t="s">
        <v>16</v>
      </c>
      <c r="C99" s="7" t="s">
        <v>17</v>
      </c>
      <c r="D99" s="7"/>
      <c r="E99" s="7" t="s">
        <v>501</v>
      </c>
      <c r="F99" s="7" t="s">
        <v>19</v>
      </c>
      <c r="G99" s="7" t="s">
        <v>31</v>
      </c>
      <c r="H99" s="7" t="s">
        <v>17</v>
      </c>
      <c r="I99" s="7" t="s">
        <v>17</v>
      </c>
      <c r="J99" s="7" t="s">
        <v>497</v>
      </c>
    </row>
    <row r="100" spans="1:10" x14ac:dyDescent="0.25" outlineLevel="3" collapsed="1">
      <c r="A100" s="8" t="s">
        <v>19</v>
      </c>
      <c r="B100" s="9" t="s">
        <v>502</v>
      </c>
      <c r="C100" s="8" t="s">
        <v>17</v>
      </c>
      <c r="D100" s="8"/>
      <c r="E100" s="8" t="s">
        <v>503</v>
      </c>
      <c r="F100" s="8" t="s">
        <v>15</v>
      </c>
      <c r="G100" s="8" t="s">
        <v>17</v>
      </c>
      <c r="H100" s="8" t="s">
        <v>17</v>
      </c>
      <c r="I100" s="8" t="s">
        <v>17</v>
      </c>
      <c r="J100" s="8" t="s">
        <v>504</v>
      </c>
    </row>
    <row r="101" spans="1:10" x14ac:dyDescent="0.25" outlineLevel="4" collapsed="1">
      <c r="A101" s="7" t="s">
        <v>19</v>
      </c>
      <c r="B101" s="7" t="s">
        <v>16</v>
      </c>
      <c r="C101" s="7" t="s">
        <v>17</v>
      </c>
      <c r="D101" s="7"/>
      <c r="E101" s="7" t="s">
        <v>505</v>
      </c>
      <c r="F101" s="7" t="s">
        <v>19</v>
      </c>
      <c r="G101" s="7" t="s">
        <v>31</v>
      </c>
      <c r="H101" s="7" t="s">
        <v>17</v>
      </c>
      <c r="I101" s="7" t="s">
        <v>17</v>
      </c>
      <c r="J101" s="7" t="s">
        <v>506</v>
      </c>
    </row>
    <row r="102" spans="1:10" x14ac:dyDescent="0.25" outlineLevel="4" collapsed="1">
      <c r="A102" s="7" t="s">
        <v>19</v>
      </c>
      <c r="B102" s="7" t="s">
        <v>16</v>
      </c>
      <c r="C102" s="7" t="s">
        <v>17</v>
      </c>
      <c r="D102" s="7"/>
      <c r="E102" s="7" t="s">
        <v>501</v>
      </c>
      <c r="F102" s="7" t="s">
        <v>19</v>
      </c>
      <c r="G102" s="7" t="s">
        <v>31</v>
      </c>
      <c r="H102" s="7" t="s">
        <v>17</v>
      </c>
      <c r="I102" s="7" t="s">
        <v>17</v>
      </c>
      <c r="J102" s="7" t="s">
        <v>497</v>
      </c>
    </row>
    <row r="103" spans="1:10" x14ac:dyDescent="0.25" outlineLevel="1" collapsed="1">
      <c r="A103" s="8" t="s">
        <v>15</v>
      </c>
      <c r="B103" s="9" t="s">
        <v>511</v>
      </c>
      <c r="C103" s="8" t="s">
        <v>17</v>
      </c>
      <c r="D103" s="8"/>
      <c r="E103" s="8" t="s">
        <v>512</v>
      </c>
      <c r="F103" s="8" t="s">
        <v>19</v>
      </c>
      <c r="G103" s="8" t="s">
        <v>17</v>
      </c>
      <c r="H103" s="8" t="s">
        <v>17</v>
      </c>
      <c r="I103" s="8" t="s">
        <v>17</v>
      </c>
      <c r="J103" s="8" t="s">
        <v>513</v>
      </c>
    </row>
    <row r="104" spans="1:10" x14ac:dyDescent="0.25" outlineLevel="2" collapsed="1">
      <c r="A104" s="7" t="s">
        <v>15</v>
      </c>
      <c r="B104" s="7" t="s">
        <v>16</v>
      </c>
      <c r="C104" s="7" t="s">
        <v>17</v>
      </c>
      <c r="D104" s="7"/>
      <c r="E104" s="7" t="s">
        <v>492</v>
      </c>
      <c r="F104" s="7" t="s">
        <v>19</v>
      </c>
      <c r="G104" s="7" t="s">
        <v>493</v>
      </c>
      <c r="H104" s="7" t="s">
        <v>17</v>
      </c>
      <c r="I104" s="7" t="s">
        <v>17</v>
      </c>
      <c r="J104" s="7" t="s">
        <v>494</v>
      </c>
    </row>
    <row r="105" spans="1:10" x14ac:dyDescent="0.25" outlineLevel="2" collapsed="1">
      <c r="A105" s="7" t="s">
        <v>15</v>
      </c>
      <c r="B105" s="7" t="s">
        <v>16</v>
      </c>
      <c r="C105" s="7" t="s">
        <v>17</v>
      </c>
      <c r="D105" s="7"/>
      <c r="E105" s="7" t="s">
        <v>495</v>
      </c>
      <c r="F105" s="7" t="s">
        <v>19</v>
      </c>
      <c r="G105" s="7" t="s">
        <v>496</v>
      </c>
      <c r="H105" s="7" t="s">
        <v>17</v>
      </c>
      <c r="I105" s="7" t="s">
        <v>17</v>
      </c>
      <c r="J105" s="7" t="s">
        <v>497</v>
      </c>
    </row>
    <row r="106" spans="1:10" x14ac:dyDescent="0.25" outlineLevel="2" collapsed="1">
      <c r="A106" s="8" t="s">
        <v>19</v>
      </c>
      <c r="B106" s="9" t="s">
        <v>514</v>
      </c>
      <c r="C106" s="8" t="s">
        <v>17</v>
      </c>
      <c r="D106" s="8"/>
      <c r="E106" s="8" t="s">
        <v>515</v>
      </c>
      <c r="F106" s="8" t="s">
        <v>19</v>
      </c>
      <c r="G106" s="8" t="s">
        <v>17</v>
      </c>
      <c r="H106" s="8" t="s">
        <v>17</v>
      </c>
      <c r="I106" s="8" t="s">
        <v>17</v>
      </c>
      <c r="J106" s="8" t="s">
        <v>516</v>
      </c>
    </row>
    <row r="107" spans="1:10" x14ac:dyDescent="0.25" outlineLevel="3" collapsed="1">
      <c r="A107" s="7" t="s">
        <v>19</v>
      </c>
      <c r="B107" s="7" t="s">
        <v>16</v>
      </c>
      <c r="C107" s="7" t="s">
        <v>17</v>
      </c>
      <c r="D107" s="7"/>
      <c r="E107" s="7" t="s">
        <v>500</v>
      </c>
      <c r="F107" s="7" t="s">
        <v>19</v>
      </c>
      <c r="G107" s="7" t="s">
        <v>31</v>
      </c>
      <c r="H107" s="7" t="s">
        <v>17</v>
      </c>
      <c r="I107" s="7" t="s">
        <v>17</v>
      </c>
      <c r="J107" s="7" t="s">
        <v>494</v>
      </c>
    </row>
    <row r="108" spans="1:10" x14ac:dyDescent="0.25" outlineLevel="3" collapsed="1">
      <c r="A108" s="7" t="s">
        <v>19</v>
      </c>
      <c r="B108" s="7" t="s">
        <v>16</v>
      </c>
      <c r="C108" s="7" t="s">
        <v>17</v>
      </c>
      <c r="D108" s="7"/>
      <c r="E108" s="7" t="s">
        <v>501</v>
      </c>
      <c r="F108" s="7" t="s">
        <v>19</v>
      </c>
      <c r="G108" s="7" t="s">
        <v>31</v>
      </c>
      <c r="H108" s="7" t="s">
        <v>17</v>
      </c>
      <c r="I108" s="7" t="s">
        <v>17</v>
      </c>
      <c r="J108" s="7" t="s">
        <v>497</v>
      </c>
    </row>
    <row r="109" spans="1:10" x14ac:dyDescent="0.25" outlineLevel="3" collapsed="1">
      <c r="A109" s="8" t="s">
        <v>19</v>
      </c>
      <c r="B109" s="9" t="s">
        <v>502</v>
      </c>
      <c r="C109" s="8" t="s">
        <v>17</v>
      </c>
      <c r="D109" s="8"/>
      <c r="E109" s="8" t="s">
        <v>503</v>
      </c>
      <c r="F109" s="8" t="s">
        <v>15</v>
      </c>
      <c r="G109" s="8" t="s">
        <v>17</v>
      </c>
      <c r="H109" s="8" t="s">
        <v>17</v>
      </c>
      <c r="I109" s="8" t="s">
        <v>17</v>
      </c>
      <c r="J109" s="8" t="s">
        <v>504</v>
      </c>
    </row>
    <row r="110" spans="1:10" x14ac:dyDescent="0.25" outlineLevel="4" collapsed="1">
      <c r="A110" s="7" t="s">
        <v>19</v>
      </c>
      <c r="B110" s="7" t="s">
        <v>16</v>
      </c>
      <c r="C110" s="7" t="s">
        <v>17</v>
      </c>
      <c r="D110" s="7"/>
      <c r="E110" s="7" t="s">
        <v>505</v>
      </c>
      <c r="F110" s="7" t="s">
        <v>19</v>
      </c>
      <c r="G110" s="7" t="s">
        <v>31</v>
      </c>
      <c r="H110" s="7" t="s">
        <v>17</v>
      </c>
      <c r="I110" s="7" t="s">
        <v>17</v>
      </c>
      <c r="J110" s="7" t="s">
        <v>506</v>
      </c>
    </row>
    <row r="111" spans="1:10" x14ac:dyDescent="0.25" outlineLevel="4" collapsed="1">
      <c r="A111" s="7" t="s">
        <v>19</v>
      </c>
      <c r="B111" s="7" t="s">
        <v>16</v>
      </c>
      <c r="C111" s="7" t="s">
        <v>17</v>
      </c>
      <c r="D111" s="7"/>
      <c r="E111" s="7" t="s">
        <v>501</v>
      </c>
      <c r="F111" s="7" t="s">
        <v>19</v>
      </c>
      <c r="G111" s="7" t="s">
        <v>31</v>
      </c>
      <c r="H111" s="7" t="s">
        <v>17</v>
      </c>
      <c r="I111" s="7" t="s">
        <v>17</v>
      </c>
      <c r="J111" s="7" t="s">
        <v>497</v>
      </c>
    </row>
    <row r="112" spans="1:10" x14ac:dyDescent="0.25" outlineLevel="1" collapsed="1">
      <c r="A112" s="8" t="s">
        <v>15</v>
      </c>
      <c r="B112" s="9" t="s">
        <v>517</v>
      </c>
      <c r="C112" s="8" t="s">
        <v>17</v>
      </c>
      <c r="D112" s="8"/>
      <c r="E112" s="8" t="s">
        <v>517</v>
      </c>
      <c r="F112" s="8" t="s">
        <v>19</v>
      </c>
      <c r="G112" s="8" t="s">
        <v>17</v>
      </c>
      <c r="H112" s="8" t="s">
        <v>17</v>
      </c>
      <c r="I112" s="8" t="s">
        <v>17</v>
      </c>
      <c r="J112" s="8" t="s">
        <v>518</v>
      </c>
    </row>
    <row r="113" spans="1:10" x14ac:dyDescent="0.25" outlineLevel="2" collapsed="1">
      <c r="A113" s="7" t="s">
        <v>15</v>
      </c>
      <c r="B113" s="7" t="s">
        <v>16</v>
      </c>
      <c r="C113" s="7" t="s">
        <v>17</v>
      </c>
      <c r="D113" s="7"/>
      <c r="E113" s="7" t="s">
        <v>492</v>
      </c>
      <c r="F113" s="7" t="s">
        <v>19</v>
      </c>
      <c r="G113" s="7" t="s">
        <v>493</v>
      </c>
      <c r="H113" s="7" t="s">
        <v>17</v>
      </c>
      <c r="I113" s="7" t="s">
        <v>17</v>
      </c>
      <c r="J113" s="7" t="s">
        <v>494</v>
      </c>
    </row>
    <row r="114" spans="1:10" x14ac:dyDescent="0.25" outlineLevel="2" collapsed="1">
      <c r="A114" s="7" t="s">
        <v>15</v>
      </c>
      <c r="B114" s="7" t="s">
        <v>16</v>
      </c>
      <c r="C114" s="7" t="s">
        <v>17</v>
      </c>
      <c r="D114" s="7"/>
      <c r="E114" s="7" t="s">
        <v>495</v>
      </c>
      <c r="F114" s="7" t="s">
        <v>19</v>
      </c>
      <c r="G114" s="7" t="s">
        <v>496</v>
      </c>
      <c r="H114" s="7" t="s">
        <v>17</v>
      </c>
      <c r="I114" s="7" t="s">
        <v>17</v>
      </c>
      <c r="J114" s="7" t="s">
        <v>497</v>
      </c>
    </row>
    <row r="115" spans="1:10" x14ac:dyDescent="0.25" outlineLevel="2" collapsed="1">
      <c r="A115" s="8" t="s">
        <v>19</v>
      </c>
      <c r="B115" s="9" t="s">
        <v>519</v>
      </c>
      <c r="C115" s="8" t="s">
        <v>17</v>
      </c>
      <c r="D115" s="8"/>
      <c r="E115" s="8" t="s">
        <v>520</v>
      </c>
      <c r="F115" s="8" t="s">
        <v>19</v>
      </c>
      <c r="G115" s="8" t="s">
        <v>17</v>
      </c>
      <c r="H115" s="8" t="s">
        <v>17</v>
      </c>
      <c r="I115" s="8" t="s">
        <v>17</v>
      </c>
      <c r="J115" s="8" t="s">
        <v>518</v>
      </c>
    </row>
    <row r="116" spans="1:10" x14ac:dyDescent="0.25" outlineLevel="3" collapsed="1">
      <c r="A116" s="7" t="s">
        <v>19</v>
      </c>
      <c r="B116" s="7" t="s">
        <v>16</v>
      </c>
      <c r="C116" s="7" t="s">
        <v>17</v>
      </c>
      <c r="D116" s="7"/>
      <c r="E116" s="7" t="s">
        <v>500</v>
      </c>
      <c r="F116" s="7" t="s">
        <v>19</v>
      </c>
      <c r="G116" s="7" t="s">
        <v>31</v>
      </c>
      <c r="H116" s="7" t="s">
        <v>17</v>
      </c>
      <c r="I116" s="7" t="s">
        <v>17</v>
      </c>
      <c r="J116" s="7" t="s">
        <v>494</v>
      </c>
    </row>
    <row r="117" spans="1:10" x14ac:dyDescent="0.25" outlineLevel="3" collapsed="1">
      <c r="A117" s="7" t="s">
        <v>19</v>
      </c>
      <c r="B117" s="7" t="s">
        <v>16</v>
      </c>
      <c r="C117" s="7" t="s">
        <v>17</v>
      </c>
      <c r="D117" s="7"/>
      <c r="E117" s="7" t="s">
        <v>501</v>
      </c>
      <c r="F117" s="7" t="s">
        <v>19</v>
      </c>
      <c r="G117" s="7" t="s">
        <v>31</v>
      </c>
      <c r="H117" s="7" t="s">
        <v>17</v>
      </c>
      <c r="I117" s="7" t="s">
        <v>17</v>
      </c>
      <c r="J117" s="7" t="s">
        <v>497</v>
      </c>
    </row>
    <row r="118" spans="1:10" x14ac:dyDescent="0.25" outlineLevel="3" collapsed="1">
      <c r="A118" s="8" t="s">
        <v>19</v>
      </c>
      <c r="B118" s="9" t="s">
        <v>502</v>
      </c>
      <c r="C118" s="8" t="s">
        <v>17</v>
      </c>
      <c r="D118" s="8"/>
      <c r="E118" s="8" t="s">
        <v>503</v>
      </c>
      <c r="F118" s="8" t="s">
        <v>15</v>
      </c>
      <c r="G118" s="8" t="s">
        <v>17</v>
      </c>
      <c r="H118" s="8" t="s">
        <v>17</v>
      </c>
      <c r="I118" s="8" t="s">
        <v>17</v>
      </c>
      <c r="J118" s="8" t="s">
        <v>504</v>
      </c>
    </row>
    <row r="119" spans="1:10" x14ac:dyDescent="0.25" outlineLevel="4" collapsed="1">
      <c r="A119" s="7" t="s">
        <v>19</v>
      </c>
      <c r="B119" s="7" t="s">
        <v>16</v>
      </c>
      <c r="C119" s="7" t="s">
        <v>17</v>
      </c>
      <c r="D119" s="7"/>
      <c r="E119" s="7" t="s">
        <v>505</v>
      </c>
      <c r="F119" s="7" t="s">
        <v>19</v>
      </c>
      <c r="G119" s="7" t="s">
        <v>31</v>
      </c>
      <c r="H119" s="7" t="s">
        <v>17</v>
      </c>
      <c r="I119" s="7" t="s">
        <v>17</v>
      </c>
      <c r="J119" s="7" t="s">
        <v>506</v>
      </c>
    </row>
    <row r="120" spans="1:10" x14ac:dyDescent="0.25" outlineLevel="4" collapsed="1">
      <c r="A120" s="7" t="s">
        <v>19</v>
      </c>
      <c r="B120" s="7" t="s">
        <v>16</v>
      </c>
      <c r="C120" s="7" t="s">
        <v>17</v>
      </c>
      <c r="D120" s="7"/>
      <c r="E120" s="7" t="s">
        <v>501</v>
      </c>
      <c r="F120" s="7" t="s">
        <v>19</v>
      </c>
      <c r="G120" s="7" t="s">
        <v>31</v>
      </c>
      <c r="H120" s="7" t="s">
        <v>17</v>
      </c>
      <c r="I120" s="7" t="s">
        <v>17</v>
      </c>
      <c r="J120" s="7" t="s">
        <v>497</v>
      </c>
    </row>
    <row r="121" spans="1:10" x14ac:dyDescent="0.25">
      <c r="A121" s="5" t="s">
        <v>15</v>
      </c>
      <c r="B121" s="6" t="s">
        <v>521</v>
      </c>
      <c r="C121" s="5" t="s">
        <v>17</v>
      </c>
      <c r="D121" s="5"/>
      <c r="E121" s="5" t="s">
        <v>522</v>
      </c>
      <c r="F121" s="5" t="s">
        <v>19</v>
      </c>
      <c r="G121" s="5" t="s">
        <v>17</v>
      </c>
      <c r="H121" s="5" t="s">
        <v>17</v>
      </c>
      <c r="I121" s="5" t="s">
        <v>17</v>
      </c>
      <c r="J121" s="5" t="s">
        <v>523</v>
      </c>
    </row>
    <row r="122" spans="1:10" x14ac:dyDescent="0.25" outlineLevel="1" collapsed="1">
      <c r="A122" s="8" t="s">
        <v>15</v>
      </c>
      <c r="B122" s="9" t="s">
        <v>524</v>
      </c>
      <c r="C122" s="8" t="s">
        <v>17</v>
      </c>
      <c r="D122" s="8"/>
      <c r="E122" s="8" t="s">
        <v>525</v>
      </c>
      <c r="F122" s="8" t="s">
        <v>19</v>
      </c>
      <c r="G122" s="8" t="s">
        <v>17</v>
      </c>
      <c r="H122" s="8" t="s">
        <v>17</v>
      </c>
      <c r="I122" s="8" t="s">
        <v>17</v>
      </c>
      <c r="J122" s="8" t="s">
        <v>526</v>
      </c>
    </row>
    <row r="123" spans="1:10" x14ac:dyDescent="0.25" outlineLevel="2" collapsed="1">
      <c r="A123" s="8" t="s">
        <v>15</v>
      </c>
      <c r="B123" s="9" t="s">
        <v>527</v>
      </c>
      <c r="C123" s="8" t="s">
        <v>17</v>
      </c>
      <c r="D123" s="8"/>
      <c r="E123" s="8" t="s">
        <v>528</v>
      </c>
      <c r="F123" s="8" t="s">
        <v>19</v>
      </c>
      <c r="G123" s="8" t="s">
        <v>17</v>
      </c>
      <c r="H123" s="8" t="s">
        <v>17</v>
      </c>
      <c r="I123" s="8" t="s">
        <v>17</v>
      </c>
      <c r="J123" s="8" t="s">
        <v>529</v>
      </c>
    </row>
    <row r="124" spans="1:10" x14ac:dyDescent="0.25" outlineLevel="3" collapsed="1">
      <c r="A124" s="7" t="s">
        <v>15</v>
      </c>
      <c r="B124" s="7" t="s">
        <v>16</v>
      </c>
      <c r="C124" s="7" t="s">
        <v>17</v>
      </c>
      <c r="D124" s="7"/>
      <c r="E124" s="7" t="s">
        <v>492</v>
      </c>
      <c r="F124" s="7" t="s">
        <v>19</v>
      </c>
      <c r="G124" s="7" t="s">
        <v>493</v>
      </c>
      <c r="H124" s="7" t="s">
        <v>17</v>
      </c>
      <c r="I124" s="7" t="s">
        <v>17</v>
      </c>
      <c r="J124" s="7" t="s">
        <v>494</v>
      </c>
    </row>
    <row r="125" spans="1:10" x14ac:dyDescent="0.25" outlineLevel="3" collapsed="1">
      <c r="A125" s="7" t="s">
        <v>15</v>
      </c>
      <c r="B125" s="7" t="s">
        <v>16</v>
      </c>
      <c r="C125" s="7" t="s">
        <v>17</v>
      </c>
      <c r="D125" s="7"/>
      <c r="E125" s="7" t="s">
        <v>495</v>
      </c>
      <c r="F125" s="7" t="s">
        <v>19</v>
      </c>
      <c r="G125" s="7" t="s">
        <v>496</v>
      </c>
      <c r="H125" s="7" t="s">
        <v>17</v>
      </c>
      <c r="I125" s="7" t="s">
        <v>17</v>
      </c>
      <c r="J125" s="7" t="s">
        <v>497</v>
      </c>
    </row>
    <row r="126" spans="1:10" x14ac:dyDescent="0.25" outlineLevel="3" collapsed="1">
      <c r="A126" s="8" t="s">
        <v>19</v>
      </c>
      <c r="B126" s="9" t="s">
        <v>502</v>
      </c>
      <c r="C126" s="8" t="s">
        <v>17</v>
      </c>
      <c r="D126" s="8"/>
      <c r="E126" s="8" t="s">
        <v>503</v>
      </c>
      <c r="F126" s="8" t="s">
        <v>15</v>
      </c>
      <c r="G126" s="8" t="s">
        <v>17</v>
      </c>
      <c r="H126" s="8" t="s">
        <v>17</v>
      </c>
      <c r="I126" s="8" t="s">
        <v>17</v>
      </c>
      <c r="J126" s="8" t="s">
        <v>504</v>
      </c>
    </row>
    <row r="127" spans="1:10" x14ac:dyDescent="0.25" outlineLevel="4" collapsed="1">
      <c r="A127" s="7" t="s">
        <v>19</v>
      </c>
      <c r="B127" s="7" t="s">
        <v>16</v>
      </c>
      <c r="C127" s="7" t="s">
        <v>17</v>
      </c>
      <c r="D127" s="7"/>
      <c r="E127" s="7" t="s">
        <v>505</v>
      </c>
      <c r="F127" s="7" t="s">
        <v>19</v>
      </c>
      <c r="G127" s="7" t="s">
        <v>31</v>
      </c>
      <c r="H127" s="7" t="s">
        <v>17</v>
      </c>
      <c r="I127" s="7" t="s">
        <v>17</v>
      </c>
      <c r="J127" s="7" t="s">
        <v>506</v>
      </c>
    </row>
    <row r="128" spans="1:10" x14ac:dyDescent="0.25" outlineLevel="4" collapsed="1">
      <c r="A128" s="7" t="s">
        <v>19</v>
      </c>
      <c r="B128" s="7" t="s">
        <v>16</v>
      </c>
      <c r="C128" s="7" t="s">
        <v>17</v>
      </c>
      <c r="D128" s="7"/>
      <c r="E128" s="7" t="s">
        <v>501</v>
      </c>
      <c r="F128" s="7" t="s">
        <v>19</v>
      </c>
      <c r="G128" s="7" t="s">
        <v>31</v>
      </c>
      <c r="H128" s="7" t="s">
        <v>17</v>
      </c>
      <c r="I128" s="7" t="s">
        <v>17</v>
      </c>
      <c r="J128" s="7" t="s">
        <v>497</v>
      </c>
    </row>
    <row r="129" spans="1:10" x14ac:dyDescent="0.25" outlineLevel="2" collapsed="1">
      <c r="A129" s="8" t="s">
        <v>15</v>
      </c>
      <c r="B129" s="9" t="s">
        <v>530</v>
      </c>
      <c r="C129" s="8" t="s">
        <v>17</v>
      </c>
      <c r="D129" s="8"/>
      <c r="E129" s="8" t="s">
        <v>530</v>
      </c>
      <c r="F129" s="8" t="s">
        <v>19</v>
      </c>
      <c r="G129" s="8" t="s">
        <v>17</v>
      </c>
      <c r="H129" s="8" t="s">
        <v>17</v>
      </c>
      <c r="I129" s="8" t="s">
        <v>17</v>
      </c>
      <c r="J129" s="8" t="s">
        <v>531</v>
      </c>
    </row>
    <row r="130" spans="1:10" x14ac:dyDescent="0.25" outlineLevel="3" collapsed="1">
      <c r="A130" s="7" t="s">
        <v>15</v>
      </c>
      <c r="B130" s="7" t="s">
        <v>16</v>
      </c>
      <c r="C130" s="7" t="s">
        <v>17</v>
      </c>
      <c r="D130" s="7"/>
      <c r="E130" s="7" t="s">
        <v>492</v>
      </c>
      <c r="F130" s="7" t="s">
        <v>19</v>
      </c>
      <c r="G130" s="7" t="s">
        <v>493</v>
      </c>
      <c r="H130" s="7" t="s">
        <v>17</v>
      </c>
      <c r="I130" s="7" t="s">
        <v>17</v>
      </c>
      <c r="J130" s="7" t="s">
        <v>494</v>
      </c>
    </row>
    <row r="131" spans="1:10" x14ac:dyDescent="0.25" outlineLevel="3" collapsed="1">
      <c r="A131" s="7" t="s">
        <v>15</v>
      </c>
      <c r="B131" s="7" t="s">
        <v>16</v>
      </c>
      <c r="C131" s="7" t="s">
        <v>17</v>
      </c>
      <c r="D131" s="7"/>
      <c r="E131" s="7" t="s">
        <v>495</v>
      </c>
      <c r="F131" s="7" t="s">
        <v>19</v>
      </c>
      <c r="G131" s="7" t="s">
        <v>496</v>
      </c>
      <c r="H131" s="7" t="s">
        <v>17</v>
      </c>
      <c r="I131" s="7" t="s">
        <v>17</v>
      </c>
      <c r="J131" s="7" t="s">
        <v>497</v>
      </c>
    </row>
    <row r="132" spans="1:10" x14ac:dyDescent="0.25" outlineLevel="3" collapsed="1">
      <c r="A132" s="8" t="s">
        <v>19</v>
      </c>
      <c r="B132" s="9" t="s">
        <v>502</v>
      </c>
      <c r="C132" s="8" t="s">
        <v>17</v>
      </c>
      <c r="D132" s="8"/>
      <c r="E132" s="8" t="s">
        <v>503</v>
      </c>
      <c r="F132" s="8" t="s">
        <v>15</v>
      </c>
      <c r="G132" s="8" t="s">
        <v>17</v>
      </c>
      <c r="H132" s="8" t="s">
        <v>17</v>
      </c>
      <c r="I132" s="8" t="s">
        <v>17</v>
      </c>
      <c r="J132" s="8" t="s">
        <v>504</v>
      </c>
    </row>
    <row r="133" spans="1:10" x14ac:dyDescent="0.25" outlineLevel="4" collapsed="1">
      <c r="A133" s="7" t="s">
        <v>19</v>
      </c>
      <c r="B133" s="7" t="s">
        <v>16</v>
      </c>
      <c r="C133" s="7" t="s">
        <v>17</v>
      </c>
      <c r="D133" s="7"/>
      <c r="E133" s="7" t="s">
        <v>505</v>
      </c>
      <c r="F133" s="7" t="s">
        <v>19</v>
      </c>
      <c r="G133" s="7" t="s">
        <v>31</v>
      </c>
      <c r="H133" s="7" t="s">
        <v>17</v>
      </c>
      <c r="I133" s="7" t="s">
        <v>17</v>
      </c>
      <c r="J133" s="7" t="s">
        <v>506</v>
      </c>
    </row>
    <row r="134" spans="1:10" x14ac:dyDescent="0.25" outlineLevel="4" collapsed="1">
      <c r="A134" s="7" t="s">
        <v>19</v>
      </c>
      <c r="B134" s="7" t="s">
        <v>16</v>
      </c>
      <c r="C134" s="7" t="s">
        <v>17</v>
      </c>
      <c r="D134" s="7"/>
      <c r="E134" s="7" t="s">
        <v>501</v>
      </c>
      <c r="F134" s="7" t="s">
        <v>19</v>
      </c>
      <c r="G134" s="7" t="s">
        <v>31</v>
      </c>
      <c r="H134" s="7" t="s">
        <v>17</v>
      </c>
      <c r="I134" s="7" t="s">
        <v>17</v>
      </c>
      <c r="J134" s="7" t="s">
        <v>497</v>
      </c>
    </row>
    <row r="135" spans="1:10" x14ac:dyDescent="0.25" outlineLevel="1" collapsed="1">
      <c r="A135" s="8" t="s">
        <v>15</v>
      </c>
      <c r="B135" s="9" t="s">
        <v>532</v>
      </c>
      <c r="C135" s="8" t="s">
        <v>17</v>
      </c>
      <c r="D135" s="8"/>
      <c r="E135" s="8" t="s">
        <v>533</v>
      </c>
      <c r="F135" s="8" t="s">
        <v>19</v>
      </c>
      <c r="G135" s="8" t="s">
        <v>17</v>
      </c>
      <c r="H135" s="8" t="s">
        <v>17</v>
      </c>
      <c r="I135" s="8" t="s">
        <v>17</v>
      </c>
      <c r="J135" s="8" t="s">
        <v>534</v>
      </c>
    </row>
    <row r="136" spans="1:10" x14ac:dyDescent="0.25" outlineLevel="2" collapsed="1">
      <c r="A136" s="8" t="s">
        <v>15</v>
      </c>
      <c r="B136" s="9" t="s">
        <v>535</v>
      </c>
      <c r="C136" s="8" t="s">
        <v>17</v>
      </c>
      <c r="D136" s="8"/>
      <c r="E136" s="8" t="s">
        <v>535</v>
      </c>
      <c r="F136" s="8" t="s">
        <v>19</v>
      </c>
      <c r="G136" s="8" t="s">
        <v>17</v>
      </c>
      <c r="H136" s="8" t="s">
        <v>17</v>
      </c>
      <c r="I136" s="8" t="s">
        <v>17</v>
      </c>
      <c r="J136" s="8" t="s">
        <v>536</v>
      </c>
    </row>
    <row r="137" spans="1:10" x14ac:dyDescent="0.25" outlineLevel="3" collapsed="1">
      <c r="A137" s="7" t="s">
        <v>15</v>
      </c>
      <c r="B137" s="7" t="s">
        <v>16</v>
      </c>
      <c r="C137" s="7" t="s">
        <v>17</v>
      </c>
      <c r="D137" s="7"/>
      <c r="E137" s="7" t="s">
        <v>537</v>
      </c>
      <c r="F137" s="7" t="s">
        <v>19</v>
      </c>
      <c r="G137" s="7" t="s">
        <v>538</v>
      </c>
      <c r="H137" s="7" t="s">
        <v>17</v>
      </c>
      <c r="I137" s="7" t="s">
        <v>17</v>
      </c>
      <c r="J137" s="7" t="s">
        <v>494</v>
      </c>
    </row>
    <row r="138" spans="1:10" x14ac:dyDescent="0.25" outlineLevel="3" collapsed="1">
      <c r="A138" s="7" t="s">
        <v>19</v>
      </c>
      <c r="B138" s="7" t="s">
        <v>16</v>
      </c>
      <c r="C138" s="7" t="s">
        <v>17</v>
      </c>
      <c r="D138" s="7"/>
      <c r="E138" s="7" t="s">
        <v>539</v>
      </c>
      <c r="F138" s="7" t="s">
        <v>19</v>
      </c>
      <c r="G138" s="7" t="s">
        <v>31</v>
      </c>
      <c r="H138" s="7" t="s">
        <v>17</v>
      </c>
      <c r="I138" s="7" t="s">
        <v>17</v>
      </c>
      <c r="J138" s="7" t="s">
        <v>540</v>
      </c>
    </row>
    <row r="139" spans="1:10" x14ac:dyDescent="0.25" outlineLevel="2" collapsed="1">
      <c r="A139" s="8" t="s">
        <v>15</v>
      </c>
      <c r="B139" s="9" t="s">
        <v>541</v>
      </c>
      <c r="C139" s="8" t="s">
        <v>17</v>
      </c>
      <c r="D139" s="8"/>
      <c r="E139" s="8" t="s">
        <v>542</v>
      </c>
      <c r="F139" s="8" t="s">
        <v>19</v>
      </c>
      <c r="G139" s="8" t="s">
        <v>17</v>
      </c>
      <c r="H139" s="8" t="s">
        <v>17</v>
      </c>
      <c r="I139" s="8" t="s">
        <v>17</v>
      </c>
      <c r="J139" s="8" t="s">
        <v>543</v>
      </c>
    </row>
    <row r="140" spans="1:10" x14ac:dyDescent="0.25" outlineLevel="3" collapsed="1">
      <c r="A140" s="7" t="s">
        <v>15</v>
      </c>
      <c r="B140" s="7" t="s">
        <v>16</v>
      </c>
      <c r="C140" s="7" t="s">
        <v>17</v>
      </c>
      <c r="D140" s="7"/>
      <c r="E140" s="7" t="s">
        <v>537</v>
      </c>
      <c r="F140" s="7" t="s">
        <v>19</v>
      </c>
      <c r="G140" s="7" t="s">
        <v>538</v>
      </c>
      <c r="H140" s="7" t="s">
        <v>17</v>
      </c>
      <c r="I140" s="7" t="s">
        <v>17</v>
      </c>
      <c r="J140" s="7" t="s">
        <v>494</v>
      </c>
    </row>
    <row r="141" spans="1:10" x14ac:dyDescent="0.25" outlineLevel="2" collapsed="1">
      <c r="A141" s="8" t="s">
        <v>15</v>
      </c>
      <c r="B141" s="9" t="s">
        <v>544</v>
      </c>
      <c r="C141" s="8" t="s">
        <v>17</v>
      </c>
      <c r="D141" s="8"/>
      <c r="E141" s="8" t="s">
        <v>544</v>
      </c>
      <c r="F141" s="8" t="s">
        <v>19</v>
      </c>
      <c r="G141" s="8" t="s">
        <v>17</v>
      </c>
      <c r="H141" s="8" t="s">
        <v>17</v>
      </c>
      <c r="I141" s="8" t="s">
        <v>17</v>
      </c>
      <c r="J141" s="8" t="s">
        <v>545</v>
      </c>
    </row>
    <row r="142" spans="1:10" x14ac:dyDescent="0.25" outlineLevel="3" collapsed="1">
      <c r="A142" s="7" t="s">
        <v>15</v>
      </c>
      <c r="B142" s="7" t="s">
        <v>16</v>
      </c>
      <c r="C142" s="7" t="s">
        <v>17</v>
      </c>
      <c r="D142" s="7"/>
      <c r="E142" s="7" t="s">
        <v>492</v>
      </c>
      <c r="F142" s="7" t="s">
        <v>19</v>
      </c>
      <c r="G142" s="7" t="s">
        <v>493</v>
      </c>
      <c r="H142" s="7" t="s">
        <v>17</v>
      </c>
      <c r="I142" s="7" t="s">
        <v>17</v>
      </c>
      <c r="J142" s="7" t="s">
        <v>494</v>
      </c>
    </row>
    <row r="143" spans="1:10" x14ac:dyDescent="0.25" outlineLevel="3" collapsed="1">
      <c r="A143" s="7" t="s">
        <v>15</v>
      </c>
      <c r="B143" s="7" t="s">
        <v>16</v>
      </c>
      <c r="C143" s="7" t="s">
        <v>17</v>
      </c>
      <c r="D143" s="7"/>
      <c r="E143" s="7" t="s">
        <v>495</v>
      </c>
      <c r="F143" s="7" t="s">
        <v>19</v>
      </c>
      <c r="G143" s="7" t="s">
        <v>496</v>
      </c>
      <c r="H143" s="7" t="s">
        <v>17</v>
      </c>
      <c r="I143" s="7" t="s">
        <v>17</v>
      </c>
      <c r="J143" s="7" t="s">
        <v>497</v>
      </c>
    </row>
    <row r="144" spans="1:10" x14ac:dyDescent="0.25" outlineLevel="3" collapsed="1">
      <c r="A144" s="8" t="s">
        <v>19</v>
      </c>
      <c r="B144" s="9" t="s">
        <v>502</v>
      </c>
      <c r="C144" s="8" t="s">
        <v>17</v>
      </c>
      <c r="D144" s="8"/>
      <c r="E144" s="8" t="s">
        <v>503</v>
      </c>
      <c r="F144" s="8" t="s">
        <v>15</v>
      </c>
      <c r="G144" s="8" t="s">
        <v>17</v>
      </c>
      <c r="H144" s="8" t="s">
        <v>17</v>
      </c>
      <c r="I144" s="8" t="s">
        <v>17</v>
      </c>
      <c r="J144" s="8" t="s">
        <v>504</v>
      </c>
    </row>
    <row r="145" spans="1:10" x14ac:dyDescent="0.25" outlineLevel="4" collapsed="1">
      <c r="A145" s="7" t="s">
        <v>19</v>
      </c>
      <c r="B145" s="7" t="s">
        <v>16</v>
      </c>
      <c r="C145" s="7" t="s">
        <v>17</v>
      </c>
      <c r="D145" s="7"/>
      <c r="E145" s="7" t="s">
        <v>505</v>
      </c>
      <c r="F145" s="7" t="s">
        <v>19</v>
      </c>
      <c r="G145" s="7" t="s">
        <v>31</v>
      </c>
      <c r="H145" s="7" t="s">
        <v>17</v>
      </c>
      <c r="I145" s="7" t="s">
        <v>17</v>
      </c>
      <c r="J145" s="7" t="s">
        <v>506</v>
      </c>
    </row>
    <row r="146" spans="1:10" x14ac:dyDescent="0.25" outlineLevel="4" collapsed="1">
      <c r="A146" s="7" t="s">
        <v>19</v>
      </c>
      <c r="B146" s="7" t="s">
        <v>16</v>
      </c>
      <c r="C146" s="7" t="s">
        <v>17</v>
      </c>
      <c r="D146" s="7"/>
      <c r="E146" s="7" t="s">
        <v>501</v>
      </c>
      <c r="F146" s="7" t="s">
        <v>19</v>
      </c>
      <c r="G146" s="7" t="s">
        <v>31</v>
      </c>
      <c r="H146" s="7" t="s">
        <v>17</v>
      </c>
      <c r="I146" s="7" t="s">
        <v>17</v>
      </c>
      <c r="J146" s="7" t="s">
        <v>497</v>
      </c>
    </row>
    <row r="147" spans="1:10" x14ac:dyDescent="0.25" outlineLevel="2" collapsed="1">
      <c r="A147" s="8" t="s">
        <v>15</v>
      </c>
      <c r="B147" s="9" t="s">
        <v>546</v>
      </c>
      <c r="C147" s="8" t="s">
        <v>17</v>
      </c>
      <c r="D147" s="8"/>
      <c r="E147" s="8" t="s">
        <v>547</v>
      </c>
      <c r="F147" s="8" t="s">
        <v>19</v>
      </c>
      <c r="G147" s="8" t="s">
        <v>17</v>
      </c>
      <c r="H147" s="8" t="s">
        <v>17</v>
      </c>
      <c r="I147" s="8" t="s">
        <v>17</v>
      </c>
      <c r="J147" s="8" t="s">
        <v>548</v>
      </c>
    </row>
    <row r="148" spans="1:10" x14ac:dyDescent="0.25" outlineLevel="3" collapsed="1">
      <c r="A148" s="8" t="s">
        <v>15</v>
      </c>
      <c r="B148" s="9" t="s">
        <v>549</v>
      </c>
      <c r="C148" s="8" t="s">
        <v>17</v>
      </c>
      <c r="D148" s="8"/>
      <c r="E148" s="8" t="s">
        <v>549</v>
      </c>
      <c r="F148" s="8" t="s">
        <v>19</v>
      </c>
      <c r="G148" s="8" t="s">
        <v>17</v>
      </c>
      <c r="H148" s="8" t="s">
        <v>17</v>
      </c>
      <c r="I148" s="8" t="s">
        <v>17</v>
      </c>
      <c r="J148" s="8" t="s">
        <v>550</v>
      </c>
    </row>
    <row r="149" spans="1:10" x14ac:dyDescent="0.25" outlineLevel="4" collapsed="1">
      <c r="A149" s="7" t="s">
        <v>15</v>
      </c>
      <c r="B149" s="7" t="s">
        <v>16</v>
      </c>
      <c r="C149" s="7" t="s">
        <v>17</v>
      </c>
      <c r="D149" s="7"/>
      <c r="E149" s="7" t="s">
        <v>492</v>
      </c>
      <c r="F149" s="7" t="s">
        <v>19</v>
      </c>
      <c r="G149" s="7" t="s">
        <v>493</v>
      </c>
      <c r="H149" s="7" t="s">
        <v>17</v>
      </c>
      <c r="I149" s="7" t="s">
        <v>17</v>
      </c>
      <c r="J149" s="7" t="s">
        <v>494</v>
      </c>
    </row>
    <row r="150" spans="1:10" x14ac:dyDescent="0.25" outlineLevel="4" collapsed="1">
      <c r="A150" s="7" t="s">
        <v>15</v>
      </c>
      <c r="B150" s="7" t="s">
        <v>16</v>
      </c>
      <c r="C150" s="7" t="s">
        <v>17</v>
      </c>
      <c r="D150" s="7"/>
      <c r="E150" s="7" t="s">
        <v>495</v>
      </c>
      <c r="F150" s="7" t="s">
        <v>19</v>
      </c>
      <c r="G150" s="7" t="s">
        <v>496</v>
      </c>
      <c r="H150" s="7" t="s">
        <v>17</v>
      </c>
      <c r="I150" s="7" t="s">
        <v>17</v>
      </c>
      <c r="J150" s="7" t="s">
        <v>497</v>
      </c>
    </row>
    <row r="151" spans="1:10" x14ac:dyDescent="0.25" outlineLevel="3" collapsed="1">
      <c r="A151" s="8" t="s">
        <v>15</v>
      </c>
      <c r="B151" s="9" t="s">
        <v>551</v>
      </c>
      <c r="C151" s="8" t="s">
        <v>17</v>
      </c>
      <c r="D151" s="8"/>
      <c r="E151" s="8" t="s">
        <v>552</v>
      </c>
      <c r="F151" s="8" t="s">
        <v>19</v>
      </c>
      <c r="G151" s="8" t="s">
        <v>17</v>
      </c>
      <c r="H151" s="8" t="s">
        <v>17</v>
      </c>
      <c r="I151" s="8" t="s">
        <v>17</v>
      </c>
      <c r="J151" s="8" t="s">
        <v>553</v>
      </c>
    </row>
    <row r="152" spans="1:10" x14ac:dyDescent="0.25" outlineLevel="4" collapsed="1">
      <c r="A152" s="7" t="s">
        <v>15</v>
      </c>
      <c r="B152" s="7" t="s">
        <v>16</v>
      </c>
      <c r="C152" s="7" t="s">
        <v>17</v>
      </c>
      <c r="D152" s="7"/>
      <c r="E152" s="7" t="s">
        <v>492</v>
      </c>
      <c r="F152" s="7" t="s">
        <v>19</v>
      </c>
      <c r="G152" s="7" t="s">
        <v>493</v>
      </c>
      <c r="H152" s="7" t="s">
        <v>17</v>
      </c>
      <c r="I152" s="7" t="s">
        <v>17</v>
      </c>
      <c r="J152" s="7" t="s">
        <v>494</v>
      </c>
    </row>
    <row r="153" spans="1:10" x14ac:dyDescent="0.25" outlineLevel="4" collapsed="1">
      <c r="A153" s="7" t="s">
        <v>15</v>
      </c>
      <c r="B153" s="7" t="s">
        <v>16</v>
      </c>
      <c r="C153" s="7" t="s">
        <v>17</v>
      </c>
      <c r="D153" s="7"/>
      <c r="E153" s="7" t="s">
        <v>495</v>
      </c>
      <c r="F153" s="7" t="s">
        <v>19</v>
      </c>
      <c r="G153" s="7" t="s">
        <v>496</v>
      </c>
      <c r="H153" s="7" t="s">
        <v>17</v>
      </c>
      <c r="I153" s="7" t="s">
        <v>17</v>
      </c>
      <c r="J153" s="7" t="s">
        <v>497</v>
      </c>
    </row>
    <row r="154" spans="1:10" x14ac:dyDescent="0.25" outlineLevel="2" collapsed="1">
      <c r="A154" s="8" t="s">
        <v>15</v>
      </c>
      <c r="B154" s="9" t="s">
        <v>554</v>
      </c>
      <c r="C154" s="8" t="s">
        <v>17</v>
      </c>
      <c r="D154" s="8"/>
      <c r="E154" s="8" t="s">
        <v>555</v>
      </c>
      <c r="F154" s="8" t="s">
        <v>19</v>
      </c>
      <c r="G154" s="8" t="s">
        <v>17</v>
      </c>
      <c r="H154" s="8" t="s">
        <v>17</v>
      </c>
      <c r="I154" s="8" t="s">
        <v>17</v>
      </c>
      <c r="J154" s="8" t="s">
        <v>556</v>
      </c>
    </row>
    <row r="155" spans="1:10" x14ac:dyDescent="0.25" outlineLevel="3" collapsed="1">
      <c r="A155" s="8" t="s">
        <v>15</v>
      </c>
      <c r="B155" s="9" t="s">
        <v>557</v>
      </c>
      <c r="C155" s="8" t="s">
        <v>17</v>
      </c>
      <c r="D155" s="8"/>
      <c r="E155" s="8" t="s">
        <v>558</v>
      </c>
      <c r="F155" s="8" t="s">
        <v>19</v>
      </c>
      <c r="G155" s="8" t="s">
        <v>17</v>
      </c>
      <c r="H155" s="8" t="s">
        <v>17</v>
      </c>
      <c r="I155" s="8" t="s">
        <v>17</v>
      </c>
      <c r="J155" s="8" t="s">
        <v>559</v>
      </c>
    </row>
    <row r="156" spans="1:10" x14ac:dyDescent="0.25" outlineLevel="4" collapsed="1">
      <c r="A156" s="7" t="s">
        <v>15</v>
      </c>
      <c r="B156" s="7" t="s">
        <v>16</v>
      </c>
      <c r="C156" s="7" t="s">
        <v>17</v>
      </c>
      <c r="D156" s="7"/>
      <c r="E156" s="7" t="s">
        <v>492</v>
      </c>
      <c r="F156" s="7" t="s">
        <v>19</v>
      </c>
      <c r="G156" s="7" t="s">
        <v>493</v>
      </c>
      <c r="H156" s="7" t="s">
        <v>17</v>
      </c>
      <c r="I156" s="7" t="s">
        <v>17</v>
      </c>
      <c r="J156" s="7" t="s">
        <v>494</v>
      </c>
    </row>
    <row r="157" spans="1:10" x14ac:dyDescent="0.25" outlineLevel="4" collapsed="1">
      <c r="A157" s="7" t="s">
        <v>15</v>
      </c>
      <c r="B157" s="7" t="s">
        <v>16</v>
      </c>
      <c r="C157" s="7" t="s">
        <v>17</v>
      </c>
      <c r="D157" s="7"/>
      <c r="E157" s="7" t="s">
        <v>495</v>
      </c>
      <c r="F157" s="7" t="s">
        <v>19</v>
      </c>
      <c r="G157" s="7" t="s">
        <v>496</v>
      </c>
      <c r="H157" s="7" t="s">
        <v>17</v>
      </c>
      <c r="I157" s="7" t="s">
        <v>17</v>
      </c>
      <c r="J157" s="7" t="s">
        <v>497</v>
      </c>
    </row>
    <row r="158" spans="1:10" x14ac:dyDescent="0.25" outlineLevel="3" collapsed="1">
      <c r="A158" s="8" t="s">
        <v>15</v>
      </c>
      <c r="B158" s="9" t="s">
        <v>560</v>
      </c>
      <c r="C158" s="8" t="s">
        <v>17</v>
      </c>
      <c r="D158" s="8"/>
      <c r="E158" s="8" t="s">
        <v>561</v>
      </c>
      <c r="F158" s="8" t="s">
        <v>19</v>
      </c>
      <c r="G158" s="8" t="s">
        <v>17</v>
      </c>
      <c r="H158" s="8" t="s">
        <v>17</v>
      </c>
      <c r="I158" s="8" t="s">
        <v>17</v>
      </c>
      <c r="J158" s="8" t="s">
        <v>562</v>
      </c>
    </row>
    <row r="159" spans="1:10" x14ac:dyDescent="0.25" outlineLevel="4" collapsed="1">
      <c r="A159" s="7" t="s">
        <v>15</v>
      </c>
      <c r="B159" s="7" t="s">
        <v>16</v>
      </c>
      <c r="C159" s="7" t="s">
        <v>17</v>
      </c>
      <c r="D159" s="7"/>
      <c r="E159" s="7" t="s">
        <v>492</v>
      </c>
      <c r="F159" s="7" t="s">
        <v>19</v>
      </c>
      <c r="G159" s="7" t="s">
        <v>493</v>
      </c>
      <c r="H159" s="7" t="s">
        <v>17</v>
      </c>
      <c r="I159" s="7" t="s">
        <v>17</v>
      </c>
      <c r="J159" s="7" t="s">
        <v>494</v>
      </c>
    </row>
    <row r="160" spans="1:10" x14ac:dyDescent="0.25" outlineLevel="4" collapsed="1">
      <c r="A160" s="7" t="s">
        <v>15</v>
      </c>
      <c r="B160" s="7" t="s">
        <v>16</v>
      </c>
      <c r="C160" s="7" t="s">
        <v>17</v>
      </c>
      <c r="D160" s="7"/>
      <c r="E160" s="7" t="s">
        <v>495</v>
      </c>
      <c r="F160" s="7" t="s">
        <v>19</v>
      </c>
      <c r="G160" s="7" t="s">
        <v>496</v>
      </c>
      <c r="H160" s="7" t="s">
        <v>17</v>
      </c>
      <c r="I160" s="7" t="s">
        <v>17</v>
      </c>
      <c r="J160" s="7" t="s">
        <v>497</v>
      </c>
    </row>
    <row r="161" spans="1:10" x14ac:dyDescent="0.25" outlineLevel="3" collapsed="1">
      <c r="A161" s="8" t="s">
        <v>15</v>
      </c>
      <c r="B161" s="9" t="s">
        <v>563</v>
      </c>
      <c r="C161" s="8" t="s">
        <v>17</v>
      </c>
      <c r="D161" s="8"/>
      <c r="E161" s="8" t="s">
        <v>564</v>
      </c>
      <c r="F161" s="8" t="s">
        <v>19</v>
      </c>
      <c r="G161" s="8" t="s">
        <v>17</v>
      </c>
      <c r="H161" s="8" t="s">
        <v>17</v>
      </c>
      <c r="I161" s="8" t="s">
        <v>17</v>
      </c>
      <c r="J161" s="8" t="s">
        <v>565</v>
      </c>
    </row>
    <row r="162" spans="1:10" x14ac:dyDescent="0.25" outlineLevel="4" collapsed="1">
      <c r="A162" s="7" t="s">
        <v>15</v>
      </c>
      <c r="B162" s="7" t="s">
        <v>16</v>
      </c>
      <c r="C162" s="7" t="s">
        <v>17</v>
      </c>
      <c r="D162" s="7"/>
      <c r="E162" s="7" t="s">
        <v>492</v>
      </c>
      <c r="F162" s="7" t="s">
        <v>19</v>
      </c>
      <c r="G162" s="7" t="s">
        <v>493</v>
      </c>
      <c r="H162" s="7" t="s">
        <v>17</v>
      </c>
      <c r="I162" s="7" t="s">
        <v>17</v>
      </c>
      <c r="J162" s="7" t="s">
        <v>494</v>
      </c>
    </row>
    <row r="163" spans="1:10" x14ac:dyDescent="0.25" outlineLevel="4" collapsed="1">
      <c r="A163" s="7" t="s">
        <v>15</v>
      </c>
      <c r="B163" s="7" t="s">
        <v>16</v>
      </c>
      <c r="C163" s="7" t="s">
        <v>17</v>
      </c>
      <c r="D163" s="7"/>
      <c r="E163" s="7" t="s">
        <v>495</v>
      </c>
      <c r="F163" s="7" t="s">
        <v>19</v>
      </c>
      <c r="G163" s="7" t="s">
        <v>496</v>
      </c>
      <c r="H163" s="7" t="s">
        <v>17</v>
      </c>
      <c r="I163" s="7" t="s">
        <v>17</v>
      </c>
      <c r="J163" s="7" t="s">
        <v>497</v>
      </c>
    </row>
    <row r="164" spans="1:10" x14ac:dyDescent="0.25" outlineLevel="3" collapsed="1">
      <c r="A164" s="8" t="s">
        <v>19</v>
      </c>
      <c r="B164" s="9" t="s">
        <v>502</v>
      </c>
      <c r="C164" s="8" t="s">
        <v>17</v>
      </c>
      <c r="D164" s="8"/>
      <c r="E164" s="8" t="s">
        <v>503</v>
      </c>
      <c r="F164" s="8" t="s">
        <v>15</v>
      </c>
      <c r="G164" s="8" t="s">
        <v>17</v>
      </c>
      <c r="H164" s="8" t="s">
        <v>17</v>
      </c>
      <c r="I164" s="8" t="s">
        <v>17</v>
      </c>
      <c r="J164" s="8" t="s">
        <v>504</v>
      </c>
    </row>
    <row r="165" spans="1:10" x14ac:dyDescent="0.25" outlineLevel="4" collapsed="1">
      <c r="A165" s="7" t="s">
        <v>19</v>
      </c>
      <c r="B165" s="7" t="s">
        <v>16</v>
      </c>
      <c r="C165" s="7" t="s">
        <v>17</v>
      </c>
      <c r="D165" s="7"/>
      <c r="E165" s="7" t="s">
        <v>505</v>
      </c>
      <c r="F165" s="7" t="s">
        <v>19</v>
      </c>
      <c r="G165" s="7" t="s">
        <v>31</v>
      </c>
      <c r="H165" s="7" t="s">
        <v>17</v>
      </c>
      <c r="I165" s="7" t="s">
        <v>17</v>
      </c>
      <c r="J165" s="7" t="s">
        <v>506</v>
      </c>
    </row>
    <row r="166" spans="1:10" x14ac:dyDescent="0.25" outlineLevel="4" collapsed="1">
      <c r="A166" s="7" t="s">
        <v>19</v>
      </c>
      <c r="B166" s="7" t="s">
        <v>16</v>
      </c>
      <c r="C166" s="7" t="s">
        <v>17</v>
      </c>
      <c r="D166" s="7"/>
      <c r="E166" s="7" t="s">
        <v>501</v>
      </c>
      <c r="F166" s="7" t="s">
        <v>19</v>
      </c>
      <c r="G166" s="7" t="s">
        <v>31</v>
      </c>
      <c r="H166" s="7" t="s">
        <v>17</v>
      </c>
      <c r="I166" s="7" t="s">
        <v>17</v>
      </c>
      <c r="J166" s="7" t="s">
        <v>497</v>
      </c>
    </row>
    <row r="167" spans="1:10" x14ac:dyDescent="0.25" outlineLevel="2" collapsed="1">
      <c r="A167" s="8" t="s">
        <v>15</v>
      </c>
      <c r="B167" s="9" t="s">
        <v>566</v>
      </c>
      <c r="C167" s="8" t="s">
        <v>17</v>
      </c>
      <c r="D167" s="8"/>
      <c r="E167" s="8" t="s">
        <v>567</v>
      </c>
      <c r="F167" s="8" t="s">
        <v>19</v>
      </c>
      <c r="G167" s="8" t="s">
        <v>17</v>
      </c>
      <c r="H167" s="8" t="s">
        <v>17</v>
      </c>
      <c r="I167" s="8" t="s">
        <v>17</v>
      </c>
      <c r="J167" s="8" t="s">
        <v>568</v>
      </c>
    </row>
    <row r="168" spans="1:10" x14ac:dyDescent="0.25" outlineLevel="3" collapsed="1">
      <c r="A168" s="7" t="s">
        <v>15</v>
      </c>
      <c r="B168" s="7" t="s">
        <v>16</v>
      </c>
      <c r="C168" s="7" t="s">
        <v>17</v>
      </c>
      <c r="D168" s="7"/>
      <c r="E168" s="7" t="s">
        <v>492</v>
      </c>
      <c r="F168" s="7" t="s">
        <v>19</v>
      </c>
      <c r="G168" s="7" t="s">
        <v>493</v>
      </c>
      <c r="H168" s="7" t="s">
        <v>17</v>
      </c>
      <c r="I168" s="7" t="s">
        <v>17</v>
      </c>
      <c r="J168" s="7" t="s">
        <v>494</v>
      </c>
    </row>
    <row r="169" spans="1:10" x14ac:dyDescent="0.25" outlineLevel="3" collapsed="1">
      <c r="A169" s="7" t="s">
        <v>15</v>
      </c>
      <c r="B169" s="7" t="s">
        <v>16</v>
      </c>
      <c r="C169" s="7" t="s">
        <v>17</v>
      </c>
      <c r="D169" s="7"/>
      <c r="E169" s="7" t="s">
        <v>495</v>
      </c>
      <c r="F169" s="7" t="s">
        <v>19</v>
      </c>
      <c r="G169" s="7" t="s">
        <v>496</v>
      </c>
      <c r="H169" s="7" t="s">
        <v>17</v>
      </c>
      <c r="I169" s="7" t="s">
        <v>17</v>
      </c>
      <c r="J169" s="7" t="s">
        <v>497</v>
      </c>
    </row>
    <row r="170" spans="1:10" x14ac:dyDescent="0.25" outlineLevel="3" collapsed="1">
      <c r="A170" s="8" t="s">
        <v>19</v>
      </c>
      <c r="B170" s="9" t="s">
        <v>502</v>
      </c>
      <c r="C170" s="8" t="s">
        <v>17</v>
      </c>
      <c r="D170" s="8"/>
      <c r="E170" s="8" t="s">
        <v>503</v>
      </c>
      <c r="F170" s="8" t="s">
        <v>15</v>
      </c>
      <c r="G170" s="8" t="s">
        <v>17</v>
      </c>
      <c r="H170" s="8" t="s">
        <v>17</v>
      </c>
      <c r="I170" s="8" t="s">
        <v>17</v>
      </c>
      <c r="J170" s="8" t="s">
        <v>504</v>
      </c>
    </row>
    <row r="171" spans="1:10" x14ac:dyDescent="0.25" outlineLevel="4" collapsed="1">
      <c r="A171" s="7" t="s">
        <v>19</v>
      </c>
      <c r="B171" s="7" t="s">
        <v>16</v>
      </c>
      <c r="C171" s="7" t="s">
        <v>17</v>
      </c>
      <c r="D171" s="7"/>
      <c r="E171" s="7" t="s">
        <v>505</v>
      </c>
      <c r="F171" s="7" t="s">
        <v>19</v>
      </c>
      <c r="G171" s="7" t="s">
        <v>31</v>
      </c>
      <c r="H171" s="7" t="s">
        <v>17</v>
      </c>
      <c r="I171" s="7" t="s">
        <v>17</v>
      </c>
      <c r="J171" s="7" t="s">
        <v>506</v>
      </c>
    </row>
    <row r="172" spans="1:10" x14ac:dyDescent="0.25" outlineLevel="4" collapsed="1">
      <c r="A172" s="7" t="s">
        <v>19</v>
      </c>
      <c r="B172" s="7" t="s">
        <v>16</v>
      </c>
      <c r="C172" s="7" t="s">
        <v>17</v>
      </c>
      <c r="D172" s="7"/>
      <c r="E172" s="7" t="s">
        <v>501</v>
      </c>
      <c r="F172" s="7" t="s">
        <v>19</v>
      </c>
      <c r="G172" s="7" t="s">
        <v>31</v>
      </c>
      <c r="H172" s="7" t="s">
        <v>17</v>
      </c>
      <c r="I172" s="7" t="s">
        <v>17</v>
      </c>
      <c r="J172" s="7" t="s">
        <v>497</v>
      </c>
    </row>
    <row r="173" spans="1:10" x14ac:dyDescent="0.25" outlineLevel="2" collapsed="1">
      <c r="A173" s="8" t="s">
        <v>15</v>
      </c>
      <c r="B173" s="9" t="s">
        <v>569</v>
      </c>
      <c r="C173" s="8" t="s">
        <v>17</v>
      </c>
      <c r="D173" s="8"/>
      <c r="E173" s="8" t="s">
        <v>570</v>
      </c>
      <c r="F173" s="8" t="s">
        <v>19</v>
      </c>
      <c r="G173" s="8" t="s">
        <v>17</v>
      </c>
      <c r="H173" s="8" t="s">
        <v>17</v>
      </c>
      <c r="I173" s="8" t="s">
        <v>17</v>
      </c>
      <c r="J173" s="8" t="s">
        <v>571</v>
      </c>
    </row>
    <row r="174" spans="1:10" x14ac:dyDescent="0.25" outlineLevel="3" collapsed="1">
      <c r="A174" s="8" t="s">
        <v>15</v>
      </c>
      <c r="B174" s="9" t="s">
        <v>572</v>
      </c>
      <c r="C174" s="8" t="s">
        <v>17</v>
      </c>
      <c r="D174" s="8"/>
      <c r="E174" s="8" t="s">
        <v>572</v>
      </c>
      <c r="F174" s="8" t="s">
        <v>19</v>
      </c>
      <c r="G174" s="8" t="s">
        <v>17</v>
      </c>
      <c r="H174" s="8" t="s">
        <v>17</v>
      </c>
      <c r="I174" s="8" t="s">
        <v>17</v>
      </c>
      <c r="J174" s="8" t="s">
        <v>573</v>
      </c>
    </row>
    <row r="175" spans="1:10" x14ac:dyDescent="0.25" outlineLevel="4" collapsed="1">
      <c r="A175" s="7" t="s">
        <v>15</v>
      </c>
      <c r="B175" s="7" t="s">
        <v>16</v>
      </c>
      <c r="C175" s="7" t="s">
        <v>17</v>
      </c>
      <c r="D175" s="7"/>
      <c r="E175" s="7" t="s">
        <v>537</v>
      </c>
      <c r="F175" s="7" t="s">
        <v>19</v>
      </c>
      <c r="G175" s="7" t="s">
        <v>538</v>
      </c>
      <c r="H175" s="7" t="s">
        <v>17</v>
      </c>
      <c r="I175" s="7" t="s">
        <v>17</v>
      </c>
      <c r="J175" s="7" t="s">
        <v>494</v>
      </c>
    </row>
    <row r="176" spans="1:10" x14ac:dyDescent="0.25" outlineLevel="3" collapsed="1">
      <c r="A176" s="8" t="s">
        <v>15</v>
      </c>
      <c r="B176" s="9" t="s">
        <v>574</v>
      </c>
      <c r="C176" s="8" t="s">
        <v>17</v>
      </c>
      <c r="D176" s="8"/>
      <c r="E176" s="8" t="s">
        <v>575</v>
      </c>
      <c r="F176" s="8" t="s">
        <v>19</v>
      </c>
      <c r="G176" s="8" t="s">
        <v>17</v>
      </c>
      <c r="H176" s="8" t="s">
        <v>17</v>
      </c>
      <c r="I176" s="8" t="s">
        <v>17</v>
      </c>
      <c r="J176" s="8" t="s">
        <v>576</v>
      </c>
    </row>
    <row r="177" spans="1:10" x14ac:dyDescent="0.25" outlineLevel="4" collapsed="1">
      <c r="A177" s="7" t="s">
        <v>15</v>
      </c>
      <c r="B177" s="7" t="s">
        <v>16</v>
      </c>
      <c r="C177" s="7" t="s">
        <v>17</v>
      </c>
      <c r="D177" s="7"/>
      <c r="E177" s="7" t="s">
        <v>537</v>
      </c>
      <c r="F177" s="7" t="s">
        <v>19</v>
      </c>
      <c r="G177" s="7" t="s">
        <v>538</v>
      </c>
      <c r="H177" s="7" t="s">
        <v>17</v>
      </c>
      <c r="I177" s="7" t="s">
        <v>17</v>
      </c>
      <c r="J177" s="7" t="s">
        <v>494</v>
      </c>
    </row>
    <row r="178" spans="1:10" x14ac:dyDescent="0.25" outlineLevel="3" collapsed="1">
      <c r="A178" s="8" t="s">
        <v>15</v>
      </c>
      <c r="B178" s="9" t="s">
        <v>577</v>
      </c>
      <c r="C178" s="8" t="s">
        <v>17</v>
      </c>
      <c r="D178" s="8"/>
      <c r="E178" s="8" t="s">
        <v>578</v>
      </c>
      <c r="F178" s="8" t="s">
        <v>19</v>
      </c>
      <c r="G178" s="8" t="s">
        <v>17</v>
      </c>
      <c r="H178" s="8" t="s">
        <v>17</v>
      </c>
      <c r="I178" s="8" t="s">
        <v>17</v>
      </c>
      <c r="J178" s="8" t="s">
        <v>579</v>
      </c>
    </row>
    <row r="179" spans="1:10" x14ac:dyDescent="0.25" outlineLevel="4" collapsed="1">
      <c r="A179" s="7" t="s">
        <v>15</v>
      </c>
      <c r="B179" s="7" t="s">
        <v>16</v>
      </c>
      <c r="C179" s="7" t="s">
        <v>17</v>
      </c>
      <c r="D179" s="7"/>
      <c r="E179" s="7" t="s">
        <v>537</v>
      </c>
      <c r="F179" s="7" t="s">
        <v>19</v>
      </c>
      <c r="G179" s="7" t="s">
        <v>538</v>
      </c>
      <c r="H179" s="7" t="s">
        <v>17</v>
      </c>
      <c r="I179" s="7" t="s">
        <v>17</v>
      </c>
      <c r="J179" s="7" t="s">
        <v>494</v>
      </c>
    </row>
    <row r="180" spans="1:10" x14ac:dyDescent="0.25" outlineLevel="2" collapsed="1">
      <c r="A180" s="8" t="s">
        <v>19</v>
      </c>
      <c r="B180" s="9" t="s">
        <v>580</v>
      </c>
      <c r="C180" s="8" t="s">
        <v>17</v>
      </c>
      <c r="D180" s="8"/>
      <c r="E180" s="8" t="s">
        <v>581</v>
      </c>
      <c r="F180" s="8" t="s">
        <v>19</v>
      </c>
      <c r="G180" s="8" t="s">
        <v>17</v>
      </c>
      <c r="H180" s="8" t="s">
        <v>17</v>
      </c>
      <c r="I180" s="8" t="s">
        <v>17</v>
      </c>
      <c r="J180" s="8" t="s">
        <v>573</v>
      </c>
    </row>
    <row r="181" spans="1:10" x14ac:dyDescent="0.25" outlineLevel="3" collapsed="1">
      <c r="A181" s="7" t="s">
        <v>19</v>
      </c>
      <c r="B181" s="7" t="s">
        <v>16</v>
      </c>
      <c r="C181" s="7" t="s">
        <v>17</v>
      </c>
      <c r="D181" s="7"/>
      <c r="E181" s="7" t="s">
        <v>500</v>
      </c>
      <c r="F181" s="7" t="s">
        <v>19</v>
      </c>
      <c r="G181" s="7" t="s">
        <v>31</v>
      </c>
      <c r="H181" s="7" t="s">
        <v>17</v>
      </c>
      <c r="I181" s="7" t="s">
        <v>17</v>
      </c>
      <c r="J181" s="7" t="s">
        <v>494</v>
      </c>
    </row>
    <row r="182" spans="1:10" x14ac:dyDescent="0.25" outlineLevel="2" collapsed="1">
      <c r="A182" s="8" t="s">
        <v>19</v>
      </c>
      <c r="B182" s="9" t="s">
        <v>582</v>
      </c>
      <c r="C182" s="8" t="s">
        <v>17</v>
      </c>
      <c r="D182" s="8"/>
      <c r="E182" s="8" t="s">
        <v>583</v>
      </c>
      <c r="F182" s="8" t="s">
        <v>19</v>
      </c>
      <c r="G182" s="8" t="s">
        <v>17</v>
      </c>
      <c r="H182" s="8" t="s">
        <v>17</v>
      </c>
      <c r="I182" s="8" t="s">
        <v>17</v>
      </c>
      <c r="J182" s="8" t="s">
        <v>584</v>
      </c>
    </row>
    <row r="183" spans="1:10" x14ac:dyDescent="0.25" outlineLevel="3" collapsed="1">
      <c r="A183" s="7" t="s">
        <v>19</v>
      </c>
      <c r="B183" s="7" t="s">
        <v>16</v>
      </c>
      <c r="C183" s="7" t="s">
        <v>17</v>
      </c>
      <c r="D183" s="7"/>
      <c r="E183" s="7" t="s">
        <v>500</v>
      </c>
      <c r="F183" s="7" t="s">
        <v>19</v>
      </c>
      <c r="G183" s="7" t="s">
        <v>31</v>
      </c>
      <c r="H183" s="7" t="s">
        <v>17</v>
      </c>
      <c r="I183" s="7" t="s">
        <v>17</v>
      </c>
      <c r="J183" s="7" t="s">
        <v>494</v>
      </c>
    </row>
    <row r="184" spans="1:10" x14ac:dyDescent="0.25" outlineLevel="2" collapsed="1">
      <c r="A184" s="8" t="s">
        <v>19</v>
      </c>
      <c r="B184" s="9" t="s">
        <v>585</v>
      </c>
      <c r="C184" s="8" t="s">
        <v>17</v>
      </c>
      <c r="D184" s="8"/>
      <c r="E184" s="8" t="s">
        <v>586</v>
      </c>
      <c r="F184" s="8" t="s">
        <v>19</v>
      </c>
      <c r="G184" s="8" t="s">
        <v>17</v>
      </c>
      <c r="H184" s="8" t="s">
        <v>17</v>
      </c>
      <c r="I184" s="8" t="s">
        <v>17</v>
      </c>
      <c r="J184" s="8" t="s">
        <v>579</v>
      </c>
    </row>
    <row r="185" spans="1:10" x14ac:dyDescent="0.25" outlineLevel="3" collapsed="1">
      <c r="A185" s="7" t="s">
        <v>19</v>
      </c>
      <c r="B185" s="7" t="s">
        <v>16</v>
      </c>
      <c r="C185" s="7" t="s">
        <v>17</v>
      </c>
      <c r="D185" s="7"/>
      <c r="E185" s="7" t="s">
        <v>500</v>
      </c>
      <c r="F185" s="7" t="s">
        <v>19</v>
      </c>
      <c r="G185" s="7" t="s">
        <v>31</v>
      </c>
      <c r="H185" s="7" t="s">
        <v>17</v>
      </c>
      <c r="I185" s="7" t="s">
        <v>17</v>
      </c>
      <c r="J185" s="7" t="s">
        <v>494</v>
      </c>
    </row>
    <row r="186" spans="1:10" x14ac:dyDescent="0.25" outlineLevel="2" collapsed="1">
      <c r="A186" s="8" t="s">
        <v>19</v>
      </c>
      <c r="B186" s="9" t="s">
        <v>587</v>
      </c>
      <c r="C186" s="8" t="s">
        <v>17</v>
      </c>
      <c r="D186" s="8"/>
      <c r="E186" s="8" t="s">
        <v>588</v>
      </c>
      <c r="F186" s="8" t="s">
        <v>19</v>
      </c>
      <c r="G186" s="8" t="s">
        <v>17</v>
      </c>
      <c r="H186" s="8" t="s">
        <v>17</v>
      </c>
      <c r="I186" s="8" t="s">
        <v>17</v>
      </c>
      <c r="J186" s="8" t="s">
        <v>550</v>
      </c>
    </row>
    <row r="187" spans="1:10" x14ac:dyDescent="0.25" outlineLevel="3" collapsed="1">
      <c r="A187" s="7" t="s">
        <v>19</v>
      </c>
      <c r="B187" s="7" t="s">
        <v>16</v>
      </c>
      <c r="C187" s="7" t="s">
        <v>17</v>
      </c>
      <c r="D187" s="7"/>
      <c r="E187" s="7" t="s">
        <v>500</v>
      </c>
      <c r="F187" s="7" t="s">
        <v>19</v>
      </c>
      <c r="G187" s="7" t="s">
        <v>31</v>
      </c>
      <c r="H187" s="7" t="s">
        <v>17</v>
      </c>
      <c r="I187" s="7" t="s">
        <v>17</v>
      </c>
      <c r="J187" s="7" t="s">
        <v>494</v>
      </c>
    </row>
    <row r="188" spans="1:10" x14ac:dyDescent="0.25" outlineLevel="3" collapsed="1">
      <c r="A188" s="7" t="s">
        <v>19</v>
      </c>
      <c r="B188" s="7" t="s">
        <v>16</v>
      </c>
      <c r="C188" s="7" t="s">
        <v>17</v>
      </c>
      <c r="D188" s="7"/>
      <c r="E188" s="7" t="s">
        <v>501</v>
      </c>
      <c r="F188" s="7" t="s">
        <v>19</v>
      </c>
      <c r="G188" s="7" t="s">
        <v>31</v>
      </c>
      <c r="H188" s="7" t="s">
        <v>17</v>
      </c>
      <c r="I188" s="7" t="s">
        <v>17</v>
      </c>
      <c r="J188" s="7" t="s">
        <v>497</v>
      </c>
    </row>
    <row r="189" spans="1:10" x14ac:dyDescent="0.25" outlineLevel="3" collapsed="1">
      <c r="A189" s="8" t="s">
        <v>19</v>
      </c>
      <c r="B189" s="9" t="s">
        <v>502</v>
      </c>
      <c r="C189" s="8" t="s">
        <v>17</v>
      </c>
      <c r="D189" s="8"/>
      <c r="E189" s="8" t="s">
        <v>503</v>
      </c>
      <c r="F189" s="8" t="s">
        <v>15</v>
      </c>
      <c r="G189" s="8" t="s">
        <v>17</v>
      </c>
      <c r="H189" s="8" t="s">
        <v>17</v>
      </c>
      <c r="I189" s="8" t="s">
        <v>17</v>
      </c>
      <c r="J189" s="8" t="s">
        <v>504</v>
      </c>
    </row>
    <row r="190" spans="1:10" x14ac:dyDescent="0.25" outlineLevel="4" collapsed="1">
      <c r="A190" s="7" t="s">
        <v>19</v>
      </c>
      <c r="B190" s="7" t="s">
        <v>16</v>
      </c>
      <c r="C190" s="7" t="s">
        <v>17</v>
      </c>
      <c r="D190" s="7"/>
      <c r="E190" s="7" t="s">
        <v>505</v>
      </c>
      <c r="F190" s="7" t="s">
        <v>19</v>
      </c>
      <c r="G190" s="7" t="s">
        <v>31</v>
      </c>
      <c r="H190" s="7" t="s">
        <v>17</v>
      </c>
      <c r="I190" s="7" t="s">
        <v>17</v>
      </c>
      <c r="J190" s="7" t="s">
        <v>506</v>
      </c>
    </row>
    <row r="191" spans="1:10" x14ac:dyDescent="0.25" outlineLevel="4" collapsed="1">
      <c r="A191" s="7" t="s">
        <v>19</v>
      </c>
      <c r="B191" s="7" t="s">
        <v>16</v>
      </c>
      <c r="C191" s="7" t="s">
        <v>17</v>
      </c>
      <c r="D191" s="7"/>
      <c r="E191" s="7" t="s">
        <v>501</v>
      </c>
      <c r="F191" s="7" t="s">
        <v>19</v>
      </c>
      <c r="G191" s="7" t="s">
        <v>31</v>
      </c>
      <c r="H191" s="7" t="s">
        <v>17</v>
      </c>
      <c r="I191" s="7" t="s">
        <v>17</v>
      </c>
      <c r="J191" s="7" t="s">
        <v>497</v>
      </c>
    </row>
    <row r="192" spans="1:10" x14ac:dyDescent="0.25" outlineLevel="2" collapsed="1">
      <c r="A192" s="8" t="s">
        <v>19</v>
      </c>
      <c r="B192" s="9" t="s">
        <v>589</v>
      </c>
      <c r="C192" s="8" t="s">
        <v>17</v>
      </c>
      <c r="D192" s="8"/>
      <c r="E192" s="8" t="s">
        <v>590</v>
      </c>
      <c r="F192" s="8" t="s">
        <v>19</v>
      </c>
      <c r="G192" s="8" t="s">
        <v>17</v>
      </c>
      <c r="H192" s="8" t="s">
        <v>17</v>
      </c>
      <c r="I192" s="8" t="s">
        <v>17</v>
      </c>
      <c r="J192" s="8" t="s">
        <v>591</v>
      </c>
    </row>
    <row r="193" spans="1:10" x14ac:dyDescent="0.25" outlineLevel="3" collapsed="1">
      <c r="A193" s="7" t="s">
        <v>19</v>
      </c>
      <c r="B193" s="7" t="s">
        <v>16</v>
      </c>
      <c r="C193" s="7" t="s">
        <v>17</v>
      </c>
      <c r="D193" s="7"/>
      <c r="E193" s="7" t="s">
        <v>500</v>
      </c>
      <c r="F193" s="7" t="s">
        <v>19</v>
      </c>
      <c r="G193" s="7" t="s">
        <v>31</v>
      </c>
      <c r="H193" s="7" t="s">
        <v>17</v>
      </c>
      <c r="I193" s="7" t="s">
        <v>17</v>
      </c>
      <c r="J193" s="7" t="s">
        <v>494</v>
      </c>
    </row>
    <row r="194" spans="1:10" x14ac:dyDescent="0.25" outlineLevel="3" collapsed="1">
      <c r="A194" s="7" t="s">
        <v>19</v>
      </c>
      <c r="B194" s="7" t="s">
        <v>16</v>
      </c>
      <c r="C194" s="7" t="s">
        <v>17</v>
      </c>
      <c r="D194" s="7"/>
      <c r="E194" s="7" t="s">
        <v>501</v>
      </c>
      <c r="F194" s="7" t="s">
        <v>19</v>
      </c>
      <c r="G194" s="7" t="s">
        <v>31</v>
      </c>
      <c r="H194" s="7" t="s">
        <v>17</v>
      </c>
      <c r="I194" s="7" t="s">
        <v>17</v>
      </c>
      <c r="J194" s="7" t="s">
        <v>497</v>
      </c>
    </row>
    <row r="195" spans="1:10" x14ac:dyDescent="0.25" outlineLevel="3" collapsed="1">
      <c r="A195" s="8" t="s">
        <v>19</v>
      </c>
      <c r="B195" s="9" t="s">
        <v>502</v>
      </c>
      <c r="C195" s="8" t="s">
        <v>17</v>
      </c>
      <c r="D195" s="8"/>
      <c r="E195" s="8" t="s">
        <v>503</v>
      </c>
      <c r="F195" s="8" t="s">
        <v>15</v>
      </c>
      <c r="G195" s="8" t="s">
        <v>17</v>
      </c>
      <c r="H195" s="8" t="s">
        <v>17</v>
      </c>
      <c r="I195" s="8" t="s">
        <v>17</v>
      </c>
      <c r="J195" s="8" t="s">
        <v>504</v>
      </c>
    </row>
    <row r="196" spans="1:10" x14ac:dyDescent="0.25" outlineLevel="4" collapsed="1">
      <c r="A196" s="7" t="s">
        <v>19</v>
      </c>
      <c r="B196" s="7" t="s">
        <v>16</v>
      </c>
      <c r="C196" s="7" t="s">
        <v>17</v>
      </c>
      <c r="D196" s="7"/>
      <c r="E196" s="7" t="s">
        <v>505</v>
      </c>
      <c r="F196" s="7" t="s">
        <v>19</v>
      </c>
      <c r="G196" s="7" t="s">
        <v>31</v>
      </c>
      <c r="H196" s="7" t="s">
        <v>17</v>
      </c>
      <c r="I196" s="7" t="s">
        <v>17</v>
      </c>
      <c r="J196" s="7" t="s">
        <v>506</v>
      </c>
    </row>
    <row r="197" spans="1:10" x14ac:dyDescent="0.25" outlineLevel="4" collapsed="1">
      <c r="A197" s="7" t="s">
        <v>19</v>
      </c>
      <c r="B197" s="7" t="s">
        <v>16</v>
      </c>
      <c r="C197" s="7" t="s">
        <v>17</v>
      </c>
      <c r="D197" s="7"/>
      <c r="E197" s="7" t="s">
        <v>501</v>
      </c>
      <c r="F197" s="7" t="s">
        <v>19</v>
      </c>
      <c r="G197" s="7" t="s">
        <v>31</v>
      </c>
      <c r="H197" s="7" t="s">
        <v>17</v>
      </c>
      <c r="I197" s="7" t="s">
        <v>17</v>
      </c>
      <c r="J197" s="7" t="s">
        <v>497</v>
      </c>
    </row>
    <row r="198" spans="1:10" x14ac:dyDescent="0.25" outlineLevel="2" collapsed="1">
      <c r="A198" s="8" t="s">
        <v>19</v>
      </c>
      <c r="B198" s="9" t="s">
        <v>592</v>
      </c>
      <c r="C198" s="8" t="s">
        <v>17</v>
      </c>
      <c r="D198" s="8"/>
      <c r="E198" s="8" t="s">
        <v>593</v>
      </c>
      <c r="F198" s="8" t="s">
        <v>19</v>
      </c>
      <c r="G198" s="8" t="s">
        <v>17</v>
      </c>
      <c r="H198" s="8" t="s">
        <v>17</v>
      </c>
      <c r="I198" s="8" t="s">
        <v>17</v>
      </c>
      <c r="J198" s="8" t="s">
        <v>594</v>
      </c>
    </row>
    <row r="199" spans="1:10" x14ac:dyDescent="0.25" outlineLevel="3" collapsed="1">
      <c r="A199" s="7" t="s">
        <v>19</v>
      </c>
      <c r="B199" s="7" t="s">
        <v>16</v>
      </c>
      <c r="C199" s="7" t="s">
        <v>17</v>
      </c>
      <c r="D199" s="7"/>
      <c r="E199" s="7" t="s">
        <v>500</v>
      </c>
      <c r="F199" s="7" t="s">
        <v>19</v>
      </c>
      <c r="G199" s="7" t="s">
        <v>31</v>
      </c>
      <c r="H199" s="7" t="s">
        <v>17</v>
      </c>
      <c r="I199" s="7" t="s">
        <v>17</v>
      </c>
      <c r="J199" s="7" t="s">
        <v>494</v>
      </c>
    </row>
    <row r="200" spans="1:10" x14ac:dyDescent="0.25" outlineLevel="3" collapsed="1">
      <c r="A200" s="7" t="s">
        <v>19</v>
      </c>
      <c r="B200" s="7" t="s">
        <v>16</v>
      </c>
      <c r="C200" s="7" t="s">
        <v>17</v>
      </c>
      <c r="D200" s="7"/>
      <c r="E200" s="7" t="s">
        <v>501</v>
      </c>
      <c r="F200" s="7" t="s">
        <v>19</v>
      </c>
      <c r="G200" s="7" t="s">
        <v>31</v>
      </c>
      <c r="H200" s="7" t="s">
        <v>17</v>
      </c>
      <c r="I200" s="7" t="s">
        <v>17</v>
      </c>
      <c r="J200" s="7" t="s">
        <v>497</v>
      </c>
    </row>
    <row r="201" spans="1:10" x14ac:dyDescent="0.25" outlineLevel="3" collapsed="1">
      <c r="A201" s="8" t="s">
        <v>19</v>
      </c>
      <c r="B201" s="9" t="s">
        <v>502</v>
      </c>
      <c r="C201" s="8" t="s">
        <v>17</v>
      </c>
      <c r="D201" s="8"/>
      <c r="E201" s="8" t="s">
        <v>503</v>
      </c>
      <c r="F201" s="8" t="s">
        <v>15</v>
      </c>
      <c r="G201" s="8" t="s">
        <v>17</v>
      </c>
      <c r="H201" s="8" t="s">
        <v>17</v>
      </c>
      <c r="I201" s="8" t="s">
        <v>17</v>
      </c>
      <c r="J201" s="8" t="s">
        <v>504</v>
      </c>
    </row>
    <row r="202" spans="1:10" x14ac:dyDescent="0.25" outlineLevel="4" collapsed="1">
      <c r="A202" s="7" t="s">
        <v>19</v>
      </c>
      <c r="B202" s="7" t="s">
        <v>16</v>
      </c>
      <c r="C202" s="7" t="s">
        <v>17</v>
      </c>
      <c r="D202" s="7"/>
      <c r="E202" s="7" t="s">
        <v>505</v>
      </c>
      <c r="F202" s="7" t="s">
        <v>19</v>
      </c>
      <c r="G202" s="7" t="s">
        <v>31</v>
      </c>
      <c r="H202" s="7" t="s">
        <v>17</v>
      </c>
      <c r="I202" s="7" t="s">
        <v>17</v>
      </c>
      <c r="J202" s="7" t="s">
        <v>506</v>
      </c>
    </row>
    <row r="203" spans="1:10" x14ac:dyDescent="0.25" outlineLevel="4" collapsed="1">
      <c r="A203" s="7" t="s">
        <v>19</v>
      </c>
      <c r="B203" s="7" t="s">
        <v>16</v>
      </c>
      <c r="C203" s="7" t="s">
        <v>17</v>
      </c>
      <c r="D203" s="7"/>
      <c r="E203" s="7" t="s">
        <v>501</v>
      </c>
      <c r="F203" s="7" t="s">
        <v>19</v>
      </c>
      <c r="G203" s="7" t="s">
        <v>31</v>
      </c>
      <c r="H203" s="7" t="s">
        <v>17</v>
      </c>
      <c r="I203" s="7" t="s">
        <v>17</v>
      </c>
      <c r="J203" s="7" t="s">
        <v>497</v>
      </c>
    </row>
    <row r="204" spans="1:10" x14ac:dyDescent="0.25" outlineLevel="2" collapsed="1">
      <c r="A204" s="8" t="s">
        <v>19</v>
      </c>
      <c r="B204" s="9" t="s">
        <v>595</v>
      </c>
      <c r="C204" s="8" t="s">
        <v>17</v>
      </c>
      <c r="D204" s="8"/>
      <c r="E204" s="8" t="s">
        <v>596</v>
      </c>
      <c r="F204" s="8" t="s">
        <v>19</v>
      </c>
      <c r="G204" s="8" t="s">
        <v>17</v>
      </c>
      <c r="H204" s="8" t="s">
        <v>17</v>
      </c>
      <c r="I204" s="8" t="s">
        <v>17</v>
      </c>
      <c r="J204" s="8" t="s">
        <v>597</v>
      </c>
    </row>
    <row r="205" spans="1:10" x14ac:dyDescent="0.25" outlineLevel="3" collapsed="1">
      <c r="A205" s="7" t="s">
        <v>19</v>
      </c>
      <c r="B205" s="7" t="s">
        <v>16</v>
      </c>
      <c r="C205" s="7" t="s">
        <v>17</v>
      </c>
      <c r="D205" s="7"/>
      <c r="E205" s="7" t="s">
        <v>500</v>
      </c>
      <c r="F205" s="7" t="s">
        <v>19</v>
      </c>
      <c r="G205" s="7" t="s">
        <v>31</v>
      </c>
      <c r="H205" s="7" t="s">
        <v>17</v>
      </c>
      <c r="I205" s="7" t="s">
        <v>17</v>
      </c>
      <c r="J205" s="7" t="s">
        <v>494</v>
      </c>
    </row>
    <row r="206" spans="1:10" x14ac:dyDescent="0.25" outlineLevel="3" collapsed="1">
      <c r="A206" s="7" t="s">
        <v>19</v>
      </c>
      <c r="B206" s="7" t="s">
        <v>16</v>
      </c>
      <c r="C206" s="7" t="s">
        <v>17</v>
      </c>
      <c r="D206" s="7"/>
      <c r="E206" s="7" t="s">
        <v>501</v>
      </c>
      <c r="F206" s="7" t="s">
        <v>19</v>
      </c>
      <c r="G206" s="7" t="s">
        <v>31</v>
      </c>
      <c r="H206" s="7" t="s">
        <v>17</v>
      </c>
      <c r="I206" s="7" t="s">
        <v>17</v>
      </c>
      <c r="J206" s="7" t="s">
        <v>497</v>
      </c>
    </row>
    <row r="207" spans="1:10" x14ac:dyDescent="0.25" outlineLevel="3" collapsed="1">
      <c r="A207" s="8" t="s">
        <v>19</v>
      </c>
      <c r="B207" s="9" t="s">
        <v>502</v>
      </c>
      <c r="C207" s="8" t="s">
        <v>17</v>
      </c>
      <c r="D207" s="8"/>
      <c r="E207" s="8" t="s">
        <v>503</v>
      </c>
      <c r="F207" s="8" t="s">
        <v>15</v>
      </c>
      <c r="G207" s="8" t="s">
        <v>17</v>
      </c>
      <c r="H207" s="8" t="s">
        <v>17</v>
      </c>
      <c r="I207" s="8" t="s">
        <v>17</v>
      </c>
      <c r="J207" s="8" t="s">
        <v>504</v>
      </c>
    </row>
    <row r="208" spans="1:10" x14ac:dyDescent="0.25" outlineLevel="4" collapsed="1">
      <c r="A208" s="7" t="s">
        <v>19</v>
      </c>
      <c r="B208" s="7" t="s">
        <v>16</v>
      </c>
      <c r="C208" s="7" t="s">
        <v>17</v>
      </c>
      <c r="D208" s="7"/>
      <c r="E208" s="7" t="s">
        <v>505</v>
      </c>
      <c r="F208" s="7" t="s">
        <v>19</v>
      </c>
      <c r="G208" s="7" t="s">
        <v>31</v>
      </c>
      <c r="H208" s="7" t="s">
        <v>17</v>
      </c>
      <c r="I208" s="7" t="s">
        <v>17</v>
      </c>
      <c r="J208" s="7" t="s">
        <v>506</v>
      </c>
    </row>
    <row r="209" spans="1:10" x14ac:dyDescent="0.25" outlineLevel="4" collapsed="1">
      <c r="A209" s="7" t="s">
        <v>19</v>
      </c>
      <c r="B209" s="7" t="s">
        <v>16</v>
      </c>
      <c r="C209" s="7" t="s">
        <v>17</v>
      </c>
      <c r="D209" s="7"/>
      <c r="E209" s="7" t="s">
        <v>501</v>
      </c>
      <c r="F209" s="7" t="s">
        <v>19</v>
      </c>
      <c r="G209" s="7" t="s">
        <v>31</v>
      </c>
      <c r="H209" s="7" t="s">
        <v>17</v>
      </c>
      <c r="I209" s="7" t="s">
        <v>17</v>
      </c>
      <c r="J209" s="7" t="s">
        <v>497</v>
      </c>
    </row>
    <row r="210" spans="1:10" x14ac:dyDescent="0.25" outlineLevel="2" collapsed="1">
      <c r="A210" s="8" t="s">
        <v>19</v>
      </c>
      <c r="B210" s="9" t="s">
        <v>598</v>
      </c>
      <c r="C210" s="8" t="s">
        <v>17</v>
      </c>
      <c r="D210" s="8"/>
      <c r="E210" s="8" t="s">
        <v>599</v>
      </c>
      <c r="F210" s="8" t="s">
        <v>19</v>
      </c>
      <c r="G210" s="8" t="s">
        <v>17</v>
      </c>
      <c r="H210" s="8" t="s">
        <v>17</v>
      </c>
      <c r="I210" s="8" t="s">
        <v>17</v>
      </c>
      <c r="J210" s="8" t="s">
        <v>600</v>
      </c>
    </row>
    <row r="211" spans="1:10" x14ac:dyDescent="0.25" outlineLevel="3" collapsed="1">
      <c r="A211" s="7" t="s">
        <v>19</v>
      </c>
      <c r="B211" s="7" t="s">
        <v>16</v>
      </c>
      <c r="C211" s="7" t="s">
        <v>17</v>
      </c>
      <c r="D211" s="7"/>
      <c r="E211" s="7" t="s">
        <v>500</v>
      </c>
      <c r="F211" s="7" t="s">
        <v>19</v>
      </c>
      <c r="G211" s="7" t="s">
        <v>31</v>
      </c>
      <c r="H211" s="7" t="s">
        <v>17</v>
      </c>
      <c r="I211" s="7" t="s">
        <v>17</v>
      </c>
      <c r="J211" s="7" t="s">
        <v>494</v>
      </c>
    </row>
    <row r="212" spans="1:10" x14ac:dyDescent="0.25" outlineLevel="3" collapsed="1">
      <c r="A212" s="7" t="s">
        <v>19</v>
      </c>
      <c r="B212" s="7" t="s">
        <v>16</v>
      </c>
      <c r="C212" s="7" t="s">
        <v>17</v>
      </c>
      <c r="D212" s="7"/>
      <c r="E212" s="7" t="s">
        <v>501</v>
      </c>
      <c r="F212" s="7" t="s">
        <v>19</v>
      </c>
      <c r="G212" s="7" t="s">
        <v>31</v>
      </c>
      <c r="H212" s="7" t="s">
        <v>17</v>
      </c>
      <c r="I212" s="7" t="s">
        <v>17</v>
      </c>
      <c r="J212" s="7" t="s">
        <v>497</v>
      </c>
    </row>
    <row r="213" spans="1:10" x14ac:dyDescent="0.25" outlineLevel="3" collapsed="1">
      <c r="A213" s="8" t="s">
        <v>19</v>
      </c>
      <c r="B213" s="9" t="s">
        <v>502</v>
      </c>
      <c r="C213" s="8" t="s">
        <v>17</v>
      </c>
      <c r="D213" s="8"/>
      <c r="E213" s="8" t="s">
        <v>503</v>
      </c>
      <c r="F213" s="8" t="s">
        <v>15</v>
      </c>
      <c r="G213" s="8" t="s">
        <v>17</v>
      </c>
      <c r="H213" s="8" t="s">
        <v>17</v>
      </c>
      <c r="I213" s="8" t="s">
        <v>17</v>
      </c>
      <c r="J213" s="8" t="s">
        <v>504</v>
      </c>
    </row>
    <row r="214" spans="1:10" x14ac:dyDescent="0.25" outlineLevel="4" collapsed="1">
      <c r="A214" s="7" t="s">
        <v>19</v>
      </c>
      <c r="B214" s="7" t="s">
        <v>16</v>
      </c>
      <c r="C214" s="7" t="s">
        <v>17</v>
      </c>
      <c r="D214" s="7"/>
      <c r="E214" s="7" t="s">
        <v>505</v>
      </c>
      <c r="F214" s="7" t="s">
        <v>19</v>
      </c>
      <c r="G214" s="7" t="s">
        <v>31</v>
      </c>
      <c r="H214" s="7" t="s">
        <v>17</v>
      </c>
      <c r="I214" s="7" t="s">
        <v>17</v>
      </c>
      <c r="J214" s="7" t="s">
        <v>506</v>
      </c>
    </row>
    <row r="215" spans="1:10" x14ac:dyDescent="0.25" outlineLevel="4" collapsed="1">
      <c r="A215" s="7" t="s">
        <v>19</v>
      </c>
      <c r="B215" s="7" t="s">
        <v>16</v>
      </c>
      <c r="C215" s="7" t="s">
        <v>17</v>
      </c>
      <c r="D215" s="7"/>
      <c r="E215" s="7" t="s">
        <v>501</v>
      </c>
      <c r="F215" s="7" t="s">
        <v>19</v>
      </c>
      <c r="G215" s="7" t="s">
        <v>31</v>
      </c>
      <c r="H215" s="7" t="s">
        <v>17</v>
      </c>
      <c r="I215" s="7" t="s">
        <v>17</v>
      </c>
      <c r="J215" s="7" t="s">
        <v>497</v>
      </c>
    </row>
    <row r="216" spans="1:10" x14ac:dyDescent="0.25" outlineLevel="2" collapsed="1">
      <c r="A216" s="8" t="s">
        <v>19</v>
      </c>
      <c r="B216" s="9" t="s">
        <v>601</v>
      </c>
      <c r="C216" s="8" t="s">
        <v>17</v>
      </c>
      <c r="D216" s="8"/>
      <c r="E216" s="8" t="s">
        <v>602</v>
      </c>
      <c r="F216" s="8" t="s">
        <v>19</v>
      </c>
      <c r="G216" s="8" t="s">
        <v>17</v>
      </c>
      <c r="H216" s="8" t="s">
        <v>17</v>
      </c>
      <c r="I216" s="8" t="s">
        <v>17</v>
      </c>
      <c r="J216" s="8" t="s">
        <v>603</v>
      </c>
    </row>
    <row r="217" spans="1:10" x14ac:dyDescent="0.25" outlineLevel="3" collapsed="1">
      <c r="A217" s="7" t="s">
        <v>19</v>
      </c>
      <c r="B217" s="7" t="s">
        <v>16</v>
      </c>
      <c r="C217" s="7" t="s">
        <v>17</v>
      </c>
      <c r="D217" s="7"/>
      <c r="E217" s="7" t="s">
        <v>500</v>
      </c>
      <c r="F217" s="7" t="s">
        <v>19</v>
      </c>
      <c r="G217" s="7" t="s">
        <v>31</v>
      </c>
      <c r="H217" s="7" t="s">
        <v>17</v>
      </c>
      <c r="I217" s="7" t="s">
        <v>17</v>
      </c>
      <c r="J217" s="7" t="s">
        <v>494</v>
      </c>
    </row>
    <row r="218" spans="1:10" x14ac:dyDescent="0.25" outlineLevel="3" collapsed="1">
      <c r="A218" s="7" t="s">
        <v>19</v>
      </c>
      <c r="B218" s="7" t="s">
        <v>16</v>
      </c>
      <c r="C218" s="7" t="s">
        <v>17</v>
      </c>
      <c r="D218" s="7"/>
      <c r="E218" s="7" t="s">
        <v>501</v>
      </c>
      <c r="F218" s="7" t="s">
        <v>19</v>
      </c>
      <c r="G218" s="7" t="s">
        <v>31</v>
      </c>
      <c r="H218" s="7" t="s">
        <v>17</v>
      </c>
      <c r="I218" s="7" t="s">
        <v>17</v>
      </c>
      <c r="J218" s="7" t="s">
        <v>497</v>
      </c>
    </row>
    <row r="219" spans="1:10" x14ac:dyDescent="0.25" outlineLevel="3" collapsed="1">
      <c r="A219" s="8" t="s">
        <v>19</v>
      </c>
      <c r="B219" s="9" t="s">
        <v>502</v>
      </c>
      <c r="C219" s="8" t="s">
        <v>17</v>
      </c>
      <c r="D219" s="8"/>
      <c r="E219" s="8" t="s">
        <v>503</v>
      </c>
      <c r="F219" s="8" t="s">
        <v>15</v>
      </c>
      <c r="G219" s="8" t="s">
        <v>17</v>
      </c>
      <c r="H219" s="8" t="s">
        <v>17</v>
      </c>
      <c r="I219" s="8" t="s">
        <v>17</v>
      </c>
      <c r="J219" s="8" t="s">
        <v>504</v>
      </c>
    </row>
    <row r="220" spans="1:10" x14ac:dyDescent="0.25" outlineLevel="4" collapsed="1">
      <c r="A220" s="7" t="s">
        <v>19</v>
      </c>
      <c r="B220" s="7" t="s">
        <v>16</v>
      </c>
      <c r="C220" s="7" t="s">
        <v>17</v>
      </c>
      <c r="D220" s="7"/>
      <c r="E220" s="7" t="s">
        <v>505</v>
      </c>
      <c r="F220" s="7" t="s">
        <v>19</v>
      </c>
      <c r="G220" s="7" t="s">
        <v>31</v>
      </c>
      <c r="H220" s="7" t="s">
        <v>17</v>
      </c>
      <c r="I220" s="7" t="s">
        <v>17</v>
      </c>
      <c r="J220" s="7" t="s">
        <v>506</v>
      </c>
    </row>
    <row r="221" spans="1:10" x14ac:dyDescent="0.25" outlineLevel="4" collapsed="1">
      <c r="A221" s="7" t="s">
        <v>19</v>
      </c>
      <c r="B221" s="7" t="s">
        <v>16</v>
      </c>
      <c r="C221" s="7" t="s">
        <v>17</v>
      </c>
      <c r="D221" s="7"/>
      <c r="E221" s="7" t="s">
        <v>501</v>
      </c>
      <c r="F221" s="7" t="s">
        <v>19</v>
      </c>
      <c r="G221" s="7" t="s">
        <v>31</v>
      </c>
      <c r="H221" s="7" t="s">
        <v>17</v>
      </c>
      <c r="I221" s="7" t="s">
        <v>17</v>
      </c>
      <c r="J221" s="7" t="s">
        <v>497</v>
      </c>
    </row>
    <row r="222" spans="1:10" x14ac:dyDescent="0.25" outlineLevel="1" collapsed="1">
      <c r="A222" s="8" t="s">
        <v>15</v>
      </c>
      <c r="B222" s="9" t="s">
        <v>604</v>
      </c>
      <c r="C222" s="8" t="s">
        <v>17</v>
      </c>
      <c r="D222" s="8"/>
      <c r="E222" s="8" t="s">
        <v>605</v>
      </c>
      <c r="F222" s="8" t="s">
        <v>19</v>
      </c>
      <c r="G222" s="8" t="s">
        <v>17</v>
      </c>
      <c r="H222" s="8" t="s">
        <v>17</v>
      </c>
      <c r="I222" s="8" t="s">
        <v>17</v>
      </c>
      <c r="J222" s="8" t="s">
        <v>606</v>
      </c>
    </row>
    <row r="223" spans="1:10" x14ac:dyDescent="0.25" outlineLevel="2" collapsed="1">
      <c r="A223" s="8" t="s">
        <v>15</v>
      </c>
      <c r="B223" s="9" t="s">
        <v>607</v>
      </c>
      <c r="C223" s="8" t="s">
        <v>17</v>
      </c>
      <c r="D223" s="8"/>
      <c r="E223" s="8" t="s">
        <v>608</v>
      </c>
      <c r="F223" s="8" t="s">
        <v>19</v>
      </c>
      <c r="G223" s="8" t="s">
        <v>17</v>
      </c>
      <c r="H223" s="8" t="s">
        <v>17</v>
      </c>
      <c r="I223" s="8" t="s">
        <v>17</v>
      </c>
      <c r="J223" s="8" t="s">
        <v>609</v>
      </c>
    </row>
    <row r="224" spans="1:10" x14ac:dyDescent="0.25" outlineLevel="3" collapsed="1">
      <c r="A224" s="7" t="s">
        <v>15</v>
      </c>
      <c r="B224" s="7" t="s">
        <v>16</v>
      </c>
      <c r="C224" s="7" t="s">
        <v>17</v>
      </c>
      <c r="D224" s="7"/>
      <c r="E224" s="7" t="s">
        <v>492</v>
      </c>
      <c r="F224" s="7" t="s">
        <v>19</v>
      </c>
      <c r="G224" s="7" t="s">
        <v>493</v>
      </c>
      <c r="H224" s="7" t="s">
        <v>17</v>
      </c>
      <c r="I224" s="7" t="s">
        <v>17</v>
      </c>
      <c r="J224" s="7" t="s">
        <v>494</v>
      </c>
    </row>
    <row r="225" spans="1:10" x14ac:dyDescent="0.25" outlineLevel="3" collapsed="1">
      <c r="A225" s="7" t="s">
        <v>15</v>
      </c>
      <c r="B225" s="7" t="s">
        <v>16</v>
      </c>
      <c r="C225" s="7" t="s">
        <v>17</v>
      </c>
      <c r="D225" s="7"/>
      <c r="E225" s="7" t="s">
        <v>495</v>
      </c>
      <c r="F225" s="7" t="s">
        <v>19</v>
      </c>
      <c r="G225" s="7" t="s">
        <v>496</v>
      </c>
      <c r="H225" s="7" t="s">
        <v>17</v>
      </c>
      <c r="I225" s="7" t="s">
        <v>17</v>
      </c>
      <c r="J225" s="7" t="s">
        <v>497</v>
      </c>
    </row>
    <row r="226" spans="1:10" x14ac:dyDescent="0.25" outlineLevel="2" collapsed="1">
      <c r="A226" s="8" t="s">
        <v>15</v>
      </c>
      <c r="B226" s="9" t="s">
        <v>610</v>
      </c>
      <c r="C226" s="8" t="s">
        <v>17</v>
      </c>
      <c r="D226" s="8"/>
      <c r="E226" s="8" t="s">
        <v>611</v>
      </c>
      <c r="F226" s="8" t="s">
        <v>19</v>
      </c>
      <c r="G226" s="8" t="s">
        <v>17</v>
      </c>
      <c r="H226" s="8" t="s">
        <v>17</v>
      </c>
      <c r="I226" s="8" t="s">
        <v>17</v>
      </c>
      <c r="J226" s="8" t="s">
        <v>612</v>
      </c>
    </row>
    <row r="227" spans="1:10" x14ac:dyDescent="0.25" outlineLevel="3" collapsed="1">
      <c r="A227" s="7" t="s">
        <v>15</v>
      </c>
      <c r="B227" s="7" t="s">
        <v>16</v>
      </c>
      <c r="C227" s="7" t="s">
        <v>17</v>
      </c>
      <c r="D227" s="7"/>
      <c r="E227" s="7" t="s">
        <v>492</v>
      </c>
      <c r="F227" s="7" t="s">
        <v>19</v>
      </c>
      <c r="G227" s="7" t="s">
        <v>493</v>
      </c>
      <c r="H227" s="7" t="s">
        <v>17</v>
      </c>
      <c r="I227" s="7" t="s">
        <v>17</v>
      </c>
      <c r="J227" s="7" t="s">
        <v>494</v>
      </c>
    </row>
    <row r="228" spans="1:10" x14ac:dyDescent="0.25" outlineLevel="3" collapsed="1">
      <c r="A228" s="7" t="s">
        <v>15</v>
      </c>
      <c r="B228" s="7" t="s">
        <v>16</v>
      </c>
      <c r="C228" s="7" t="s">
        <v>17</v>
      </c>
      <c r="D228" s="7"/>
      <c r="E228" s="7" t="s">
        <v>495</v>
      </c>
      <c r="F228" s="7" t="s">
        <v>19</v>
      </c>
      <c r="G228" s="7" t="s">
        <v>496</v>
      </c>
      <c r="H228" s="7" t="s">
        <v>17</v>
      </c>
      <c r="I228" s="7" t="s">
        <v>17</v>
      </c>
      <c r="J228" s="7" t="s">
        <v>497</v>
      </c>
    </row>
    <row r="229" spans="1:10" x14ac:dyDescent="0.25" outlineLevel="2" collapsed="1">
      <c r="A229" s="8" t="s">
        <v>15</v>
      </c>
      <c r="B229" s="9" t="s">
        <v>613</v>
      </c>
      <c r="C229" s="8" t="s">
        <v>17</v>
      </c>
      <c r="D229" s="8"/>
      <c r="E229" s="8" t="s">
        <v>614</v>
      </c>
      <c r="F229" s="8" t="s">
        <v>19</v>
      </c>
      <c r="G229" s="8" t="s">
        <v>17</v>
      </c>
      <c r="H229" s="8" t="s">
        <v>17</v>
      </c>
      <c r="I229" s="8" t="s">
        <v>17</v>
      </c>
      <c r="J229" s="8" t="s">
        <v>615</v>
      </c>
    </row>
    <row r="230" spans="1:10" x14ac:dyDescent="0.25" outlineLevel="3" collapsed="1">
      <c r="A230" s="8" t="s">
        <v>15</v>
      </c>
      <c r="B230" s="9" t="s">
        <v>616</v>
      </c>
      <c r="C230" s="8" t="s">
        <v>17</v>
      </c>
      <c r="D230" s="8"/>
      <c r="E230" s="8" t="s">
        <v>617</v>
      </c>
      <c r="F230" s="8" t="s">
        <v>19</v>
      </c>
      <c r="G230" s="8" t="s">
        <v>17</v>
      </c>
      <c r="H230" s="8" t="s">
        <v>17</v>
      </c>
      <c r="I230" s="8" t="s">
        <v>17</v>
      </c>
      <c r="J230" s="8" t="s">
        <v>618</v>
      </c>
    </row>
    <row r="231" spans="1:10" x14ac:dyDescent="0.25" outlineLevel="4" collapsed="1">
      <c r="A231" s="7" t="s">
        <v>15</v>
      </c>
      <c r="B231" s="7" t="s">
        <v>16</v>
      </c>
      <c r="C231" s="7" t="s">
        <v>17</v>
      </c>
      <c r="D231" s="7"/>
      <c r="E231" s="7" t="s">
        <v>492</v>
      </c>
      <c r="F231" s="7" t="s">
        <v>19</v>
      </c>
      <c r="G231" s="7" t="s">
        <v>493</v>
      </c>
      <c r="H231" s="7" t="s">
        <v>17</v>
      </c>
      <c r="I231" s="7" t="s">
        <v>17</v>
      </c>
      <c r="J231" s="7" t="s">
        <v>494</v>
      </c>
    </row>
    <row r="232" spans="1:10" x14ac:dyDescent="0.25" outlineLevel="4" collapsed="1">
      <c r="A232" s="7" t="s">
        <v>15</v>
      </c>
      <c r="B232" s="7" t="s">
        <v>16</v>
      </c>
      <c r="C232" s="7" t="s">
        <v>17</v>
      </c>
      <c r="D232" s="7"/>
      <c r="E232" s="7" t="s">
        <v>495</v>
      </c>
      <c r="F232" s="7" t="s">
        <v>19</v>
      </c>
      <c r="G232" s="7" t="s">
        <v>496</v>
      </c>
      <c r="H232" s="7" t="s">
        <v>17</v>
      </c>
      <c r="I232" s="7" t="s">
        <v>17</v>
      </c>
      <c r="J232" s="7" t="s">
        <v>497</v>
      </c>
    </row>
    <row r="233" spans="1:10" x14ac:dyDescent="0.25" outlineLevel="3" collapsed="1">
      <c r="A233" s="8" t="s">
        <v>15</v>
      </c>
      <c r="B233" s="9" t="s">
        <v>619</v>
      </c>
      <c r="C233" s="8" t="s">
        <v>17</v>
      </c>
      <c r="D233" s="8"/>
      <c r="E233" s="8" t="s">
        <v>620</v>
      </c>
      <c r="F233" s="8" t="s">
        <v>19</v>
      </c>
      <c r="G233" s="8" t="s">
        <v>17</v>
      </c>
      <c r="H233" s="8" t="s">
        <v>17</v>
      </c>
      <c r="I233" s="8" t="s">
        <v>17</v>
      </c>
      <c r="J233" s="8" t="s">
        <v>621</v>
      </c>
    </row>
    <row r="234" spans="1:10" x14ac:dyDescent="0.25" outlineLevel="4" collapsed="1">
      <c r="A234" s="7" t="s">
        <v>15</v>
      </c>
      <c r="B234" s="7" t="s">
        <v>16</v>
      </c>
      <c r="C234" s="7" t="s">
        <v>17</v>
      </c>
      <c r="D234" s="7"/>
      <c r="E234" s="7" t="s">
        <v>492</v>
      </c>
      <c r="F234" s="7" t="s">
        <v>19</v>
      </c>
      <c r="G234" s="7" t="s">
        <v>493</v>
      </c>
      <c r="H234" s="7" t="s">
        <v>17</v>
      </c>
      <c r="I234" s="7" t="s">
        <v>17</v>
      </c>
      <c r="J234" s="7" t="s">
        <v>494</v>
      </c>
    </row>
    <row r="235" spans="1:10" x14ac:dyDescent="0.25" outlineLevel="4" collapsed="1">
      <c r="A235" s="7" t="s">
        <v>15</v>
      </c>
      <c r="B235" s="7" t="s">
        <v>16</v>
      </c>
      <c r="C235" s="7" t="s">
        <v>17</v>
      </c>
      <c r="D235" s="7"/>
      <c r="E235" s="7" t="s">
        <v>495</v>
      </c>
      <c r="F235" s="7" t="s">
        <v>19</v>
      </c>
      <c r="G235" s="7" t="s">
        <v>496</v>
      </c>
      <c r="H235" s="7" t="s">
        <v>17</v>
      </c>
      <c r="I235" s="7" t="s">
        <v>17</v>
      </c>
      <c r="J235" s="7" t="s">
        <v>497</v>
      </c>
    </row>
    <row r="236" spans="1:10" x14ac:dyDescent="0.25" outlineLevel="3" collapsed="1">
      <c r="A236" s="8" t="s">
        <v>15</v>
      </c>
      <c r="B236" s="9" t="s">
        <v>622</v>
      </c>
      <c r="C236" s="8" t="s">
        <v>17</v>
      </c>
      <c r="D236" s="8"/>
      <c r="E236" s="8" t="s">
        <v>622</v>
      </c>
      <c r="F236" s="8" t="s">
        <v>19</v>
      </c>
      <c r="G236" s="8" t="s">
        <v>17</v>
      </c>
      <c r="H236" s="8" t="s">
        <v>17</v>
      </c>
      <c r="I236" s="8" t="s">
        <v>17</v>
      </c>
      <c r="J236" s="8" t="s">
        <v>623</v>
      </c>
    </row>
    <row r="237" spans="1:10" x14ac:dyDescent="0.25" outlineLevel="4" collapsed="1">
      <c r="A237" s="7" t="s">
        <v>15</v>
      </c>
      <c r="B237" s="7" t="s">
        <v>16</v>
      </c>
      <c r="C237" s="7" t="s">
        <v>17</v>
      </c>
      <c r="D237" s="7"/>
      <c r="E237" s="7" t="s">
        <v>492</v>
      </c>
      <c r="F237" s="7" t="s">
        <v>19</v>
      </c>
      <c r="G237" s="7" t="s">
        <v>493</v>
      </c>
      <c r="H237" s="7" t="s">
        <v>17</v>
      </c>
      <c r="I237" s="7" t="s">
        <v>17</v>
      </c>
      <c r="J237" s="7" t="s">
        <v>494</v>
      </c>
    </row>
    <row r="238" spans="1:10" x14ac:dyDescent="0.25" outlineLevel="4" collapsed="1">
      <c r="A238" s="7" t="s">
        <v>15</v>
      </c>
      <c r="B238" s="7" t="s">
        <v>16</v>
      </c>
      <c r="C238" s="7" t="s">
        <v>17</v>
      </c>
      <c r="D238" s="7"/>
      <c r="E238" s="7" t="s">
        <v>495</v>
      </c>
      <c r="F238" s="7" t="s">
        <v>19</v>
      </c>
      <c r="G238" s="7" t="s">
        <v>496</v>
      </c>
      <c r="H238" s="7" t="s">
        <v>17</v>
      </c>
      <c r="I238" s="7" t="s">
        <v>17</v>
      </c>
      <c r="J238" s="7" t="s">
        <v>497</v>
      </c>
    </row>
    <row r="239" spans="1:10" x14ac:dyDescent="0.25" outlineLevel="3" collapsed="1">
      <c r="A239" s="8" t="s">
        <v>15</v>
      </c>
      <c r="B239" s="9" t="s">
        <v>624</v>
      </c>
      <c r="C239" s="8" t="s">
        <v>17</v>
      </c>
      <c r="D239" s="8"/>
      <c r="E239" s="8" t="s">
        <v>625</v>
      </c>
      <c r="F239" s="8" t="s">
        <v>19</v>
      </c>
      <c r="G239" s="8" t="s">
        <v>17</v>
      </c>
      <c r="H239" s="8" t="s">
        <v>17</v>
      </c>
      <c r="I239" s="8" t="s">
        <v>17</v>
      </c>
      <c r="J239" s="8" t="s">
        <v>626</v>
      </c>
    </row>
    <row r="240" spans="1:10" x14ac:dyDescent="0.25" outlineLevel="4" collapsed="1">
      <c r="A240" s="7" t="s">
        <v>15</v>
      </c>
      <c r="B240" s="7" t="s">
        <v>16</v>
      </c>
      <c r="C240" s="7" t="s">
        <v>17</v>
      </c>
      <c r="D240" s="7"/>
      <c r="E240" s="7" t="s">
        <v>492</v>
      </c>
      <c r="F240" s="7" t="s">
        <v>19</v>
      </c>
      <c r="G240" s="7" t="s">
        <v>493</v>
      </c>
      <c r="H240" s="7" t="s">
        <v>17</v>
      </c>
      <c r="I240" s="7" t="s">
        <v>17</v>
      </c>
      <c r="J240" s="7" t="s">
        <v>494</v>
      </c>
    </row>
    <row r="241" spans="1:10" x14ac:dyDescent="0.25" outlineLevel="4" collapsed="1">
      <c r="A241" s="7" t="s">
        <v>15</v>
      </c>
      <c r="B241" s="7" t="s">
        <v>16</v>
      </c>
      <c r="C241" s="7" t="s">
        <v>17</v>
      </c>
      <c r="D241" s="7"/>
      <c r="E241" s="7" t="s">
        <v>495</v>
      </c>
      <c r="F241" s="7" t="s">
        <v>19</v>
      </c>
      <c r="G241" s="7" t="s">
        <v>496</v>
      </c>
      <c r="H241" s="7" t="s">
        <v>17</v>
      </c>
      <c r="I241" s="7" t="s">
        <v>17</v>
      </c>
      <c r="J241" s="7" t="s">
        <v>497</v>
      </c>
    </row>
    <row r="242" spans="1:10" x14ac:dyDescent="0.25" outlineLevel="2" collapsed="1">
      <c r="A242" s="8" t="s">
        <v>19</v>
      </c>
      <c r="B242" s="9" t="s">
        <v>627</v>
      </c>
      <c r="C242" s="8" t="s">
        <v>17</v>
      </c>
      <c r="D242" s="8"/>
      <c r="E242" s="8" t="s">
        <v>628</v>
      </c>
      <c r="F242" s="8" t="s">
        <v>19</v>
      </c>
      <c r="G242" s="8" t="s">
        <v>17</v>
      </c>
      <c r="H242" s="8" t="s">
        <v>17</v>
      </c>
      <c r="I242" s="8" t="s">
        <v>17</v>
      </c>
      <c r="J242" s="8" t="s">
        <v>626</v>
      </c>
    </row>
    <row r="243" spans="1:10" x14ac:dyDescent="0.25" outlineLevel="3" collapsed="1">
      <c r="A243" s="7" t="s">
        <v>19</v>
      </c>
      <c r="B243" s="7" t="s">
        <v>16</v>
      </c>
      <c r="C243" s="7" t="s">
        <v>17</v>
      </c>
      <c r="D243" s="7"/>
      <c r="E243" s="7" t="s">
        <v>500</v>
      </c>
      <c r="F243" s="7" t="s">
        <v>19</v>
      </c>
      <c r="G243" s="7" t="s">
        <v>31</v>
      </c>
      <c r="H243" s="7" t="s">
        <v>17</v>
      </c>
      <c r="I243" s="7" t="s">
        <v>17</v>
      </c>
      <c r="J243" s="7" t="s">
        <v>494</v>
      </c>
    </row>
    <row r="244" spans="1:10" x14ac:dyDescent="0.25" outlineLevel="3" collapsed="1">
      <c r="A244" s="7" t="s">
        <v>19</v>
      </c>
      <c r="B244" s="7" t="s">
        <v>16</v>
      </c>
      <c r="C244" s="7" t="s">
        <v>17</v>
      </c>
      <c r="D244" s="7"/>
      <c r="E244" s="7" t="s">
        <v>501</v>
      </c>
      <c r="F244" s="7" t="s">
        <v>19</v>
      </c>
      <c r="G244" s="7" t="s">
        <v>31</v>
      </c>
      <c r="H244" s="7" t="s">
        <v>17</v>
      </c>
      <c r="I244" s="7" t="s">
        <v>17</v>
      </c>
      <c r="J244" s="7" t="s">
        <v>497</v>
      </c>
    </row>
    <row r="245" spans="1:10" x14ac:dyDescent="0.25" outlineLevel="3" collapsed="1">
      <c r="A245" s="8" t="s">
        <v>19</v>
      </c>
      <c r="B245" s="9" t="s">
        <v>502</v>
      </c>
      <c r="C245" s="8" t="s">
        <v>17</v>
      </c>
      <c r="D245" s="8"/>
      <c r="E245" s="8" t="s">
        <v>503</v>
      </c>
      <c r="F245" s="8" t="s">
        <v>15</v>
      </c>
      <c r="G245" s="8" t="s">
        <v>17</v>
      </c>
      <c r="H245" s="8" t="s">
        <v>17</v>
      </c>
      <c r="I245" s="8" t="s">
        <v>17</v>
      </c>
      <c r="J245" s="8" t="s">
        <v>504</v>
      </c>
    </row>
    <row r="246" spans="1:10" x14ac:dyDescent="0.25" outlineLevel="4" collapsed="1">
      <c r="A246" s="7" t="s">
        <v>19</v>
      </c>
      <c r="B246" s="7" t="s">
        <v>16</v>
      </c>
      <c r="C246" s="7" t="s">
        <v>17</v>
      </c>
      <c r="D246" s="7"/>
      <c r="E246" s="7" t="s">
        <v>505</v>
      </c>
      <c r="F246" s="7" t="s">
        <v>19</v>
      </c>
      <c r="G246" s="7" t="s">
        <v>31</v>
      </c>
      <c r="H246" s="7" t="s">
        <v>17</v>
      </c>
      <c r="I246" s="7" t="s">
        <v>17</v>
      </c>
      <c r="J246" s="7" t="s">
        <v>506</v>
      </c>
    </row>
    <row r="247" spans="1:10" x14ac:dyDescent="0.25" outlineLevel="4" collapsed="1">
      <c r="A247" s="7" t="s">
        <v>19</v>
      </c>
      <c r="B247" s="7" t="s">
        <v>16</v>
      </c>
      <c r="C247" s="7" t="s">
        <v>17</v>
      </c>
      <c r="D247" s="7"/>
      <c r="E247" s="7" t="s">
        <v>501</v>
      </c>
      <c r="F247" s="7" t="s">
        <v>19</v>
      </c>
      <c r="G247" s="7" t="s">
        <v>31</v>
      </c>
      <c r="H247" s="7" t="s">
        <v>17</v>
      </c>
      <c r="I247" s="7" t="s">
        <v>17</v>
      </c>
      <c r="J247" s="7" t="s">
        <v>497</v>
      </c>
    </row>
    <row r="248" spans="1:10" x14ac:dyDescent="0.25" outlineLevel="1" collapsed="1">
      <c r="A248" s="8" t="s">
        <v>15</v>
      </c>
      <c r="B248" s="9" t="s">
        <v>629</v>
      </c>
      <c r="C248" s="8" t="s">
        <v>17</v>
      </c>
      <c r="D248" s="8"/>
      <c r="E248" s="8" t="s">
        <v>630</v>
      </c>
      <c r="F248" s="8" t="s">
        <v>19</v>
      </c>
      <c r="G248" s="8" t="s">
        <v>17</v>
      </c>
      <c r="H248" s="8" t="s">
        <v>17</v>
      </c>
      <c r="I248" s="8" t="s">
        <v>17</v>
      </c>
      <c r="J248" s="8" t="s">
        <v>631</v>
      </c>
    </row>
    <row r="249" spans="1:10" x14ac:dyDescent="0.25" outlineLevel="2" collapsed="1">
      <c r="A249" s="8" t="s">
        <v>19</v>
      </c>
      <c r="B249" s="9" t="s">
        <v>632</v>
      </c>
      <c r="C249" s="8" t="s">
        <v>17</v>
      </c>
      <c r="D249" s="8"/>
      <c r="E249" s="8" t="s">
        <v>633</v>
      </c>
      <c r="F249" s="8" t="s">
        <v>15</v>
      </c>
      <c r="G249" s="8" t="s">
        <v>17</v>
      </c>
      <c r="H249" s="8" t="s">
        <v>17</v>
      </c>
      <c r="I249" s="8" t="s">
        <v>17</v>
      </c>
      <c r="J249" s="8" t="s">
        <v>634</v>
      </c>
    </row>
    <row r="250" spans="1:10" x14ac:dyDescent="0.25" outlineLevel="3" collapsed="1">
      <c r="A250" s="7" t="s">
        <v>15</v>
      </c>
      <c r="B250" s="7" t="s">
        <v>16</v>
      </c>
      <c r="C250" s="7" t="s">
        <v>17</v>
      </c>
      <c r="D250" s="7"/>
      <c r="E250" s="7" t="s">
        <v>635</v>
      </c>
      <c r="F250" s="7" t="s">
        <v>19</v>
      </c>
      <c r="G250" s="7" t="s">
        <v>636</v>
      </c>
      <c r="H250" s="7" t="s">
        <v>17</v>
      </c>
      <c r="I250" s="7" t="s">
        <v>17</v>
      </c>
      <c r="J250" s="7" t="s">
        <v>637</v>
      </c>
    </row>
    <row r="251" spans="1:10" x14ac:dyDescent="0.25" outlineLevel="3" collapsed="1">
      <c r="A251" s="7" t="s">
        <v>15</v>
      </c>
      <c r="B251" s="7" t="s">
        <v>16</v>
      </c>
      <c r="C251" s="7" t="s">
        <v>17</v>
      </c>
      <c r="D251" s="7"/>
      <c r="E251" s="7" t="s">
        <v>638</v>
      </c>
      <c r="F251" s="7" t="s">
        <v>19</v>
      </c>
      <c r="G251" s="7" t="s">
        <v>639</v>
      </c>
      <c r="H251" s="7" t="s">
        <v>17</v>
      </c>
      <c r="I251" s="7" t="s">
        <v>17</v>
      </c>
      <c r="J251" s="7" t="s">
        <v>640</v>
      </c>
    </row>
    <row r="252" spans="1:10" x14ac:dyDescent="0.25" outlineLevel="3" collapsed="1">
      <c r="A252" s="7" t="s">
        <v>15</v>
      </c>
      <c r="B252" s="7" t="s">
        <v>16</v>
      </c>
      <c r="C252" s="7" t="s">
        <v>17</v>
      </c>
      <c r="D252" s="7"/>
      <c r="E252" s="7" t="s">
        <v>641</v>
      </c>
      <c r="F252" s="7" t="s">
        <v>19</v>
      </c>
      <c r="G252" s="7" t="s">
        <v>642</v>
      </c>
      <c r="H252" s="7" t="s">
        <v>17</v>
      </c>
      <c r="I252" s="7" t="s">
        <v>17</v>
      </c>
      <c r="J252" s="7" t="s">
        <v>497</v>
      </c>
    </row>
    <row r="253" spans="1:10" x14ac:dyDescent="0.25" outlineLevel="3" collapsed="1">
      <c r="A253" s="7" t="s">
        <v>15</v>
      </c>
      <c r="B253" s="7" t="s">
        <v>16</v>
      </c>
      <c r="C253" s="7" t="s">
        <v>17</v>
      </c>
      <c r="D253" s="7"/>
      <c r="E253" s="7" t="s">
        <v>643</v>
      </c>
      <c r="F253" s="7" t="s">
        <v>19</v>
      </c>
      <c r="G253" s="7" t="s">
        <v>644</v>
      </c>
      <c r="H253" s="7" t="s">
        <v>17</v>
      </c>
      <c r="I253" s="7" t="s">
        <v>17</v>
      </c>
      <c r="J253" s="7" t="s">
        <v>494</v>
      </c>
    </row>
    <row r="254" spans="1:10" x14ac:dyDescent="0.25" outlineLevel="2" collapsed="1">
      <c r="A254" s="8" t="s">
        <v>15</v>
      </c>
      <c r="B254" s="9" t="s">
        <v>645</v>
      </c>
      <c r="C254" s="8" t="s">
        <v>17</v>
      </c>
      <c r="D254" s="8"/>
      <c r="E254" s="8" t="s">
        <v>645</v>
      </c>
      <c r="F254" s="8" t="s">
        <v>19</v>
      </c>
      <c r="G254" s="8" t="s">
        <v>17</v>
      </c>
      <c r="H254" s="8" t="s">
        <v>17</v>
      </c>
      <c r="I254" s="8" t="s">
        <v>17</v>
      </c>
      <c r="J254" s="8" t="s">
        <v>126</v>
      </c>
    </row>
    <row r="255" spans="1:10" x14ac:dyDescent="0.25" outlineLevel="3" collapsed="1">
      <c r="A255" s="7" t="s">
        <v>15</v>
      </c>
      <c r="B255" s="7" t="s">
        <v>16</v>
      </c>
      <c r="C255" s="7" t="s">
        <v>17</v>
      </c>
      <c r="D255" s="7"/>
      <c r="E255" s="7" t="s">
        <v>492</v>
      </c>
      <c r="F255" s="7" t="s">
        <v>19</v>
      </c>
      <c r="G255" s="7" t="s">
        <v>493</v>
      </c>
      <c r="H255" s="7" t="s">
        <v>17</v>
      </c>
      <c r="I255" s="7" t="s">
        <v>17</v>
      </c>
      <c r="J255" s="7" t="s">
        <v>494</v>
      </c>
    </row>
    <row r="256" spans="1:10" x14ac:dyDescent="0.25" outlineLevel="3" collapsed="1">
      <c r="A256" s="7" t="s">
        <v>15</v>
      </c>
      <c r="B256" s="7" t="s">
        <v>16</v>
      </c>
      <c r="C256" s="7" t="s">
        <v>17</v>
      </c>
      <c r="D256" s="7"/>
      <c r="E256" s="7" t="s">
        <v>495</v>
      </c>
      <c r="F256" s="7" t="s">
        <v>19</v>
      </c>
      <c r="G256" s="7" t="s">
        <v>496</v>
      </c>
      <c r="H256" s="7" t="s">
        <v>17</v>
      </c>
      <c r="I256" s="7" t="s">
        <v>17</v>
      </c>
      <c r="J256" s="7" t="s">
        <v>497</v>
      </c>
    </row>
    <row r="257" spans="1:10" x14ac:dyDescent="0.25" outlineLevel="3" collapsed="1">
      <c r="A257" s="8" t="s">
        <v>19</v>
      </c>
      <c r="B257" s="9" t="s">
        <v>502</v>
      </c>
      <c r="C257" s="8" t="s">
        <v>17</v>
      </c>
      <c r="D257" s="8"/>
      <c r="E257" s="8" t="s">
        <v>503</v>
      </c>
      <c r="F257" s="8" t="s">
        <v>15</v>
      </c>
      <c r="G257" s="8" t="s">
        <v>17</v>
      </c>
      <c r="H257" s="8" t="s">
        <v>17</v>
      </c>
      <c r="I257" s="8" t="s">
        <v>17</v>
      </c>
      <c r="J257" s="8" t="s">
        <v>504</v>
      </c>
    </row>
    <row r="258" spans="1:10" x14ac:dyDescent="0.25" outlineLevel="4" collapsed="1">
      <c r="A258" s="7" t="s">
        <v>19</v>
      </c>
      <c r="B258" s="7" t="s">
        <v>16</v>
      </c>
      <c r="C258" s="7" t="s">
        <v>17</v>
      </c>
      <c r="D258" s="7"/>
      <c r="E258" s="7" t="s">
        <v>505</v>
      </c>
      <c r="F258" s="7" t="s">
        <v>19</v>
      </c>
      <c r="G258" s="7" t="s">
        <v>31</v>
      </c>
      <c r="H258" s="7" t="s">
        <v>17</v>
      </c>
      <c r="I258" s="7" t="s">
        <v>17</v>
      </c>
      <c r="J258" s="7" t="s">
        <v>506</v>
      </c>
    </row>
    <row r="259" spans="1:10" x14ac:dyDescent="0.25" outlineLevel="4" collapsed="1">
      <c r="A259" s="7" t="s">
        <v>19</v>
      </c>
      <c r="B259" s="7" t="s">
        <v>16</v>
      </c>
      <c r="C259" s="7" t="s">
        <v>17</v>
      </c>
      <c r="D259" s="7"/>
      <c r="E259" s="7" t="s">
        <v>501</v>
      </c>
      <c r="F259" s="7" t="s">
        <v>19</v>
      </c>
      <c r="G259" s="7" t="s">
        <v>31</v>
      </c>
      <c r="H259" s="7" t="s">
        <v>17</v>
      </c>
      <c r="I259" s="7" t="s">
        <v>17</v>
      </c>
      <c r="J259" s="7" t="s">
        <v>497</v>
      </c>
    </row>
    <row r="260" spans="1:10" x14ac:dyDescent="0.25">
      <c r="A260" s="5" t="s">
        <v>15</v>
      </c>
      <c r="B260" s="6" t="s">
        <v>646</v>
      </c>
      <c r="C260" s="5" t="s">
        <v>17</v>
      </c>
      <c r="D260" s="5"/>
      <c r="E260" s="5" t="s">
        <v>647</v>
      </c>
      <c r="F260" s="5" t="s">
        <v>19</v>
      </c>
      <c r="G260" s="5" t="s">
        <v>17</v>
      </c>
      <c r="H260" s="5" t="s">
        <v>17</v>
      </c>
      <c r="I260" s="5" t="s">
        <v>17</v>
      </c>
      <c r="J260" s="5" t="s">
        <v>648</v>
      </c>
    </row>
    <row r="261" spans="1:10" x14ac:dyDescent="0.25" outlineLevel="1" collapsed="1">
      <c r="A261" s="8" t="s">
        <v>19</v>
      </c>
      <c r="B261" s="9" t="s">
        <v>649</v>
      </c>
      <c r="C261" s="8" t="s">
        <v>17</v>
      </c>
      <c r="D261" s="8"/>
      <c r="E261" s="8" t="s">
        <v>650</v>
      </c>
      <c r="F261" s="8" t="s">
        <v>15</v>
      </c>
      <c r="G261" s="8" t="s">
        <v>17</v>
      </c>
      <c r="H261" s="8" t="s">
        <v>17</v>
      </c>
      <c r="I261" s="8" t="s">
        <v>17</v>
      </c>
      <c r="J261" s="8" t="s">
        <v>651</v>
      </c>
    </row>
    <row r="262" spans="1:10" x14ac:dyDescent="0.25" outlineLevel="2" collapsed="1">
      <c r="A262" s="7" t="s">
        <v>15</v>
      </c>
      <c r="B262" s="7" t="s">
        <v>16</v>
      </c>
      <c r="C262" s="7" t="s">
        <v>17</v>
      </c>
      <c r="D262" s="7"/>
      <c r="E262" s="7" t="s">
        <v>652</v>
      </c>
      <c r="F262" s="7" t="s">
        <v>19</v>
      </c>
      <c r="G262" s="7" t="s">
        <v>653</v>
      </c>
      <c r="H262" s="7" t="s">
        <v>17</v>
      </c>
      <c r="I262" s="7" t="s">
        <v>17</v>
      </c>
      <c r="J262" s="7" t="s">
        <v>654</v>
      </c>
    </row>
    <row r="263" spans="1:10" x14ac:dyDescent="0.25" outlineLevel="2" collapsed="1">
      <c r="A263" s="7" t="s">
        <v>15</v>
      </c>
      <c r="B263" s="7" t="s">
        <v>16</v>
      </c>
      <c r="C263" s="7" t="s">
        <v>17</v>
      </c>
      <c r="D263" s="7"/>
      <c r="E263" s="7" t="s">
        <v>655</v>
      </c>
      <c r="F263" s="7" t="s">
        <v>19</v>
      </c>
      <c r="G263" s="7" t="s">
        <v>656</v>
      </c>
      <c r="H263" s="7" t="s">
        <v>17</v>
      </c>
      <c r="I263" s="7" t="s">
        <v>17</v>
      </c>
      <c r="J263" s="7" t="s">
        <v>657</v>
      </c>
    </row>
    <row r="264" spans="1:10" x14ac:dyDescent="0.25" outlineLevel="1" collapsed="1">
      <c r="A264" s="8" t="s">
        <v>19</v>
      </c>
      <c r="B264" s="9" t="s">
        <v>649</v>
      </c>
      <c r="C264" s="8" t="s">
        <v>17</v>
      </c>
      <c r="D264" s="8"/>
      <c r="E264" s="8" t="s">
        <v>658</v>
      </c>
      <c r="F264" s="8" t="s">
        <v>15</v>
      </c>
      <c r="G264" s="8" t="s">
        <v>17</v>
      </c>
      <c r="H264" s="8" t="s">
        <v>17</v>
      </c>
      <c r="I264" s="8" t="s">
        <v>17</v>
      </c>
      <c r="J264" s="8" t="s">
        <v>659</v>
      </c>
    </row>
    <row r="265" spans="1:10" x14ac:dyDescent="0.25" outlineLevel="2" collapsed="1">
      <c r="A265" s="7" t="s">
        <v>15</v>
      </c>
      <c r="B265" s="7" t="s">
        <v>16</v>
      </c>
      <c r="C265" s="7" t="s">
        <v>17</v>
      </c>
      <c r="D265" s="7"/>
      <c r="E265" s="7" t="s">
        <v>652</v>
      </c>
      <c r="F265" s="7" t="s">
        <v>19</v>
      </c>
      <c r="G265" s="7" t="s">
        <v>653</v>
      </c>
      <c r="H265" s="7" t="s">
        <v>17</v>
      </c>
      <c r="I265" s="7" t="s">
        <v>17</v>
      </c>
      <c r="J265" s="7" t="s">
        <v>654</v>
      </c>
    </row>
    <row r="266" spans="1:10" x14ac:dyDescent="0.25" outlineLevel="2" collapsed="1">
      <c r="A266" s="7" t="s">
        <v>15</v>
      </c>
      <c r="B266" s="7" t="s">
        <v>16</v>
      </c>
      <c r="C266" s="7" t="s">
        <v>17</v>
      </c>
      <c r="D266" s="7"/>
      <c r="E266" s="7" t="s">
        <v>655</v>
      </c>
      <c r="F266" s="7" t="s">
        <v>19</v>
      </c>
      <c r="G266" s="7" t="s">
        <v>656</v>
      </c>
      <c r="H266" s="7" t="s">
        <v>17</v>
      </c>
      <c r="I266" s="7" t="s">
        <v>17</v>
      </c>
      <c r="J266" s="7" t="s">
        <v>657</v>
      </c>
    </row>
    <row r="267" spans="1:10" x14ac:dyDescent="0.25">
      <c r="A267" s="5" t="s">
        <v>15</v>
      </c>
      <c r="B267" s="6" t="s">
        <v>660</v>
      </c>
      <c r="C267" s="5" t="s">
        <v>17</v>
      </c>
      <c r="D267" s="5"/>
      <c r="E267" s="5" t="s">
        <v>661</v>
      </c>
      <c r="F267" s="5" t="s">
        <v>19</v>
      </c>
      <c r="G267" s="5" t="s">
        <v>17</v>
      </c>
      <c r="H267" s="5" t="s">
        <v>17</v>
      </c>
      <c r="I267" s="5" t="s">
        <v>17</v>
      </c>
      <c r="J267" s="5" t="s">
        <v>662</v>
      </c>
    </row>
    <row r="268" spans="1:10" x14ac:dyDescent="0.25" outlineLevel="1" collapsed="1">
      <c r="A268" s="8" t="s">
        <v>19</v>
      </c>
      <c r="B268" s="9" t="s">
        <v>649</v>
      </c>
      <c r="C268" s="8" t="s">
        <v>17</v>
      </c>
      <c r="D268" s="8"/>
      <c r="E268" s="8" t="s">
        <v>663</v>
      </c>
      <c r="F268" s="8" t="s">
        <v>15</v>
      </c>
      <c r="G268" s="8" t="s">
        <v>17</v>
      </c>
      <c r="H268" s="8" t="s">
        <v>17</v>
      </c>
      <c r="I268" s="8" t="s">
        <v>17</v>
      </c>
      <c r="J268" s="8" t="s">
        <v>664</v>
      </c>
    </row>
    <row r="269" spans="1:10" x14ac:dyDescent="0.25" outlineLevel="2" collapsed="1">
      <c r="A269" s="7" t="s">
        <v>15</v>
      </c>
      <c r="B269" s="7" t="s">
        <v>16</v>
      </c>
      <c r="C269" s="7" t="s">
        <v>17</v>
      </c>
      <c r="D269" s="7"/>
      <c r="E269" s="7" t="s">
        <v>652</v>
      </c>
      <c r="F269" s="7" t="s">
        <v>19</v>
      </c>
      <c r="G269" s="7" t="s">
        <v>653</v>
      </c>
      <c r="H269" s="7" t="s">
        <v>17</v>
      </c>
      <c r="I269" s="7" t="s">
        <v>17</v>
      </c>
      <c r="J269" s="7" t="s">
        <v>654</v>
      </c>
    </row>
    <row r="270" spans="1:10" x14ac:dyDescent="0.25" outlineLevel="2" collapsed="1">
      <c r="A270" s="7" t="s">
        <v>15</v>
      </c>
      <c r="B270" s="7" t="s">
        <v>16</v>
      </c>
      <c r="C270" s="7" t="s">
        <v>17</v>
      </c>
      <c r="D270" s="7"/>
      <c r="E270" s="7" t="s">
        <v>655</v>
      </c>
      <c r="F270" s="7" t="s">
        <v>19</v>
      </c>
      <c r="G270" s="7" t="s">
        <v>656</v>
      </c>
      <c r="H270" s="7" t="s">
        <v>17</v>
      </c>
      <c r="I270" s="7" t="s">
        <v>17</v>
      </c>
      <c r="J270" s="7" t="s">
        <v>657</v>
      </c>
    </row>
    <row r="271" spans="1:10" x14ac:dyDescent="0.25" outlineLevel="1" collapsed="1">
      <c r="A271" s="8" t="s">
        <v>19</v>
      </c>
      <c r="B271" s="9" t="s">
        <v>649</v>
      </c>
      <c r="C271" s="8" t="s">
        <v>17</v>
      </c>
      <c r="D271" s="8"/>
      <c r="E271" s="8" t="s">
        <v>665</v>
      </c>
      <c r="F271" s="8" t="s">
        <v>15</v>
      </c>
      <c r="G271" s="8" t="s">
        <v>17</v>
      </c>
      <c r="H271" s="8" t="s">
        <v>17</v>
      </c>
      <c r="I271" s="8" t="s">
        <v>17</v>
      </c>
      <c r="J271" s="8" t="s">
        <v>666</v>
      </c>
    </row>
    <row r="272" spans="1:10" x14ac:dyDescent="0.25" outlineLevel="2" collapsed="1">
      <c r="A272" s="7" t="s">
        <v>15</v>
      </c>
      <c r="B272" s="7" t="s">
        <v>16</v>
      </c>
      <c r="C272" s="7" t="s">
        <v>17</v>
      </c>
      <c r="D272" s="7"/>
      <c r="E272" s="7" t="s">
        <v>652</v>
      </c>
      <c r="F272" s="7" t="s">
        <v>19</v>
      </c>
      <c r="G272" s="7" t="s">
        <v>653</v>
      </c>
      <c r="H272" s="7" t="s">
        <v>17</v>
      </c>
      <c r="I272" s="7" t="s">
        <v>17</v>
      </c>
      <c r="J272" s="7" t="s">
        <v>654</v>
      </c>
    </row>
    <row r="273" spans="1:10" x14ac:dyDescent="0.25" outlineLevel="2" collapsed="1">
      <c r="A273" s="7" t="s">
        <v>15</v>
      </c>
      <c r="B273" s="7" t="s">
        <v>16</v>
      </c>
      <c r="C273" s="7" t="s">
        <v>17</v>
      </c>
      <c r="D273" s="7"/>
      <c r="E273" s="7" t="s">
        <v>655</v>
      </c>
      <c r="F273" s="7" t="s">
        <v>19</v>
      </c>
      <c r="G273" s="7" t="s">
        <v>656</v>
      </c>
      <c r="H273" s="7" t="s">
        <v>17</v>
      </c>
      <c r="I273" s="7" t="s">
        <v>17</v>
      </c>
      <c r="J273" s="7" t="s">
        <v>657</v>
      </c>
    </row>
    <row r="274" spans="1:10" x14ac:dyDescent="0.25" outlineLevel="1" collapsed="1">
      <c r="A274" s="8" t="s">
        <v>19</v>
      </c>
      <c r="B274" s="9" t="s">
        <v>649</v>
      </c>
      <c r="C274" s="8" t="s">
        <v>17</v>
      </c>
      <c r="D274" s="8"/>
      <c r="E274" s="8" t="s">
        <v>667</v>
      </c>
      <c r="F274" s="8" t="s">
        <v>15</v>
      </c>
      <c r="G274" s="8" t="s">
        <v>17</v>
      </c>
      <c r="H274" s="8" t="s">
        <v>17</v>
      </c>
      <c r="I274" s="8" t="s">
        <v>17</v>
      </c>
      <c r="J274" s="8" t="s">
        <v>668</v>
      </c>
    </row>
    <row r="275" spans="1:10" x14ac:dyDescent="0.25" outlineLevel="2" collapsed="1">
      <c r="A275" s="7" t="s">
        <v>15</v>
      </c>
      <c r="B275" s="7" t="s">
        <v>16</v>
      </c>
      <c r="C275" s="7" t="s">
        <v>17</v>
      </c>
      <c r="D275" s="7"/>
      <c r="E275" s="7" t="s">
        <v>652</v>
      </c>
      <c r="F275" s="7" t="s">
        <v>19</v>
      </c>
      <c r="G275" s="7" t="s">
        <v>653</v>
      </c>
      <c r="H275" s="7" t="s">
        <v>17</v>
      </c>
      <c r="I275" s="7" t="s">
        <v>17</v>
      </c>
      <c r="J275" s="7" t="s">
        <v>654</v>
      </c>
    </row>
    <row r="276" spans="1:10" x14ac:dyDescent="0.25" outlineLevel="2" collapsed="1">
      <c r="A276" s="7" t="s">
        <v>15</v>
      </c>
      <c r="B276" s="7" t="s">
        <v>16</v>
      </c>
      <c r="C276" s="7" t="s">
        <v>17</v>
      </c>
      <c r="D276" s="7"/>
      <c r="E276" s="7" t="s">
        <v>655</v>
      </c>
      <c r="F276" s="7" t="s">
        <v>19</v>
      </c>
      <c r="G276" s="7" t="s">
        <v>656</v>
      </c>
      <c r="H276" s="7" t="s">
        <v>17</v>
      </c>
      <c r="I276" s="7" t="s">
        <v>17</v>
      </c>
      <c r="J276" s="7" t="s">
        <v>657</v>
      </c>
    </row>
    <row r="277" spans="1:10" x14ac:dyDescent="0.25" outlineLevel="1" collapsed="1">
      <c r="A277" s="8" t="s">
        <v>19</v>
      </c>
      <c r="B277" s="9" t="s">
        <v>649</v>
      </c>
      <c r="C277" s="8" t="s">
        <v>17</v>
      </c>
      <c r="D277" s="8"/>
      <c r="E277" s="8" t="s">
        <v>669</v>
      </c>
      <c r="F277" s="8" t="s">
        <v>15</v>
      </c>
      <c r="G277" s="8" t="s">
        <v>17</v>
      </c>
      <c r="H277" s="8" t="s">
        <v>17</v>
      </c>
      <c r="I277" s="8" t="s">
        <v>17</v>
      </c>
      <c r="J277" s="8" t="s">
        <v>670</v>
      </c>
    </row>
    <row r="278" spans="1:10" x14ac:dyDescent="0.25" outlineLevel="2" collapsed="1">
      <c r="A278" s="7" t="s">
        <v>15</v>
      </c>
      <c r="B278" s="7" t="s">
        <v>16</v>
      </c>
      <c r="C278" s="7" t="s">
        <v>17</v>
      </c>
      <c r="D278" s="7"/>
      <c r="E278" s="7" t="s">
        <v>652</v>
      </c>
      <c r="F278" s="7" t="s">
        <v>19</v>
      </c>
      <c r="G278" s="7" t="s">
        <v>653</v>
      </c>
      <c r="H278" s="7" t="s">
        <v>17</v>
      </c>
      <c r="I278" s="7" t="s">
        <v>17</v>
      </c>
      <c r="J278" s="7" t="s">
        <v>654</v>
      </c>
    </row>
    <row r="279" spans="1:10" x14ac:dyDescent="0.25" outlineLevel="2" collapsed="1">
      <c r="A279" s="7" t="s">
        <v>15</v>
      </c>
      <c r="B279" s="7" t="s">
        <v>16</v>
      </c>
      <c r="C279" s="7" t="s">
        <v>17</v>
      </c>
      <c r="D279" s="7"/>
      <c r="E279" s="7" t="s">
        <v>655</v>
      </c>
      <c r="F279" s="7" t="s">
        <v>19</v>
      </c>
      <c r="G279" s="7" t="s">
        <v>656</v>
      </c>
      <c r="H279" s="7" t="s">
        <v>17</v>
      </c>
      <c r="I279" s="7" t="s">
        <v>17</v>
      </c>
      <c r="J279" s="7" t="s">
        <v>657</v>
      </c>
    </row>
    <row r="280" spans="1:10" x14ac:dyDescent="0.25" outlineLevel="1" collapsed="1">
      <c r="A280" s="8" t="s">
        <v>19</v>
      </c>
      <c r="B280" s="9" t="s">
        <v>649</v>
      </c>
      <c r="C280" s="8" t="s">
        <v>17</v>
      </c>
      <c r="D280" s="8"/>
      <c r="E280" s="8" t="s">
        <v>671</v>
      </c>
      <c r="F280" s="8" t="s">
        <v>15</v>
      </c>
      <c r="G280" s="8" t="s">
        <v>17</v>
      </c>
      <c r="H280" s="8" t="s">
        <v>17</v>
      </c>
      <c r="I280" s="8" t="s">
        <v>17</v>
      </c>
      <c r="J280" s="8" t="s">
        <v>170</v>
      </c>
    </row>
    <row r="281" spans="1:10" x14ac:dyDescent="0.25" outlineLevel="2" collapsed="1">
      <c r="A281" s="7" t="s">
        <v>15</v>
      </c>
      <c r="B281" s="7" t="s">
        <v>16</v>
      </c>
      <c r="C281" s="7" t="s">
        <v>17</v>
      </c>
      <c r="D281" s="7"/>
      <c r="E281" s="7" t="s">
        <v>652</v>
      </c>
      <c r="F281" s="7" t="s">
        <v>19</v>
      </c>
      <c r="G281" s="7" t="s">
        <v>653</v>
      </c>
      <c r="H281" s="7" t="s">
        <v>17</v>
      </c>
      <c r="I281" s="7" t="s">
        <v>17</v>
      </c>
      <c r="J281" s="7" t="s">
        <v>654</v>
      </c>
    </row>
    <row r="282" spans="1:10" x14ac:dyDescent="0.25" outlineLevel="2" collapsed="1">
      <c r="A282" s="7" t="s">
        <v>15</v>
      </c>
      <c r="B282" s="7" t="s">
        <v>16</v>
      </c>
      <c r="C282" s="7" t="s">
        <v>17</v>
      </c>
      <c r="D282" s="7"/>
      <c r="E282" s="7" t="s">
        <v>655</v>
      </c>
      <c r="F282" s="7" t="s">
        <v>19</v>
      </c>
      <c r="G282" s="7" t="s">
        <v>656</v>
      </c>
      <c r="H282" s="7" t="s">
        <v>17</v>
      </c>
      <c r="I282" s="7" t="s">
        <v>17</v>
      </c>
      <c r="J282" s="7" t="s">
        <v>657</v>
      </c>
    </row>
    <row r="283" spans="1:10" x14ac:dyDescent="0.25" outlineLevel="1" collapsed="1">
      <c r="A283" s="8" t="s">
        <v>19</v>
      </c>
      <c r="B283" s="9" t="s">
        <v>649</v>
      </c>
      <c r="C283" s="8" t="s">
        <v>17</v>
      </c>
      <c r="D283" s="8"/>
      <c r="E283" s="8" t="s">
        <v>672</v>
      </c>
      <c r="F283" s="8" t="s">
        <v>15</v>
      </c>
      <c r="G283" s="8" t="s">
        <v>17</v>
      </c>
      <c r="H283" s="8" t="s">
        <v>17</v>
      </c>
      <c r="I283" s="8" t="s">
        <v>17</v>
      </c>
      <c r="J283" s="8" t="s">
        <v>673</v>
      </c>
    </row>
    <row r="284" spans="1:10" x14ac:dyDescent="0.25" outlineLevel="2" collapsed="1">
      <c r="A284" s="7" t="s">
        <v>15</v>
      </c>
      <c r="B284" s="7" t="s">
        <v>16</v>
      </c>
      <c r="C284" s="7" t="s">
        <v>17</v>
      </c>
      <c r="D284" s="7"/>
      <c r="E284" s="7" t="s">
        <v>652</v>
      </c>
      <c r="F284" s="7" t="s">
        <v>19</v>
      </c>
      <c r="G284" s="7" t="s">
        <v>653</v>
      </c>
      <c r="H284" s="7" t="s">
        <v>17</v>
      </c>
      <c r="I284" s="7" t="s">
        <v>17</v>
      </c>
      <c r="J284" s="7" t="s">
        <v>654</v>
      </c>
    </row>
    <row r="285" spans="1:10" x14ac:dyDescent="0.25" outlineLevel="2" collapsed="1">
      <c r="A285" s="7" t="s">
        <v>15</v>
      </c>
      <c r="B285" s="7" t="s">
        <v>16</v>
      </c>
      <c r="C285" s="7" t="s">
        <v>17</v>
      </c>
      <c r="D285" s="7"/>
      <c r="E285" s="7" t="s">
        <v>655</v>
      </c>
      <c r="F285" s="7" t="s">
        <v>19</v>
      </c>
      <c r="G285" s="7" t="s">
        <v>656</v>
      </c>
      <c r="H285" s="7" t="s">
        <v>17</v>
      </c>
      <c r="I285" s="7" t="s">
        <v>17</v>
      </c>
      <c r="J285" s="7" t="s">
        <v>657</v>
      </c>
    </row>
    <row r="286" spans="1:10" x14ac:dyDescent="0.25" outlineLevel="1" collapsed="1">
      <c r="A286" s="8" t="s">
        <v>19</v>
      </c>
      <c r="B286" s="9" t="s">
        <v>649</v>
      </c>
      <c r="C286" s="8" t="s">
        <v>17</v>
      </c>
      <c r="D286" s="8"/>
      <c r="E286" s="8" t="s">
        <v>674</v>
      </c>
      <c r="F286" s="8" t="s">
        <v>15</v>
      </c>
      <c r="G286" s="8" t="s">
        <v>17</v>
      </c>
      <c r="H286" s="8" t="s">
        <v>17</v>
      </c>
      <c r="I286" s="8" t="s">
        <v>17</v>
      </c>
      <c r="J286" s="8" t="s">
        <v>675</v>
      </c>
    </row>
    <row r="287" spans="1:10" x14ac:dyDescent="0.25" outlineLevel="2" collapsed="1">
      <c r="A287" s="7" t="s">
        <v>15</v>
      </c>
      <c r="B287" s="7" t="s">
        <v>16</v>
      </c>
      <c r="C287" s="7" t="s">
        <v>17</v>
      </c>
      <c r="D287" s="7"/>
      <c r="E287" s="7" t="s">
        <v>652</v>
      </c>
      <c r="F287" s="7" t="s">
        <v>19</v>
      </c>
      <c r="G287" s="7" t="s">
        <v>653</v>
      </c>
      <c r="H287" s="7" t="s">
        <v>17</v>
      </c>
      <c r="I287" s="7" t="s">
        <v>17</v>
      </c>
      <c r="J287" s="7" t="s">
        <v>654</v>
      </c>
    </row>
    <row r="288" spans="1:10" x14ac:dyDescent="0.25" outlineLevel="2" collapsed="1">
      <c r="A288" s="7" t="s">
        <v>15</v>
      </c>
      <c r="B288" s="7" t="s">
        <v>16</v>
      </c>
      <c r="C288" s="7" t="s">
        <v>17</v>
      </c>
      <c r="D288" s="7"/>
      <c r="E288" s="7" t="s">
        <v>655</v>
      </c>
      <c r="F288" s="7" t="s">
        <v>19</v>
      </c>
      <c r="G288" s="7" t="s">
        <v>656</v>
      </c>
      <c r="H288" s="7" t="s">
        <v>17</v>
      </c>
      <c r="I288" s="7" t="s">
        <v>17</v>
      </c>
      <c r="J288" s="7" t="s">
        <v>657</v>
      </c>
    </row>
    <row r="289" spans="1:10" x14ac:dyDescent="0.25" outlineLevel="1" collapsed="1">
      <c r="A289" s="8" t="s">
        <v>19</v>
      </c>
      <c r="B289" s="9" t="s">
        <v>649</v>
      </c>
      <c r="C289" s="8" t="s">
        <v>17</v>
      </c>
      <c r="D289" s="8"/>
      <c r="E289" s="8" t="s">
        <v>676</v>
      </c>
      <c r="F289" s="8" t="s">
        <v>15</v>
      </c>
      <c r="G289" s="8" t="s">
        <v>17</v>
      </c>
      <c r="H289" s="8" t="s">
        <v>17</v>
      </c>
      <c r="I289" s="8" t="s">
        <v>17</v>
      </c>
      <c r="J289" s="8" t="s">
        <v>677</v>
      </c>
    </row>
    <row r="290" spans="1:10" x14ac:dyDescent="0.25" outlineLevel="2" collapsed="1">
      <c r="A290" s="7" t="s">
        <v>15</v>
      </c>
      <c r="B290" s="7" t="s">
        <v>16</v>
      </c>
      <c r="C290" s="7" t="s">
        <v>17</v>
      </c>
      <c r="D290" s="7"/>
      <c r="E290" s="7" t="s">
        <v>652</v>
      </c>
      <c r="F290" s="7" t="s">
        <v>19</v>
      </c>
      <c r="G290" s="7" t="s">
        <v>653</v>
      </c>
      <c r="H290" s="7" t="s">
        <v>17</v>
      </c>
      <c r="I290" s="7" t="s">
        <v>17</v>
      </c>
      <c r="J290" s="7" t="s">
        <v>654</v>
      </c>
    </row>
    <row r="291" spans="1:10" x14ac:dyDescent="0.25" outlineLevel="2" collapsed="1">
      <c r="A291" s="7" t="s">
        <v>15</v>
      </c>
      <c r="B291" s="7" t="s">
        <v>16</v>
      </c>
      <c r="C291" s="7" t="s">
        <v>17</v>
      </c>
      <c r="D291" s="7"/>
      <c r="E291" s="7" t="s">
        <v>655</v>
      </c>
      <c r="F291" s="7" t="s">
        <v>19</v>
      </c>
      <c r="G291" s="7" t="s">
        <v>656</v>
      </c>
      <c r="H291" s="7" t="s">
        <v>17</v>
      </c>
      <c r="I291" s="7" t="s">
        <v>17</v>
      </c>
      <c r="J291" s="7" t="s">
        <v>657</v>
      </c>
    </row>
    <row r="292" spans="1:10" x14ac:dyDescent="0.25" outlineLevel="1" collapsed="1">
      <c r="A292" s="8" t="s">
        <v>19</v>
      </c>
      <c r="B292" s="9" t="s">
        <v>678</v>
      </c>
      <c r="C292" s="8" t="s">
        <v>17</v>
      </c>
      <c r="D292" s="8"/>
      <c r="E292" s="8" t="s">
        <v>679</v>
      </c>
      <c r="F292" s="8" t="s">
        <v>19</v>
      </c>
      <c r="G292" s="8" t="s">
        <v>17</v>
      </c>
      <c r="H292" s="8" t="s">
        <v>17</v>
      </c>
      <c r="I292" s="8" t="s">
        <v>17</v>
      </c>
      <c r="J292" s="8" t="s">
        <v>680</v>
      </c>
    </row>
    <row r="293" spans="1:10" x14ac:dyDescent="0.25" outlineLevel="2" collapsed="1">
      <c r="A293" s="7" t="s">
        <v>19</v>
      </c>
      <c r="B293" s="7" t="s">
        <v>16</v>
      </c>
      <c r="C293" s="7" t="s">
        <v>17</v>
      </c>
      <c r="D293" s="7"/>
      <c r="E293" s="7" t="s">
        <v>500</v>
      </c>
      <c r="F293" s="7" t="s">
        <v>19</v>
      </c>
      <c r="G293" s="7" t="s">
        <v>31</v>
      </c>
      <c r="H293" s="7" t="s">
        <v>17</v>
      </c>
      <c r="I293" s="7" t="s">
        <v>17</v>
      </c>
      <c r="J293" s="7" t="s">
        <v>494</v>
      </c>
    </row>
    <row r="294" spans="1:10" x14ac:dyDescent="0.25" outlineLevel="2" collapsed="1">
      <c r="A294" s="7" t="s">
        <v>19</v>
      </c>
      <c r="B294" s="7" t="s">
        <v>16</v>
      </c>
      <c r="C294" s="7" t="s">
        <v>17</v>
      </c>
      <c r="D294" s="7"/>
      <c r="E294" s="7" t="s">
        <v>501</v>
      </c>
      <c r="F294" s="7" t="s">
        <v>19</v>
      </c>
      <c r="G294" s="7" t="s">
        <v>31</v>
      </c>
      <c r="H294" s="7" t="s">
        <v>17</v>
      </c>
      <c r="I294" s="7" t="s">
        <v>17</v>
      </c>
      <c r="J294" s="7" t="s">
        <v>497</v>
      </c>
    </row>
    <row r="295" spans="1:10" x14ac:dyDescent="0.25" outlineLevel="2" collapsed="1">
      <c r="A295" s="8" t="s">
        <v>19</v>
      </c>
      <c r="B295" s="9" t="s">
        <v>502</v>
      </c>
      <c r="C295" s="8" t="s">
        <v>17</v>
      </c>
      <c r="D295" s="8"/>
      <c r="E295" s="8" t="s">
        <v>503</v>
      </c>
      <c r="F295" s="8" t="s">
        <v>15</v>
      </c>
      <c r="G295" s="8" t="s">
        <v>17</v>
      </c>
      <c r="H295" s="8" t="s">
        <v>17</v>
      </c>
      <c r="I295" s="8" t="s">
        <v>17</v>
      </c>
      <c r="J295" s="8" t="s">
        <v>504</v>
      </c>
    </row>
    <row r="296" spans="1:10" x14ac:dyDescent="0.25" outlineLevel="3" collapsed="1">
      <c r="A296" s="7" t="s">
        <v>19</v>
      </c>
      <c r="B296" s="7" t="s">
        <v>16</v>
      </c>
      <c r="C296" s="7" t="s">
        <v>17</v>
      </c>
      <c r="D296" s="7"/>
      <c r="E296" s="7" t="s">
        <v>505</v>
      </c>
      <c r="F296" s="7" t="s">
        <v>19</v>
      </c>
      <c r="G296" s="7" t="s">
        <v>31</v>
      </c>
      <c r="H296" s="7" t="s">
        <v>17</v>
      </c>
      <c r="I296" s="7" t="s">
        <v>17</v>
      </c>
      <c r="J296" s="7" t="s">
        <v>506</v>
      </c>
    </row>
    <row r="297" spans="1:10" x14ac:dyDescent="0.25" outlineLevel="3" collapsed="1">
      <c r="A297" s="7" t="s">
        <v>19</v>
      </c>
      <c r="B297" s="7" t="s">
        <v>16</v>
      </c>
      <c r="C297" s="7" t="s">
        <v>17</v>
      </c>
      <c r="D297" s="7"/>
      <c r="E297" s="7" t="s">
        <v>501</v>
      </c>
      <c r="F297" s="7" t="s">
        <v>19</v>
      </c>
      <c r="G297" s="7" t="s">
        <v>31</v>
      </c>
      <c r="H297" s="7" t="s">
        <v>17</v>
      </c>
      <c r="I297" s="7" t="s">
        <v>17</v>
      </c>
      <c r="J297" s="7" t="s">
        <v>497</v>
      </c>
    </row>
    <row r="298" spans="1:10" x14ac:dyDescent="0.25" outlineLevel="1" collapsed="1">
      <c r="A298" s="8" t="s">
        <v>19</v>
      </c>
      <c r="B298" s="9" t="s">
        <v>681</v>
      </c>
      <c r="C298" s="8" t="s">
        <v>17</v>
      </c>
      <c r="D298" s="8"/>
      <c r="E298" s="8" t="s">
        <v>682</v>
      </c>
      <c r="F298" s="8" t="s">
        <v>19</v>
      </c>
      <c r="G298" s="8" t="s">
        <v>17</v>
      </c>
      <c r="H298" s="8" t="s">
        <v>17</v>
      </c>
      <c r="I298" s="8" t="s">
        <v>17</v>
      </c>
      <c r="J298" s="8" t="s">
        <v>134</v>
      </c>
    </row>
    <row r="299" spans="1:10" x14ac:dyDescent="0.25" outlineLevel="2" collapsed="1">
      <c r="A299" s="7" t="s">
        <v>19</v>
      </c>
      <c r="B299" s="7" t="s">
        <v>16</v>
      </c>
      <c r="C299" s="7" t="s">
        <v>17</v>
      </c>
      <c r="D299" s="7"/>
      <c r="E299" s="7" t="s">
        <v>500</v>
      </c>
      <c r="F299" s="7" t="s">
        <v>19</v>
      </c>
      <c r="G299" s="7" t="s">
        <v>31</v>
      </c>
      <c r="H299" s="7" t="s">
        <v>17</v>
      </c>
      <c r="I299" s="7" t="s">
        <v>17</v>
      </c>
      <c r="J299" s="7" t="s">
        <v>494</v>
      </c>
    </row>
    <row r="300" spans="1:10" x14ac:dyDescent="0.25" outlineLevel="2" collapsed="1">
      <c r="A300" s="7" t="s">
        <v>19</v>
      </c>
      <c r="B300" s="7" t="s">
        <v>16</v>
      </c>
      <c r="C300" s="7" t="s">
        <v>17</v>
      </c>
      <c r="D300" s="7"/>
      <c r="E300" s="7" t="s">
        <v>501</v>
      </c>
      <c r="F300" s="7" t="s">
        <v>19</v>
      </c>
      <c r="G300" s="7" t="s">
        <v>31</v>
      </c>
      <c r="H300" s="7" t="s">
        <v>17</v>
      </c>
      <c r="I300" s="7" t="s">
        <v>17</v>
      </c>
      <c r="J300" s="7" t="s">
        <v>497</v>
      </c>
    </row>
    <row r="301" spans="1:10" x14ac:dyDescent="0.25" outlineLevel="2" collapsed="1">
      <c r="A301" s="8" t="s">
        <v>19</v>
      </c>
      <c r="B301" s="9" t="s">
        <v>502</v>
      </c>
      <c r="C301" s="8" t="s">
        <v>17</v>
      </c>
      <c r="D301" s="8"/>
      <c r="E301" s="8" t="s">
        <v>503</v>
      </c>
      <c r="F301" s="8" t="s">
        <v>15</v>
      </c>
      <c r="G301" s="8" t="s">
        <v>17</v>
      </c>
      <c r="H301" s="8" t="s">
        <v>17</v>
      </c>
      <c r="I301" s="8" t="s">
        <v>17</v>
      </c>
      <c r="J301" s="8" t="s">
        <v>504</v>
      </c>
    </row>
    <row r="302" spans="1:10" x14ac:dyDescent="0.25" outlineLevel="3" collapsed="1">
      <c r="A302" s="7" t="s">
        <v>19</v>
      </c>
      <c r="B302" s="7" t="s">
        <v>16</v>
      </c>
      <c r="C302" s="7" t="s">
        <v>17</v>
      </c>
      <c r="D302" s="7"/>
      <c r="E302" s="7" t="s">
        <v>505</v>
      </c>
      <c r="F302" s="7" t="s">
        <v>19</v>
      </c>
      <c r="G302" s="7" t="s">
        <v>31</v>
      </c>
      <c r="H302" s="7" t="s">
        <v>17</v>
      </c>
      <c r="I302" s="7" t="s">
        <v>17</v>
      </c>
      <c r="J302" s="7" t="s">
        <v>506</v>
      </c>
    </row>
    <row r="303" spans="1:10" x14ac:dyDescent="0.25" outlineLevel="3" collapsed="1">
      <c r="A303" s="7" t="s">
        <v>19</v>
      </c>
      <c r="B303" s="7" t="s">
        <v>16</v>
      </c>
      <c r="C303" s="7" t="s">
        <v>17</v>
      </c>
      <c r="D303" s="7"/>
      <c r="E303" s="7" t="s">
        <v>501</v>
      </c>
      <c r="F303" s="7" t="s">
        <v>19</v>
      </c>
      <c r="G303" s="7" t="s">
        <v>31</v>
      </c>
      <c r="H303" s="7" t="s">
        <v>17</v>
      </c>
      <c r="I303" s="7" t="s">
        <v>17</v>
      </c>
      <c r="J303" s="7" t="s">
        <v>497</v>
      </c>
    </row>
    <row r="304" spans="1:10" x14ac:dyDescent="0.25" outlineLevel="1" collapsed="1">
      <c r="A304" s="8" t="s">
        <v>19</v>
      </c>
      <c r="B304" s="9" t="s">
        <v>683</v>
      </c>
      <c r="C304" s="8" t="s">
        <v>17</v>
      </c>
      <c r="D304" s="8"/>
      <c r="E304" s="8" t="s">
        <v>684</v>
      </c>
      <c r="F304" s="8" t="s">
        <v>19</v>
      </c>
      <c r="G304" s="8" t="s">
        <v>17</v>
      </c>
      <c r="H304" s="8" t="s">
        <v>17</v>
      </c>
      <c r="I304" s="8" t="s">
        <v>17</v>
      </c>
      <c r="J304" s="8" t="s">
        <v>685</v>
      </c>
    </row>
    <row r="305" spans="1:10" x14ac:dyDescent="0.25" outlineLevel="2" collapsed="1">
      <c r="A305" s="7" t="s">
        <v>19</v>
      </c>
      <c r="B305" s="7" t="s">
        <v>16</v>
      </c>
      <c r="C305" s="7" t="s">
        <v>17</v>
      </c>
      <c r="D305" s="7"/>
      <c r="E305" s="7" t="s">
        <v>500</v>
      </c>
      <c r="F305" s="7" t="s">
        <v>19</v>
      </c>
      <c r="G305" s="7" t="s">
        <v>31</v>
      </c>
      <c r="H305" s="7" t="s">
        <v>17</v>
      </c>
      <c r="I305" s="7" t="s">
        <v>17</v>
      </c>
      <c r="J305" s="7" t="s">
        <v>494</v>
      </c>
    </row>
    <row r="306" spans="1:10" x14ac:dyDescent="0.25" outlineLevel="2" collapsed="1">
      <c r="A306" s="7" t="s">
        <v>19</v>
      </c>
      <c r="B306" s="7" t="s">
        <v>16</v>
      </c>
      <c r="C306" s="7" t="s">
        <v>17</v>
      </c>
      <c r="D306" s="7"/>
      <c r="E306" s="7" t="s">
        <v>501</v>
      </c>
      <c r="F306" s="7" t="s">
        <v>19</v>
      </c>
      <c r="G306" s="7" t="s">
        <v>31</v>
      </c>
      <c r="H306" s="7" t="s">
        <v>17</v>
      </c>
      <c r="I306" s="7" t="s">
        <v>17</v>
      </c>
      <c r="J306" s="7" t="s">
        <v>497</v>
      </c>
    </row>
    <row r="307" spans="1:10" x14ac:dyDescent="0.25" outlineLevel="2" collapsed="1">
      <c r="A307" s="8" t="s">
        <v>19</v>
      </c>
      <c r="B307" s="9" t="s">
        <v>502</v>
      </c>
      <c r="C307" s="8" t="s">
        <v>17</v>
      </c>
      <c r="D307" s="8"/>
      <c r="E307" s="8" t="s">
        <v>503</v>
      </c>
      <c r="F307" s="8" t="s">
        <v>15</v>
      </c>
      <c r="G307" s="8" t="s">
        <v>17</v>
      </c>
      <c r="H307" s="8" t="s">
        <v>17</v>
      </c>
      <c r="I307" s="8" t="s">
        <v>17</v>
      </c>
      <c r="J307" s="8" t="s">
        <v>504</v>
      </c>
    </row>
    <row r="308" spans="1:10" x14ac:dyDescent="0.25" outlineLevel="3" collapsed="1">
      <c r="A308" s="7" t="s">
        <v>19</v>
      </c>
      <c r="B308" s="7" t="s">
        <v>16</v>
      </c>
      <c r="C308" s="7" t="s">
        <v>17</v>
      </c>
      <c r="D308" s="7"/>
      <c r="E308" s="7" t="s">
        <v>505</v>
      </c>
      <c r="F308" s="7" t="s">
        <v>19</v>
      </c>
      <c r="G308" s="7" t="s">
        <v>31</v>
      </c>
      <c r="H308" s="7" t="s">
        <v>17</v>
      </c>
      <c r="I308" s="7" t="s">
        <v>17</v>
      </c>
      <c r="J308" s="7" t="s">
        <v>506</v>
      </c>
    </row>
    <row r="309" spans="1:10" x14ac:dyDescent="0.25" outlineLevel="3" collapsed="1">
      <c r="A309" s="7" t="s">
        <v>19</v>
      </c>
      <c r="B309" s="7" t="s">
        <v>16</v>
      </c>
      <c r="C309" s="7" t="s">
        <v>17</v>
      </c>
      <c r="D309" s="7"/>
      <c r="E309" s="7" t="s">
        <v>501</v>
      </c>
      <c r="F309" s="7" t="s">
        <v>19</v>
      </c>
      <c r="G309" s="7" t="s">
        <v>31</v>
      </c>
      <c r="H309" s="7" t="s">
        <v>17</v>
      </c>
      <c r="I309" s="7" t="s">
        <v>17</v>
      </c>
      <c r="J309" s="7" t="s">
        <v>497</v>
      </c>
    </row>
    <row r="310" spans="1:10" x14ac:dyDescent="0.25" outlineLevel="1" collapsed="1">
      <c r="A310" s="8" t="s">
        <v>19</v>
      </c>
      <c r="B310" s="9" t="s">
        <v>686</v>
      </c>
      <c r="C310" s="8" t="s">
        <v>17</v>
      </c>
      <c r="D310" s="8"/>
      <c r="E310" s="8" t="s">
        <v>687</v>
      </c>
      <c r="F310" s="8" t="s">
        <v>19</v>
      </c>
      <c r="G310" s="8" t="s">
        <v>17</v>
      </c>
      <c r="H310" s="8" t="s">
        <v>17</v>
      </c>
      <c r="I310" s="8" t="s">
        <v>17</v>
      </c>
      <c r="J310" s="8" t="s">
        <v>688</v>
      </c>
    </row>
    <row r="311" spans="1:10" x14ac:dyDescent="0.25" outlineLevel="2" collapsed="1">
      <c r="A311" s="7" t="s">
        <v>19</v>
      </c>
      <c r="B311" s="7" t="s">
        <v>16</v>
      </c>
      <c r="C311" s="7" t="s">
        <v>17</v>
      </c>
      <c r="D311" s="7"/>
      <c r="E311" s="7" t="s">
        <v>500</v>
      </c>
      <c r="F311" s="7" t="s">
        <v>19</v>
      </c>
      <c r="G311" s="7" t="s">
        <v>31</v>
      </c>
      <c r="H311" s="7" t="s">
        <v>17</v>
      </c>
      <c r="I311" s="7" t="s">
        <v>17</v>
      </c>
      <c r="J311" s="7" t="s">
        <v>494</v>
      </c>
    </row>
    <row r="312" spans="1:10" x14ac:dyDescent="0.25" outlineLevel="2" collapsed="1">
      <c r="A312" s="7" t="s">
        <v>19</v>
      </c>
      <c r="B312" s="7" t="s">
        <v>16</v>
      </c>
      <c r="C312" s="7" t="s">
        <v>17</v>
      </c>
      <c r="D312" s="7"/>
      <c r="E312" s="7" t="s">
        <v>501</v>
      </c>
      <c r="F312" s="7" t="s">
        <v>19</v>
      </c>
      <c r="G312" s="7" t="s">
        <v>31</v>
      </c>
      <c r="H312" s="7" t="s">
        <v>17</v>
      </c>
      <c r="I312" s="7" t="s">
        <v>17</v>
      </c>
      <c r="J312" s="7" t="s">
        <v>497</v>
      </c>
    </row>
    <row r="313" spans="1:10" x14ac:dyDescent="0.25" outlineLevel="2" collapsed="1">
      <c r="A313" s="8" t="s">
        <v>19</v>
      </c>
      <c r="B313" s="9" t="s">
        <v>502</v>
      </c>
      <c r="C313" s="8" t="s">
        <v>17</v>
      </c>
      <c r="D313" s="8"/>
      <c r="E313" s="8" t="s">
        <v>503</v>
      </c>
      <c r="F313" s="8" t="s">
        <v>15</v>
      </c>
      <c r="G313" s="8" t="s">
        <v>17</v>
      </c>
      <c r="H313" s="8" t="s">
        <v>17</v>
      </c>
      <c r="I313" s="8" t="s">
        <v>17</v>
      </c>
      <c r="J313" s="8" t="s">
        <v>504</v>
      </c>
    </row>
    <row r="314" spans="1:10" x14ac:dyDescent="0.25" outlineLevel="3" collapsed="1">
      <c r="A314" s="7" t="s">
        <v>19</v>
      </c>
      <c r="B314" s="7" t="s">
        <v>16</v>
      </c>
      <c r="C314" s="7" t="s">
        <v>17</v>
      </c>
      <c r="D314" s="7"/>
      <c r="E314" s="7" t="s">
        <v>505</v>
      </c>
      <c r="F314" s="7" t="s">
        <v>19</v>
      </c>
      <c r="G314" s="7" t="s">
        <v>31</v>
      </c>
      <c r="H314" s="7" t="s">
        <v>17</v>
      </c>
      <c r="I314" s="7" t="s">
        <v>17</v>
      </c>
      <c r="J314" s="7" t="s">
        <v>506</v>
      </c>
    </row>
    <row r="315" spans="1:10" x14ac:dyDescent="0.25" outlineLevel="3" collapsed="1">
      <c r="A315" s="7" t="s">
        <v>19</v>
      </c>
      <c r="B315" s="7" t="s">
        <v>16</v>
      </c>
      <c r="C315" s="7" t="s">
        <v>17</v>
      </c>
      <c r="D315" s="7"/>
      <c r="E315" s="7" t="s">
        <v>501</v>
      </c>
      <c r="F315" s="7" t="s">
        <v>19</v>
      </c>
      <c r="G315" s="7" t="s">
        <v>31</v>
      </c>
      <c r="H315" s="7" t="s">
        <v>17</v>
      </c>
      <c r="I315" s="7" t="s">
        <v>17</v>
      </c>
      <c r="J315" s="7" t="s">
        <v>497</v>
      </c>
    </row>
    <row r="316" spans="1:10" x14ac:dyDescent="0.25" outlineLevel="1" collapsed="1">
      <c r="A316" s="8" t="s">
        <v>19</v>
      </c>
      <c r="B316" s="9" t="s">
        <v>689</v>
      </c>
      <c r="C316" s="8" t="s">
        <v>17</v>
      </c>
      <c r="D316" s="8"/>
      <c r="E316" s="8" t="s">
        <v>690</v>
      </c>
      <c r="F316" s="8" t="s">
        <v>19</v>
      </c>
      <c r="G316" s="8" t="s">
        <v>17</v>
      </c>
      <c r="H316" s="8" t="s">
        <v>17</v>
      </c>
      <c r="I316" s="8" t="s">
        <v>17</v>
      </c>
      <c r="J316" s="8" t="s">
        <v>691</v>
      </c>
    </row>
    <row r="317" spans="1:10" x14ac:dyDescent="0.25" outlineLevel="2" collapsed="1">
      <c r="A317" s="7" t="s">
        <v>19</v>
      </c>
      <c r="B317" s="7" t="s">
        <v>16</v>
      </c>
      <c r="C317" s="7" t="s">
        <v>17</v>
      </c>
      <c r="D317" s="7"/>
      <c r="E317" s="7" t="s">
        <v>500</v>
      </c>
      <c r="F317" s="7" t="s">
        <v>19</v>
      </c>
      <c r="G317" s="7" t="s">
        <v>31</v>
      </c>
      <c r="H317" s="7" t="s">
        <v>17</v>
      </c>
      <c r="I317" s="7" t="s">
        <v>17</v>
      </c>
      <c r="J317" s="7" t="s">
        <v>494</v>
      </c>
    </row>
    <row r="318" spans="1:10" x14ac:dyDescent="0.25" outlineLevel="2" collapsed="1">
      <c r="A318" s="7" t="s">
        <v>19</v>
      </c>
      <c r="B318" s="7" t="s">
        <v>16</v>
      </c>
      <c r="C318" s="7" t="s">
        <v>17</v>
      </c>
      <c r="D318" s="7"/>
      <c r="E318" s="7" t="s">
        <v>501</v>
      </c>
      <c r="F318" s="7" t="s">
        <v>19</v>
      </c>
      <c r="G318" s="7" t="s">
        <v>31</v>
      </c>
      <c r="H318" s="7" t="s">
        <v>17</v>
      </c>
      <c r="I318" s="7" t="s">
        <v>17</v>
      </c>
      <c r="J318" s="7" t="s">
        <v>497</v>
      </c>
    </row>
    <row r="319" spans="1:10" x14ac:dyDescent="0.25" outlineLevel="2" collapsed="1">
      <c r="A319" s="8" t="s">
        <v>19</v>
      </c>
      <c r="B319" s="9" t="s">
        <v>502</v>
      </c>
      <c r="C319" s="8" t="s">
        <v>17</v>
      </c>
      <c r="D319" s="8"/>
      <c r="E319" s="8" t="s">
        <v>503</v>
      </c>
      <c r="F319" s="8" t="s">
        <v>15</v>
      </c>
      <c r="G319" s="8" t="s">
        <v>17</v>
      </c>
      <c r="H319" s="8" t="s">
        <v>17</v>
      </c>
      <c r="I319" s="8" t="s">
        <v>17</v>
      </c>
      <c r="J319" s="8" t="s">
        <v>504</v>
      </c>
    </row>
    <row r="320" spans="1:10" x14ac:dyDescent="0.25" outlineLevel="3" collapsed="1">
      <c r="A320" s="7" t="s">
        <v>19</v>
      </c>
      <c r="B320" s="7" t="s">
        <v>16</v>
      </c>
      <c r="C320" s="7" t="s">
        <v>17</v>
      </c>
      <c r="D320" s="7"/>
      <c r="E320" s="7" t="s">
        <v>505</v>
      </c>
      <c r="F320" s="7" t="s">
        <v>19</v>
      </c>
      <c r="G320" s="7" t="s">
        <v>31</v>
      </c>
      <c r="H320" s="7" t="s">
        <v>17</v>
      </c>
      <c r="I320" s="7" t="s">
        <v>17</v>
      </c>
      <c r="J320" s="7" t="s">
        <v>506</v>
      </c>
    </row>
    <row r="321" spans="1:10" x14ac:dyDescent="0.25" outlineLevel="3" collapsed="1">
      <c r="A321" s="7" t="s">
        <v>19</v>
      </c>
      <c r="B321" s="7" t="s">
        <v>16</v>
      </c>
      <c r="C321" s="7" t="s">
        <v>17</v>
      </c>
      <c r="D321" s="7"/>
      <c r="E321" s="7" t="s">
        <v>501</v>
      </c>
      <c r="F321" s="7" t="s">
        <v>19</v>
      </c>
      <c r="G321" s="7" t="s">
        <v>31</v>
      </c>
      <c r="H321" s="7" t="s">
        <v>17</v>
      </c>
      <c r="I321" s="7" t="s">
        <v>17</v>
      </c>
      <c r="J321" s="7" t="s">
        <v>497</v>
      </c>
    </row>
    <row r="322" spans="1:10" x14ac:dyDescent="0.25" outlineLevel="1" collapsed="1">
      <c r="A322" s="8" t="s">
        <v>19</v>
      </c>
      <c r="B322" s="9" t="s">
        <v>692</v>
      </c>
      <c r="C322" s="8" t="s">
        <v>17</v>
      </c>
      <c r="D322" s="8"/>
      <c r="E322" s="8" t="s">
        <v>693</v>
      </c>
      <c r="F322" s="8" t="s">
        <v>19</v>
      </c>
      <c r="G322" s="8" t="s">
        <v>17</v>
      </c>
      <c r="H322" s="8" t="s">
        <v>17</v>
      </c>
      <c r="I322" s="8" t="s">
        <v>17</v>
      </c>
      <c r="J322" s="8" t="s">
        <v>694</v>
      </c>
    </row>
    <row r="323" spans="1:10" x14ac:dyDescent="0.25" outlineLevel="2" collapsed="1">
      <c r="A323" s="7" t="s">
        <v>19</v>
      </c>
      <c r="B323" s="7" t="s">
        <v>16</v>
      </c>
      <c r="C323" s="7" t="s">
        <v>17</v>
      </c>
      <c r="D323" s="7"/>
      <c r="E323" s="7" t="s">
        <v>500</v>
      </c>
      <c r="F323" s="7" t="s">
        <v>19</v>
      </c>
      <c r="G323" s="7" t="s">
        <v>31</v>
      </c>
      <c r="H323" s="7" t="s">
        <v>17</v>
      </c>
      <c r="I323" s="7" t="s">
        <v>17</v>
      </c>
      <c r="J323" s="7" t="s">
        <v>494</v>
      </c>
    </row>
    <row r="324" spans="1:10" x14ac:dyDescent="0.25" outlineLevel="2" collapsed="1">
      <c r="A324" s="7" t="s">
        <v>19</v>
      </c>
      <c r="B324" s="7" t="s">
        <v>16</v>
      </c>
      <c r="C324" s="7" t="s">
        <v>17</v>
      </c>
      <c r="D324" s="7"/>
      <c r="E324" s="7" t="s">
        <v>501</v>
      </c>
      <c r="F324" s="7" t="s">
        <v>19</v>
      </c>
      <c r="G324" s="7" t="s">
        <v>31</v>
      </c>
      <c r="H324" s="7" t="s">
        <v>17</v>
      </c>
      <c r="I324" s="7" t="s">
        <v>17</v>
      </c>
      <c r="J324" s="7" t="s">
        <v>497</v>
      </c>
    </row>
    <row r="325" spans="1:10" x14ac:dyDescent="0.25" outlineLevel="2" collapsed="1">
      <c r="A325" s="8" t="s">
        <v>19</v>
      </c>
      <c r="B325" s="9" t="s">
        <v>502</v>
      </c>
      <c r="C325" s="8" t="s">
        <v>17</v>
      </c>
      <c r="D325" s="8"/>
      <c r="E325" s="8" t="s">
        <v>503</v>
      </c>
      <c r="F325" s="8" t="s">
        <v>15</v>
      </c>
      <c r="G325" s="8" t="s">
        <v>17</v>
      </c>
      <c r="H325" s="8" t="s">
        <v>17</v>
      </c>
      <c r="I325" s="8" t="s">
        <v>17</v>
      </c>
      <c r="J325" s="8" t="s">
        <v>504</v>
      </c>
    </row>
    <row r="326" spans="1:10" x14ac:dyDescent="0.25" outlineLevel="3" collapsed="1">
      <c r="A326" s="7" t="s">
        <v>19</v>
      </c>
      <c r="B326" s="7" t="s">
        <v>16</v>
      </c>
      <c r="C326" s="7" t="s">
        <v>17</v>
      </c>
      <c r="D326" s="7"/>
      <c r="E326" s="7" t="s">
        <v>505</v>
      </c>
      <c r="F326" s="7" t="s">
        <v>19</v>
      </c>
      <c r="G326" s="7" t="s">
        <v>31</v>
      </c>
      <c r="H326" s="7" t="s">
        <v>17</v>
      </c>
      <c r="I326" s="7" t="s">
        <v>17</v>
      </c>
      <c r="J326" s="7" t="s">
        <v>506</v>
      </c>
    </row>
    <row r="327" spans="1:10" x14ac:dyDescent="0.25" outlineLevel="3" collapsed="1">
      <c r="A327" s="7" t="s">
        <v>19</v>
      </c>
      <c r="B327" s="7" t="s">
        <v>16</v>
      </c>
      <c r="C327" s="7" t="s">
        <v>17</v>
      </c>
      <c r="D327" s="7"/>
      <c r="E327" s="7" t="s">
        <v>501</v>
      </c>
      <c r="F327" s="7" t="s">
        <v>19</v>
      </c>
      <c r="G327" s="7" t="s">
        <v>31</v>
      </c>
      <c r="H327" s="7" t="s">
        <v>17</v>
      </c>
      <c r="I327" s="7" t="s">
        <v>17</v>
      </c>
      <c r="J327" s="7" t="s">
        <v>497</v>
      </c>
    </row>
    <row r="328" spans="1:10" x14ac:dyDescent="0.25" outlineLevel="1" collapsed="1">
      <c r="A328" s="8" t="s">
        <v>19</v>
      </c>
      <c r="B328" s="9" t="s">
        <v>695</v>
      </c>
      <c r="C328" s="8" t="s">
        <v>17</v>
      </c>
      <c r="D328" s="8"/>
      <c r="E328" s="8" t="s">
        <v>696</v>
      </c>
      <c r="F328" s="8" t="s">
        <v>19</v>
      </c>
      <c r="G328" s="8" t="s">
        <v>17</v>
      </c>
      <c r="H328" s="8" t="s">
        <v>17</v>
      </c>
      <c r="I328" s="8" t="s">
        <v>17</v>
      </c>
      <c r="J328" s="8" t="s">
        <v>697</v>
      </c>
    </row>
    <row r="329" spans="1:10" x14ac:dyDescent="0.25" outlineLevel="2" collapsed="1">
      <c r="A329" s="7" t="s">
        <v>19</v>
      </c>
      <c r="B329" s="7" t="s">
        <v>16</v>
      </c>
      <c r="C329" s="7" t="s">
        <v>17</v>
      </c>
      <c r="D329" s="7"/>
      <c r="E329" s="7" t="s">
        <v>500</v>
      </c>
      <c r="F329" s="7" t="s">
        <v>19</v>
      </c>
      <c r="G329" s="7" t="s">
        <v>31</v>
      </c>
      <c r="H329" s="7" t="s">
        <v>17</v>
      </c>
      <c r="I329" s="7" t="s">
        <v>17</v>
      </c>
      <c r="J329" s="7" t="s">
        <v>494</v>
      </c>
    </row>
    <row r="330" spans="1:10" x14ac:dyDescent="0.25" outlineLevel="2" collapsed="1">
      <c r="A330" s="7" t="s">
        <v>19</v>
      </c>
      <c r="B330" s="7" t="s">
        <v>16</v>
      </c>
      <c r="C330" s="7" t="s">
        <v>17</v>
      </c>
      <c r="D330" s="7"/>
      <c r="E330" s="7" t="s">
        <v>501</v>
      </c>
      <c r="F330" s="7" t="s">
        <v>19</v>
      </c>
      <c r="G330" s="7" t="s">
        <v>31</v>
      </c>
      <c r="H330" s="7" t="s">
        <v>17</v>
      </c>
      <c r="I330" s="7" t="s">
        <v>17</v>
      </c>
      <c r="J330" s="7" t="s">
        <v>497</v>
      </c>
    </row>
    <row r="331" spans="1:10" x14ac:dyDescent="0.25" outlineLevel="2" collapsed="1">
      <c r="A331" s="8" t="s">
        <v>19</v>
      </c>
      <c r="B331" s="9" t="s">
        <v>502</v>
      </c>
      <c r="C331" s="8" t="s">
        <v>17</v>
      </c>
      <c r="D331" s="8"/>
      <c r="E331" s="8" t="s">
        <v>503</v>
      </c>
      <c r="F331" s="8" t="s">
        <v>15</v>
      </c>
      <c r="G331" s="8" t="s">
        <v>17</v>
      </c>
      <c r="H331" s="8" t="s">
        <v>17</v>
      </c>
      <c r="I331" s="8" t="s">
        <v>17</v>
      </c>
      <c r="J331" s="8" t="s">
        <v>504</v>
      </c>
    </row>
    <row r="332" spans="1:10" x14ac:dyDescent="0.25" outlineLevel="3" collapsed="1">
      <c r="A332" s="7" t="s">
        <v>19</v>
      </c>
      <c r="B332" s="7" t="s">
        <v>16</v>
      </c>
      <c r="C332" s="7" t="s">
        <v>17</v>
      </c>
      <c r="D332" s="7"/>
      <c r="E332" s="7" t="s">
        <v>505</v>
      </c>
      <c r="F332" s="7" t="s">
        <v>19</v>
      </c>
      <c r="G332" s="7" t="s">
        <v>31</v>
      </c>
      <c r="H332" s="7" t="s">
        <v>17</v>
      </c>
      <c r="I332" s="7" t="s">
        <v>17</v>
      </c>
      <c r="J332" s="7" t="s">
        <v>506</v>
      </c>
    </row>
    <row r="333" spans="1:10" x14ac:dyDescent="0.25" outlineLevel="3" collapsed="1">
      <c r="A333" s="7" t="s">
        <v>19</v>
      </c>
      <c r="B333" s="7" t="s">
        <v>16</v>
      </c>
      <c r="C333" s="7" t="s">
        <v>17</v>
      </c>
      <c r="D333" s="7"/>
      <c r="E333" s="7" t="s">
        <v>501</v>
      </c>
      <c r="F333" s="7" t="s">
        <v>19</v>
      </c>
      <c r="G333" s="7" t="s">
        <v>31</v>
      </c>
      <c r="H333" s="7" t="s">
        <v>17</v>
      </c>
      <c r="I333" s="7" t="s">
        <v>17</v>
      </c>
      <c r="J333" s="7" t="s">
        <v>497</v>
      </c>
    </row>
    <row r="334" spans="1:10" x14ac:dyDescent="0.25" outlineLevel="1" collapsed="1">
      <c r="A334" s="8" t="s">
        <v>19</v>
      </c>
      <c r="B334" s="9" t="s">
        <v>698</v>
      </c>
      <c r="C334" s="8" t="s">
        <v>17</v>
      </c>
      <c r="D334" s="8"/>
      <c r="E334" s="8" t="s">
        <v>699</v>
      </c>
      <c r="F334" s="8" t="s">
        <v>19</v>
      </c>
      <c r="G334" s="8" t="s">
        <v>17</v>
      </c>
      <c r="H334" s="8" t="s">
        <v>17</v>
      </c>
      <c r="I334" s="8" t="s">
        <v>17</v>
      </c>
      <c r="J334" s="8" t="s">
        <v>700</v>
      </c>
    </row>
    <row r="335" spans="1:10" x14ac:dyDescent="0.25" outlineLevel="2" collapsed="1">
      <c r="A335" s="7" t="s">
        <v>19</v>
      </c>
      <c r="B335" s="7" t="s">
        <v>16</v>
      </c>
      <c r="C335" s="7" t="s">
        <v>17</v>
      </c>
      <c r="D335" s="7"/>
      <c r="E335" s="7" t="s">
        <v>500</v>
      </c>
      <c r="F335" s="7" t="s">
        <v>19</v>
      </c>
      <c r="G335" s="7" t="s">
        <v>31</v>
      </c>
      <c r="H335" s="7" t="s">
        <v>17</v>
      </c>
      <c r="I335" s="7" t="s">
        <v>17</v>
      </c>
      <c r="J335" s="7" t="s">
        <v>494</v>
      </c>
    </row>
    <row r="336" spans="1:10" x14ac:dyDescent="0.25" outlineLevel="2" collapsed="1">
      <c r="A336" s="7" t="s">
        <v>19</v>
      </c>
      <c r="B336" s="7" t="s">
        <v>16</v>
      </c>
      <c r="C336" s="7" t="s">
        <v>17</v>
      </c>
      <c r="D336" s="7"/>
      <c r="E336" s="7" t="s">
        <v>501</v>
      </c>
      <c r="F336" s="7" t="s">
        <v>19</v>
      </c>
      <c r="G336" s="7" t="s">
        <v>31</v>
      </c>
      <c r="H336" s="7" t="s">
        <v>17</v>
      </c>
      <c r="I336" s="7" t="s">
        <v>17</v>
      </c>
      <c r="J336" s="7" t="s">
        <v>497</v>
      </c>
    </row>
    <row r="337" spans="1:10" x14ac:dyDescent="0.25" outlineLevel="2" collapsed="1">
      <c r="A337" s="8" t="s">
        <v>19</v>
      </c>
      <c r="B337" s="9" t="s">
        <v>502</v>
      </c>
      <c r="C337" s="8" t="s">
        <v>17</v>
      </c>
      <c r="D337" s="8"/>
      <c r="E337" s="8" t="s">
        <v>503</v>
      </c>
      <c r="F337" s="8" t="s">
        <v>15</v>
      </c>
      <c r="G337" s="8" t="s">
        <v>17</v>
      </c>
      <c r="H337" s="8" t="s">
        <v>17</v>
      </c>
      <c r="I337" s="8" t="s">
        <v>17</v>
      </c>
      <c r="J337" s="8" t="s">
        <v>504</v>
      </c>
    </row>
    <row r="338" spans="1:10" x14ac:dyDescent="0.25" outlineLevel="3" collapsed="1">
      <c r="A338" s="7" t="s">
        <v>19</v>
      </c>
      <c r="B338" s="7" t="s">
        <v>16</v>
      </c>
      <c r="C338" s="7" t="s">
        <v>17</v>
      </c>
      <c r="D338" s="7"/>
      <c r="E338" s="7" t="s">
        <v>505</v>
      </c>
      <c r="F338" s="7" t="s">
        <v>19</v>
      </c>
      <c r="G338" s="7" t="s">
        <v>31</v>
      </c>
      <c r="H338" s="7" t="s">
        <v>17</v>
      </c>
      <c r="I338" s="7" t="s">
        <v>17</v>
      </c>
      <c r="J338" s="7" t="s">
        <v>506</v>
      </c>
    </row>
    <row r="339" spans="1:10" x14ac:dyDescent="0.25" outlineLevel="3" collapsed="1">
      <c r="A339" s="7" t="s">
        <v>19</v>
      </c>
      <c r="B339" s="7" t="s">
        <v>16</v>
      </c>
      <c r="C339" s="7" t="s">
        <v>17</v>
      </c>
      <c r="D339" s="7"/>
      <c r="E339" s="7" t="s">
        <v>501</v>
      </c>
      <c r="F339" s="7" t="s">
        <v>19</v>
      </c>
      <c r="G339" s="7" t="s">
        <v>31</v>
      </c>
      <c r="H339" s="7" t="s">
        <v>17</v>
      </c>
      <c r="I339" s="7" t="s">
        <v>17</v>
      </c>
      <c r="J339" s="7" t="s">
        <v>497</v>
      </c>
    </row>
    <row r="340" spans="1:10" x14ac:dyDescent="0.25">
      <c r="A340" s="5" t="s">
        <v>15</v>
      </c>
      <c r="B340" s="6" t="s">
        <v>701</v>
      </c>
      <c r="C340" s="5" t="s">
        <v>17</v>
      </c>
      <c r="D340" s="5"/>
      <c r="E340" s="5" t="s">
        <v>702</v>
      </c>
      <c r="F340" s="5" t="s">
        <v>19</v>
      </c>
      <c r="G340" s="5" t="s">
        <v>17</v>
      </c>
      <c r="H340" s="5" t="s">
        <v>17</v>
      </c>
      <c r="I340" s="5" t="s">
        <v>17</v>
      </c>
      <c r="J340" s="5" t="s">
        <v>703</v>
      </c>
    </row>
    <row r="341" spans="1:10" x14ac:dyDescent="0.25" outlineLevel="1" collapsed="1">
      <c r="A341" s="8" t="s">
        <v>15</v>
      </c>
      <c r="B341" s="9" t="s">
        <v>704</v>
      </c>
      <c r="C341" s="8" t="s">
        <v>17</v>
      </c>
      <c r="D341" s="8"/>
      <c r="E341" s="8" t="s">
        <v>705</v>
      </c>
      <c r="F341" s="8" t="s">
        <v>19</v>
      </c>
      <c r="G341" s="8" t="s">
        <v>17</v>
      </c>
      <c r="H341" s="8" t="s">
        <v>17</v>
      </c>
      <c r="I341" s="8" t="s">
        <v>17</v>
      </c>
      <c r="J341" s="8" t="s">
        <v>706</v>
      </c>
    </row>
    <row r="342" spans="1:10" x14ac:dyDescent="0.25" outlineLevel="2" collapsed="1">
      <c r="A342" s="7" t="s">
        <v>15</v>
      </c>
      <c r="B342" s="7" t="s">
        <v>291</v>
      </c>
      <c r="C342" s="7" t="s">
        <v>17</v>
      </c>
      <c r="D342" s="7"/>
      <c r="E342" s="7" t="s">
        <v>707</v>
      </c>
      <c r="F342" s="7" t="s">
        <v>19</v>
      </c>
      <c r="G342" s="7" t="s">
        <v>293</v>
      </c>
      <c r="H342" s="7" t="s">
        <v>17</v>
      </c>
      <c r="I342" s="7" t="s">
        <v>17</v>
      </c>
      <c r="J342" s="7" t="s">
        <v>708</v>
      </c>
    </row>
    <row r="343" spans="1:10" x14ac:dyDescent="0.25" outlineLevel="2" collapsed="1">
      <c r="A343" s="7" t="s">
        <v>15</v>
      </c>
      <c r="B343" s="7" t="s">
        <v>16</v>
      </c>
      <c r="C343" s="7" t="s">
        <v>17</v>
      </c>
      <c r="D343" s="7"/>
      <c r="E343" s="7" t="s">
        <v>288</v>
      </c>
      <c r="F343" s="7" t="s">
        <v>19</v>
      </c>
      <c r="G343" s="7" t="s">
        <v>289</v>
      </c>
      <c r="H343" s="7" t="s">
        <v>17</v>
      </c>
      <c r="I343" s="7" t="s">
        <v>17</v>
      </c>
      <c r="J343" s="7" t="s">
        <v>290</v>
      </c>
    </row>
    <row r="344" spans="1:10" x14ac:dyDescent="0.25" outlineLevel="2" collapsed="1">
      <c r="A344" s="7" t="s">
        <v>15</v>
      </c>
      <c r="B344" s="7" t="s">
        <v>16</v>
      </c>
      <c r="C344" s="7" t="s">
        <v>17</v>
      </c>
      <c r="D344" s="7"/>
      <c r="E344" s="7" t="s">
        <v>709</v>
      </c>
      <c r="F344" s="7" t="s">
        <v>19</v>
      </c>
      <c r="G344" s="7" t="s">
        <v>710</v>
      </c>
      <c r="H344" s="7" t="s">
        <v>17</v>
      </c>
      <c r="I344" s="7" t="s">
        <v>17</v>
      </c>
      <c r="J344" s="7" t="s">
        <v>711</v>
      </c>
    </row>
    <row r="345" spans="1:10" x14ac:dyDescent="0.25" outlineLevel="2" collapsed="1">
      <c r="A345" s="7" t="s">
        <v>15</v>
      </c>
      <c r="B345" s="7" t="s">
        <v>16</v>
      </c>
      <c r="C345" s="7" t="s">
        <v>17</v>
      </c>
      <c r="D345" s="7"/>
      <c r="E345" s="7" t="s">
        <v>712</v>
      </c>
      <c r="F345" s="7" t="s">
        <v>19</v>
      </c>
      <c r="G345" s="7" t="s">
        <v>31</v>
      </c>
      <c r="H345" s="7" t="s">
        <v>17</v>
      </c>
      <c r="I345" s="7" t="s">
        <v>17</v>
      </c>
      <c r="J345" s="7" t="s">
        <v>713</v>
      </c>
    </row>
    <row r="346" spans="1:10" x14ac:dyDescent="0.25" outlineLevel="2" collapsed="1">
      <c r="A346" s="7" t="s">
        <v>19</v>
      </c>
      <c r="B346" s="7" t="s">
        <v>16</v>
      </c>
      <c r="C346" s="7" t="s">
        <v>17</v>
      </c>
      <c r="D346" s="7"/>
      <c r="E346" s="7" t="s">
        <v>714</v>
      </c>
      <c r="F346" s="7" t="s">
        <v>19</v>
      </c>
      <c r="G346" s="7" t="s">
        <v>715</v>
      </c>
      <c r="H346" s="7" t="s">
        <v>17</v>
      </c>
      <c r="I346" s="7" t="s">
        <v>17</v>
      </c>
      <c r="J346" s="7" t="s">
        <v>716</v>
      </c>
    </row>
    <row r="347" spans="1:10" x14ac:dyDescent="0.25" outlineLevel="2" collapsed="1">
      <c r="A347" s="7" t="s">
        <v>15</v>
      </c>
      <c r="B347" s="7" t="s">
        <v>16</v>
      </c>
      <c r="C347" s="7" t="s">
        <v>17</v>
      </c>
      <c r="D347" s="7"/>
      <c r="E347" s="7" t="s">
        <v>717</v>
      </c>
      <c r="F347" s="7" t="s">
        <v>19</v>
      </c>
      <c r="G347" s="7" t="s">
        <v>718</v>
      </c>
      <c r="H347" s="7" t="s">
        <v>17</v>
      </c>
      <c r="I347" s="7" t="s">
        <v>17</v>
      </c>
      <c r="J347" s="7" t="s">
        <v>719</v>
      </c>
    </row>
    <row r="348" spans="1:10" x14ac:dyDescent="0.25" outlineLevel="1" collapsed="1">
      <c r="A348" s="8" t="s">
        <v>15</v>
      </c>
      <c r="B348" s="9" t="s">
        <v>720</v>
      </c>
      <c r="C348" s="8" t="s">
        <v>17</v>
      </c>
      <c r="D348" s="8"/>
      <c r="E348" s="8" t="s">
        <v>721</v>
      </c>
      <c r="F348" s="8" t="s">
        <v>19</v>
      </c>
      <c r="G348" s="8" t="s">
        <v>17</v>
      </c>
      <c r="H348" s="8" t="s">
        <v>17</v>
      </c>
      <c r="I348" s="8" t="s">
        <v>17</v>
      </c>
      <c r="J348" s="8" t="s">
        <v>722</v>
      </c>
    </row>
    <row r="349" spans="1:10" x14ac:dyDescent="0.25" outlineLevel="2" collapsed="1">
      <c r="A349" s="7" t="s">
        <v>15</v>
      </c>
      <c r="B349" s="7" t="s">
        <v>291</v>
      </c>
      <c r="C349" s="7" t="s">
        <v>17</v>
      </c>
      <c r="D349" s="7"/>
      <c r="E349" s="7" t="s">
        <v>723</v>
      </c>
      <c r="F349" s="7" t="s">
        <v>19</v>
      </c>
      <c r="G349" s="7" t="s">
        <v>293</v>
      </c>
      <c r="H349" s="7" t="s">
        <v>17</v>
      </c>
      <c r="I349" s="7" t="s">
        <v>17</v>
      </c>
      <c r="J349" s="7" t="s">
        <v>294</v>
      </c>
    </row>
    <row r="350" spans="1:10" x14ac:dyDescent="0.25" outlineLevel="2" collapsed="1">
      <c r="A350" s="7" t="s">
        <v>15</v>
      </c>
      <c r="B350" s="7" t="s">
        <v>291</v>
      </c>
      <c r="C350" s="7" t="s">
        <v>17</v>
      </c>
      <c r="D350" s="7"/>
      <c r="E350" s="7" t="s">
        <v>724</v>
      </c>
      <c r="F350" s="7" t="s">
        <v>19</v>
      </c>
      <c r="G350" s="7" t="s">
        <v>293</v>
      </c>
      <c r="H350" s="7" t="s">
        <v>17</v>
      </c>
      <c r="I350" s="7" t="s">
        <v>17</v>
      </c>
      <c r="J350" s="7" t="s">
        <v>296</v>
      </c>
    </row>
    <row r="351" spans="1:10" x14ac:dyDescent="0.25" outlineLevel="2" collapsed="1">
      <c r="A351" s="8" t="s">
        <v>19</v>
      </c>
      <c r="B351" s="9" t="s">
        <v>725</v>
      </c>
      <c r="C351" s="8" t="s">
        <v>17</v>
      </c>
      <c r="D351" s="8"/>
      <c r="E351" s="8" t="s">
        <v>726</v>
      </c>
      <c r="F351" s="8" t="s">
        <v>15</v>
      </c>
      <c r="G351" s="8" t="s">
        <v>17</v>
      </c>
      <c r="H351" s="8" t="s">
        <v>17</v>
      </c>
      <c r="I351" s="8" t="s">
        <v>17</v>
      </c>
      <c r="J351" s="8" t="s">
        <v>727</v>
      </c>
    </row>
    <row r="352" spans="1:10" x14ac:dyDescent="0.25" outlineLevel="3" collapsed="1">
      <c r="A352" s="7" t="s">
        <v>15</v>
      </c>
      <c r="B352" s="7" t="s">
        <v>16</v>
      </c>
      <c r="C352" s="7" t="s">
        <v>17</v>
      </c>
      <c r="D352" s="7"/>
      <c r="E352" s="7" t="s">
        <v>728</v>
      </c>
      <c r="F352" s="7" t="s">
        <v>19</v>
      </c>
      <c r="G352" s="7" t="s">
        <v>729</v>
      </c>
      <c r="H352" s="7" t="s">
        <v>17</v>
      </c>
      <c r="I352" s="7" t="s">
        <v>17</v>
      </c>
      <c r="J352" s="7" t="s">
        <v>730</v>
      </c>
    </row>
    <row r="353" spans="1:10" x14ac:dyDescent="0.25" outlineLevel="3" collapsed="1">
      <c r="A353" s="7" t="s">
        <v>15</v>
      </c>
      <c r="B353" s="7" t="s">
        <v>16</v>
      </c>
      <c r="C353" s="7" t="s">
        <v>17</v>
      </c>
      <c r="D353" s="7"/>
      <c r="E353" s="7" t="s">
        <v>731</v>
      </c>
      <c r="F353" s="7" t="s">
        <v>19</v>
      </c>
      <c r="G353" s="7" t="s">
        <v>732</v>
      </c>
      <c r="H353" s="7" t="s">
        <v>17</v>
      </c>
      <c r="I353" s="7" t="s">
        <v>17</v>
      </c>
      <c r="J353" s="7" t="s">
        <v>733</v>
      </c>
    </row>
    <row r="354" spans="1:10" x14ac:dyDescent="0.25" outlineLevel="3" collapsed="1">
      <c r="A354" s="7" t="s">
        <v>15</v>
      </c>
      <c r="B354" s="7" t="s">
        <v>291</v>
      </c>
      <c r="C354" s="7" t="s">
        <v>17</v>
      </c>
      <c r="D354" s="7"/>
      <c r="E354" s="7" t="s">
        <v>30</v>
      </c>
      <c r="F354" s="7" t="s">
        <v>19</v>
      </c>
      <c r="G354" s="7" t="s">
        <v>293</v>
      </c>
      <c r="H354" s="7" t="s">
        <v>17</v>
      </c>
      <c r="I354" s="7" t="s">
        <v>17</v>
      </c>
      <c r="J354" s="7" t="s">
        <v>734</v>
      </c>
    </row>
    <row r="355" spans="1:10" x14ac:dyDescent="0.25" outlineLevel="3" collapsed="1">
      <c r="A355" s="7" t="s">
        <v>15</v>
      </c>
      <c r="B355" s="7" t="s">
        <v>291</v>
      </c>
      <c r="C355" s="7" t="s">
        <v>17</v>
      </c>
      <c r="D355" s="7"/>
      <c r="E355" s="7" t="s">
        <v>33</v>
      </c>
      <c r="F355" s="7" t="s">
        <v>19</v>
      </c>
      <c r="G355" s="7" t="s">
        <v>293</v>
      </c>
      <c r="H355" s="7" t="s">
        <v>17</v>
      </c>
      <c r="I355" s="7" t="s">
        <v>17</v>
      </c>
      <c r="J355" s="7" t="s">
        <v>735</v>
      </c>
    </row>
    <row r="356" spans="1:10" x14ac:dyDescent="0.25" outlineLevel="3" collapsed="1">
      <c r="A356" s="7" t="s">
        <v>15</v>
      </c>
      <c r="B356" s="7" t="s">
        <v>63</v>
      </c>
      <c r="C356" s="7" t="s">
        <v>17</v>
      </c>
      <c r="D356" s="7"/>
      <c r="E356" s="7" t="s">
        <v>736</v>
      </c>
      <c r="F356" s="7" t="s">
        <v>19</v>
      </c>
      <c r="G356" s="7">
        <v>276.0886</v>
      </c>
      <c r="H356" s="7" t="s">
        <v>17</v>
      </c>
      <c r="I356" s="7" t="s">
        <v>17</v>
      </c>
      <c r="J356" s="7" t="s">
        <v>737</v>
      </c>
    </row>
    <row r="357" spans="1:10" x14ac:dyDescent="0.25" outlineLevel="3" collapsed="1">
      <c r="A357" s="7" t="s">
        <v>15</v>
      </c>
      <c r="B357" s="7" t="s">
        <v>63</v>
      </c>
      <c r="C357" s="7" t="s">
        <v>17</v>
      </c>
      <c r="D357" s="7"/>
      <c r="E357" s="7" t="s">
        <v>738</v>
      </c>
      <c r="F357" s="7" t="s">
        <v>19</v>
      </c>
      <c r="G357" s="7">
        <v>0.3504</v>
      </c>
      <c r="H357" s="7" t="s">
        <v>17</v>
      </c>
      <c r="I357" s="7" t="s">
        <v>17</v>
      </c>
      <c r="J357" s="7" t="s">
        <v>739</v>
      </c>
    </row>
    <row r="358" spans="1:10" x14ac:dyDescent="0.25" outlineLevel="3" collapsed="1">
      <c r="A358" s="7" t="s">
        <v>15</v>
      </c>
      <c r="B358" s="7" t="s">
        <v>63</v>
      </c>
      <c r="C358" s="7" t="s">
        <v>17</v>
      </c>
      <c r="D358" s="7"/>
      <c r="E358" s="7" t="s">
        <v>740</v>
      </c>
      <c r="F358" s="7" t="s">
        <v>19</v>
      </c>
      <c r="G358" s="7">
        <v>0</v>
      </c>
      <c r="H358" s="7" t="s">
        <v>17</v>
      </c>
      <c r="I358" s="7" t="s">
        <v>17</v>
      </c>
      <c r="J358" s="7" t="s">
        <v>741</v>
      </c>
    </row>
    <row r="359" spans="1:10" x14ac:dyDescent="0.25" outlineLevel="3" collapsed="1">
      <c r="A359" s="7" t="s">
        <v>15</v>
      </c>
      <c r="B359" s="7" t="s">
        <v>63</v>
      </c>
      <c r="C359" s="7" t="s">
        <v>17</v>
      </c>
      <c r="D359" s="7"/>
      <c r="E359" s="7" t="s">
        <v>742</v>
      </c>
      <c r="F359" s="7" t="s">
        <v>19</v>
      </c>
      <c r="G359" s="7">
        <v>275.738</v>
      </c>
      <c r="H359" s="7" t="s">
        <v>17</v>
      </c>
      <c r="I359" s="7" t="s">
        <v>17</v>
      </c>
      <c r="J359" s="7" t="s">
        <v>743</v>
      </c>
    </row>
    <row r="360" spans="1:10" x14ac:dyDescent="0.25" outlineLevel="3" collapsed="1">
      <c r="A360" s="7" t="s">
        <v>15</v>
      </c>
      <c r="B360" s="7" t="s">
        <v>63</v>
      </c>
      <c r="C360" s="7" t="s">
        <v>17</v>
      </c>
      <c r="D360" s="7"/>
      <c r="E360" s="7" t="s">
        <v>744</v>
      </c>
      <c r="F360" s="7" t="s">
        <v>19</v>
      </c>
      <c r="G360" s="7">
        <v>0</v>
      </c>
      <c r="H360" s="7" t="s">
        <v>17</v>
      </c>
      <c r="I360" s="7" t="s">
        <v>17</v>
      </c>
      <c r="J360" s="7" t="s">
        <v>745</v>
      </c>
    </row>
    <row r="361" spans="1:10" x14ac:dyDescent="0.25" outlineLevel="3" collapsed="1">
      <c r="A361" s="7" t="s">
        <v>15</v>
      </c>
      <c r="B361" s="7" t="s">
        <v>63</v>
      </c>
      <c r="C361" s="7" t="s">
        <v>17</v>
      </c>
      <c r="D361" s="7"/>
      <c r="E361" s="7" t="s">
        <v>746</v>
      </c>
      <c r="F361" s="7" t="s">
        <v>19</v>
      </c>
      <c r="G361" s="7">
        <v>275.738</v>
      </c>
      <c r="H361" s="7" t="s">
        <v>17</v>
      </c>
      <c r="I361" s="7" t="s">
        <v>17</v>
      </c>
      <c r="J361" s="7" t="s">
        <v>747</v>
      </c>
    </row>
    <row r="362" spans="1:10" x14ac:dyDescent="0.25" outlineLevel="2" collapsed="1">
      <c r="A362" s="8" t="s">
        <v>19</v>
      </c>
      <c r="B362" s="9" t="s">
        <v>748</v>
      </c>
      <c r="C362" s="8" t="s">
        <v>17</v>
      </c>
      <c r="D362" s="8"/>
      <c r="E362" s="8" t="s">
        <v>749</v>
      </c>
      <c r="F362" s="8" t="s">
        <v>15</v>
      </c>
      <c r="G362" s="8" t="s">
        <v>17</v>
      </c>
      <c r="H362" s="8" t="s">
        <v>17</v>
      </c>
      <c r="I362" s="8" t="s">
        <v>17</v>
      </c>
      <c r="J362" s="8" t="s">
        <v>750</v>
      </c>
    </row>
    <row r="363" spans="1:10" x14ac:dyDescent="0.25" outlineLevel="3" collapsed="1">
      <c r="A363" s="7" t="s">
        <v>19</v>
      </c>
      <c r="B363" s="7" t="s">
        <v>16</v>
      </c>
      <c r="C363" s="7" t="s">
        <v>17</v>
      </c>
      <c r="D363" s="7"/>
      <c r="E363" s="7" t="s">
        <v>728</v>
      </c>
      <c r="F363" s="7" t="s">
        <v>19</v>
      </c>
      <c r="G363" s="7" t="s">
        <v>729</v>
      </c>
      <c r="H363" s="7" t="s">
        <v>17</v>
      </c>
      <c r="I363" s="7" t="s">
        <v>17</v>
      </c>
      <c r="J363" s="7" t="s">
        <v>730</v>
      </c>
    </row>
    <row r="364" spans="1:10" x14ac:dyDescent="0.25" outlineLevel="3" collapsed="1">
      <c r="A364" s="7" t="s">
        <v>19</v>
      </c>
      <c r="B364" s="7" t="s">
        <v>16</v>
      </c>
      <c r="C364" s="7" t="s">
        <v>17</v>
      </c>
      <c r="D364" s="7"/>
      <c r="E364" s="7" t="s">
        <v>731</v>
      </c>
      <c r="F364" s="7" t="s">
        <v>19</v>
      </c>
      <c r="G364" s="7" t="s">
        <v>732</v>
      </c>
      <c r="H364" s="7" t="s">
        <v>17</v>
      </c>
      <c r="I364" s="7" t="s">
        <v>17</v>
      </c>
      <c r="J364" s="7" t="s">
        <v>733</v>
      </c>
    </row>
    <row r="365" spans="1:10" x14ac:dyDescent="0.25" outlineLevel="3" collapsed="1">
      <c r="A365" s="7" t="s">
        <v>19</v>
      </c>
      <c r="B365" s="7" t="s">
        <v>291</v>
      </c>
      <c r="C365" s="7" t="s">
        <v>17</v>
      </c>
      <c r="D365" s="7"/>
      <c r="E365" s="7" t="s">
        <v>30</v>
      </c>
      <c r="F365" s="7" t="s">
        <v>19</v>
      </c>
      <c r="G365" s="7" t="s">
        <v>293</v>
      </c>
      <c r="H365" s="7" t="s">
        <v>17</v>
      </c>
      <c r="I365" s="7" t="s">
        <v>17</v>
      </c>
      <c r="J365" s="7" t="s">
        <v>734</v>
      </c>
    </row>
    <row r="366" spans="1:10" x14ac:dyDescent="0.25" outlineLevel="3" collapsed="1">
      <c r="A366" s="7" t="s">
        <v>19</v>
      </c>
      <c r="B366" s="7" t="s">
        <v>291</v>
      </c>
      <c r="C366" s="7" t="s">
        <v>17</v>
      </c>
      <c r="D366" s="7"/>
      <c r="E366" s="7" t="s">
        <v>33</v>
      </c>
      <c r="F366" s="7" t="s">
        <v>19</v>
      </c>
      <c r="G366" s="7" t="s">
        <v>293</v>
      </c>
      <c r="H366" s="7" t="s">
        <v>17</v>
      </c>
      <c r="I366" s="7" t="s">
        <v>17</v>
      </c>
      <c r="J366" s="7" t="s">
        <v>735</v>
      </c>
    </row>
    <row r="367" spans="1:10" x14ac:dyDescent="0.25" outlineLevel="3" collapsed="1">
      <c r="A367" s="7" t="s">
        <v>19</v>
      </c>
      <c r="B367" s="7" t="s">
        <v>63</v>
      </c>
      <c r="C367" s="7" t="s">
        <v>17</v>
      </c>
      <c r="D367" s="7"/>
      <c r="E367" s="7" t="s">
        <v>751</v>
      </c>
      <c r="F367" s="7" t="s">
        <v>19</v>
      </c>
      <c r="G367" s="7">
        <v>0</v>
      </c>
      <c r="H367" s="7" t="s">
        <v>17</v>
      </c>
      <c r="I367" s="7" t="s">
        <v>17</v>
      </c>
      <c r="J367" s="7" t="s">
        <v>752</v>
      </c>
    </row>
    <row r="368" spans="1:10" x14ac:dyDescent="0.25" outlineLevel="3" collapsed="1">
      <c r="A368" s="7" t="s">
        <v>19</v>
      </c>
      <c r="B368" s="7" t="s">
        <v>63</v>
      </c>
      <c r="C368" s="7" t="s">
        <v>17</v>
      </c>
      <c r="D368" s="7"/>
      <c r="E368" s="7" t="s">
        <v>753</v>
      </c>
      <c r="F368" s="7" t="s">
        <v>19</v>
      </c>
      <c r="G368" s="7">
        <v>0</v>
      </c>
      <c r="H368" s="7" t="s">
        <v>17</v>
      </c>
      <c r="I368" s="7" t="s">
        <v>17</v>
      </c>
      <c r="J368" s="7" t="s">
        <v>754</v>
      </c>
    </row>
    <row r="369" spans="1:10" x14ac:dyDescent="0.25" outlineLevel="3" collapsed="1">
      <c r="A369" s="7" t="s">
        <v>19</v>
      </c>
      <c r="B369" s="7" t="s">
        <v>63</v>
      </c>
      <c r="C369" s="7" t="s">
        <v>17</v>
      </c>
      <c r="D369" s="7"/>
      <c r="E369" s="7" t="s">
        <v>755</v>
      </c>
      <c r="F369" s="7" t="s">
        <v>19</v>
      </c>
      <c r="G369" s="7">
        <v>0</v>
      </c>
      <c r="H369" s="7" t="s">
        <v>17</v>
      </c>
      <c r="I369" s="7" t="s">
        <v>17</v>
      </c>
      <c r="J369" s="7" t="s">
        <v>756</v>
      </c>
    </row>
    <row r="370" spans="1:10" x14ac:dyDescent="0.25" outlineLevel="3" collapsed="1">
      <c r="A370" s="7" t="s">
        <v>19</v>
      </c>
      <c r="B370" s="7" t="s">
        <v>63</v>
      </c>
      <c r="C370" s="7" t="s">
        <v>17</v>
      </c>
      <c r="D370" s="7"/>
      <c r="E370" s="7" t="s">
        <v>757</v>
      </c>
      <c r="F370" s="7" t="s">
        <v>19</v>
      </c>
      <c r="G370" s="7">
        <v>0</v>
      </c>
      <c r="H370" s="7" t="s">
        <v>17</v>
      </c>
      <c r="I370" s="7" t="s">
        <v>17</v>
      </c>
      <c r="J370" s="7" t="s">
        <v>758</v>
      </c>
    </row>
    <row r="371" spans="1:10" x14ac:dyDescent="0.25" outlineLevel="3" collapsed="1">
      <c r="A371" s="7" t="s">
        <v>19</v>
      </c>
      <c r="B371" s="7" t="s">
        <v>63</v>
      </c>
      <c r="C371" s="7" t="s">
        <v>17</v>
      </c>
      <c r="D371" s="7"/>
      <c r="E371" s="7" t="s">
        <v>736</v>
      </c>
      <c r="F371" s="7" t="s">
        <v>19</v>
      </c>
      <c r="G371" s="7">
        <v>1</v>
      </c>
      <c r="H371" s="7" t="s">
        <v>17</v>
      </c>
      <c r="I371" s="7" t="s">
        <v>17</v>
      </c>
      <c r="J371" s="7" t="s">
        <v>759</v>
      </c>
    </row>
    <row r="372" spans="1:10" x14ac:dyDescent="0.25" outlineLevel="3" collapsed="1">
      <c r="A372" s="7" t="s">
        <v>19</v>
      </c>
      <c r="B372" s="7" t="s">
        <v>63</v>
      </c>
      <c r="C372" s="7" t="s">
        <v>17</v>
      </c>
      <c r="D372" s="7"/>
      <c r="E372" s="7" t="s">
        <v>738</v>
      </c>
      <c r="F372" s="7" t="s">
        <v>19</v>
      </c>
      <c r="G372" s="7">
        <v>1</v>
      </c>
      <c r="H372" s="7" t="s">
        <v>17</v>
      </c>
      <c r="I372" s="7" t="s">
        <v>17</v>
      </c>
      <c r="J372" s="7" t="s">
        <v>760</v>
      </c>
    </row>
    <row r="373" spans="1:10" x14ac:dyDescent="0.25" outlineLevel="3" collapsed="1">
      <c r="A373" s="7" t="s">
        <v>19</v>
      </c>
      <c r="B373" s="7" t="s">
        <v>63</v>
      </c>
      <c r="C373" s="7" t="s">
        <v>17</v>
      </c>
      <c r="D373" s="7"/>
      <c r="E373" s="7" t="s">
        <v>740</v>
      </c>
      <c r="F373" s="7" t="s">
        <v>19</v>
      </c>
      <c r="G373" s="7">
        <v>1</v>
      </c>
      <c r="H373" s="7" t="s">
        <v>17</v>
      </c>
      <c r="I373" s="7" t="s">
        <v>17</v>
      </c>
      <c r="J373" s="7" t="s">
        <v>761</v>
      </c>
    </row>
    <row r="374" spans="1:10" x14ac:dyDescent="0.25" outlineLevel="2" collapsed="1">
      <c r="A374" s="8" t="s">
        <v>19</v>
      </c>
      <c r="B374" s="9" t="s">
        <v>762</v>
      </c>
      <c r="C374" s="8" t="s">
        <v>17</v>
      </c>
      <c r="D374" s="8"/>
      <c r="E374" s="8" t="s">
        <v>763</v>
      </c>
      <c r="F374" s="8" t="s">
        <v>15</v>
      </c>
      <c r="G374" s="8" t="s">
        <v>17</v>
      </c>
      <c r="H374" s="8" t="s">
        <v>17</v>
      </c>
      <c r="I374" s="8" t="s">
        <v>17</v>
      </c>
      <c r="J374" s="8" t="s">
        <v>764</v>
      </c>
    </row>
    <row r="375" spans="1:10" x14ac:dyDescent="0.25" outlineLevel="3" collapsed="1">
      <c r="A375" s="7" t="s">
        <v>15</v>
      </c>
      <c r="B375" s="7" t="s">
        <v>291</v>
      </c>
      <c r="C375" s="7" t="s">
        <v>17</v>
      </c>
      <c r="D375" s="7"/>
      <c r="E375" s="7" t="s">
        <v>30</v>
      </c>
      <c r="F375" s="7" t="s">
        <v>19</v>
      </c>
      <c r="G375" s="7" t="s">
        <v>293</v>
      </c>
      <c r="H375" s="7" t="s">
        <v>17</v>
      </c>
      <c r="I375" s="7" t="s">
        <v>17</v>
      </c>
      <c r="J375" s="7" t="s">
        <v>734</v>
      </c>
    </row>
    <row r="376" spans="1:10" x14ac:dyDescent="0.25" outlineLevel="3" collapsed="1">
      <c r="A376" s="7" t="s">
        <v>15</v>
      </c>
      <c r="B376" s="7" t="s">
        <v>291</v>
      </c>
      <c r="C376" s="7" t="s">
        <v>17</v>
      </c>
      <c r="D376" s="7"/>
      <c r="E376" s="7" t="s">
        <v>33</v>
      </c>
      <c r="F376" s="7" t="s">
        <v>19</v>
      </c>
      <c r="G376" s="7" t="s">
        <v>293</v>
      </c>
      <c r="H376" s="7" t="s">
        <v>17</v>
      </c>
      <c r="I376" s="7" t="s">
        <v>17</v>
      </c>
      <c r="J376" s="7" t="s">
        <v>735</v>
      </c>
    </row>
    <row r="377" spans="1:10" x14ac:dyDescent="0.25" outlineLevel="3" collapsed="1">
      <c r="A377" s="7" t="s">
        <v>15</v>
      </c>
      <c r="B377" s="7" t="s">
        <v>63</v>
      </c>
      <c r="C377" s="7" t="s">
        <v>17</v>
      </c>
      <c r="D377" s="7"/>
      <c r="E377" s="7" t="s">
        <v>765</v>
      </c>
      <c r="F377" s="7" t="s">
        <v>19</v>
      </c>
      <c r="G377" s="7">
        <v>275.738</v>
      </c>
      <c r="H377" s="7" t="s">
        <v>17</v>
      </c>
      <c r="I377" s="7" t="s">
        <v>17</v>
      </c>
      <c r="J377" s="7" t="s">
        <v>743</v>
      </c>
    </row>
    <row r="378" spans="1:10" x14ac:dyDescent="0.25" outlineLevel="3" collapsed="1">
      <c r="A378" s="7" t="s">
        <v>15</v>
      </c>
      <c r="B378" s="7" t="s">
        <v>63</v>
      </c>
      <c r="C378" s="7" t="s">
        <v>17</v>
      </c>
      <c r="D378" s="7"/>
      <c r="E378" s="7" t="s">
        <v>766</v>
      </c>
      <c r="F378" s="7" t="s">
        <v>19</v>
      </c>
      <c r="G378" s="7">
        <v>0</v>
      </c>
      <c r="H378" s="7" t="s">
        <v>17</v>
      </c>
      <c r="I378" s="7" t="s">
        <v>17</v>
      </c>
      <c r="J378" s="7" t="s">
        <v>745</v>
      </c>
    </row>
    <row r="379" spans="1:10" x14ac:dyDescent="0.25" outlineLevel="3" collapsed="1">
      <c r="A379" s="7" t="s">
        <v>15</v>
      </c>
      <c r="B379" s="7" t="s">
        <v>63</v>
      </c>
      <c r="C379" s="7" t="s">
        <v>17</v>
      </c>
      <c r="D379" s="7"/>
      <c r="E379" s="7" t="s">
        <v>767</v>
      </c>
      <c r="F379" s="7" t="s">
        <v>19</v>
      </c>
      <c r="G379" s="7">
        <v>275.738</v>
      </c>
      <c r="H379" s="7" t="s">
        <v>17</v>
      </c>
      <c r="I379" s="7" t="s">
        <v>17</v>
      </c>
      <c r="J379" s="7" t="s">
        <v>747</v>
      </c>
    </row>
    <row r="380" spans="1:10" x14ac:dyDescent="0.25" outlineLevel="2" collapsed="1">
      <c r="A380" s="7" t="s">
        <v>19</v>
      </c>
      <c r="B380" s="7" t="s">
        <v>63</v>
      </c>
      <c r="C380" s="7" t="s">
        <v>17</v>
      </c>
      <c r="D380" s="7"/>
      <c r="E380" s="7" t="s">
        <v>768</v>
      </c>
      <c r="F380" s="7" t="s">
        <v>19</v>
      </c>
      <c r="G380" s="7">
        <v>1</v>
      </c>
      <c r="H380" s="7" t="s">
        <v>17</v>
      </c>
      <c r="I380" s="7" t="s">
        <v>17</v>
      </c>
      <c r="J380" s="7" t="s">
        <v>769</v>
      </c>
    </row>
    <row r="381" spans="1:10" x14ac:dyDescent="0.25" outlineLevel="1" collapsed="1">
      <c r="A381" s="8" t="s">
        <v>15</v>
      </c>
      <c r="B381" s="9" t="s">
        <v>770</v>
      </c>
      <c r="C381" s="8" t="s">
        <v>17</v>
      </c>
      <c r="D381" s="8"/>
      <c r="E381" s="8" t="s">
        <v>771</v>
      </c>
      <c r="F381" s="8" t="s">
        <v>19</v>
      </c>
      <c r="G381" s="8" t="s">
        <v>17</v>
      </c>
      <c r="H381" s="8" t="s">
        <v>17</v>
      </c>
      <c r="I381" s="8" t="s">
        <v>17</v>
      </c>
      <c r="J381" s="8" t="s">
        <v>772</v>
      </c>
    </row>
    <row r="382" spans="1:10" x14ac:dyDescent="0.25" outlineLevel="2" collapsed="1">
      <c r="A382" s="8" t="s">
        <v>19</v>
      </c>
      <c r="B382" s="9" t="s">
        <v>773</v>
      </c>
      <c r="C382" s="8" t="s">
        <v>17</v>
      </c>
      <c r="D382" s="8"/>
      <c r="E382" s="8" t="s">
        <v>774</v>
      </c>
      <c r="F382" s="8" t="s">
        <v>15</v>
      </c>
      <c r="G382" s="8" t="s">
        <v>17</v>
      </c>
      <c r="H382" s="8" t="s">
        <v>17</v>
      </c>
      <c r="I382" s="8" t="s">
        <v>17</v>
      </c>
      <c r="J382" s="8" t="s">
        <v>775</v>
      </c>
    </row>
    <row r="383" spans="1:10" x14ac:dyDescent="0.25" outlineLevel="3" collapsed="1">
      <c r="A383" s="7" t="s">
        <v>15</v>
      </c>
      <c r="B383" s="7" t="s">
        <v>291</v>
      </c>
      <c r="C383" s="7" t="s">
        <v>17</v>
      </c>
      <c r="D383" s="7"/>
      <c r="E383" s="7" t="s">
        <v>30</v>
      </c>
      <c r="F383" s="7" t="s">
        <v>19</v>
      </c>
      <c r="G383" s="7" t="s">
        <v>293</v>
      </c>
      <c r="H383" s="7" t="s">
        <v>17</v>
      </c>
      <c r="I383" s="7" t="s">
        <v>17</v>
      </c>
      <c r="J383" s="7" t="s">
        <v>734</v>
      </c>
    </row>
    <row r="384" spans="1:10" x14ac:dyDescent="0.25" outlineLevel="3" collapsed="1">
      <c r="A384" s="7" t="s">
        <v>15</v>
      </c>
      <c r="B384" s="7" t="s">
        <v>291</v>
      </c>
      <c r="C384" s="7" t="s">
        <v>17</v>
      </c>
      <c r="D384" s="7"/>
      <c r="E384" s="7" t="s">
        <v>33</v>
      </c>
      <c r="F384" s="7" t="s">
        <v>19</v>
      </c>
      <c r="G384" s="7" t="s">
        <v>293</v>
      </c>
      <c r="H384" s="7" t="s">
        <v>17</v>
      </c>
      <c r="I384" s="7" t="s">
        <v>17</v>
      </c>
      <c r="J384" s="7" t="s">
        <v>735</v>
      </c>
    </row>
    <row r="385" spans="1:10" x14ac:dyDescent="0.25" outlineLevel="3" collapsed="1">
      <c r="A385" s="7" t="s">
        <v>15</v>
      </c>
      <c r="B385" s="7" t="s">
        <v>63</v>
      </c>
      <c r="C385" s="7" t="s">
        <v>17</v>
      </c>
      <c r="D385" s="7"/>
      <c r="E385" s="7" t="s">
        <v>776</v>
      </c>
      <c r="F385" s="7" t="s">
        <v>19</v>
      </c>
      <c r="G385" s="7">
        <v>275.738</v>
      </c>
      <c r="H385" s="7" t="s">
        <v>17</v>
      </c>
      <c r="I385" s="7" t="s">
        <v>17</v>
      </c>
      <c r="J385" s="7" t="s">
        <v>777</v>
      </c>
    </row>
    <row r="386" spans="1:10" x14ac:dyDescent="0.25" outlineLevel="3" collapsed="1">
      <c r="A386" s="7" t="s">
        <v>15</v>
      </c>
      <c r="B386" s="7" t="s">
        <v>63</v>
      </c>
      <c r="C386" s="7" t="s">
        <v>17</v>
      </c>
      <c r="D386" s="7"/>
      <c r="E386" s="7" t="s">
        <v>778</v>
      </c>
      <c r="F386" s="7" t="s">
        <v>19</v>
      </c>
      <c r="G386" s="7">
        <v>275.738</v>
      </c>
      <c r="H386" s="7" t="s">
        <v>17</v>
      </c>
      <c r="I386" s="7" t="s">
        <v>17</v>
      </c>
      <c r="J386" s="7" t="s">
        <v>779</v>
      </c>
    </row>
    <row r="387" spans="1:10" x14ac:dyDescent="0.25" outlineLevel="3" collapsed="1">
      <c r="A387" s="7" t="s">
        <v>15</v>
      </c>
      <c r="B387" s="7" t="s">
        <v>63</v>
      </c>
      <c r="C387" s="7" t="s">
        <v>17</v>
      </c>
      <c r="D387" s="7"/>
      <c r="E387" s="7" t="s">
        <v>780</v>
      </c>
      <c r="F387" s="7" t="s">
        <v>19</v>
      </c>
      <c r="G387" s="7">
        <v>0</v>
      </c>
      <c r="H387" s="7" t="s">
        <v>17</v>
      </c>
      <c r="I387" s="7" t="s">
        <v>17</v>
      </c>
      <c r="J387" s="7" t="s">
        <v>781</v>
      </c>
    </row>
    <row r="388" spans="1:10" x14ac:dyDescent="0.25" outlineLevel="3" collapsed="1">
      <c r="A388" s="7" t="s">
        <v>19</v>
      </c>
      <c r="B388" s="7" t="s">
        <v>16</v>
      </c>
      <c r="C388" s="7" t="s">
        <v>17</v>
      </c>
      <c r="D388" s="7"/>
      <c r="E388" s="7" t="s">
        <v>782</v>
      </c>
      <c r="F388" s="7" t="s">
        <v>19</v>
      </c>
      <c r="G388" s="7" t="s">
        <v>31</v>
      </c>
      <c r="H388" s="7" t="s">
        <v>17</v>
      </c>
      <c r="I388" s="7" t="s">
        <v>17</v>
      </c>
      <c r="J388" s="7" t="s">
        <v>783</v>
      </c>
    </row>
    <row r="389" spans="1:10" x14ac:dyDescent="0.25">
      <c r="A389" s="5" t="s">
        <v>15</v>
      </c>
      <c r="B389" s="5" t="s">
        <v>284</v>
      </c>
      <c r="C389" s="10" t="s">
        <v>784</v>
      </c>
      <c r="D389" s="5"/>
      <c r="E389" s="5" t="s">
        <v>784</v>
      </c>
      <c r="F389" s="5" t="s">
        <v>19</v>
      </c>
      <c r="G389" s="5" t="s">
        <v>785</v>
      </c>
      <c r="H389" s="5" t="s">
        <v>17</v>
      </c>
      <c r="I389" s="5" t="s">
        <v>17</v>
      </c>
      <c r="J389" s="5" t="s">
        <v>786</v>
      </c>
    </row>
    <row r="390" spans="1:10" x14ac:dyDescent="0.25">
      <c r="A390" s="5" t="s">
        <v>15</v>
      </c>
      <c r="B390" s="5" t="s">
        <v>63</v>
      </c>
      <c r="C390" s="5" t="s">
        <v>17</v>
      </c>
      <c r="D390" s="5"/>
      <c r="E390" s="5" t="s">
        <v>787</v>
      </c>
      <c r="F390" s="5" t="s">
        <v>19</v>
      </c>
      <c r="G390" s="5">
        <v>275.738</v>
      </c>
      <c r="H390" s="5" t="s">
        <v>17</v>
      </c>
      <c r="I390" s="5" t="s">
        <v>17</v>
      </c>
      <c r="J390" s="5" t="s">
        <v>788</v>
      </c>
    </row>
    <row r="391" spans="1:10" x14ac:dyDescent="0.25">
      <c r="A391" s="5" t="s">
        <v>15</v>
      </c>
      <c r="B391" s="5" t="s">
        <v>63</v>
      </c>
      <c r="C391" s="5" t="s">
        <v>17</v>
      </c>
      <c r="D391" s="5"/>
      <c r="E391" s="5" t="s">
        <v>789</v>
      </c>
      <c r="F391" s="5" t="s">
        <v>19</v>
      </c>
      <c r="G391" s="5">
        <v>275.738</v>
      </c>
      <c r="H391" s="5" t="s">
        <v>17</v>
      </c>
      <c r="I391" s="5" t="s">
        <v>17</v>
      </c>
      <c r="J391" s="5" t="s">
        <v>790</v>
      </c>
    </row>
    <row r="392" spans="1:10" x14ac:dyDescent="0.25">
      <c r="A392" s="5" t="s">
        <v>19</v>
      </c>
      <c r="B392" s="6" t="s">
        <v>791</v>
      </c>
      <c r="C392" s="5" t="s">
        <v>17</v>
      </c>
      <c r="D392" s="5"/>
      <c r="E392" s="5" t="s">
        <v>792</v>
      </c>
      <c r="F392" s="5" t="s">
        <v>15</v>
      </c>
      <c r="G392" s="5" t="s">
        <v>17</v>
      </c>
      <c r="H392" s="5" t="s">
        <v>17</v>
      </c>
      <c r="I392" s="5" t="s">
        <v>17</v>
      </c>
      <c r="J392" s="5" t="s">
        <v>793</v>
      </c>
    </row>
    <row r="393" spans="1:10" x14ac:dyDescent="0.25" outlineLevel="1" collapsed="1">
      <c r="A393" s="7" t="s">
        <v>19</v>
      </c>
      <c r="B393" s="7" t="s">
        <v>16</v>
      </c>
      <c r="C393" s="7" t="s">
        <v>17</v>
      </c>
      <c r="D393" s="7"/>
      <c r="E393" s="7" t="s">
        <v>794</v>
      </c>
      <c r="F393" s="7" t="s">
        <v>19</v>
      </c>
      <c r="G393" s="7" t="s">
        <v>795</v>
      </c>
      <c r="H393" s="7" t="s">
        <v>17</v>
      </c>
      <c r="I393" s="7" t="s">
        <v>17</v>
      </c>
      <c r="J393" s="7" t="s">
        <v>796</v>
      </c>
    </row>
    <row r="394" spans="1:10" x14ac:dyDescent="0.25" outlineLevel="1" collapsed="1">
      <c r="A394" s="7" t="s">
        <v>19</v>
      </c>
      <c r="B394" s="7" t="s">
        <v>16</v>
      </c>
      <c r="C394" s="7" t="s">
        <v>17</v>
      </c>
      <c r="D394" s="7"/>
      <c r="E394" s="7" t="s">
        <v>797</v>
      </c>
      <c r="F394" s="7" t="s">
        <v>19</v>
      </c>
      <c r="G394" s="7" t="s">
        <v>31</v>
      </c>
      <c r="H394" s="7" t="s">
        <v>17</v>
      </c>
      <c r="I394" s="7" t="s">
        <v>17</v>
      </c>
      <c r="J394" s="7" t="s">
        <v>798</v>
      </c>
    </row>
    <row r="395" spans="1:10" x14ac:dyDescent="0.25" outlineLevel="1" collapsed="1">
      <c r="A395" s="7" t="s">
        <v>19</v>
      </c>
      <c r="B395" s="7" t="s">
        <v>16</v>
      </c>
      <c r="C395" s="7" t="s">
        <v>17</v>
      </c>
      <c r="D395" s="7"/>
      <c r="E395" s="7" t="s">
        <v>799</v>
      </c>
      <c r="F395" s="7" t="s">
        <v>19</v>
      </c>
      <c r="G395" s="7" t="s">
        <v>31</v>
      </c>
      <c r="H395" s="7" t="s">
        <v>17</v>
      </c>
      <c r="I395" s="7" t="s">
        <v>17</v>
      </c>
      <c r="J395" s="7" t="s">
        <v>800</v>
      </c>
    </row>
    <row r="396" spans="1:10" x14ac:dyDescent="0.25">
      <c r="A396" s="5" t="s">
        <v>19</v>
      </c>
      <c r="B396" s="6" t="s">
        <v>801</v>
      </c>
      <c r="C396" s="5" t="s">
        <v>17</v>
      </c>
      <c r="D396" s="5"/>
      <c r="E396" s="5" t="s">
        <v>802</v>
      </c>
      <c r="F396" s="5" t="s">
        <v>15</v>
      </c>
      <c r="G396" s="5" t="s">
        <v>17</v>
      </c>
      <c r="H396" s="5" t="s">
        <v>17</v>
      </c>
      <c r="I396" s="5" t="s">
        <v>17</v>
      </c>
      <c r="J396" s="5" t="s">
        <v>803</v>
      </c>
    </row>
    <row r="397" spans="1:10" x14ac:dyDescent="0.25" outlineLevel="1" collapsed="1">
      <c r="A397" s="7" t="s">
        <v>15</v>
      </c>
      <c r="B397" s="7" t="s">
        <v>16</v>
      </c>
      <c r="C397" s="7" t="s">
        <v>17</v>
      </c>
      <c r="D397" s="7"/>
      <c r="E397" s="7" t="s">
        <v>804</v>
      </c>
      <c r="F397" s="7" t="s">
        <v>19</v>
      </c>
      <c r="G397" s="7" t="s">
        <v>475</v>
      </c>
      <c r="H397" s="7" t="s">
        <v>17</v>
      </c>
      <c r="I397" s="7" t="s">
        <v>17</v>
      </c>
      <c r="J397" s="7" t="s">
        <v>805</v>
      </c>
    </row>
    <row r="398" spans="1:10" x14ac:dyDescent="0.25" outlineLevel="1" collapsed="1">
      <c r="A398" s="7" t="s">
        <v>19</v>
      </c>
      <c r="B398" s="7" t="s">
        <v>291</v>
      </c>
      <c r="C398" s="7" t="s">
        <v>17</v>
      </c>
      <c r="D398" s="7"/>
      <c r="E398" s="7" t="s">
        <v>806</v>
      </c>
      <c r="F398" s="7" t="s">
        <v>19</v>
      </c>
      <c r="G398" s="7" t="s">
        <v>293</v>
      </c>
      <c r="H398" s="7" t="s">
        <v>17</v>
      </c>
      <c r="I398" s="7" t="s">
        <v>17</v>
      </c>
      <c r="J398" s="7" t="s">
        <v>807</v>
      </c>
    </row>
    <row r="399" spans="1:10" x14ac:dyDescent="0.25" outlineLevel="1" collapsed="1">
      <c r="A399" s="7" t="s">
        <v>19</v>
      </c>
      <c r="B399" s="7" t="s">
        <v>16</v>
      </c>
      <c r="C399" s="7" t="s">
        <v>17</v>
      </c>
      <c r="D399" s="7"/>
      <c r="E399" s="7" t="s">
        <v>808</v>
      </c>
      <c r="F399" s="7" t="s">
        <v>19</v>
      </c>
      <c r="G399" s="7" t="s">
        <v>809</v>
      </c>
      <c r="H399" s="7" t="s">
        <v>17</v>
      </c>
      <c r="I399" s="7" t="s">
        <v>17</v>
      </c>
      <c r="J399" s="7" t="s">
        <v>810</v>
      </c>
    </row>
    <row r="400" spans="1:10" x14ac:dyDescent="0.25" outlineLevel="1" collapsed="1">
      <c r="A400" s="7" t="s">
        <v>15</v>
      </c>
      <c r="B400" s="7" t="s">
        <v>284</v>
      </c>
      <c r="C400" s="11" t="s">
        <v>811</v>
      </c>
      <c r="D400" s="7"/>
      <c r="E400" s="7" t="s">
        <v>812</v>
      </c>
      <c r="F400" s="7" t="s">
        <v>19</v>
      </c>
      <c r="G400" s="7" t="s">
        <v>479</v>
      </c>
      <c r="H400" s="7" t="s">
        <v>17</v>
      </c>
      <c r="I400" s="7" t="s">
        <v>17</v>
      </c>
      <c r="J400" s="7" t="s">
        <v>480</v>
      </c>
    </row>
    <row r="401" spans="1:10" x14ac:dyDescent="0.25" outlineLevel="1" collapsed="1">
      <c r="A401" s="7" t="s">
        <v>19</v>
      </c>
      <c r="B401" s="7" t="s">
        <v>16</v>
      </c>
      <c r="C401" s="7" t="s">
        <v>17</v>
      </c>
      <c r="D401" s="7"/>
      <c r="E401" s="7" t="s">
        <v>813</v>
      </c>
      <c r="F401" s="7" t="s">
        <v>19</v>
      </c>
      <c r="G401" s="7" t="s">
        <v>482</v>
      </c>
      <c r="H401" s="7" t="s">
        <v>17</v>
      </c>
      <c r="I401" s="7" t="s">
        <v>17</v>
      </c>
      <c r="J401" s="7" t="s">
        <v>814</v>
      </c>
    </row>
    <row r="402" spans="1:10" x14ac:dyDescent="0.25" outlineLevel="1" collapsed="1">
      <c r="A402" s="7" t="s">
        <v>19</v>
      </c>
      <c r="B402" s="7" t="s">
        <v>16</v>
      </c>
      <c r="C402" s="7" t="s">
        <v>17</v>
      </c>
      <c r="D402" s="7"/>
      <c r="E402" s="7" t="s">
        <v>815</v>
      </c>
      <c r="F402" s="7" t="s">
        <v>19</v>
      </c>
      <c r="G402" s="7" t="s">
        <v>31</v>
      </c>
      <c r="H402" s="7" t="s">
        <v>17</v>
      </c>
      <c r="I402" s="7" t="s">
        <v>17</v>
      </c>
      <c r="J402" s="7" t="s">
        <v>816</v>
      </c>
    </row>
    <row r="403" spans="1:10" x14ac:dyDescent="0.25" outlineLevel="1" collapsed="1">
      <c r="A403" s="7" t="s">
        <v>19</v>
      </c>
      <c r="B403" s="7" t="s">
        <v>16</v>
      </c>
      <c r="C403" s="7" t="s">
        <v>17</v>
      </c>
      <c r="D403" s="7"/>
      <c r="E403" s="7" t="s">
        <v>817</v>
      </c>
      <c r="F403" s="7" t="s">
        <v>19</v>
      </c>
      <c r="G403" s="7" t="s">
        <v>31</v>
      </c>
      <c r="H403" s="7" t="s">
        <v>17</v>
      </c>
      <c r="I403" s="7" t="s">
        <v>17</v>
      </c>
      <c r="J403" s="7" t="s">
        <v>818</v>
      </c>
    </row>
    <row r="404" spans="1:10" x14ac:dyDescent="0.25">
      <c r="A404" s="5" t="s">
        <v>15</v>
      </c>
      <c r="B404" s="6" t="s">
        <v>819</v>
      </c>
      <c r="C404" s="5" t="s">
        <v>17</v>
      </c>
      <c r="D404" s="5"/>
      <c r="E404" s="5" t="s">
        <v>820</v>
      </c>
      <c r="F404" s="5" t="s">
        <v>15</v>
      </c>
      <c r="G404" s="5" t="s">
        <v>17</v>
      </c>
      <c r="H404" s="5" t="s">
        <v>17</v>
      </c>
      <c r="I404" s="5" t="s">
        <v>17</v>
      </c>
      <c r="J404" s="5" t="s">
        <v>821</v>
      </c>
    </row>
    <row r="405" spans="1:10" x14ac:dyDescent="0.25" outlineLevel="1" collapsed="1">
      <c r="A405" s="7" t="s">
        <v>15</v>
      </c>
      <c r="B405" s="7" t="s">
        <v>16</v>
      </c>
      <c r="C405" s="7" t="s">
        <v>17</v>
      </c>
      <c r="D405" s="7"/>
      <c r="E405" s="7" t="s">
        <v>822</v>
      </c>
      <c r="F405" s="7" t="s">
        <v>19</v>
      </c>
      <c r="G405" s="7" t="s">
        <v>823</v>
      </c>
      <c r="H405" s="7" t="s">
        <v>17</v>
      </c>
      <c r="I405" s="7" t="s">
        <v>17</v>
      </c>
      <c r="J405" s="7" t="s">
        <v>824</v>
      </c>
    </row>
    <row r="406" spans="1:10" x14ac:dyDescent="0.25" outlineLevel="1" collapsed="1">
      <c r="A406" s="7" t="s">
        <v>15</v>
      </c>
      <c r="B406" s="7" t="s">
        <v>16</v>
      </c>
      <c r="C406" s="7" t="s">
        <v>17</v>
      </c>
      <c r="D406" s="7"/>
      <c r="E406" s="7" t="s">
        <v>825</v>
      </c>
      <c r="F406" s="7" t="s">
        <v>19</v>
      </c>
      <c r="G406" s="7" t="s">
        <v>826</v>
      </c>
      <c r="H406" s="7" t="s">
        <v>17</v>
      </c>
      <c r="I406" s="7" t="s">
        <v>17</v>
      </c>
      <c r="J406" s="7" t="s">
        <v>827</v>
      </c>
    </row>
    <row r="407" spans="1:10" x14ac:dyDescent="0.25" outlineLevel="1" collapsed="1">
      <c r="A407" s="7" t="s">
        <v>15</v>
      </c>
      <c r="B407" s="7" t="s">
        <v>16</v>
      </c>
      <c r="C407" s="7" t="s">
        <v>17</v>
      </c>
      <c r="D407" s="7"/>
      <c r="E407" s="7" t="s">
        <v>828</v>
      </c>
      <c r="F407" s="7" t="s">
        <v>19</v>
      </c>
      <c r="G407" s="7" t="s">
        <v>829</v>
      </c>
      <c r="H407" s="7" t="s">
        <v>17</v>
      </c>
      <c r="I407" s="7" t="s">
        <v>17</v>
      </c>
      <c r="J407" s="7" t="s">
        <v>830</v>
      </c>
    </row>
    <row r="408" spans="1:10" x14ac:dyDescent="0.25">
      <c r="A408" s="5" t="s">
        <v>19</v>
      </c>
      <c r="B408" s="6" t="s">
        <v>831</v>
      </c>
      <c r="C408" s="5" t="s">
        <v>17</v>
      </c>
      <c r="D408" s="5"/>
      <c r="E408" s="5" t="s">
        <v>832</v>
      </c>
      <c r="F408" s="5" t="s">
        <v>15</v>
      </c>
      <c r="G408" s="5" t="s">
        <v>17</v>
      </c>
      <c r="H408" s="5" t="s">
        <v>17</v>
      </c>
      <c r="I408" s="5" t="s">
        <v>17</v>
      </c>
      <c r="J408" s="5" t="s">
        <v>833</v>
      </c>
    </row>
    <row r="409" spans="1:10" x14ac:dyDescent="0.25" outlineLevel="1" collapsed="1">
      <c r="A409" s="7" t="s">
        <v>19</v>
      </c>
      <c r="B409" s="7" t="s">
        <v>16</v>
      </c>
      <c r="C409" s="7" t="s">
        <v>17</v>
      </c>
      <c r="D409" s="7"/>
      <c r="E409" s="7" t="s">
        <v>834</v>
      </c>
      <c r="F409" s="7" t="s">
        <v>19</v>
      </c>
      <c r="G409" s="7" t="s">
        <v>31</v>
      </c>
      <c r="H409" s="7" t="s">
        <v>17</v>
      </c>
      <c r="I409" s="7" t="s">
        <v>17</v>
      </c>
      <c r="J409" s="7" t="s">
        <v>835</v>
      </c>
    </row>
    <row r="410" spans="1:10" x14ac:dyDescent="0.25" outlineLevel="1" collapsed="1">
      <c r="A410" s="7" t="s">
        <v>19</v>
      </c>
      <c r="B410" s="7" t="s">
        <v>16</v>
      </c>
      <c r="C410" s="7" t="s">
        <v>17</v>
      </c>
      <c r="D410" s="7"/>
      <c r="E410" s="7" t="s">
        <v>836</v>
      </c>
      <c r="F410" s="7" t="s">
        <v>19</v>
      </c>
      <c r="G410" s="7" t="s">
        <v>31</v>
      </c>
      <c r="H410" s="7" t="s">
        <v>17</v>
      </c>
      <c r="I410" s="7" t="s">
        <v>17</v>
      </c>
      <c r="J410" s="7" t="s">
        <v>837</v>
      </c>
    </row>
    <row r="411" spans="1:10" x14ac:dyDescent="0.25">
      <c r="A411" s="5" t="s">
        <v>19</v>
      </c>
      <c r="B411" s="6" t="s">
        <v>838</v>
      </c>
      <c r="C411" s="5" t="s">
        <v>17</v>
      </c>
      <c r="D411" s="5"/>
      <c r="E411" s="5" t="s">
        <v>839</v>
      </c>
      <c r="F411" s="5" t="s">
        <v>15</v>
      </c>
      <c r="G411" s="5" t="s">
        <v>17</v>
      </c>
      <c r="H411" s="5" t="s">
        <v>17</v>
      </c>
      <c r="I411" s="5" t="s">
        <v>17</v>
      </c>
      <c r="J411" s="5" t="s">
        <v>840</v>
      </c>
    </row>
    <row r="412" spans="1:10" x14ac:dyDescent="0.25" outlineLevel="1" collapsed="1">
      <c r="A412" s="7" t="s">
        <v>19</v>
      </c>
      <c r="B412" s="7" t="s">
        <v>16</v>
      </c>
      <c r="C412" s="7" t="s">
        <v>17</v>
      </c>
      <c r="D412" s="7"/>
      <c r="E412" s="7" t="s">
        <v>841</v>
      </c>
      <c r="F412" s="7" t="s">
        <v>19</v>
      </c>
      <c r="G412" s="7" t="s">
        <v>31</v>
      </c>
      <c r="H412" s="7" t="s">
        <v>17</v>
      </c>
      <c r="I412" s="7" t="s">
        <v>17</v>
      </c>
      <c r="J412" s="7" t="s">
        <v>330</v>
      </c>
    </row>
    <row r="413" spans="1:10" x14ac:dyDescent="0.25" outlineLevel="1" collapsed="1">
      <c r="A413" s="7" t="s">
        <v>19</v>
      </c>
      <c r="B413" s="7" t="s">
        <v>16</v>
      </c>
      <c r="C413" s="7" t="s">
        <v>17</v>
      </c>
      <c r="D413" s="7"/>
      <c r="E413" s="7" t="s">
        <v>842</v>
      </c>
      <c r="F413" s="7" t="s">
        <v>19</v>
      </c>
      <c r="G413" s="7" t="s">
        <v>31</v>
      </c>
      <c r="H413" s="7" t="s">
        <v>17</v>
      </c>
      <c r="I413" s="7" t="s">
        <v>17</v>
      </c>
      <c r="J413" s="7" t="s">
        <v>843</v>
      </c>
    </row>
  </sheetData>
  <mergeCells count="3">
    <mergeCell ref="A1:J1"/>
    <mergeCell ref="B2:J2"/>
    <mergeCell ref="B3:J3"/>
  </mergeCells>
  <dataValidations count="5">
    <dataValidation type="list" allowBlank="1" sqref="G29:I29">
      <formula1>'Enums'!C782:C783</formula1>
    </dataValidation>
    <dataValidation type="list" allowBlank="1" sqref="G389:I389">
      <formula1>'Enums'!C8:C10</formula1>
    </dataValidation>
    <dataValidation type="list" allowBlank="1" sqref="G400:I400">
      <formula1>'Enums'!C790:C792</formula1>
    </dataValidation>
    <dataValidation type="list" allowBlank="1" sqref="G8:I8">
      <formula1>'Enums'!C2:C2</formula1>
    </dataValidation>
    <dataValidation type="list" allowBlank="1" sqref="G81:I81">
      <formula1>'Enums'!C799:C801</formula1>
    </dataValidation>
  </dataValidations>
  <hyperlinks>
    <hyperlink ref="B22" r:id="rId1" location="#'Report file row'!A1"/>
    <hyperlink ref="B26" r:id="rId2" location="#'1. Introduction (VCS Verificat'!A1"/>
    <hyperlink ref="B32" r:id="rId3" location="#'2. Verification Process (VCS V'!A1"/>
    <hyperlink ref="B33" r:id="rId4" location="#'2.1 Method and Criteria (VCS V'!A1"/>
    <hyperlink ref="B35" r:id="rId5" location="#'Schedule milestone (Validation'!A1"/>
    <hyperlink ref="B38" r:id="rId6" location="#'2.2 Document Review (VCS Verif'!A1"/>
    <hyperlink ref="B39" r:id="rId7" location="#'Document review summary (Valid'!A1"/>
    <hyperlink ref="B45" r:id="rId8" location="#'Document list row (Validation'!A1"/>
    <hyperlink ref="B50" r:id="rId9" location="#'Document review details row (V'!A1"/>
    <hyperlink ref="B56" r:id="rId10" location="#'Interviews (Verification)'!A1"/>
    <hyperlink ref="B60" r:id="rId11" location="#'Interviewee row (Validation an'!A1"/>
    <hyperlink ref="B64" r:id="rId12" location="#'Site visits (Validation and Ve'!A1"/>
    <hyperlink ref="B73" r:id="rId13" location="#'Resolution of CARs CLs and FAR'!A1"/>
    <hyperlink ref="B79" r:id="rId14" location="#'CARCLFAR reference row (Valida'!A1"/>
    <hyperlink ref="B84" r:id="rId15" location="#'3. Validation Findings (VCS Ve'!A1"/>
    <hyperlink ref="B85" r:id="rId16" location="#'3.1 Methodology Deviations'!A1"/>
    <hyperlink ref="B88" r:id="rId17" location="#'Methodology Deviations (VCS Ve'!A1"/>
    <hyperlink ref="B91" r:id="rId18" location="#'Deadlines for Participation ro'!A1"/>
    <hyperlink ref="B94" r:id="rId19" location="#'3.2 Project Description Deviat'!A1"/>
    <hyperlink ref="B97" r:id="rId20" location="#'Project Description Deviations'!A1"/>
    <hyperlink ref="B100" r:id="rId21" location="#'Deadlines for Participation ro'!A1"/>
    <hyperlink ref="B103" r:id="rId22" location="#'3.3 New Project Activity Insta'!A1"/>
    <hyperlink ref="B106" r:id="rId23" location="#'New Project Activity Instances'!A1"/>
    <hyperlink ref="B109" r:id="rId24" location="#'Deadlines for Participation ro'!A1"/>
    <hyperlink ref="B112" r:id="rId25" location="#'3.4 Baseline Reassessment'!A1"/>
    <hyperlink ref="B115" r:id="rId26" location="#'Baseline Reassessment (VCS Ver'!A1"/>
    <hyperlink ref="B118" r:id="rId27" location="#'Deadlines for Participation ro'!A1"/>
    <hyperlink ref="B121" r:id="rId28" location="#'4. Verification Findings (VCS'!A1"/>
    <hyperlink ref="B122" r:id="rId29" location="#'4.1 Implementation Status of t'!A1"/>
    <hyperlink ref="B123" r:id="rId30" location="#'4.1.1 General Implementation S'!A1"/>
    <hyperlink ref="B126" r:id="rId31" location="#'Deadlines for Participation ro'!A1"/>
    <hyperlink ref="B129" r:id="rId32" location="#'4.1.2 Loss Events'!A1"/>
    <hyperlink ref="B132" r:id="rId33" location="#'Deadlines for Participation ro'!A1"/>
    <hyperlink ref="B135" r:id="rId34" location="#'4.2 Project Details (VCS Verif'!A1"/>
    <hyperlink ref="B136" r:id="rId35" location="#'4.2.1 Audit History'!A1"/>
    <hyperlink ref="B139" r:id="rId36" location="#'4.2.2 Sectoral Scope and Proje'!A1"/>
    <hyperlink ref="B141" r:id="rId37" location="#'4.2.3 Project Location'!A1"/>
    <hyperlink ref="B144" r:id="rId38" location="#'Deadlines for Participation ro'!A1"/>
    <hyperlink ref="B147" r:id="rId39" location="#'4.2.4 Double Counting and Part'!A1"/>
    <hyperlink ref="B148" r:id="rId40" location="#'4.2.4.1 No Double Issuance'!A1"/>
    <hyperlink ref="B151" r:id="rId41" location="#'4.2.4.2 Registration with Othe'!A1"/>
    <hyperlink ref="B154" r:id="rId42" location="#'4.2.5 Double Claiming Other Fo'!A1"/>
    <hyperlink ref="B155" r:id="rId43" location="#'4.2.5.1 No Double Claiming wit'!A1"/>
    <hyperlink ref="B158" r:id="rId44" location="#'4.2.5.2 No Double Claiming wit'!A1"/>
    <hyperlink ref="B161" r:id="rId45" location="#'4.2.5.3 Supply chain (Scope 3)'!A1"/>
    <hyperlink ref="B164" r:id="rId46" location="#'Deadlines for Participation ro'!A1"/>
    <hyperlink ref="B167" r:id="rId47" location="#'4.2.6 Sustainable Development'!A1"/>
    <hyperlink ref="B170" r:id="rId48" location="#'Deadlines for Participation ro'!A1"/>
    <hyperlink ref="B173" r:id="rId49" location="#'4.2.7 Additional Information ('!A1"/>
    <hyperlink ref="B174" r:id="rId50" location="#'4.2.7.1 Sensitive Information'!A1"/>
    <hyperlink ref="B176" r:id="rId51" location="#'4.2.7.2 Core Carbon Principles'!A1"/>
    <hyperlink ref="B178" r:id="rId52" location="#'4.2.7.3 CORSIA Label Eligibili'!A1"/>
    <hyperlink ref="B180" r:id="rId53" location="#'Sensitive Information (VCS Ver'!A1"/>
    <hyperlink ref="B182" r:id="rId54" location="#'Core Carbon Principles Label E'!A1"/>
    <hyperlink ref="B184" r:id="rId55" location="#'CORSIA Label Eligibility (VCS'!A1"/>
    <hyperlink ref="B186" r:id="rId56" location="#'No Double Issuance (VCS Verifi'!A1"/>
    <hyperlink ref="B189" r:id="rId57" location="#'Deadlines for Participation ro'!A1"/>
    <hyperlink ref="B192" r:id="rId58" location="#'Registration with Other GHG Pr'!A1"/>
    <hyperlink ref="B195" r:id="rId59" location="#'Deadlines for Participation ro'!A1"/>
    <hyperlink ref="B198" r:id="rId60" location="#'No Double Claiming with Emissi'!A1"/>
    <hyperlink ref="B201" r:id="rId61" location="#'Deadlines for Participation ro'!A1"/>
    <hyperlink ref="B204" r:id="rId62" location="#'Supply Chain (Scope 3) Emis 2'!A1"/>
    <hyperlink ref="B207" r:id="rId63" location="#'Deadlines for Participation ro'!A1"/>
    <hyperlink ref="B210" r:id="rId64" location="#'Right to Operate and Right  2'!A1"/>
    <hyperlink ref="B213" r:id="rId65" location="#'Deadlines for Participation ro'!A1"/>
    <hyperlink ref="B216" r:id="rId66" location="#'Land or Resource Rights Ana 2'!A1"/>
    <hyperlink ref="B219" r:id="rId67" location="#'Deadlines for Participation ro'!A1"/>
    <hyperlink ref="B222" r:id="rId68" location="#'4.4 Quantification of Reductio'!A1"/>
    <hyperlink ref="B223" r:id="rId69" location="#'4.4.1 Accuracy of Reduction an'!A1"/>
    <hyperlink ref="B226" r:id="rId70" location="#'4.4.2 Quality of Evidence to D'!A1"/>
    <hyperlink ref="B229" r:id="rId71" location="#'4.4.3 Other Relevant Quantific'!A1"/>
    <hyperlink ref="B230" r:id="rId72" location="#'4.4.3.1 Non-Permanence Risk An'!A1"/>
    <hyperlink ref="B233" r:id="rId73" location="#'4.4.3.2 Buffer Pool Allocation'!A1"/>
    <hyperlink ref="B236" r:id="rId74" location="#'4.4.3.3 Long-Term Average'!A1"/>
    <hyperlink ref="B239" r:id="rId75" location="#'4.4.3.4 De Minimis Quantificat'!A1"/>
    <hyperlink ref="B242" r:id="rId76" location="#'De Minimis Quantification (VCS'!A1"/>
    <hyperlink ref="B245" r:id="rId77" location="#'Deadlines for Participation ro'!A1"/>
    <hyperlink ref="B248" r:id="rId78" location="#'4.5 Monitoring (VCS Verificati'!A1"/>
    <hyperlink ref="B249" r:id="rId79" location="#'Data and parameter row (Verifi'!A1"/>
    <hyperlink ref="B254" r:id="rId80" location="#'4.5.2 Monitoring Plan'!A1"/>
    <hyperlink ref="B257" r:id="rId81" location="#'Deadlines for Participation ro'!A1"/>
    <hyperlink ref="B260" r:id="rId82" location="#'4.2.8 Right to Operate and Rig'!A1"/>
    <hyperlink ref="B261" r:id="rId83" location="#'Safeguards assessment row item'!A1"/>
    <hyperlink ref="B264" r:id="rId84" location="#'Safeguards assessment row item'!A1"/>
    <hyperlink ref="B267" r:id="rId85" location="#'4.3 Stakeholder Engagement and'!A1"/>
    <hyperlink ref="B268" r:id="rId86" location="#'Safeguards assessment row item'!A1"/>
    <hyperlink ref="B271" r:id="rId87" location="#'Safeguards assessment row item'!A1"/>
    <hyperlink ref="B274" r:id="rId88" location="#'Safeguards assessment row item'!A1"/>
    <hyperlink ref="B277" r:id="rId89" location="#'Safeguards assessment row item'!A1"/>
    <hyperlink ref="B280" r:id="rId90" location="#'Safeguards assessment row item'!A1"/>
    <hyperlink ref="B283" r:id="rId91" location="#'Safeguards assessment row item'!A1"/>
    <hyperlink ref="B286" r:id="rId92" location="#'Safeguards assessment row item'!A1"/>
    <hyperlink ref="B289" r:id="rId93" location="#'Safeguards assessment row item'!A1"/>
    <hyperlink ref="B292" r:id="rId94" location="#'Stakeholder Identification (VC'!A1"/>
    <hyperlink ref="B295" r:id="rId95" location="#'Deadlines for Participation ro'!A1"/>
    <hyperlink ref="B298" r:id="rId96" location="#'Stakeholder Consultation and O'!A1"/>
    <hyperlink ref="B301" r:id="rId97" location="#'Deadlines for Participation ro'!A1"/>
    <hyperlink ref="B304" r:id="rId98" location="#'Free Prior and Informed Consen'!A1"/>
    <hyperlink ref="B307" r:id="rId99" location="#'Deadlines for Participation ro'!A1"/>
    <hyperlink ref="B310" r:id="rId100" location="#'Benefit-Sharing for Other Righ'!A1"/>
    <hyperlink ref="B313" r:id="rId101" location="#'Deadlines for Participation ro'!A1"/>
    <hyperlink ref="B316" r:id="rId102" location="#'Stakeholder Input Tracker (VCS'!A1"/>
    <hyperlink ref="B319" r:id="rId103" location="#'Deadlines for Participation ro'!A1"/>
    <hyperlink ref="B322" r:id="rId104" location="#'Grievance Redress Mechanism 2'!A1"/>
    <hyperlink ref="B325" r:id="rId105" location="#'Deadlines for Participation ro'!A1"/>
    <hyperlink ref="B328" r:id="rId106" location="#'Management Expertise (VCS Veri'!A1"/>
    <hyperlink ref="B331" r:id="rId107" location="#'Deadlines for Participation ro'!A1"/>
    <hyperlink ref="B334" r:id="rId108" location="#'Environmental Social and Go 2'!A1"/>
    <hyperlink ref="B337" r:id="rId109" location="#'Deadlines for Participation ro'!A1"/>
    <hyperlink ref="B340" r:id="rId110" location="#'5. Verification Opinion (VCS V'!A1"/>
    <hyperlink ref="B341" r:id="rId111" location="#'5.1 Verification Conclusion Su'!A1"/>
    <hyperlink ref="B348" r:id="rId112" location="#'5.2 Conclusion on Achieved Red'!A1"/>
    <hyperlink ref="B351" r:id="rId113" location="#'Achieved reductions by vintage'!A1"/>
    <hyperlink ref="B362" r:id="rId114" location="#'Buffer pool allocation by vint'!A1"/>
    <hyperlink ref="B374" r:id="rId115" location="#'Vintage summary row'!A1"/>
    <hyperlink ref="B381" r:id="rId116" location="#'5.3 Ex-Ante vs Ex-Post Compari'!A1"/>
    <hyperlink ref="B382" r:id="rId117" location="#'Ex-ante vs ex-post row'!A1"/>
    <hyperlink ref="B392" r:id="rId118" location="#'Appendix 1 row (Validation and'!A1"/>
    <hyperlink ref="B396" r:id="rId119" location="#'Appendix 2 row (Validation and'!A1"/>
    <hyperlink ref="B404" r:id="rId120" location="#'Appendix 3 row (Validation and'!A1"/>
    <hyperlink ref="B408" r:id="rId121" location="#'Appendix X row (Validation and'!A1"/>
    <hyperlink ref="B411" r:id="rId122" location="#'Document history row (VVB Veri'!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844</v>
      </c>
      <c r="B1" s="1"/>
      <c r="C1" s="1"/>
      <c r="D1" s="1"/>
      <c r="E1" s="1"/>
      <c r="F1" s="1"/>
      <c r="G1" s="1"/>
      <c r="H1" s="1"/>
      <c r="I1" s="1"/>
      <c r="J1" s="1"/>
    </row>
    <row r="2" spans="1:10" x14ac:dyDescent="0.25">
      <c r="A2" s="2" t="s">
        <v>1</v>
      </c>
      <c r="B2" s="3" t="s">
        <v>845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846</v>
      </c>
      <c r="F5" s="5" t="s">
        <v>19</v>
      </c>
      <c r="G5" s="5" t="s">
        <v>847</v>
      </c>
      <c r="H5" s="5" t="s">
        <v>17</v>
      </c>
      <c r="I5" s="5" t="s">
        <v>17</v>
      </c>
      <c r="J5" s="5" t="s">
        <v>848</v>
      </c>
    </row>
    <row r="6" spans="1:10" x14ac:dyDescent="0.25">
      <c r="A6" s="5" t="s">
        <v>15</v>
      </c>
      <c r="B6" s="5" t="s">
        <v>16</v>
      </c>
      <c r="C6" s="5" t="s">
        <v>17</v>
      </c>
      <c r="D6" s="5"/>
      <c r="E6" s="5" t="s">
        <v>849</v>
      </c>
      <c r="F6" s="5" t="s">
        <v>19</v>
      </c>
      <c r="G6" s="5" t="s">
        <v>850</v>
      </c>
      <c r="H6" s="5" t="s">
        <v>17</v>
      </c>
      <c r="I6" s="5" t="s">
        <v>17</v>
      </c>
      <c r="J6" s="5" t="s">
        <v>851</v>
      </c>
    </row>
    <row r="7" spans="1:10" x14ac:dyDescent="0.25">
      <c r="A7" s="5" t="s">
        <v>15</v>
      </c>
      <c r="B7" s="5" t="s">
        <v>63</v>
      </c>
      <c r="C7" s="5" t="s">
        <v>17</v>
      </c>
      <c r="D7" s="5"/>
      <c r="E7" s="5" t="s">
        <v>852</v>
      </c>
      <c r="F7" s="5" t="s">
        <v>19</v>
      </c>
      <c r="G7" s="5">
        <v>1</v>
      </c>
      <c r="H7" s="5" t="s">
        <v>17</v>
      </c>
      <c r="I7" s="5" t="s">
        <v>17</v>
      </c>
      <c r="J7" s="5" t="s">
        <v>853</v>
      </c>
    </row>
    <row r="8" spans="1:10" x14ac:dyDescent="0.25">
      <c r="A8" s="5" t="s">
        <v>19</v>
      </c>
      <c r="B8" s="5" t="s">
        <v>16</v>
      </c>
      <c r="C8" s="5" t="s">
        <v>17</v>
      </c>
      <c r="D8" s="5"/>
      <c r="E8" s="5" t="s">
        <v>854</v>
      </c>
      <c r="F8" s="5" t="s">
        <v>19</v>
      </c>
      <c r="G8" s="5" t="s">
        <v>31</v>
      </c>
      <c r="H8" s="5" t="s">
        <v>17</v>
      </c>
      <c r="I8" s="5" t="s">
        <v>17</v>
      </c>
      <c r="J8" s="5" t="s">
        <v>855</v>
      </c>
    </row>
    <row r="9" spans="1:10" x14ac:dyDescent="0.25">
      <c r="A9" s="5" t="s">
        <v>19</v>
      </c>
      <c r="B9" s="5" t="s">
        <v>16</v>
      </c>
      <c r="C9" s="5" t="s">
        <v>17</v>
      </c>
      <c r="D9" s="5"/>
      <c r="E9" s="5" t="s">
        <v>856</v>
      </c>
      <c r="F9" s="5" t="s">
        <v>19</v>
      </c>
      <c r="G9" s="5" t="s">
        <v>31</v>
      </c>
      <c r="H9" s="5" t="s">
        <v>17</v>
      </c>
      <c r="I9" s="5" t="s">
        <v>17</v>
      </c>
      <c r="J9" s="5" t="s">
        <v>857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858</v>
      </c>
      <c r="B1" s="1"/>
      <c r="C1" s="1"/>
      <c r="D1" s="1"/>
      <c r="E1" s="1"/>
      <c r="F1" s="1"/>
      <c r="G1" s="1"/>
      <c r="H1" s="1"/>
      <c r="I1" s="1"/>
      <c r="J1" s="1"/>
    </row>
    <row r="2" spans="1:10" x14ac:dyDescent="0.25">
      <c r="A2" s="2" t="s">
        <v>1</v>
      </c>
      <c r="B2" s="3" t="s">
        <v>859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860</v>
      </c>
      <c r="C5" s="5" t="s">
        <v>17</v>
      </c>
      <c r="D5" s="5"/>
      <c r="E5" s="5" t="s">
        <v>861</v>
      </c>
      <c r="F5" s="5" t="s">
        <v>19</v>
      </c>
      <c r="G5" s="5" t="s">
        <v>17</v>
      </c>
      <c r="H5" s="5" t="s">
        <v>17</v>
      </c>
      <c r="I5" s="5" t="s">
        <v>17</v>
      </c>
      <c r="J5" s="5" t="s">
        <v>862</v>
      </c>
    </row>
    <row r="6" spans="1:10" x14ac:dyDescent="0.25" outlineLevel="1" collapsed="1">
      <c r="A6" s="7" t="s">
        <v>15</v>
      </c>
      <c r="B6" s="7" t="s">
        <v>16</v>
      </c>
      <c r="C6" s="7" t="s">
        <v>17</v>
      </c>
      <c r="D6" s="7"/>
      <c r="E6" s="7" t="s">
        <v>863</v>
      </c>
      <c r="F6" s="7" t="s">
        <v>19</v>
      </c>
      <c r="G6" s="7" t="s">
        <v>864</v>
      </c>
      <c r="H6" s="7" t="s">
        <v>864</v>
      </c>
      <c r="I6" s="7" t="s">
        <v>17</v>
      </c>
      <c r="J6" s="7" t="s">
        <v>865</v>
      </c>
    </row>
    <row r="7" spans="1:10" x14ac:dyDescent="0.25">
      <c r="A7" s="5" t="s">
        <v>15</v>
      </c>
      <c r="B7" s="6" t="s">
        <v>866</v>
      </c>
      <c r="C7" s="5" t="s">
        <v>17</v>
      </c>
      <c r="D7" s="5"/>
      <c r="E7" s="5" t="s">
        <v>867</v>
      </c>
      <c r="F7" s="5" t="s">
        <v>19</v>
      </c>
      <c r="G7" s="5" t="s">
        <v>17</v>
      </c>
      <c r="H7" s="5" t="s">
        <v>17</v>
      </c>
      <c r="I7" s="5" t="s">
        <v>17</v>
      </c>
      <c r="J7" s="5" t="s">
        <v>868</v>
      </c>
    </row>
    <row r="8" spans="1:10" x14ac:dyDescent="0.25" outlineLevel="1" collapsed="1">
      <c r="A8" s="7" t="s">
        <v>15</v>
      </c>
      <c r="B8" s="7" t="s">
        <v>284</v>
      </c>
      <c r="C8" s="11" t="s">
        <v>869</v>
      </c>
      <c r="D8" s="7"/>
      <c r="E8" s="7" t="s">
        <v>870</v>
      </c>
      <c r="F8" s="7" t="s">
        <v>19</v>
      </c>
      <c r="G8" s="7" t="s">
        <v>871</v>
      </c>
      <c r="H8" s="7" t="s">
        <v>17</v>
      </c>
      <c r="I8" s="7" t="s">
        <v>17</v>
      </c>
      <c r="J8" s="7" t="s">
        <v>872</v>
      </c>
    </row>
    <row r="9" spans="1:10" x14ac:dyDescent="0.25" outlineLevel="1" collapsed="1">
      <c r="A9" s="7" t="s">
        <v>15</v>
      </c>
      <c r="B9" s="7" t="s">
        <v>16</v>
      </c>
      <c r="C9" s="7" t="s">
        <v>17</v>
      </c>
      <c r="D9" s="7"/>
      <c r="E9" s="7" t="s">
        <v>873</v>
      </c>
      <c r="F9" s="7" t="s">
        <v>19</v>
      </c>
      <c r="G9" s="7" t="s">
        <v>31</v>
      </c>
      <c r="H9" s="7" t="s">
        <v>17</v>
      </c>
      <c r="I9" s="7" t="s">
        <v>17</v>
      </c>
      <c r="J9" s="7" t="s">
        <v>874</v>
      </c>
    </row>
    <row r="10" spans="1:10" x14ac:dyDescent="0.25" outlineLevel="1" collapsed="1">
      <c r="A10" s="7" t="s">
        <v>15</v>
      </c>
      <c r="B10" s="7" t="s">
        <v>284</v>
      </c>
      <c r="C10" s="11" t="s">
        <v>875</v>
      </c>
      <c r="D10" s="7"/>
      <c r="E10" s="7" t="s">
        <v>876</v>
      </c>
      <c r="F10" s="7" t="s">
        <v>19</v>
      </c>
      <c r="G10" s="7" t="s">
        <v>877</v>
      </c>
      <c r="H10" s="7" t="s">
        <v>17</v>
      </c>
      <c r="I10" s="7" t="s">
        <v>17</v>
      </c>
      <c r="J10" s="7" t="s">
        <v>878</v>
      </c>
    </row>
    <row r="11" spans="1:10" x14ac:dyDescent="0.25" outlineLevel="1" collapsed="1">
      <c r="A11" s="7" t="s">
        <v>15</v>
      </c>
      <c r="B11" s="7" t="s">
        <v>16</v>
      </c>
      <c r="C11" s="7" t="s">
        <v>17</v>
      </c>
      <c r="D11" s="7"/>
      <c r="E11" s="7" t="s">
        <v>879</v>
      </c>
      <c r="F11" s="7" t="s">
        <v>19</v>
      </c>
      <c r="G11" s="7" t="s">
        <v>31</v>
      </c>
      <c r="H11" s="7" t="s">
        <v>17</v>
      </c>
      <c r="I11" s="7" t="s">
        <v>17</v>
      </c>
      <c r="J11" s="7" t="s">
        <v>880</v>
      </c>
    </row>
    <row r="12" spans="1:10" x14ac:dyDescent="0.25" outlineLevel="1" collapsed="1">
      <c r="A12" s="7" t="s">
        <v>15</v>
      </c>
      <c r="B12" s="7" t="s">
        <v>284</v>
      </c>
      <c r="C12" s="11" t="s">
        <v>881</v>
      </c>
      <c r="D12" s="7"/>
      <c r="E12" s="7" t="s">
        <v>882</v>
      </c>
      <c r="F12" s="7" t="s">
        <v>19</v>
      </c>
      <c r="G12" s="7" t="s">
        <v>883</v>
      </c>
      <c r="H12" s="7" t="s">
        <v>17</v>
      </c>
      <c r="I12" s="7" t="s">
        <v>17</v>
      </c>
      <c r="J12" s="7" t="s">
        <v>884</v>
      </c>
    </row>
    <row r="13" spans="1:10" x14ac:dyDescent="0.25" outlineLevel="1" collapsed="1">
      <c r="A13" s="7" t="s">
        <v>15</v>
      </c>
      <c r="B13" s="7" t="s">
        <v>16</v>
      </c>
      <c r="C13" s="7" t="s">
        <v>17</v>
      </c>
      <c r="D13" s="7"/>
      <c r="E13" s="7" t="s">
        <v>885</v>
      </c>
      <c r="F13" s="7" t="s">
        <v>19</v>
      </c>
      <c r="G13" s="7" t="s">
        <v>31</v>
      </c>
      <c r="H13" s="7" t="s">
        <v>17</v>
      </c>
      <c r="I13" s="7" t="s">
        <v>17</v>
      </c>
      <c r="J13" s="7" t="s">
        <v>886</v>
      </c>
    </row>
    <row r="14" spans="1:10" x14ac:dyDescent="0.25" outlineLevel="1" collapsed="1">
      <c r="A14" s="7" t="s">
        <v>15</v>
      </c>
      <c r="B14" s="7" t="s">
        <v>284</v>
      </c>
      <c r="C14" s="11" t="s">
        <v>887</v>
      </c>
      <c r="D14" s="7"/>
      <c r="E14" s="7" t="s">
        <v>888</v>
      </c>
      <c r="F14" s="7" t="s">
        <v>19</v>
      </c>
      <c r="G14" s="7" t="s">
        <v>889</v>
      </c>
      <c r="H14" s="7" t="s">
        <v>17</v>
      </c>
      <c r="I14" s="7" t="s">
        <v>17</v>
      </c>
      <c r="J14" s="7" t="s">
        <v>890</v>
      </c>
    </row>
    <row r="15" spans="1:10" x14ac:dyDescent="0.25" outlineLevel="1" collapsed="1">
      <c r="A15" s="7" t="s">
        <v>15</v>
      </c>
      <c r="B15" s="7" t="s">
        <v>16</v>
      </c>
      <c r="C15" s="7" t="s">
        <v>17</v>
      </c>
      <c r="D15" s="7"/>
      <c r="E15" s="7" t="s">
        <v>891</v>
      </c>
      <c r="F15" s="7" t="s">
        <v>19</v>
      </c>
      <c r="G15" s="7" t="s">
        <v>31</v>
      </c>
      <c r="H15" s="7" t="s">
        <v>17</v>
      </c>
      <c r="I15" s="7" t="s">
        <v>17</v>
      </c>
      <c r="J15" s="7" t="s">
        <v>892</v>
      </c>
    </row>
    <row r="16" spans="1:10" x14ac:dyDescent="0.25" outlineLevel="1" collapsed="1">
      <c r="A16" s="7" t="s">
        <v>15</v>
      </c>
      <c r="B16" s="7" t="s">
        <v>284</v>
      </c>
      <c r="C16" s="11" t="s">
        <v>893</v>
      </c>
      <c r="D16" s="7"/>
      <c r="E16" s="7" t="s">
        <v>894</v>
      </c>
      <c r="F16" s="7" t="s">
        <v>19</v>
      </c>
      <c r="G16" s="7" t="s">
        <v>895</v>
      </c>
      <c r="H16" s="7" t="s">
        <v>17</v>
      </c>
      <c r="I16" s="7" t="s">
        <v>17</v>
      </c>
      <c r="J16" s="7" t="s">
        <v>896</v>
      </c>
    </row>
    <row r="17" spans="1:10" x14ac:dyDescent="0.25" outlineLevel="1" collapsed="1">
      <c r="A17" s="7" t="s">
        <v>15</v>
      </c>
      <c r="B17" s="7" t="s">
        <v>16</v>
      </c>
      <c r="C17" s="7" t="s">
        <v>17</v>
      </c>
      <c r="D17" s="7"/>
      <c r="E17" s="7" t="s">
        <v>897</v>
      </c>
      <c r="F17" s="7" t="s">
        <v>19</v>
      </c>
      <c r="G17" s="7" t="s">
        <v>31</v>
      </c>
      <c r="H17" s="7" t="s">
        <v>17</v>
      </c>
      <c r="I17" s="7" t="s">
        <v>17</v>
      </c>
      <c r="J17" s="7" t="s">
        <v>898</v>
      </c>
    </row>
    <row r="18" spans="1:10" x14ac:dyDescent="0.25" outlineLevel="1" collapsed="1">
      <c r="A18" s="7" t="s">
        <v>15</v>
      </c>
      <c r="B18" s="7" t="s">
        <v>284</v>
      </c>
      <c r="C18" s="11" t="s">
        <v>899</v>
      </c>
      <c r="D18" s="7"/>
      <c r="E18" s="7" t="s">
        <v>900</v>
      </c>
      <c r="F18" s="7" t="s">
        <v>19</v>
      </c>
      <c r="G18" s="7" t="s">
        <v>889</v>
      </c>
      <c r="H18" s="7" t="s">
        <v>17</v>
      </c>
      <c r="I18" s="7" t="s">
        <v>17</v>
      </c>
      <c r="J18" s="7" t="s">
        <v>901</v>
      </c>
    </row>
    <row r="19" spans="1:10" x14ac:dyDescent="0.25" outlineLevel="1" collapsed="1">
      <c r="A19" s="7" t="s">
        <v>15</v>
      </c>
      <c r="B19" s="7" t="s">
        <v>16</v>
      </c>
      <c r="C19" s="7" t="s">
        <v>17</v>
      </c>
      <c r="D19" s="7"/>
      <c r="E19" s="7" t="s">
        <v>902</v>
      </c>
      <c r="F19" s="7" t="s">
        <v>19</v>
      </c>
      <c r="G19" s="7" t="s">
        <v>31</v>
      </c>
      <c r="H19" s="7" t="s">
        <v>17</v>
      </c>
      <c r="I19" s="7" t="s">
        <v>17</v>
      </c>
      <c r="J19" s="7" t="s">
        <v>903</v>
      </c>
    </row>
    <row r="20" spans="1:10" x14ac:dyDescent="0.25" outlineLevel="1" collapsed="1">
      <c r="A20" s="7" t="s">
        <v>15</v>
      </c>
      <c r="B20" s="7" t="s">
        <v>284</v>
      </c>
      <c r="C20" s="11" t="s">
        <v>904</v>
      </c>
      <c r="D20" s="7"/>
      <c r="E20" s="7" t="s">
        <v>905</v>
      </c>
      <c r="F20" s="7" t="s">
        <v>19</v>
      </c>
      <c r="G20" s="7" t="s">
        <v>906</v>
      </c>
      <c r="H20" s="7" t="s">
        <v>17</v>
      </c>
      <c r="I20" s="7" t="s">
        <v>17</v>
      </c>
      <c r="J20" s="7" t="s">
        <v>907</v>
      </c>
    </row>
    <row r="21" spans="1:10" x14ac:dyDescent="0.25" outlineLevel="1" collapsed="1">
      <c r="A21" s="7" t="s">
        <v>15</v>
      </c>
      <c r="B21" s="7" t="s">
        <v>16</v>
      </c>
      <c r="C21" s="7" t="s">
        <v>17</v>
      </c>
      <c r="D21" s="7"/>
      <c r="E21" s="7" t="s">
        <v>908</v>
      </c>
      <c r="F21" s="7" t="s">
        <v>19</v>
      </c>
      <c r="G21" s="7" t="s">
        <v>31</v>
      </c>
      <c r="H21" s="7" t="s">
        <v>17</v>
      </c>
      <c r="I21" s="7" t="s">
        <v>17</v>
      </c>
      <c r="J21" s="7" t="s">
        <v>909</v>
      </c>
    </row>
    <row r="22" spans="1:10" x14ac:dyDescent="0.25" outlineLevel="1" collapsed="1">
      <c r="A22" s="7" t="s">
        <v>15</v>
      </c>
      <c r="B22" s="7" t="s">
        <v>16</v>
      </c>
      <c r="C22" s="7" t="s">
        <v>17</v>
      </c>
      <c r="D22" s="7"/>
      <c r="E22" s="7" t="s">
        <v>910</v>
      </c>
      <c r="F22" s="7" t="s">
        <v>19</v>
      </c>
      <c r="G22" s="7" t="s">
        <v>911</v>
      </c>
      <c r="H22" s="7" t="s">
        <v>17</v>
      </c>
      <c r="I22" s="7" t="s">
        <v>17</v>
      </c>
      <c r="J22" s="7" t="s">
        <v>912</v>
      </c>
    </row>
    <row r="23" spans="1:10" x14ac:dyDescent="0.25" outlineLevel="1" collapsed="1">
      <c r="A23" s="7" t="s">
        <v>15</v>
      </c>
      <c r="B23" s="7" t="s">
        <v>16</v>
      </c>
      <c r="C23" s="7" t="s">
        <v>17</v>
      </c>
      <c r="D23" s="7"/>
      <c r="E23" s="7" t="s">
        <v>913</v>
      </c>
      <c r="F23" s="7" t="s">
        <v>19</v>
      </c>
      <c r="G23" s="7" t="s">
        <v>914</v>
      </c>
      <c r="H23" s="7" t="s">
        <v>17</v>
      </c>
      <c r="I23" s="7" t="s">
        <v>17</v>
      </c>
      <c r="J23" s="7" t="s">
        <v>915</v>
      </c>
    </row>
    <row r="24" spans="1:10" x14ac:dyDescent="0.25" outlineLevel="1" collapsed="1">
      <c r="A24" s="8" t="s">
        <v>15</v>
      </c>
      <c r="B24" s="9" t="s">
        <v>916</v>
      </c>
      <c r="C24" s="8" t="s">
        <v>17</v>
      </c>
      <c r="D24" s="8"/>
      <c r="E24" s="8" t="s">
        <v>917</v>
      </c>
      <c r="F24" s="8" t="s">
        <v>15</v>
      </c>
      <c r="G24" s="8" t="s">
        <v>17</v>
      </c>
      <c r="H24" s="8" t="s">
        <v>17</v>
      </c>
      <c r="I24" s="8" t="s">
        <v>17</v>
      </c>
      <c r="J24" s="8" t="s">
        <v>918</v>
      </c>
    </row>
    <row r="25" spans="1:10" x14ac:dyDescent="0.25" outlineLevel="2" collapsed="1">
      <c r="A25" s="7" t="s">
        <v>15</v>
      </c>
      <c r="B25" s="7" t="s">
        <v>16</v>
      </c>
      <c r="C25" s="7" t="s">
        <v>17</v>
      </c>
      <c r="D25" s="7"/>
      <c r="E25" s="7" t="s">
        <v>919</v>
      </c>
      <c r="F25" s="7" t="s">
        <v>19</v>
      </c>
      <c r="G25" s="7" t="s">
        <v>920</v>
      </c>
      <c r="H25" s="7" t="s">
        <v>17</v>
      </c>
      <c r="I25" s="7" t="s">
        <v>17</v>
      </c>
      <c r="J25" s="7" t="s">
        <v>921</v>
      </c>
    </row>
    <row r="26" spans="1:10" x14ac:dyDescent="0.25" outlineLevel="2" collapsed="1">
      <c r="A26" s="7" t="s">
        <v>15</v>
      </c>
      <c r="B26" s="7" t="s">
        <v>159</v>
      </c>
      <c r="C26" s="7" t="s">
        <v>17</v>
      </c>
      <c r="D26" s="7"/>
      <c r="E26" s="7" t="s">
        <v>922</v>
      </c>
      <c r="F26" s="7" t="s">
        <v>19</v>
      </c>
      <c r="G26" s="7" t="b">
        <v>0</v>
      </c>
      <c r="H26" s="7" t="s">
        <v>17</v>
      </c>
      <c r="I26" s="7" t="s">
        <v>17</v>
      </c>
      <c r="J26" s="7" t="s">
        <v>923</v>
      </c>
    </row>
    <row r="27" spans="1:10" x14ac:dyDescent="0.25" outlineLevel="2" collapsed="1">
      <c r="A27" s="7" t="s">
        <v>19</v>
      </c>
      <c r="B27" s="7" t="s">
        <v>16</v>
      </c>
      <c r="C27" s="7" t="s">
        <v>17</v>
      </c>
      <c r="D27" s="7"/>
      <c r="E27" s="7" t="s">
        <v>924</v>
      </c>
      <c r="F27" s="7" t="s">
        <v>19</v>
      </c>
      <c r="G27" s="7" t="s">
        <v>925</v>
      </c>
      <c r="H27" s="7" t="s">
        <v>17</v>
      </c>
      <c r="I27" s="7" t="s">
        <v>17</v>
      </c>
      <c r="J27" s="7" t="s">
        <v>926</v>
      </c>
    </row>
    <row r="28" spans="1:10" x14ac:dyDescent="0.25" outlineLevel="2" collapsed="1">
      <c r="A28" s="7" t="s">
        <v>15</v>
      </c>
      <c r="B28" s="7" t="s">
        <v>16</v>
      </c>
      <c r="C28" s="7" t="s">
        <v>17</v>
      </c>
      <c r="D28" s="7"/>
      <c r="E28" s="7" t="s">
        <v>927</v>
      </c>
      <c r="F28" s="7" t="s">
        <v>19</v>
      </c>
      <c r="G28" s="7" t="s">
        <v>928</v>
      </c>
      <c r="H28" s="7" t="s">
        <v>17</v>
      </c>
      <c r="I28" s="7" t="s">
        <v>17</v>
      </c>
      <c r="J28" s="7" t="s">
        <v>929</v>
      </c>
    </row>
    <row r="29" spans="1:10" x14ac:dyDescent="0.25" outlineLevel="1" collapsed="1">
      <c r="A29" s="8" t="s">
        <v>15</v>
      </c>
      <c r="B29" s="9" t="s">
        <v>930</v>
      </c>
      <c r="C29" s="8" t="s">
        <v>17</v>
      </c>
      <c r="D29" s="8"/>
      <c r="E29" s="8" t="s">
        <v>931</v>
      </c>
      <c r="F29" s="8" t="s">
        <v>15</v>
      </c>
      <c r="G29" s="8" t="s">
        <v>17</v>
      </c>
      <c r="H29" s="8" t="s">
        <v>17</v>
      </c>
      <c r="I29" s="8" t="s">
        <v>17</v>
      </c>
      <c r="J29" s="8" t="s">
        <v>932</v>
      </c>
    </row>
    <row r="30" spans="1:10" x14ac:dyDescent="0.25" outlineLevel="2" collapsed="1">
      <c r="A30" s="7" t="s">
        <v>15</v>
      </c>
      <c r="B30" s="7" t="s">
        <v>16</v>
      </c>
      <c r="C30" s="7" t="s">
        <v>17</v>
      </c>
      <c r="D30" s="7"/>
      <c r="E30" s="7" t="s">
        <v>933</v>
      </c>
      <c r="F30" s="7" t="s">
        <v>19</v>
      </c>
      <c r="G30" s="7" t="s">
        <v>920</v>
      </c>
      <c r="H30" s="7" t="s">
        <v>17</v>
      </c>
      <c r="I30" s="7" t="s">
        <v>17</v>
      </c>
      <c r="J30" s="7" t="s">
        <v>934</v>
      </c>
    </row>
    <row r="31" spans="1:10" x14ac:dyDescent="0.25" outlineLevel="2" collapsed="1">
      <c r="A31" s="7" t="s">
        <v>15</v>
      </c>
      <c r="B31" s="7" t="s">
        <v>159</v>
      </c>
      <c r="C31" s="7" t="s">
        <v>17</v>
      </c>
      <c r="D31" s="7"/>
      <c r="E31" s="7" t="s">
        <v>935</v>
      </c>
      <c r="F31" s="7" t="s">
        <v>19</v>
      </c>
      <c r="G31" s="7" t="b">
        <v>0</v>
      </c>
      <c r="H31" s="7" t="s">
        <v>17</v>
      </c>
      <c r="I31" s="7" t="s">
        <v>17</v>
      </c>
      <c r="J31" s="7" t="s">
        <v>936</v>
      </c>
    </row>
    <row r="32" spans="1:10" x14ac:dyDescent="0.25" outlineLevel="2" collapsed="1">
      <c r="A32" s="7" t="s">
        <v>19</v>
      </c>
      <c r="B32" s="7" t="s">
        <v>16</v>
      </c>
      <c r="C32" s="7" t="s">
        <v>17</v>
      </c>
      <c r="D32" s="7"/>
      <c r="E32" s="7" t="s">
        <v>937</v>
      </c>
      <c r="F32" s="7" t="s">
        <v>19</v>
      </c>
      <c r="G32" s="7" t="s">
        <v>938</v>
      </c>
      <c r="H32" s="7" t="s">
        <v>17</v>
      </c>
      <c r="I32" s="7" t="s">
        <v>17</v>
      </c>
      <c r="J32" s="7" t="s">
        <v>939</v>
      </c>
    </row>
    <row r="33" spans="1:10" x14ac:dyDescent="0.25" outlineLevel="2" collapsed="1">
      <c r="A33" s="7" t="s">
        <v>15</v>
      </c>
      <c r="B33" s="7" t="s">
        <v>16</v>
      </c>
      <c r="C33" s="7" t="s">
        <v>17</v>
      </c>
      <c r="D33" s="7"/>
      <c r="E33" s="7" t="s">
        <v>940</v>
      </c>
      <c r="F33" s="7" t="s">
        <v>19</v>
      </c>
      <c r="G33" s="7" t="s">
        <v>941</v>
      </c>
      <c r="H33" s="7" t="s">
        <v>17</v>
      </c>
      <c r="I33" s="7" t="s">
        <v>17</v>
      </c>
      <c r="J33" s="7" t="s">
        <v>942</v>
      </c>
    </row>
    <row r="34" spans="1:10" x14ac:dyDescent="0.25" outlineLevel="2" collapsed="1">
      <c r="A34" s="7" t="s">
        <v>19</v>
      </c>
      <c r="B34" s="7" t="s">
        <v>16</v>
      </c>
      <c r="C34" s="7" t="s">
        <v>17</v>
      </c>
      <c r="D34" s="7"/>
      <c r="E34" s="7" t="s">
        <v>943</v>
      </c>
      <c r="F34" s="7" t="s">
        <v>19</v>
      </c>
      <c r="G34" s="7" t="s">
        <v>31</v>
      </c>
      <c r="H34" s="7" t="s">
        <v>17</v>
      </c>
      <c r="I34" s="7" t="s">
        <v>17</v>
      </c>
      <c r="J34" s="7" t="s">
        <v>944</v>
      </c>
    </row>
    <row r="35" spans="1:10" x14ac:dyDescent="0.25" outlineLevel="2" collapsed="1">
      <c r="A35" s="7" t="s">
        <v>19</v>
      </c>
      <c r="B35" s="7" t="s">
        <v>63</v>
      </c>
      <c r="C35" s="7" t="s">
        <v>17</v>
      </c>
      <c r="D35" s="7">
        <f>EXACT(G31,true)</f>
      </c>
      <c r="E35" s="7" t="s">
        <v>945</v>
      </c>
      <c r="F35" s="7" t="s">
        <v>19</v>
      </c>
      <c r="G35" s="7">
        <v>1</v>
      </c>
      <c r="H35" s="7" t="s">
        <v>17</v>
      </c>
      <c r="I35" s="7" t="s">
        <v>17</v>
      </c>
      <c r="J35" s="7" t="s">
        <v>946</v>
      </c>
    </row>
    <row r="36" spans="1:10" x14ac:dyDescent="0.25" outlineLevel="2" collapsed="1">
      <c r="A36" s="7" t="s">
        <v>19</v>
      </c>
      <c r="B36" s="7" t="s">
        <v>63</v>
      </c>
      <c r="C36" s="7" t="s">
        <v>17</v>
      </c>
      <c r="D36" s="7">
        <f>EXACT(G31,true)</f>
      </c>
      <c r="E36" s="7" t="s">
        <v>947</v>
      </c>
      <c r="F36" s="7" t="s">
        <v>19</v>
      </c>
      <c r="G36" s="7">
        <v>1</v>
      </c>
      <c r="H36" s="7" t="s">
        <v>17</v>
      </c>
      <c r="I36" s="7" t="s">
        <v>17</v>
      </c>
      <c r="J36" s="7" t="s">
        <v>948</v>
      </c>
    </row>
    <row r="37" spans="1:10" x14ac:dyDescent="0.25" outlineLevel="2" collapsed="1">
      <c r="A37" s="7" t="s">
        <v>19</v>
      </c>
      <c r="B37" s="7" t="s">
        <v>291</v>
      </c>
      <c r="C37" s="7" t="s">
        <v>17</v>
      </c>
      <c r="D37" s="7">
        <f>EXACT(G31,true)</f>
      </c>
      <c r="E37" s="7" t="s">
        <v>949</v>
      </c>
      <c r="F37" s="7" t="s">
        <v>19</v>
      </c>
      <c r="G37" s="7" t="s">
        <v>950</v>
      </c>
      <c r="H37" s="7" t="s">
        <v>17</v>
      </c>
      <c r="I37" s="7" t="s">
        <v>17</v>
      </c>
      <c r="J37" s="7" t="s">
        <v>951</v>
      </c>
    </row>
    <row r="38" spans="1:10" x14ac:dyDescent="0.25" outlineLevel="2" collapsed="1">
      <c r="A38" s="8" t="s">
        <v>19</v>
      </c>
      <c r="B38" s="9" t="s">
        <v>952</v>
      </c>
      <c r="C38" s="8" t="s">
        <v>17</v>
      </c>
      <c r="D38" s="8"/>
      <c r="E38" s="8" t="s">
        <v>953</v>
      </c>
      <c r="F38" s="8" t="s">
        <v>15</v>
      </c>
      <c r="G38" s="8" t="s">
        <v>17</v>
      </c>
      <c r="H38" s="8" t="s">
        <v>17</v>
      </c>
      <c r="I38" s="8" t="s">
        <v>17</v>
      </c>
      <c r="J38" s="8" t="s">
        <v>954</v>
      </c>
    </row>
    <row r="39" spans="1:10" x14ac:dyDescent="0.25" outlineLevel="3" collapsed="1">
      <c r="A39" s="7" t="s">
        <v>15</v>
      </c>
      <c r="B39" s="7" t="s">
        <v>16</v>
      </c>
      <c r="C39" s="7" t="s">
        <v>17</v>
      </c>
      <c r="D39" s="7"/>
      <c r="E39" s="7" t="s">
        <v>955</v>
      </c>
      <c r="F39" s="7" t="s">
        <v>19</v>
      </c>
      <c r="G39" s="7" t="s">
        <v>956</v>
      </c>
      <c r="H39" s="7" t="s">
        <v>17</v>
      </c>
      <c r="I39" s="7" t="s">
        <v>17</v>
      </c>
      <c r="J39" s="7" t="s">
        <v>957</v>
      </c>
    </row>
    <row r="40" spans="1:10" x14ac:dyDescent="0.25" outlineLevel="3" collapsed="1">
      <c r="A40" s="7" t="s">
        <v>15</v>
      </c>
      <c r="B40" s="7" t="s">
        <v>284</v>
      </c>
      <c r="C40" s="11" t="s">
        <v>958</v>
      </c>
      <c r="D40" s="7"/>
      <c r="E40" s="7" t="s">
        <v>959</v>
      </c>
      <c r="F40" s="7" t="s">
        <v>19</v>
      </c>
      <c r="G40" s="7" t="s">
        <v>960</v>
      </c>
      <c r="H40" s="7" t="s">
        <v>17</v>
      </c>
      <c r="I40" s="7" t="s">
        <v>17</v>
      </c>
      <c r="J40" s="7" t="s">
        <v>961</v>
      </c>
    </row>
    <row r="41" spans="1:10" x14ac:dyDescent="0.25" outlineLevel="3" collapsed="1">
      <c r="A41" s="7" t="s">
        <v>15</v>
      </c>
      <c r="B41" s="7" t="s">
        <v>16</v>
      </c>
      <c r="C41" s="7" t="s">
        <v>17</v>
      </c>
      <c r="D41" s="7"/>
      <c r="E41" s="7" t="s">
        <v>962</v>
      </c>
      <c r="F41" s="7" t="s">
        <v>19</v>
      </c>
      <c r="G41" s="7" t="s">
        <v>963</v>
      </c>
      <c r="H41" s="7" t="s">
        <v>17</v>
      </c>
      <c r="I41" s="7" t="s">
        <v>17</v>
      </c>
      <c r="J41" s="7" t="s">
        <v>964</v>
      </c>
    </row>
    <row r="42" spans="1:10" x14ac:dyDescent="0.25" outlineLevel="3" collapsed="1">
      <c r="A42" s="7" t="s">
        <v>19</v>
      </c>
      <c r="B42" s="7" t="s">
        <v>291</v>
      </c>
      <c r="C42" s="7" t="s">
        <v>17</v>
      </c>
      <c r="D42" s="7"/>
      <c r="E42" s="7" t="s">
        <v>965</v>
      </c>
      <c r="F42" s="7" t="s">
        <v>19</v>
      </c>
      <c r="G42" s="7" t="s">
        <v>293</v>
      </c>
      <c r="H42" s="7" t="s">
        <v>17</v>
      </c>
      <c r="I42" s="7" t="s">
        <v>17</v>
      </c>
      <c r="J42" s="7" t="s">
        <v>966</v>
      </c>
    </row>
    <row r="43" spans="1:10" x14ac:dyDescent="0.25" outlineLevel="3" collapsed="1">
      <c r="A43" s="7" t="s">
        <v>19</v>
      </c>
      <c r="B43" s="7" t="s">
        <v>16</v>
      </c>
      <c r="C43" s="7" t="s">
        <v>17</v>
      </c>
      <c r="D43" s="7"/>
      <c r="E43" s="7" t="s">
        <v>967</v>
      </c>
      <c r="F43" s="7" t="s">
        <v>19</v>
      </c>
      <c r="G43" s="7" t="s">
        <v>968</v>
      </c>
      <c r="H43" s="7" t="s">
        <v>17</v>
      </c>
      <c r="I43" s="7" t="s">
        <v>17</v>
      </c>
      <c r="J43" s="7" t="s">
        <v>843</v>
      </c>
    </row>
    <row r="44" spans="1:10" x14ac:dyDescent="0.25">
      <c r="A44" s="5" t="s">
        <v>19</v>
      </c>
      <c r="B44" s="5" t="s">
        <v>16</v>
      </c>
      <c r="C44" s="5" t="s">
        <v>17</v>
      </c>
      <c r="D44" s="5"/>
      <c r="E44" s="5" t="s">
        <v>969</v>
      </c>
      <c r="F44" s="5" t="s">
        <v>19</v>
      </c>
      <c r="G44" s="5" t="s">
        <v>31</v>
      </c>
      <c r="H44" s="5" t="s">
        <v>17</v>
      </c>
      <c r="I44" s="5" t="s">
        <v>17</v>
      </c>
      <c r="J44" s="5" t="s">
        <v>970</v>
      </c>
    </row>
    <row r="45" spans="1:10" x14ac:dyDescent="0.25">
      <c r="A45" s="5" t="s">
        <v>19</v>
      </c>
      <c r="B45" s="5" t="s">
        <v>16</v>
      </c>
      <c r="C45" s="5" t="s">
        <v>17</v>
      </c>
      <c r="D45" s="5"/>
      <c r="E45" s="5" t="s">
        <v>971</v>
      </c>
      <c r="F45" s="5" t="s">
        <v>19</v>
      </c>
      <c r="G45" s="5" t="s">
        <v>31</v>
      </c>
      <c r="H45" s="5" t="s">
        <v>17</v>
      </c>
      <c r="I45" s="5" t="s">
        <v>17</v>
      </c>
      <c r="J45" s="5" t="s">
        <v>972</v>
      </c>
    </row>
    <row r="46" spans="1:10" x14ac:dyDescent="0.25">
      <c r="A46" s="5" t="s">
        <v>19</v>
      </c>
      <c r="B46" s="6" t="s">
        <v>973</v>
      </c>
      <c r="C46" s="5" t="s">
        <v>17</v>
      </c>
      <c r="D46" s="5"/>
      <c r="E46" s="5" t="s">
        <v>974</v>
      </c>
      <c r="F46" s="5" t="s">
        <v>15</v>
      </c>
      <c r="G46" s="5" t="s">
        <v>17</v>
      </c>
      <c r="H46" s="5" t="s">
        <v>17</v>
      </c>
      <c r="I46" s="5" t="s">
        <v>17</v>
      </c>
      <c r="J46" s="5" t="s">
        <v>975</v>
      </c>
    </row>
    <row r="47" spans="1:10" x14ac:dyDescent="0.25" outlineLevel="1" collapsed="1">
      <c r="A47" s="7" t="s">
        <v>19</v>
      </c>
      <c r="B47" s="7" t="s">
        <v>16</v>
      </c>
      <c r="C47" s="7" t="s">
        <v>17</v>
      </c>
      <c r="D47" s="7"/>
      <c r="E47" s="7" t="s">
        <v>976</v>
      </c>
      <c r="F47" s="7" t="s">
        <v>19</v>
      </c>
      <c r="G47" s="7" t="s">
        <v>31</v>
      </c>
      <c r="H47" s="7" t="s">
        <v>17</v>
      </c>
      <c r="I47" s="7" t="s">
        <v>17</v>
      </c>
      <c r="J47" s="7" t="s">
        <v>977</v>
      </c>
    </row>
    <row r="48" spans="1:10" x14ac:dyDescent="0.25" outlineLevel="1" collapsed="1">
      <c r="A48" s="7" t="s">
        <v>19</v>
      </c>
      <c r="B48" s="7" t="s">
        <v>16</v>
      </c>
      <c r="C48" s="7" t="s">
        <v>17</v>
      </c>
      <c r="D48" s="7"/>
      <c r="E48" s="7" t="s">
        <v>978</v>
      </c>
      <c r="F48" s="7" t="s">
        <v>19</v>
      </c>
      <c r="G48" s="7" t="s">
        <v>31</v>
      </c>
      <c r="H48" s="7" t="s">
        <v>17</v>
      </c>
      <c r="I48" s="7" t="s">
        <v>17</v>
      </c>
      <c r="J48" s="7" t="s">
        <v>979</v>
      </c>
    </row>
    <row r="49" spans="1:10" x14ac:dyDescent="0.25" outlineLevel="1" collapsed="1">
      <c r="A49" s="7" t="s">
        <v>19</v>
      </c>
      <c r="B49" s="7" t="s">
        <v>16</v>
      </c>
      <c r="C49" s="7" t="s">
        <v>17</v>
      </c>
      <c r="D49" s="7"/>
      <c r="E49" s="7" t="s">
        <v>980</v>
      </c>
      <c r="F49" s="7" t="s">
        <v>19</v>
      </c>
      <c r="G49" s="7" t="s">
        <v>31</v>
      </c>
      <c r="H49" s="7" t="s">
        <v>17</v>
      </c>
      <c r="I49" s="7" t="s">
        <v>17</v>
      </c>
      <c r="J49" s="7" t="s">
        <v>981</v>
      </c>
    </row>
  </sheetData>
  <mergeCells count="3">
    <mergeCell ref="A1:J1"/>
    <mergeCell ref="B2:J2"/>
    <mergeCell ref="B3:J3"/>
  </mergeCells>
  <dataValidations count="8">
    <dataValidation type="list" allowBlank="1" sqref="G10:I10">
      <formula1>'Enums'!C291:C293</formula1>
    </dataValidation>
    <dataValidation type="list" allowBlank="1" sqref="G12:I12">
      <formula1>'Enums'!C294:C296</formula1>
    </dataValidation>
    <dataValidation type="list" allowBlank="1" sqref="G14:I14">
      <formula1>'Enums'!C297:C298</formula1>
    </dataValidation>
    <dataValidation type="list" allowBlank="1" sqref="G16:I16">
      <formula1>'Enums'!C299:C301</formula1>
    </dataValidation>
    <dataValidation type="list" allowBlank="1" sqref="G18:I18">
      <formula1>'Enums'!C302:C303</formula1>
    </dataValidation>
    <dataValidation type="list" allowBlank="1" sqref="G20:I20">
      <formula1>'Enums'!C304:C305</formula1>
    </dataValidation>
    <dataValidation type="list" allowBlank="1" sqref="G40:I40">
      <formula1>'Enums'!C802:C810</formula1>
    </dataValidation>
    <dataValidation type="list" allowBlank="1" sqref="G8:I8">
      <formula1>'Enums'!C288:C290</formula1>
    </dataValidation>
  </dataValidations>
  <hyperlinks>
    <hyperlink ref="B5" r:id="rId1" location="#'3.2.1 Eligibility of Methodolo'!A1"/>
    <hyperlink ref="B7" r:id="rId2" location="#'3.2.2 Applicability of Methodo'!A1"/>
    <hyperlink ref="B24" r:id="rId3" location="#'REDD+ Double Counting Assessme'!A1"/>
    <hyperlink ref="B29" r:id="rId4" location="#'SDW Public Distribution Networ'!A1"/>
    <hyperlink ref="B38" r:id="rId5" location="#'Evidence item'!A1"/>
    <hyperlink ref="B46" r:id="rId6" location="#'3.2 Applicability of methodolo'!A1"/>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982</v>
      </c>
      <c r="B1" s="1"/>
      <c r="C1" s="1"/>
      <c r="D1" s="1"/>
      <c r="E1" s="1"/>
      <c r="F1" s="1"/>
      <c r="G1" s="1"/>
      <c r="H1" s="1"/>
      <c r="I1" s="1"/>
      <c r="J1" s="1"/>
    </row>
    <row r="2" spans="1:10" x14ac:dyDescent="0.25">
      <c r="A2" s="2" t="s">
        <v>1</v>
      </c>
      <c r="B2" s="3" t="s">
        <v>983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984</v>
      </c>
      <c r="F5" s="5" t="s">
        <v>19</v>
      </c>
      <c r="G5" s="5" t="s">
        <v>985</v>
      </c>
      <c r="H5" s="5" t="s">
        <v>17</v>
      </c>
      <c r="I5" s="5" t="s">
        <v>17</v>
      </c>
      <c r="J5" s="5" t="s">
        <v>986</v>
      </c>
    </row>
    <row r="6" spans="1:10" x14ac:dyDescent="0.25">
      <c r="A6" s="5" t="s">
        <v>19</v>
      </c>
      <c r="B6" s="5" t="s">
        <v>16</v>
      </c>
      <c r="C6" s="5" t="s">
        <v>17</v>
      </c>
      <c r="D6" s="5"/>
      <c r="E6" s="5" t="s">
        <v>987</v>
      </c>
      <c r="F6" s="5" t="s">
        <v>19</v>
      </c>
      <c r="G6" s="5" t="s">
        <v>31</v>
      </c>
      <c r="H6" s="5" t="s">
        <v>17</v>
      </c>
      <c r="I6" s="5" t="s">
        <v>17</v>
      </c>
      <c r="J6" s="5" t="s">
        <v>988</v>
      </c>
    </row>
    <row r="7" spans="1:10" x14ac:dyDescent="0.25">
      <c r="A7" s="5" t="s">
        <v>19</v>
      </c>
      <c r="B7" s="5" t="s">
        <v>16</v>
      </c>
      <c r="C7" s="5" t="s">
        <v>17</v>
      </c>
      <c r="D7" s="5"/>
      <c r="E7" s="5" t="s">
        <v>989</v>
      </c>
      <c r="F7" s="5" t="s">
        <v>19</v>
      </c>
      <c r="G7" s="5" t="s">
        <v>31</v>
      </c>
      <c r="H7" s="5" t="s">
        <v>17</v>
      </c>
      <c r="I7" s="5" t="s">
        <v>17</v>
      </c>
      <c r="J7" s="5" t="s">
        <v>990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991</v>
      </c>
      <c r="B1" s="1"/>
      <c r="C1" s="1"/>
      <c r="D1" s="1"/>
      <c r="E1" s="1"/>
      <c r="F1" s="1"/>
      <c r="G1" s="1"/>
      <c r="H1" s="1"/>
      <c r="I1" s="1"/>
      <c r="J1" s="1"/>
    </row>
    <row r="2" spans="1:10" x14ac:dyDescent="0.25">
      <c r="A2" s="2" t="s">
        <v>1</v>
      </c>
      <c r="B2" s="3" t="s">
        <v>992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86</v>
      </c>
      <c r="F5" s="5" t="s">
        <v>19</v>
      </c>
      <c r="G5" s="5" t="s">
        <v>87</v>
      </c>
      <c r="H5" s="5" t="s">
        <v>17</v>
      </c>
      <c r="I5" s="5" t="s">
        <v>17</v>
      </c>
      <c r="J5" s="5" t="s">
        <v>88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993</v>
      </c>
      <c r="B1" s="1"/>
      <c r="C1" s="1"/>
      <c r="D1" s="1"/>
      <c r="E1" s="1"/>
      <c r="F1" s="1"/>
      <c r="G1" s="1"/>
      <c r="H1" s="1"/>
      <c r="I1" s="1"/>
      <c r="J1" s="1"/>
    </row>
    <row r="2" spans="1:10" x14ac:dyDescent="0.25">
      <c r="A2" s="2" t="s">
        <v>1</v>
      </c>
      <c r="B2" s="3" t="s">
        <v>994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995</v>
      </c>
      <c r="F5" s="5" t="s">
        <v>19</v>
      </c>
      <c r="G5" s="5" t="s">
        <v>996</v>
      </c>
      <c r="H5" s="5" t="s">
        <v>17</v>
      </c>
      <c r="I5" s="5" t="s">
        <v>17</v>
      </c>
      <c r="J5" s="5" t="s">
        <v>997</v>
      </c>
    </row>
    <row r="6" spans="1:10" x14ac:dyDescent="0.25">
      <c r="A6" s="5" t="s">
        <v>15</v>
      </c>
      <c r="B6" s="5" t="s">
        <v>16</v>
      </c>
      <c r="C6" s="5" t="s">
        <v>17</v>
      </c>
      <c r="D6" s="5"/>
      <c r="E6" s="5" t="s">
        <v>998</v>
      </c>
      <c r="F6" s="5" t="s">
        <v>19</v>
      </c>
      <c r="G6" s="5" t="s">
        <v>999</v>
      </c>
      <c r="H6" s="5" t="s">
        <v>17</v>
      </c>
      <c r="I6" s="5" t="s">
        <v>17</v>
      </c>
      <c r="J6" s="5" t="s">
        <v>1000</v>
      </c>
    </row>
    <row r="7" spans="1:10" x14ac:dyDescent="0.25">
      <c r="A7" s="5" t="s">
        <v>19</v>
      </c>
      <c r="B7" s="5" t="s">
        <v>16</v>
      </c>
      <c r="C7" s="5" t="s">
        <v>17</v>
      </c>
      <c r="D7" s="5"/>
      <c r="E7" s="5" t="s">
        <v>1001</v>
      </c>
      <c r="F7" s="5" t="s">
        <v>19</v>
      </c>
      <c r="G7" s="5" t="s">
        <v>1002</v>
      </c>
      <c r="H7" s="5" t="s">
        <v>17</v>
      </c>
      <c r="I7" s="5" t="s">
        <v>17</v>
      </c>
      <c r="J7" s="5" t="s">
        <v>1003</v>
      </c>
    </row>
    <row r="8" spans="1:10" x14ac:dyDescent="0.25">
      <c r="A8" s="5" t="s">
        <v>19</v>
      </c>
      <c r="B8" s="5" t="s">
        <v>16</v>
      </c>
      <c r="C8" s="5" t="s">
        <v>17</v>
      </c>
      <c r="D8" s="5"/>
      <c r="E8" s="5" t="s">
        <v>1004</v>
      </c>
      <c r="F8" s="5" t="s">
        <v>19</v>
      </c>
      <c r="G8" s="5" t="s">
        <v>1005</v>
      </c>
      <c r="H8" s="5" t="s">
        <v>17</v>
      </c>
      <c r="I8" s="5" t="s">
        <v>17</v>
      </c>
      <c r="J8" s="5" t="s">
        <v>1006</v>
      </c>
    </row>
    <row r="9" spans="1:10" x14ac:dyDescent="0.25">
      <c r="A9" s="5" t="s">
        <v>19</v>
      </c>
      <c r="B9" s="5" t="s">
        <v>16</v>
      </c>
      <c r="C9" s="5" t="s">
        <v>17</v>
      </c>
      <c r="D9" s="5"/>
      <c r="E9" s="5" t="s">
        <v>1007</v>
      </c>
      <c r="F9" s="5" t="s">
        <v>19</v>
      </c>
      <c r="G9" s="5" t="s">
        <v>1008</v>
      </c>
      <c r="H9" s="5" t="s">
        <v>17</v>
      </c>
      <c r="I9" s="5" t="s">
        <v>17</v>
      </c>
      <c r="J9" s="5" t="s">
        <v>1009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1010</v>
      </c>
      <c r="B1" s="1"/>
      <c r="C1" s="1"/>
      <c r="D1" s="1"/>
      <c r="E1" s="1"/>
      <c r="F1" s="1"/>
      <c r="G1" s="1"/>
      <c r="H1" s="1"/>
      <c r="I1" s="1"/>
      <c r="J1" s="1"/>
    </row>
    <row r="2" spans="1:10" x14ac:dyDescent="0.25">
      <c r="A2" s="2" t="s">
        <v>1</v>
      </c>
      <c r="B2" s="3" t="s">
        <v>1011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1012</v>
      </c>
      <c r="F5" s="5" t="s">
        <v>19</v>
      </c>
      <c r="G5" s="5" t="b">
        <v>0</v>
      </c>
      <c r="H5" s="5" t="s">
        <v>17</v>
      </c>
      <c r="I5" s="5" t="s">
        <v>17</v>
      </c>
      <c r="J5" s="5" t="s">
        <v>1013</v>
      </c>
    </row>
    <row r="6" spans="1:10" x14ac:dyDescent="0.25">
      <c r="A6" s="5" t="s">
        <v>15</v>
      </c>
      <c r="B6" s="5" t="s">
        <v>16</v>
      </c>
      <c r="C6" s="5" t="s">
        <v>17</v>
      </c>
      <c r="D6" s="5"/>
      <c r="E6" s="5" t="s">
        <v>1014</v>
      </c>
      <c r="F6" s="5" t="s">
        <v>19</v>
      </c>
      <c r="G6" s="5" t="s">
        <v>1015</v>
      </c>
      <c r="H6" s="5" t="s">
        <v>17</v>
      </c>
      <c r="I6" s="5" t="s">
        <v>17</v>
      </c>
      <c r="J6" s="5" t="s">
        <v>1016</v>
      </c>
    </row>
    <row r="7" spans="1:10" x14ac:dyDescent="0.25">
      <c r="A7" s="5" t="s">
        <v>15</v>
      </c>
      <c r="B7" s="5" t="s">
        <v>16</v>
      </c>
      <c r="C7" s="5" t="s">
        <v>17</v>
      </c>
      <c r="D7" s="5"/>
      <c r="E7" s="5" t="s">
        <v>1017</v>
      </c>
      <c r="F7" s="5" t="s">
        <v>19</v>
      </c>
      <c r="G7" s="5" t="s">
        <v>1015</v>
      </c>
      <c r="H7" s="5" t="s">
        <v>17</v>
      </c>
      <c r="I7" s="5" t="s">
        <v>17</v>
      </c>
      <c r="J7" s="5" t="s">
        <v>1018</v>
      </c>
    </row>
    <row r="8" spans="1:10" x14ac:dyDescent="0.25">
      <c r="A8" s="5" t="s">
        <v>15</v>
      </c>
      <c r="B8" s="5" t="s">
        <v>159</v>
      </c>
      <c r="C8" s="5" t="s">
        <v>17</v>
      </c>
      <c r="D8" s="5"/>
      <c r="E8" s="5" t="s">
        <v>1019</v>
      </c>
      <c r="F8" s="5" t="s">
        <v>19</v>
      </c>
      <c r="G8" s="5" t="b">
        <v>0</v>
      </c>
      <c r="H8" s="5" t="s">
        <v>17</v>
      </c>
      <c r="I8" s="5" t="s">
        <v>17</v>
      </c>
      <c r="J8" s="5" t="s">
        <v>1020</v>
      </c>
    </row>
    <row r="9" spans="1:10" x14ac:dyDescent="0.25">
      <c r="A9" s="5" t="s">
        <v>19</v>
      </c>
      <c r="B9" s="5" t="s">
        <v>16</v>
      </c>
      <c r="C9" s="5" t="s">
        <v>17</v>
      </c>
      <c r="D9" s="5"/>
      <c r="E9" s="5" t="s">
        <v>1021</v>
      </c>
      <c r="F9" s="5" t="s">
        <v>19</v>
      </c>
      <c r="G9" s="5" t="s">
        <v>1022</v>
      </c>
      <c r="H9" s="5" t="s">
        <v>17</v>
      </c>
      <c r="I9" s="5" t="s">
        <v>17</v>
      </c>
      <c r="J9" s="5" t="s">
        <v>1023</v>
      </c>
    </row>
    <row r="10" spans="1:10" x14ac:dyDescent="0.25">
      <c r="A10" s="5" t="s">
        <v>19</v>
      </c>
      <c r="B10" s="5" t="s">
        <v>16</v>
      </c>
      <c r="C10" s="5" t="s">
        <v>17</v>
      </c>
      <c r="D10" s="5"/>
      <c r="E10" s="5" t="s">
        <v>1024</v>
      </c>
      <c r="F10" s="5" t="s">
        <v>19</v>
      </c>
      <c r="G10" s="5" t="s">
        <v>31</v>
      </c>
      <c r="H10" s="5" t="s">
        <v>17</v>
      </c>
      <c r="I10" s="5" t="s">
        <v>17</v>
      </c>
      <c r="J10" s="5" t="s">
        <v>330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5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1025</v>
      </c>
      <c r="B1" s="1"/>
      <c r="C1" s="1"/>
      <c r="D1" s="1"/>
      <c r="E1" s="1"/>
      <c r="F1" s="1"/>
      <c r="G1" s="1"/>
      <c r="H1" s="1"/>
      <c r="I1" s="1"/>
      <c r="J1" s="1"/>
    </row>
    <row r="2" spans="1:10" x14ac:dyDescent="0.25">
      <c r="A2" s="2" t="s">
        <v>1</v>
      </c>
      <c r="B2" s="3" t="s">
        <v>1026</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1027</v>
      </c>
      <c r="F5" s="5" t="s">
        <v>19</v>
      </c>
      <c r="G5" s="5" t="s">
        <v>279</v>
      </c>
      <c r="H5" s="5" t="s">
        <v>17</v>
      </c>
      <c r="I5" s="5" t="s">
        <v>17</v>
      </c>
      <c r="J5" s="5" t="s">
        <v>1028</v>
      </c>
    </row>
    <row r="6" spans="1:10" x14ac:dyDescent="0.25">
      <c r="A6" s="5" t="s">
        <v>15</v>
      </c>
      <c r="B6" s="5" t="s">
        <v>16</v>
      </c>
      <c r="C6" s="5" t="s">
        <v>17</v>
      </c>
      <c r="D6" s="5"/>
      <c r="E6" s="5" t="s">
        <v>1029</v>
      </c>
      <c r="F6" s="5" t="s">
        <v>19</v>
      </c>
      <c r="G6" s="5" t="s">
        <v>282</v>
      </c>
      <c r="H6" s="5" t="s">
        <v>17</v>
      </c>
      <c r="I6" s="5" t="s">
        <v>17</v>
      </c>
      <c r="J6" s="5" t="s">
        <v>283</v>
      </c>
    </row>
    <row r="7" spans="1:10" x14ac:dyDescent="0.25">
      <c r="A7" s="5" t="s">
        <v>15</v>
      </c>
      <c r="B7" s="5" t="s">
        <v>16</v>
      </c>
      <c r="C7" s="5" t="s">
        <v>17</v>
      </c>
      <c r="D7" s="5"/>
      <c r="E7" s="5" t="s">
        <v>1030</v>
      </c>
      <c r="F7" s="5" t="s">
        <v>19</v>
      </c>
      <c r="G7" s="5" t="s">
        <v>1031</v>
      </c>
      <c r="H7" s="5" t="s">
        <v>17</v>
      </c>
      <c r="I7" s="5" t="s">
        <v>17</v>
      </c>
      <c r="J7" s="5" t="s">
        <v>1032</v>
      </c>
    </row>
    <row r="8" spans="1:10" x14ac:dyDescent="0.25">
      <c r="A8" s="5" t="s">
        <v>15</v>
      </c>
      <c r="B8" s="5" t="s">
        <v>284</v>
      </c>
      <c r="C8" s="10" t="s">
        <v>1033</v>
      </c>
      <c r="D8" s="5"/>
      <c r="E8" s="5" t="s">
        <v>1033</v>
      </c>
      <c r="F8" s="5" t="s">
        <v>19</v>
      </c>
      <c r="G8" s="5" t="s">
        <v>286</v>
      </c>
      <c r="H8" s="5" t="s">
        <v>17</v>
      </c>
      <c r="I8" s="5" t="s">
        <v>17</v>
      </c>
      <c r="J8" s="5" t="s">
        <v>287</v>
      </c>
    </row>
    <row r="9" spans="1:10" x14ac:dyDescent="0.25">
      <c r="A9" s="5" t="s">
        <v>15</v>
      </c>
      <c r="B9" s="5" t="s">
        <v>284</v>
      </c>
      <c r="C9" s="10" t="s">
        <v>1034</v>
      </c>
      <c r="D9" s="5"/>
      <c r="E9" s="5" t="s">
        <v>1034</v>
      </c>
      <c r="F9" s="5" t="s">
        <v>19</v>
      </c>
      <c r="G9" s="5" t="s">
        <v>1035</v>
      </c>
      <c r="H9" s="5" t="s">
        <v>1035</v>
      </c>
      <c r="I9" s="5" t="s">
        <v>17</v>
      </c>
      <c r="J9" s="5" t="s">
        <v>1036</v>
      </c>
    </row>
    <row r="10" spans="1:10" x14ac:dyDescent="0.25">
      <c r="A10" s="5" t="s">
        <v>19</v>
      </c>
      <c r="B10" s="5" t="s">
        <v>16</v>
      </c>
      <c r="C10" s="5" t="s">
        <v>17</v>
      </c>
      <c r="D10" s="5"/>
      <c r="E10" s="5" t="s">
        <v>288</v>
      </c>
      <c r="F10" s="5" t="s">
        <v>19</v>
      </c>
      <c r="G10" s="5" t="s">
        <v>31</v>
      </c>
      <c r="H10" s="5" t="s">
        <v>17</v>
      </c>
      <c r="I10" s="5" t="s">
        <v>17</v>
      </c>
      <c r="J10" s="5" t="s">
        <v>290</v>
      </c>
    </row>
    <row r="11" spans="1:10" x14ac:dyDescent="0.25">
      <c r="A11" s="5" t="s">
        <v>15</v>
      </c>
      <c r="B11" s="5" t="s">
        <v>291</v>
      </c>
      <c r="C11" s="5" t="s">
        <v>17</v>
      </c>
      <c r="D11" s="5"/>
      <c r="E11" s="5" t="s">
        <v>264</v>
      </c>
      <c r="F11" s="5" t="s">
        <v>19</v>
      </c>
      <c r="G11" s="5" t="s">
        <v>950</v>
      </c>
      <c r="H11" s="5" t="s">
        <v>17</v>
      </c>
      <c r="I11" s="5" t="s">
        <v>17</v>
      </c>
      <c r="J11" s="5" t="s">
        <v>265</v>
      </c>
    </row>
    <row r="12" spans="1:10" x14ac:dyDescent="0.25">
      <c r="A12" s="5" t="s">
        <v>15</v>
      </c>
      <c r="B12" s="5" t="s">
        <v>291</v>
      </c>
      <c r="C12" s="5" t="s">
        <v>17</v>
      </c>
      <c r="D12" s="5"/>
      <c r="E12" s="5" t="s">
        <v>266</v>
      </c>
      <c r="F12" s="5" t="s">
        <v>19</v>
      </c>
      <c r="G12" s="5" t="s">
        <v>950</v>
      </c>
      <c r="H12" s="5" t="s">
        <v>17</v>
      </c>
      <c r="I12" s="5" t="s">
        <v>17</v>
      </c>
      <c r="J12" s="5" t="s">
        <v>267</v>
      </c>
    </row>
    <row r="13" spans="1:10" x14ac:dyDescent="0.25">
      <c r="A13" s="5" t="s">
        <v>19</v>
      </c>
      <c r="B13" s="5" t="s">
        <v>16</v>
      </c>
      <c r="C13" s="5" t="s">
        <v>17</v>
      </c>
      <c r="D13" s="5"/>
      <c r="E13" s="5" t="s">
        <v>1037</v>
      </c>
      <c r="F13" s="5" t="s">
        <v>19</v>
      </c>
      <c r="G13" s="5" t="s">
        <v>31</v>
      </c>
      <c r="H13" s="5" t="s">
        <v>17</v>
      </c>
      <c r="I13" s="5" t="s">
        <v>17</v>
      </c>
      <c r="J13" s="5" t="s">
        <v>298</v>
      </c>
    </row>
    <row r="14" spans="1:10" x14ac:dyDescent="0.25">
      <c r="A14" s="5" t="s">
        <v>19</v>
      </c>
      <c r="B14" s="5" t="s">
        <v>16</v>
      </c>
      <c r="C14" s="5" t="s">
        <v>17</v>
      </c>
      <c r="D14" s="5"/>
      <c r="E14" s="5" t="s">
        <v>1038</v>
      </c>
      <c r="F14" s="5" t="s">
        <v>19</v>
      </c>
      <c r="G14" s="5" t="s">
        <v>31</v>
      </c>
      <c r="H14" s="5" t="s">
        <v>17</v>
      </c>
      <c r="I14" s="5" t="s">
        <v>17</v>
      </c>
      <c r="J14" s="5" t="s">
        <v>301</v>
      </c>
    </row>
    <row r="15" spans="1:10" x14ac:dyDescent="0.25">
      <c r="A15" s="5" t="s">
        <v>19</v>
      </c>
      <c r="B15" s="5" t="s">
        <v>16</v>
      </c>
      <c r="C15" s="5" t="s">
        <v>17</v>
      </c>
      <c r="D15" s="5"/>
      <c r="E15" s="5" t="s">
        <v>1039</v>
      </c>
      <c r="F15" s="5" t="s">
        <v>19</v>
      </c>
      <c r="G15" s="5" t="s">
        <v>31</v>
      </c>
      <c r="H15" s="5" t="s">
        <v>17</v>
      </c>
      <c r="I15" s="5" t="s">
        <v>17</v>
      </c>
      <c r="J15" s="5" t="s">
        <v>1040</v>
      </c>
    </row>
    <row r="16" spans="1:10" x14ac:dyDescent="0.25">
      <c r="A16" s="5" t="s">
        <v>19</v>
      </c>
      <c r="B16" s="5" t="s">
        <v>16</v>
      </c>
      <c r="C16" s="5" t="s">
        <v>17</v>
      </c>
      <c r="D16" s="5"/>
      <c r="E16" s="5" t="s">
        <v>1041</v>
      </c>
      <c r="F16" s="5" t="s">
        <v>19</v>
      </c>
      <c r="G16" s="5" t="s">
        <v>31</v>
      </c>
      <c r="H16" s="5" t="s">
        <v>17</v>
      </c>
      <c r="I16" s="5" t="s">
        <v>17</v>
      </c>
      <c r="J16" s="5" t="s">
        <v>1042</v>
      </c>
    </row>
    <row r="17" spans="1:10" x14ac:dyDescent="0.25">
      <c r="A17" s="5" t="s">
        <v>19</v>
      </c>
      <c r="B17" s="5" t="s">
        <v>16</v>
      </c>
      <c r="C17" s="5" t="s">
        <v>17</v>
      </c>
      <c r="D17" s="5"/>
      <c r="E17" s="5" t="s">
        <v>1043</v>
      </c>
      <c r="F17" s="5" t="s">
        <v>19</v>
      </c>
      <c r="G17" s="5" t="s">
        <v>31</v>
      </c>
      <c r="H17" s="5" t="s">
        <v>17</v>
      </c>
      <c r="I17" s="5" t="s">
        <v>17</v>
      </c>
      <c r="J17" s="5" t="s">
        <v>1044</v>
      </c>
    </row>
    <row r="18" spans="1:10" x14ac:dyDescent="0.25">
      <c r="A18" s="5" t="s">
        <v>19</v>
      </c>
      <c r="B18" s="5" t="s">
        <v>16</v>
      </c>
      <c r="C18" s="5" t="s">
        <v>17</v>
      </c>
      <c r="D18" s="5"/>
      <c r="E18" s="5" t="s">
        <v>1045</v>
      </c>
      <c r="F18" s="5" t="s">
        <v>19</v>
      </c>
      <c r="G18" s="5" t="s">
        <v>31</v>
      </c>
      <c r="H18" s="5" t="s">
        <v>17</v>
      </c>
      <c r="I18" s="5" t="s">
        <v>17</v>
      </c>
      <c r="J18" s="5" t="s">
        <v>1046</v>
      </c>
    </row>
    <row r="19" spans="1:10" x14ac:dyDescent="0.25">
      <c r="A19" s="5" t="s">
        <v>19</v>
      </c>
      <c r="B19" s="6" t="s">
        <v>1047</v>
      </c>
      <c r="C19" s="5" t="s">
        <v>17</v>
      </c>
      <c r="D19" s="5"/>
      <c r="E19" s="5" t="s">
        <v>1048</v>
      </c>
      <c r="F19" s="5" t="s">
        <v>15</v>
      </c>
      <c r="G19" s="5" t="s">
        <v>17</v>
      </c>
      <c r="H19" s="5" t="s">
        <v>17</v>
      </c>
      <c r="I19" s="5" t="s">
        <v>17</v>
      </c>
      <c r="J19" s="5" t="s">
        <v>573</v>
      </c>
    </row>
    <row r="20" spans="1:10" x14ac:dyDescent="0.25" outlineLevel="1" collapsed="1">
      <c r="A20" s="7" t="s">
        <v>19</v>
      </c>
      <c r="B20" s="7" t="s">
        <v>16</v>
      </c>
      <c r="C20" s="7" t="s">
        <v>17</v>
      </c>
      <c r="D20" s="7"/>
      <c r="E20" s="7" t="s">
        <v>794</v>
      </c>
      <c r="F20" s="7" t="s">
        <v>19</v>
      </c>
      <c r="G20" s="7" t="s">
        <v>31</v>
      </c>
      <c r="H20" s="7" t="s">
        <v>17</v>
      </c>
      <c r="I20" s="7" t="s">
        <v>17</v>
      </c>
      <c r="J20" s="7" t="s">
        <v>796</v>
      </c>
    </row>
    <row r="21" spans="1:10" x14ac:dyDescent="0.25" outlineLevel="1" collapsed="1">
      <c r="A21" s="7" t="s">
        <v>19</v>
      </c>
      <c r="B21" s="7" t="s">
        <v>16</v>
      </c>
      <c r="C21" s="7" t="s">
        <v>17</v>
      </c>
      <c r="D21" s="7"/>
      <c r="E21" s="7" t="s">
        <v>797</v>
      </c>
      <c r="F21" s="7" t="s">
        <v>19</v>
      </c>
      <c r="G21" s="7" t="s">
        <v>31</v>
      </c>
      <c r="H21" s="7" t="s">
        <v>17</v>
      </c>
      <c r="I21" s="7" t="s">
        <v>17</v>
      </c>
      <c r="J21" s="7" t="s">
        <v>1049</v>
      </c>
    </row>
    <row r="22" spans="1:10" x14ac:dyDescent="0.25" outlineLevel="1" collapsed="1">
      <c r="A22" s="7" t="s">
        <v>19</v>
      </c>
      <c r="B22" s="7" t="s">
        <v>16</v>
      </c>
      <c r="C22" s="7" t="s">
        <v>17</v>
      </c>
      <c r="D22" s="7"/>
      <c r="E22" s="7" t="s">
        <v>1050</v>
      </c>
      <c r="F22" s="7" t="s">
        <v>19</v>
      </c>
      <c r="G22" s="7" t="s">
        <v>31</v>
      </c>
      <c r="H22" s="7" t="s">
        <v>17</v>
      </c>
      <c r="I22" s="7" t="s">
        <v>17</v>
      </c>
      <c r="J22" s="7" t="s">
        <v>1051</v>
      </c>
    </row>
    <row r="23" spans="1:10" x14ac:dyDescent="0.25">
      <c r="A23" s="5" t="s">
        <v>19</v>
      </c>
      <c r="B23" s="6" t="s">
        <v>1052</v>
      </c>
      <c r="C23" s="5" t="s">
        <v>17</v>
      </c>
      <c r="D23" s="5"/>
      <c r="E23" s="5" t="s">
        <v>839</v>
      </c>
      <c r="F23" s="5" t="s">
        <v>15</v>
      </c>
      <c r="G23" s="5" t="s">
        <v>17</v>
      </c>
      <c r="H23" s="5" t="s">
        <v>17</v>
      </c>
      <c r="I23" s="5" t="s">
        <v>17</v>
      </c>
      <c r="J23" s="5" t="s">
        <v>840</v>
      </c>
    </row>
    <row r="24" spans="1:10" x14ac:dyDescent="0.25" outlineLevel="1" collapsed="1">
      <c r="A24" s="7" t="s">
        <v>19</v>
      </c>
      <c r="B24" s="7" t="s">
        <v>16</v>
      </c>
      <c r="C24" s="7" t="s">
        <v>17</v>
      </c>
      <c r="D24" s="7"/>
      <c r="E24" s="7" t="s">
        <v>841</v>
      </c>
      <c r="F24" s="7" t="s">
        <v>19</v>
      </c>
      <c r="G24" s="7" t="s">
        <v>31</v>
      </c>
      <c r="H24" s="7" t="s">
        <v>17</v>
      </c>
      <c r="I24" s="7" t="s">
        <v>17</v>
      </c>
      <c r="J24" s="7" t="s">
        <v>330</v>
      </c>
    </row>
    <row r="25" spans="1:10" x14ac:dyDescent="0.25" outlineLevel="1" collapsed="1">
      <c r="A25" s="7" t="s">
        <v>19</v>
      </c>
      <c r="B25" s="7" t="s">
        <v>16</v>
      </c>
      <c r="C25" s="7" t="s">
        <v>17</v>
      </c>
      <c r="D25" s="7"/>
      <c r="E25" s="7" t="s">
        <v>842</v>
      </c>
      <c r="F25" s="7" t="s">
        <v>19</v>
      </c>
      <c r="G25" s="7" t="s">
        <v>31</v>
      </c>
      <c r="H25" s="7" t="s">
        <v>17</v>
      </c>
      <c r="I25" s="7" t="s">
        <v>17</v>
      </c>
      <c r="J25" s="7" t="s">
        <v>843</v>
      </c>
    </row>
    <row r="26" spans="1:10" x14ac:dyDescent="0.25">
      <c r="A26" s="5" t="s">
        <v>15</v>
      </c>
      <c r="B26" s="6" t="s">
        <v>1053</v>
      </c>
      <c r="C26" s="5" t="s">
        <v>17</v>
      </c>
      <c r="D26" s="5"/>
      <c r="E26" s="5" t="s">
        <v>1054</v>
      </c>
      <c r="F26" s="5" t="s">
        <v>19</v>
      </c>
      <c r="G26" s="5" t="s">
        <v>17</v>
      </c>
      <c r="H26" s="5" t="s">
        <v>17</v>
      </c>
      <c r="I26" s="5" t="s">
        <v>17</v>
      </c>
      <c r="J26" s="5" t="s">
        <v>1055</v>
      </c>
    </row>
    <row r="27" spans="1:10" x14ac:dyDescent="0.25" outlineLevel="1" collapsed="1">
      <c r="A27" s="7" t="s">
        <v>15</v>
      </c>
      <c r="B27" s="7" t="s">
        <v>16</v>
      </c>
      <c r="C27" s="7" t="s">
        <v>17</v>
      </c>
      <c r="D27" s="7"/>
      <c r="E27" s="7" t="s">
        <v>1056</v>
      </c>
      <c r="F27" s="7" t="s">
        <v>19</v>
      </c>
      <c r="G27" s="7" t="s">
        <v>1057</v>
      </c>
      <c r="H27" s="7" t="s">
        <v>17</v>
      </c>
      <c r="I27" s="7" t="s">
        <v>17</v>
      </c>
      <c r="J27" s="7" t="s">
        <v>1058</v>
      </c>
    </row>
    <row r="28" spans="1:10" x14ac:dyDescent="0.25" outlineLevel="1" collapsed="1">
      <c r="A28" s="7" t="s">
        <v>19</v>
      </c>
      <c r="B28" s="7" t="s">
        <v>16</v>
      </c>
      <c r="C28" s="7" t="s">
        <v>17</v>
      </c>
      <c r="D28" s="7"/>
      <c r="E28" s="7" t="s">
        <v>1059</v>
      </c>
      <c r="F28" s="7" t="s">
        <v>19</v>
      </c>
      <c r="G28" s="7" t="s">
        <v>1060</v>
      </c>
      <c r="H28" s="7" t="s">
        <v>17</v>
      </c>
      <c r="I28" s="7" t="s">
        <v>17</v>
      </c>
      <c r="J28" s="7" t="s">
        <v>1061</v>
      </c>
    </row>
    <row r="29" spans="1:10" x14ac:dyDescent="0.25">
      <c r="A29" s="5" t="s">
        <v>15</v>
      </c>
      <c r="B29" s="6" t="s">
        <v>1062</v>
      </c>
      <c r="C29" s="5" t="s">
        <v>17</v>
      </c>
      <c r="D29" s="5"/>
      <c r="E29" s="5" t="s">
        <v>1063</v>
      </c>
      <c r="F29" s="5" t="s">
        <v>15</v>
      </c>
      <c r="G29" s="5" t="s">
        <v>17</v>
      </c>
      <c r="H29" s="5" t="s">
        <v>17</v>
      </c>
      <c r="I29" s="5" t="s">
        <v>17</v>
      </c>
      <c r="J29" s="5" t="s">
        <v>1064</v>
      </c>
    </row>
    <row r="30" spans="1:10" x14ac:dyDescent="0.25" outlineLevel="1" collapsed="1">
      <c r="A30" s="7" t="s">
        <v>15</v>
      </c>
      <c r="B30" s="7" t="s">
        <v>16</v>
      </c>
      <c r="C30" s="7" t="s">
        <v>17</v>
      </c>
      <c r="D30" s="7"/>
      <c r="E30" s="7" t="s">
        <v>253</v>
      </c>
      <c r="F30" s="7" t="s">
        <v>19</v>
      </c>
      <c r="G30" s="7" t="s">
        <v>1065</v>
      </c>
      <c r="H30" s="7" t="s">
        <v>17</v>
      </c>
      <c r="I30" s="7" t="s">
        <v>17</v>
      </c>
      <c r="J30" s="7" t="s">
        <v>255</v>
      </c>
    </row>
    <row r="31" spans="1:10" x14ac:dyDescent="0.25" outlineLevel="1" collapsed="1">
      <c r="A31" s="7" t="s">
        <v>19</v>
      </c>
      <c r="B31" s="7" t="s">
        <v>16</v>
      </c>
      <c r="C31" s="7" t="s">
        <v>17</v>
      </c>
      <c r="D31" s="7"/>
      <c r="E31" s="7" t="s">
        <v>256</v>
      </c>
      <c r="F31" s="7" t="s">
        <v>19</v>
      </c>
      <c r="G31" s="7" t="s">
        <v>257</v>
      </c>
      <c r="H31" s="7" t="s">
        <v>17</v>
      </c>
      <c r="I31" s="7" t="s">
        <v>17</v>
      </c>
      <c r="J31" s="7" t="s">
        <v>258</v>
      </c>
    </row>
    <row r="32" spans="1:10" x14ac:dyDescent="0.25" outlineLevel="1" collapsed="1">
      <c r="A32" s="7" t="s">
        <v>19</v>
      </c>
      <c r="B32" s="7" t="s">
        <v>16</v>
      </c>
      <c r="C32" s="7" t="s">
        <v>17</v>
      </c>
      <c r="D32" s="7"/>
      <c r="E32" s="7" t="s">
        <v>259</v>
      </c>
      <c r="F32" s="7" t="s">
        <v>19</v>
      </c>
      <c r="G32" s="7" t="s">
        <v>1066</v>
      </c>
      <c r="H32" s="7" t="s">
        <v>17</v>
      </c>
      <c r="I32" s="7" t="s">
        <v>17</v>
      </c>
      <c r="J32" s="7" t="s">
        <v>261</v>
      </c>
    </row>
    <row r="33" spans="1:10" x14ac:dyDescent="0.25" outlineLevel="1" collapsed="1">
      <c r="A33" s="7" t="s">
        <v>19</v>
      </c>
      <c r="B33" s="7" t="s">
        <v>16</v>
      </c>
      <c r="C33" s="7" t="s">
        <v>17</v>
      </c>
      <c r="D33" s="7"/>
      <c r="E33" s="7" t="s">
        <v>262</v>
      </c>
      <c r="F33" s="7" t="s">
        <v>19</v>
      </c>
      <c r="G33" s="7" t="s">
        <v>31</v>
      </c>
      <c r="H33" s="7" t="s">
        <v>17</v>
      </c>
      <c r="I33" s="7" t="s">
        <v>17</v>
      </c>
      <c r="J33" s="7" t="s">
        <v>263</v>
      </c>
    </row>
    <row r="34" spans="1:10" x14ac:dyDescent="0.25" outlineLevel="1" collapsed="1">
      <c r="A34" s="7" t="s">
        <v>19</v>
      </c>
      <c r="B34" s="7" t="s">
        <v>16</v>
      </c>
      <c r="C34" s="7" t="s">
        <v>17</v>
      </c>
      <c r="D34" s="7"/>
      <c r="E34" s="7" t="s">
        <v>264</v>
      </c>
      <c r="F34" s="7" t="s">
        <v>19</v>
      </c>
      <c r="G34" s="7" t="s">
        <v>31</v>
      </c>
      <c r="H34" s="7" t="s">
        <v>17</v>
      </c>
      <c r="I34" s="7" t="s">
        <v>17</v>
      </c>
      <c r="J34" s="7" t="s">
        <v>265</v>
      </c>
    </row>
    <row r="35" spans="1:10" x14ac:dyDescent="0.25" outlineLevel="1" collapsed="1">
      <c r="A35" s="7" t="s">
        <v>19</v>
      </c>
      <c r="B35" s="7" t="s">
        <v>16</v>
      </c>
      <c r="C35" s="7" t="s">
        <v>17</v>
      </c>
      <c r="D35" s="7"/>
      <c r="E35" s="7" t="s">
        <v>266</v>
      </c>
      <c r="F35" s="7" t="s">
        <v>19</v>
      </c>
      <c r="G35" s="7" t="s">
        <v>31</v>
      </c>
      <c r="H35" s="7" t="s">
        <v>17</v>
      </c>
      <c r="I35" s="7" t="s">
        <v>17</v>
      </c>
      <c r="J35" s="7" t="s">
        <v>267</v>
      </c>
    </row>
    <row r="36" spans="1:10" x14ac:dyDescent="0.25" outlineLevel="1" collapsed="1">
      <c r="A36" s="7" t="s">
        <v>19</v>
      </c>
      <c r="B36" s="7" t="s">
        <v>63</v>
      </c>
      <c r="C36" s="7" t="s">
        <v>17</v>
      </c>
      <c r="D36" s="7"/>
      <c r="E36" s="7" t="s">
        <v>268</v>
      </c>
      <c r="F36" s="7" t="s">
        <v>19</v>
      </c>
      <c r="G36" s="7">
        <v>1</v>
      </c>
      <c r="H36" s="7" t="s">
        <v>17</v>
      </c>
      <c r="I36" s="7" t="s">
        <v>17</v>
      </c>
      <c r="J36" s="7" t="s">
        <v>269</v>
      </c>
    </row>
    <row r="37" spans="1:10" x14ac:dyDescent="0.25">
      <c r="A37" s="5" t="s">
        <v>15</v>
      </c>
      <c r="B37" s="6" t="s">
        <v>1067</v>
      </c>
      <c r="C37" s="5" t="s">
        <v>17</v>
      </c>
      <c r="D37" s="5"/>
      <c r="E37" s="5" t="s">
        <v>1068</v>
      </c>
      <c r="F37" s="5" t="s">
        <v>19</v>
      </c>
      <c r="G37" s="5" t="s">
        <v>17</v>
      </c>
      <c r="H37" s="5" t="s">
        <v>17</v>
      </c>
      <c r="I37" s="5" t="s">
        <v>17</v>
      </c>
      <c r="J37" s="5" t="s">
        <v>1069</v>
      </c>
    </row>
    <row r="38" spans="1:10" x14ac:dyDescent="0.25" outlineLevel="1" collapsed="1">
      <c r="A38" s="7" t="s">
        <v>15</v>
      </c>
      <c r="B38" s="7" t="s">
        <v>16</v>
      </c>
      <c r="C38" s="7" t="s">
        <v>17</v>
      </c>
      <c r="D38" s="7"/>
      <c r="E38" s="7" t="s">
        <v>1070</v>
      </c>
      <c r="F38" s="7" t="s">
        <v>19</v>
      </c>
      <c r="G38" s="7" t="s">
        <v>985</v>
      </c>
      <c r="H38" s="7" t="s">
        <v>17</v>
      </c>
      <c r="I38" s="7" t="s">
        <v>17</v>
      </c>
      <c r="J38" s="7" t="s">
        <v>986</v>
      </c>
    </row>
    <row r="39" spans="1:10" x14ac:dyDescent="0.25" outlineLevel="1" collapsed="1">
      <c r="A39" s="7" t="s">
        <v>19</v>
      </c>
      <c r="B39" s="7" t="s">
        <v>16</v>
      </c>
      <c r="C39" s="7" t="s">
        <v>17</v>
      </c>
      <c r="D39" s="7"/>
      <c r="E39" s="7" t="s">
        <v>987</v>
      </c>
      <c r="F39" s="7" t="s">
        <v>19</v>
      </c>
      <c r="G39" s="7" t="s">
        <v>31</v>
      </c>
      <c r="H39" s="7" t="s">
        <v>17</v>
      </c>
      <c r="I39" s="7" t="s">
        <v>17</v>
      </c>
      <c r="J39" s="7" t="s">
        <v>988</v>
      </c>
    </row>
    <row r="40" spans="1:10" x14ac:dyDescent="0.25" outlineLevel="1" collapsed="1">
      <c r="A40" s="7" t="s">
        <v>19</v>
      </c>
      <c r="B40" s="7" t="s">
        <v>16</v>
      </c>
      <c r="C40" s="7" t="s">
        <v>17</v>
      </c>
      <c r="D40" s="7"/>
      <c r="E40" s="7" t="s">
        <v>989</v>
      </c>
      <c r="F40" s="7" t="s">
        <v>19</v>
      </c>
      <c r="G40" s="7" t="s">
        <v>31</v>
      </c>
      <c r="H40" s="7" t="s">
        <v>17</v>
      </c>
      <c r="I40" s="7" t="s">
        <v>17</v>
      </c>
      <c r="J40" s="7" t="s">
        <v>990</v>
      </c>
    </row>
    <row r="41" spans="1:10" x14ac:dyDescent="0.25">
      <c r="A41" s="5" t="s">
        <v>15</v>
      </c>
      <c r="B41" s="6" t="s">
        <v>1071</v>
      </c>
      <c r="C41" s="5" t="s">
        <v>17</v>
      </c>
      <c r="D41" s="5"/>
      <c r="E41" s="5" t="s">
        <v>1072</v>
      </c>
      <c r="F41" s="5" t="s">
        <v>19</v>
      </c>
      <c r="G41" s="5" t="s">
        <v>17</v>
      </c>
      <c r="H41" s="5" t="s">
        <v>17</v>
      </c>
      <c r="I41" s="5" t="s">
        <v>17</v>
      </c>
      <c r="J41" s="5" t="s">
        <v>1073</v>
      </c>
    </row>
    <row r="42" spans="1:10" x14ac:dyDescent="0.25" outlineLevel="1" collapsed="1">
      <c r="A42" s="8" t="s">
        <v>19</v>
      </c>
      <c r="B42" s="9" t="s">
        <v>1074</v>
      </c>
      <c r="C42" s="8" t="s">
        <v>17</v>
      </c>
      <c r="D42" s="8"/>
      <c r="E42" s="8" t="s">
        <v>1075</v>
      </c>
      <c r="F42" s="8" t="s">
        <v>15</v>
      </c>
      <c r="G42" s="8" t="s">
        <v>17</v>
      </c>
      <c r="H42" s="8" t="s">
        <v>17</v>
      </c>
      <c r="I42" s="8" t="s">
        <v>17</v>
      </c>
      <c r="J42" s="8" t="s">
        <v>1076</v>
      </c>
    </row>
    <row r="43" spans="1:10" x14ac:dyDescent="0.25" outlineLevel="2" collapsed="1">
      <c r="A43" s="7" t="s">
        <v>15</v>
      </c>
      <c r="B43" s="7" t="s">
        <v>16</v>
      </c>
      <c r="C43" s="7" t="s">
        <v>17</v>
      </c>
      <c r="D43" s="7"/>
      <c r="E43" s="7" t="s">
        <v>1077</v>
      </c>
      <c r="F43" s="7" t="s">
        <v>19</v>
      </c>
      <c r="G43" s="7" t="s">
        <v>1078</v>
      </c>
      <c r="H43" s="7" t="s">
        <v>17</v>
      </c>
      <c r="I43" s="7" t="s">
        <v>17</v>
      </c>
      <c r="J43" s="7" t="s">
        <v>1079</v>
      </c>
    </row>
    <row r="44" spans="1:10" x14ac:dyDescent="0.25" outlineLevel="2" collapsed="1">
      <c r="A44" s="7" t="s">
        <v>15</v>
      </c>
      <c r="B44" s="7" t="s">
        <v>16</v>
      </c>
      <c r="C44" s="7" t="s">
        <v>17</v>
      </c>
      <c r="D44" s="7"/>
      <c r="E44" s="7" t="s">
        <v>1080</v>
      </c>
      <c r="F44" s="7" t="s">
        <v>19</v>
      </c>
      <c r="G44" s="7" t="s">
        <v>1081</v>
      </c>
      <c r="H44" s="7" t="s">
        <v>17</v>
      </c>
      <c r="I44" s="7" t="s">
        <v>17</v>
      </c>
      <c r="J44" s="7" t="s">
        <v>1082</v>
      </c>
    </row>
    <row r="45" spans="1:10" x14ac:dyDescent="0.25" outlineLevel="2" collapsed="1">
      <c r="A45" s="7" t="s">
        <v>19</v>
      </c>
      <c r="B45" s="7" t="s">
        <v>16</v>
      </c>
      <c r="C45" s="7" t="s">
        <v>17</v>
      </c>
      <c r="D45" s="7"/>
      <c r="E45" s="7" t="s">
        <v>1083</v>
      </c>
      <c r="F45" s="7" t="s">
        <v>19</v>
      </c>
      <c r="G45" s="7" t="s">
        <v>1084</v>
      </c>
      <c r="H45" s="7" t="s">
        <v>17</v>
      </c>
      <c r="I45" s="7" t="s">
        <v>17</v>
      </c>
      <c r="J45" s="7" t="s">
        <v>1085</v>
      </c>
    </row>
    <row r="46" spans="1:10" x14ac:dyDescent="0.25" outlineLevel="2" collapsed="1">
      <c r="A46" s="7" t="s">
        <v>19</v>
      </c>
      <c r="B46" s="7" t="s">
        <v>16</v>
      </c>
      <c r="C46" s="7" t="s">
        <v>17</v>
      </c>
      <c r="D46" s="7"/>
      <c r="E46" s="7" t="s">
        <v>1086</v>
      </c>
      <c r="F46" s="7" t="s">
        <v>19</v>
      </c>
      <c r="G46" s="7" t="s">
        <v>1087</v>
      </c>
      <c r="H46" s="7" t="s">
        <v>17</v>
      </c>
      <c r="I46" s="7" t="s">
        <v>17</v>
      </c>
      <c r="J46" s="7" t="s">
        <v>1088</v>
      </c>
    </row>
    <row r="47" spans="1:10" x14ac:dyDescent="0.25" outlineLevel="2" collapsed="1">
      <c r="A47" s="7" t="s">
        <v>19</v>
      </c>
      <c r="B47" s="7" t="s">
        <v>16</v>
      </c>
      <c r="C47" s="7" t="s">
        <v>17</v>
      </c>
      <c r="D47" s="7"/>
      <c r="E47" s="7" t="s">
        <v>1089</v>
      </c>
      <c r="F47" s="7" t="s">
        <v>19</v>
      </c>
      <c r="G47" s="7" t="s">
        <v>1090</v>
      </c>
      <c r="H47" s="7" t="s">
        <v>17</v>
      </c>
      <c r="I47" s="7" t="s">
        <v>17</v>
      </c>
      <c r="J47" s="7" t="s">
        <v>1091</v>
      </c>
    </row>
    <row r="48" spans="1:10" x14ac:dyDescent="0.25" outlineLevel="2" collapsed="1">
      <c r="A48" s="7" t="s">
        <v>15</v>
      </c>
      <c r="B48" s="7" t="s">
        <v>16</v>
      </c>
      <c r="C48" s="7" t="s">
        <v>17</v>
      </c>
      <c r="D48" s="7"/>
      <c r="E48" s="7" t="s">
        <v>1092</v>
      </c>
      <c r="F48" s="7" t="s">
        <v>19</v>
      </c>
      <c r="G48" s="7" t="s">
        <v>1093</v>
      </c>
      <c r="H48" s="7" t="s">
        <v>17</v>
      </c>
      <c r="I48" s="7" t="s">
        <v>17</v>
      </c>
      <c r="J48" s="7" t="s">
        <v>1094</v>
      </c>
    </row>
    <row r="49" spans="1:10" x14ac:dyDescent="0.25">
      <c r="A49" s="5" t="s">
        <v>19</v>
      </c>
      <c r="B49" s="6" t="s">
        <v>1095</v>
      </c>
      <c r="C49" s="5" t="s">
        <v>17</v>
      </c>
      <c r="D49" s="5"/>
      <c r="E49" s="5" t="s">
        <v>1096</v>
      </c>
      <c r="F49" s="5" t="s">
        <v>15</v>
      </c>
      <c r="G49" s="5" t="s">
        <v>17</v>
      </c>
      <c r="H49" s="5" t="s">
        <v>17</v>
      </c>
      <c r="I49" s="5" t="s">
        <v>17</v>
      </c>
      <c r="J49" s="5" t="s">
        <v>1097</v>
      </c>
    </row>
    <row r="50" spans="1:10" x14ac:dyDescent="0.25" outlineLevel="1" collapsed="1">
      <c r="A50" s="7" t="s">
        <v>15</v>
      </c>
      <c r="B50" s="7" t="s">
        <v>16</v>
      </c>
      <c r="C50" s="7" t="s">
        <v>17</v>
      </c>
      <c r="D50" s="7"/>
      <c r="E50" s="7" t="s">
        <v>1098</v>
      </c>
      <c r="F50" s="7" t="s">
        <v>19</v>
      </c>
      <c r="G50" s="7" t="s">
        <v>1099</v>
      </c>
      <c r="H50" s="7" t="s">
        <v>17</v>
      </c>
      <c r="I50" s="7" t="s">
        <v>17</v>
      </c>
      <c r="J50" s="7" t="s">
        <v>1100</v>
      </c>
    </row>
    <row r="51" spans="1:10" x14ac:dyDescent="0.25" outlineLevel="1" collapsed="1">
      <c r="A51" s="7" t="s">
        <v>19</v>
      </c>
      <c r="B51" s="7" t="s">
        <v>16</v>
      </c>
      <c r="C51" s="7" t="s">
        <v>17</v>
      </c>
      <c r="D51" s="7"/>
      <c r="E51" s="7" t="s">
        <v>1101</v>
      </c>
      <c r="F51" s="7" t="s">
        <v>19</v>
      </c>
      <c r="G51" s="7" t="s">
        <v>31</v>
      </c>
      <c r="H51" s="7" t="s">
        <v>17</v>
      </c>
      <c r="I51" s="7" t="s">
        <v>17</v>
      </c>
      <c r="J51" s="7" t="s">
        <v>1102</v>
      </c>
    </row>
    <row r="52" spans="1:10" x14ac:dyDescent="0.25" outlineLevel="1" collapsed="1">
      <c r="A52" s="7" t="s">
        <v>19</v>
      </c>
      <c r="B52" s="7" t="s">
        <v>16</v>
      </c>
      <c r="C52" s="7" t="s">
        <v>17</v>
      </c>
      <c r="D52" s="7"/>
      <c r="E52" s="7" t="s">
        <v>1103</v>
      </c>
      <c r="F52" s="7" t="s">
        <v>19</v>
      </c>
      <c r="G52" s="7" t="s">
        <v>31</v>
      </c>
      <c r="H52" s="7" t="s">
        <v>17</v>
      </c>
      <c r="I52" s="7" t="s">
        <v>17</v>
      </c>
      <c r="J52" s="7" t="s">
        <v>1104</v>
      </c>
    </row>
    <row r="53" spans="1:10" x14ac:dyDescent="0.25" outlineLevel="1" collapsed="1">
      <c r="A53" s="7" t="s">
        <v>19</v>
      </c>
      <c r="B53" s="7" t="s">
        <v>16</v>
      </c>
      <c r="C53" s="7" t="s">
        <v>17</v>
      </c>
      <c r="D53" s="7"/>
      <c r="E53" s="7" t="s">
        <v>1105</v>
      </c>
      <c r="F53" s="7" t="s">
        <v>19</v>
      </c>
      <c r="G53" s="7" t="s">
        <v>31</v>
      </c>
      <c r="H53" s="7" t="s">
        <v>17</v>
      </c>
      <c r="I53" s="7" t="s">
        <v>17</v>
      </c>
      <c r="J53" s="7" t="s">
        <v>1082</v>
      </c>
    </row>
    <row r="54" spans="1:10" x14ac:dyDescent="0.25" outlineLevel="1" collapsed="1">
      <c r="A54" s="7" t="s">
        <v>19</v>
      </c>
      <c r="B54" s="7" t="s">
        <v>16</v>
      </c>
      <c r="C54" s="7" t="s">
        <v>17</v>
      </c>
      <c r="D54" s="7"/>
      <c r="E54" s="7" t="s">
        <v>1106</v>
      </c>
      <c r="F54" s="7" t="s">
        <v>19</v>
      </c>
      <c r="G54" s="7" t="s">
        <v>31</v>
      </c>
      <c r="H54" s="7" t="s">
        <v>17</v>
      </c>
      <c r="I54" s="7" t="s">
        <v>17</v>
      </c>
      <c r="J54" s="7" t="s">
        <v>1085</v>
      </c>
    </row>
    <row r="55" spans="1:10" x14ac:dyDescent="0.25" outlineLevel="1" collapsed="1">
      <c r="A55" s="7" t="s">
        <v>19</v>
      </c>
      <c r="B55" s="7" t="s">
        <v>16</v>
      </c>
      <c r="C55" s="7" t="s">
        <v>17</v>
      </c>
      <c r="D55" s="7"/>
      <c r="E55" s="7" t="s">
        <v>1107</v>
      </c>
      <c r="F55" s="7" t="s">
        <v>19</v>
      </c>
      <c r="G55" s="7" t="s">
        <v>31</v>
      </c>
      <c r="H55" s="7" t="s">
        <v>17</v>
      </c>
      <c r="I55" s="7" t="s">
        <v>17</v>
      </c>
      <c r="J55" s="7" t="s">
        <v>1088</v>
      </c>
    </row>
    <row r="56" spans="1:10" x14ac:dyDescent="0.25" outlineLevel="1" collapsed="1">
      <c r="A56" s="7" t="s">
        <v>19</v>
      </c>
      <c r="B56" s="7" t="s">
        <v>16</v>
      </c>
      <c r="C56" s="7" t="s">
        <v>17</v>
      </c>
      <c r="D56" s="7"/>
      <c r="E56" s="7" t="s">
        <v>1108</v>
      </c>
      <c r="F56" s="7" t="s">
        <v>19</v>
      </c>
      <c r="G56" s="7" t="s">
        <v>31</v>
      </c>
      <c r="H56" s="7" t="s">
        <v>17</v>
      </c>
      <c r="I56" s="7" t="s">
        <v>17</v>
      </c>
      <c r="J56" s="7" t="s">
        <v>1091</v>
      </c>
    </row>
    <row r="57" spans="1:10" x14ac:dyDescent="0.25" outlineLevel="1" collapsed="1">
      <c r="A57" s="7" t="s">
        <v>19</v>
      </c>
      <c r="B57" s="7" t="s">
        <v>16</v>
      </c>
      <c r="C57" s="7" t="s">
        <v>17</v>
      </c>
      <c r="D57" s="7"/>
      <c r="E57" s="7" t="s">
        <v>1109</v>
      </c>
      <c r="F57" s="7" t="s">
        <v>19</v>
      </c>
      <c r="G57" s="7" t="s">
        <v>31</v>
      </c>
      <c r="H57" s="7" t="s">
        <v>17</v>
      </c>
      <c r="I57" s="7" t="s">
        <v>17</v>
      </c>
      <c r="J57" s="7" t="s">
        <v>1094</v>
      </c>
    </row>
    <row r="58" spans="1:10" x14ac:dyDescent="0.25" outlineLevel="1" collapsed="1">
      <c r="A58" s="7" t="s">
        <v>19</v>
      </c>
      <c r="B58" s="7" t="s">
        <v>16</v>
      </c>
      <c r="C58" s="7" t="s">
        <v>17</v>
      </c>
      <c r="D58" s="7"/>
      <c r="E58" s="7" t="s">
        <v>1110</v>
      </c>
      <c r="F58" s="7" t="s">
        <v>19</v>
      </c>
      <c r="G58" s="7" t="s">
        <v>31</v>
      </c>
      <c r="H58" s="7" t="s">
        <v>17</v>
      </c>
      <c r="I58" s="7" t="s">
        <v>17</v>
      </c>
      <c r="J58" s="7" t="s">
        <v>1111</v>
      </c>
    </row>
    <row r="59" spans="1:10" x14ac:dyDescent="0.25">
      <c r="A59" s="5" t="s">
        <v>15</v>
      </c>
      <c r="B59" s="6" t="s">
        <v>1112</v>
      </c>
      <c r="C59" s="5" t="s">
        <v>17</v>
      </c>
      <c r="D59" s="5"/>
      <c r="E59" s="5" t="s">
        <v>1113</v>
      </c>
      <c r="F59" s="5" t="s">
        <v>19</v>
      </c>
      <c r="G59" s="5" t="s">
        <v>17</v>
      </c>
      <c r="H59" s="5" t="s">
        <v>17</v>
      </c>
      <c r="I59" s="5" t="s">
        <v>17</v>
      </c>
      <c r="J59" s="5" t="s">
        <v>1114</v>
      </c>
    </row>
    <row r="60" spans="1:10" x14ac:dyDescent="0.25" outlineLevel="1" collapsed="1">
      <c r="A60" s="7" t="s">
        <v>15</v>
      </c>
      <c r="B60" s="7" t="s">
        <v>16</v>
      </c>
      <c r="C60" s="7" t="s">
        <v>17</v>
      </c>
      <c r="D60" s="7"/>
      <c r="E60" s="7" t="s">
        <v>1115</v>
      </c>
      <c r="F60" s="7" t="s">
        <v>19</v>
      </c>
      <c r="G60" s="7" t="s">
        <v>847</v>
      </c>
      <c r="H60" s="7" t="s">
        <v>17</v>
      </c>
      <c r="I60" s="7" t="s">
        <v>17</v>
      </c>
      <c r="J60" s="7" t="s">
        <v>1116</v>
      </c>
    </row>
    <row r="61" spans="1:10" x14ac:dyDescent="0.25" outlineLevel="1" collapsed="1">
      <c r="A61" s="7" t="s">
        <v>19</v>
      </c>
      <c r="B61" s="7" t="s">
        <v>16</v>
      </c>
      <c r="C61" s="7" t="s">
        <v>17</v>
      </c>
      <c r="D61" s="7"/>
      <c r="E61" s="7" t="s">
        <v>1117</v>
      </c>
      <c r="F61" s="7" t="s">
        <v>19</v>
      </c>
      <c r="G61" s="7" t="s">
        <v>31</v>
      </c>
      <c r="H61" s="7" t="s">
        <v>17</v>
      </c>
      <c r="I61" s="7" t="s">
        <v>17</v>
      </c>
      <c r="J61" s="7" t="s">
        <v>1118</v>
      </c>
    </row>
    <row r="62" spans="1:10" x14ac:dyDescent="0.25">
      <c r="A62" s="5" t="s">
        <v>15</v>
      </c>
      <c r="B62" s="6" t="s">
        <v>1119</v>
      </c>
      <c r="C62" s="5" t="s">
        <v>17</v>
      </c>
      <c r="D62" s="5"/>
      <c r="E62" s="5" t="s">
        <v>1120</v>
      </c>
      <c r="F62" s="5" t="s">
        <v>19</v>
      </c>
      <c r="G62" s="5" t="s">
        <v>17</v>
      </c>
      <c r="H62" s="5" t="s">
        <v>17</v>
      </c>
      <c r="I62" s="5" t="s">
        <v>17</v>
      </c>
      <c r="J62" s="5" t="s">
        <v>1121</v>
      </c>
    </row>
    <row r="63" spans="1:10" x14ac:dyDescent="0.25" outlineLevel="1" collapsed="1">
      <c r="A63" s="7" t="s">
        <v>15</v>
      </c>
      <c r="B63" s="7" t="s">
        <v>16</v>
      </c>
      <c r="C63" s="7" t="s">
        <v>17</v>
      </c>
      <c r="D63" s="7"/>
      <c r="E63" s="7" t="s">
        <v>846</v>
      </c>
      <c r="F63" s="7" t="s">
        <v>19</v>
      </c>
      <c r="G63" s="7" t="s">
        <v>847</v>
      </c>
      <c r="H63" s="7" t="s">
        <v>17</v>
      </c>
      <c r="I63" s="7" t="s">
        <v>17</v>
      </c>
      <c r="J63" s="7" t="s">
        <v>848</v>
      </c>
    </row>
    <row r="64" spans="1:10" x14ac:dyDescent="0.25" outlineLevel="1" collapsed="1">
      <c r="A64" s="7" t="s">
        <v>15</v>
      </c>
      <c r="B64" s="7" t="s">
        <v>16</v>
      </c>
      <c r="C64" s="7" t="s">
        <v>17</v>
      </c>
      <c r="D64" s="7"/>
      <c r="E64" s="7" t="s">
        <v>849</v>
      </c>
      <c r="F64" s="7" t="s">
        <v>19</v>
      </c>
      <c r="G64" s="7" t="s">
        <v>850</v>
      </c>
      <c r="H64" s="7" t="s">
        <v>17</v>
      </c>
      <c r="I64" s="7" t="s">
        <v>17</v>
      </c>
      <c r="J64" s="7" t="s">
        <v>851</v>
      </c>
    </row>
    <row r="65" spans="1:10" x14ac:dyDescent="0.25" outlineLevel="1" collapsed="1">
      <c r="A65" s="7" t="s">
        <v>15</v>
      </c>
      <c r="B65" s="7" t="s">
        <v>63</v>
      </c>
      <c r="C65" s="7" t="s">
        <v>17</v>
      </c>
      <c r="D65" s="7"/>
      <c r="E65" s="7" t="s">
        <v>852</v>
      </c>
      <c r="F65" s="7" t="s">
        <v>19</v>
      </c>
      <c r="G65" s="7">
        <v>1</v>
      </c>
      <c r="H65" s="7" t="s">
        <v>17</v>
      </c>
      <c r="I65" s="7" t="s">
        <v>17</v>
      </c>
      <c r="J65" s="7" t="s">
        <v>853</v>
      </c>
    </row>
    <row r="66" spans="1:10" x14ac:dyDescent="0.25" outlineLevel="1" collapsed="1">
      <c r="A66" s="7" t="s">
        <v>19</v>
      </c>
      <c r="B66" s="7" t="s">
        <v>16</v>
      </c>
      <c r="C66" s="7" t="s">
        <v>17</v>
      </c>
      <c r="D66" s="7"/>
      <c r="E66" s="7" t="s">
        <v>854</v>
      </c>
      <c r="F66" s="7" t="s">
        <v>19</v>
      </c>
      <c r="G66" s="7" t="s">
        <v>31</v>
      </c>
      <c r="H66" s="7" t="s">
        <v>17</v>
      </c>
      <c r="I66" s="7" t="s">
        <v>17</v>
      </c>
      <c r="J66" s="7" t="s">
        <v>855</v>
      </c>
    </row>
    <row r="67" spans="1:10" x14ac:dyDescent="0.25" outlineLevel="1" collapsed="1">
      <c r="A67" s="7" t="s">
        <v>19</v>
      </c>
      <c r="B67" s="7" t="s">
        <v>16</v>
      </c>
      <c r="C67" s="7" t="s">
        <v>17</v>
      </c>
      <c r="D67" s="7"/>
      <c r="E67" s="7" t="s">
        <v>856</v>
      </c>
      <c r="F67" s="7" t="s">
        <v>19</v>
      </c>
      <c r="G67" s="7" t="s">
        <v>31</v>
      </c>
      <c r="H67" s="7" t="s">
        <v>17</v>
      </c>
      <c r="I67" s="7" t="s">
        <v>17</v>
      </c>
      <c r="J67" s="7" t="s">
        <v>857</v>
      </c>
    </row>
    <row r="68" spans="1:10" x14ac:dyDescent="0.25">
      <c r="A68" s="5" t="s">
        <v>15</v>
      </c>
      <c r="B68" s="6" t="s">
        <v>1122</v>
      </c>
      <c r="C68" s="5" t="s">
        <v>17</v>
      </c>
      <c r="D68" s="5"/>
      <c r="E68" s="5" t="s">
        <v>1123</v>
      </c>
      <c r="F68" s="5" t="s">
        <v>19</v>
      </c>
      <c r="G68" s="5" t="s">
        <v>17</v>
      </c>
      <c r="H68" s="5" t="s">
        <v>17</v>
      </c>
      <c r="I68" s="5" t="s">
        <v>17</v>
      </c>
      <c r="J68" s="5" t="s">
        <v>1124</v>
      </c>
    </row>
    <row r="69" spans="1:10" x14ac:dyDescent="0.25" outlineLevel="1" collapsed="1">
      <c r="A69" s="7" t="s">
        <v>15</v>
      </c>
      <c r="B69" s="7" t="s">
        <v>16</v>
      </c>
      <c r="C69" s="7" t="s">
        <v>17</v>
      </c>
      <c r="D69" s="7"/>
      <c r="E69" s="7" t="s">
        <v>1125</v>
      </c>
      <c r="F69" s="7" t="s">
        <v>19</v>
      </c>
      <c r="G69" s="7" t="s">
        <v>1126</v>
      </c>
      <c r="H69" s="7" t="s">
        <v>17</v>
      </c>
      <c r="I69" s="7" t="s">
        <v>17</v>
      </c>
      <c r="J69" s="7" t="s">
        <v>1127</v>
      </c>
    </row>
    <row r="70" spans="1:10" x14ac:dyDescent="0.25" outlineLevel="1" collapsed="1">
      <c r="A70" s="8" t="s">
        <v>19</v>
      </c>
      <c r="B70" s="9" t="s">
        <v>1128</v>
      </c>
      <c r="C70" s="8" t="s">
        <v>17</v>
      </c>
      <c r="D70" s="8"/>
      <c r="E70" s="8" t="s">
        <v>1129</v>
      </c>
      <c r="F70" s="8" t="s">
        <v>15</v>
      </c>
      <c r="G70" s="8" t="s">
        <v>17</v>
      </c>
      <c r="H70" s="8" t="s">
        <v>17</v>
      </c>
      <c r="I70" s="8" t="s">
        <v>17</v>
      </c>
      <c r="J70" s="8" t="s">
        <v>1130</v>
      </c>
    </row>
    <row r="71" spans="1:10" x14ac:dyDescent="0.25" outlineLevel="2" collapsed="1">
      <c r="A71" s="7" t="s">
        <v>15</v>
      </c>
      <c r="B71" s="7" t="s">
        <v>16</v>
      </c>
      <c r="C71" s="7" t="s">
        <v>17</v>
      </c>
      <c r="D71" s="7"/>
      <c r="E71" s="7" t="s">
        <v>1131</v>
      </c>
      <c r="F71" s="7" t="s">
        <v>19</v>
      </c>
      <c r="G71" s="7" t="s">
        <v>1132</v>
      </c>
      <c r="H71" s="7" t="s">
        <v>17</v>
      </c>
      <c r="I71" s="7" t="s">
        <v>17</v>
      </c>
      <c r="J71" s="7" t="s">
        <v>1133</v>
      </c>
    </row>
    <row r="72" spans="1:10" x14ac:dyDescent="0.25" outlineLevel="2" collapsed="1">
      <c r="A72" s="7" t="s">
        <v>19</v>
      </c>
      <c r="B72" s="7" t="s">
        <v>16</v>
      </c>
      <c r="C72" s="7" t="s">
        <v>17</v>
      </c>
      <c r="D72" s="7"/>
      <c r="E72" s="7" t="s">
        <v>1134</v>
      </c>
      <c r="F72" s="7" t="s">
        <v>19</v>
      </c>
      <c r="G72" s="7" t="s">
        <v>1135</v>
      </c>
      <c r="H72" s="7" t="s">
        <v>17</v>
      </c>
      <c r="I72" s="7" t="s">
        <v>17</v>
      </c>
      <c r="J72" s="7" t="s">
        <v>1136</v>
      </c>
    </row>
    <row r="73" spans="1:10" x14ac:dyDescent="0.25" outlineLevel="2" collapsed="1">
      <c r="A73" s="7" t="s">
        <v>15</v>
      </c>
      <c r="B73" s="7" t="s">
        <v>63</v>
      </c>
      <c r="C73" s="7" t="s">
        <v>17</v>
      </c>
      <c r="D73" s="7"/>
      <c r="E73" s="7" t="s">
        <v>1137</v>
      </c>
      <c r="F73" s="7" t="s">
        <v>19</v>
      </c>
      <c r="G73" s="7">
        <v>-3.35</v>
      </c>
      <c r="H73" s="7" t="s">
        <v>17</v>
      </c>
      <c r="I73" s="7" t="s">
        <v>17</v>
      </c>
      <c r="J73" s="7" t="s">
        <v>1138</v>
      </c>
    </row>
    <row r="74" spans="1:10" x14ac:dyDescent="0.25" outlineLevel="2" collapsed="1">
      <c r="A74" s="7" t="s">
        <v>15</v>
      </c>
      <c r="B74" s="7" t="s">
        <v>63</v>
      </c>
      <c r="C74" s="7" t="s">
        <v>17</v>
      </c>
      <c r="D74" s="7"/>
      <c r="E74" s="7" t="s">
        <v>1139</v>
      </c>
      <c r="F74" s="7" t="s">
        <v>19</v>
      </c>
      <c r="G74" s="7">
        <v>37.34</v>
      </c>
      <c r="H74" s="7" t="s">
        <v>17</v>
      </c>
      <c r="I74" s="7" t="s">
        <v>17</v>
      </c>
      <c r="J74" s="7" t="s">
        <v>1140</v>
      </c>
    </row>
    <row r="75" spans="1:10" x14ac:dyDescent="0.25" outlineLevel="2" collapsed="1">
      <c r="A75" s="7" t="s">
        <v>19</v>
      </c>
      <c r="B75" s="7" t="s">
        <v>16</v>
      </c>
      <c r="C75" s="7" t="s">
        <v>17</v>
      </c>
      <c r="D75" s="7"/>
      <c r="E75" s="7" t="s">
        <v>1141</v>
      </c>
      <c r="F75" s="7" t="s">
        <v>19</v>
      </c>
      <c r="G75" s="7" t="s">
        <v>1142</v>
      </c>
      <c r="H75" s="7" t="s">
        <v>17</v>
      </c>
      <c r="I75" s="7" t="s">
        <v>17</v>
      </c>
      <c r="J75" s="7" t="s">
        <v>1143</v>
      </c>
    </row>
    <row r="76" spans="1:10" x14ac:dyDescent="0.25" outlineLevel="2" collapsed="1">
      <c r="A76" s="7" t="s">
        <v>19</v>
      </c>
      <c r="B76" s="7" t="s">
        <v>16</v>
      </c>
      <c r="C76" s="7" t="s">
        <v>17</v>
      </c>
      <c r="D76" s="7"/>
      <c r="E76" s="7" t="s">
        <v>1144</v>
      </c>
      <c r="F76" s="7" t="s">
        <v>19</v>
      </c>
      <c r="G76" s="7" t="s">
        <v>1145</v>
      </c>
      <c r="H76" s="7" t="s">
        <v>17</v>
      </c>
      <c r="I76" s="7" t="s">
        <v>17</v>
      </c>
      <c r="J76" s="7" t="s">
        <v>1146</v>
      </c>
    </row>
    <row r="77" spans="1:10" x14ac:dyDescent="0.25" outlineLevel="1" collapsed="1">
      <c r="A77" s="7" t="s">
        <v>19</v>
      </c>
      <c r="B77" s="7" t="s">
        <v>16</v>
      </c>
      <c r="C77" s="7" t="s">
        <v>17</v>
      </c>
      <c r="D77" s="7"/>
      <c r="E77" s="7" t="s">
        <v>1147</v>
      </c>
      <c r="F77" s="7" t="s">
        <v>19</v>
      </c>
      <c r="G77" s="7" t="s">
        <v>31</v>
      </c>
      <c r="H77" s="7" t="s">
        <v>17</v>
      </c>
      <c r="I77" s="7" t="s">
        <v>17</v>
      </c>
      <c r="J77" s="7" t="s">
        <v>1148</v>
      </c>
    </row>
    <row r="78" spans="1:10" x14ac:dyDescent="0.25" outlineLevel="1" collapsed="1">
      <c r="A78" s="7" t="s">
        <v>19</v>
      </c>
      <c r="B78" s="7" t="s">
        <v>16</v>
      </c>
      <c r="C78" s="7" t="s">
        <v>17</v>
      </c>
      <c r="D78" s="7"/>
      <c r="E78" s="7" t="s">
        <v>1149</v>
      </c>
      <c r="F78" s="7" t="s">
        <v>19</v>
      </c>
      <c r="G78" s="7" t="s">
        <v>31</v>
      </c>
      <c r="H78" s="7" t="s">
        <v>17</v>
      </c>
      <c r="I78" s="7" t="s">
        <v>17</v>
      </c>
      <c r="J78" s="7" t="s">
        <v>1150</v>
      </c>
    </row>
    <row r="79" spans="1:10" x14ac:dyDescent="0.25" outlineLevel="1" collapsed="1">
      <c r="A79" s="7" t="s">
        <v>19</v>
      </c>
      <c r="B79" s="7" t="s">
        <v>16</v>
      </c>
      <c r="C79" s="7" t="s">
        <v>17</v>
      </c>
      <c r="D79" s="7"/>
      <c r="E79" s="7" t="s">
        <v>1151</v>
      </c>
      <c r="F79" s="7" t="s">
        <v>19</v>
      </c>
      <c r="G79" s="7" t="s">
        <v>31</v>
      </c>
      <c r="H79" s="7" t="s">
        <v>17</v>
      </c>
      <c r="I79" s="7" t="s">
        <v>17</v>
      </c>
      <c r="J79" s="7" t="s">
        <v>1152</v>
      </c>
    </row>
    <row r="80" spans="1:10" x14ac:dyDescent="0.25">
      <c r="A80" s="5" t="s">
        <v>15</v>
      </c>
      <c r="B80" s="6" t="s">
        <v>1153</v>
      </c>
      <c r="C80" s="5" t="s">
        <v>17</v>
      </c>
      <c r="D80" s="5"/>
      <c r="E80" s="5" t="s">
        <v>1154</v>
      </c>
      <c r="F80" s="5" t="s">
        <v>19</v>
      </c>
      <c r="G80" s="5" t="s">
        <v>17</v>
      </c>
      <c r="H80" s="5" t="s">
        <v>17</v>
      </c>
      <c r="I80" s="5" t="s">
        <v>17</v>
      </c>
      <c r="J80" s="5" t="s">
        <v>1155</v>
      </c>
    </row>
    <row r="81" spans="1:10" x14ac:dyDescent="0.25" outlineLevel="1" collapsed="1">
      <c r="A81" s="7" t="s">
        <v>15</v>
      </c>
      <c r="B81" s="7" t="s">
        <v>16</v>
      </c>
      <c r="C81" s="7" t="s">
        <v>17</v>
      </c>
      <c r="D81" s="7"/>
      <c r="E81" s="7" t="s">
        <v>24</v>
      </c>
      <c r="F81" s="7" t="s">
        <v>19</v>
      </c>
      <c r="G81" s="7" t="s">
        <v>25</v>
      </c>
      <c r="H81" s="7" t="s">
        <v>17</v>
      </c>
      <c r="I81" s="7" t="s">
        <v>17</v>
      </c>
      <c r="J81" s="7" t="s">
        <v>26</v>
      </c>
    </row>
    <row r="82" spans="1:10" x14ac:dyDescent="0.25" outlineLevel="1" collapsed="1">
      <c r="A82" s="8" t="s">
        <v>19</v>
      </c>
      <c r="B82" s="9" t="s">
        <v>27</v>
      </c>
      <c r="C82" s="8" t="s">
        <v>17</v>
      </c>
      <c r="D82" s="8"/>
      <c r="E82" s="8" t="s">
        <v>28</v>
      </c>
      <c r="F82" s="8" t="s">
        <v>15</v>
      </c>
      <c r="G82" s="8" t="s">
        <v>17</v>
      </c>
      <c r="H82" s="8" t="s">
        <v>17</v>
      </c>
      <c r="I82" s="8" t="s">
        <v>17</v>
      </c>
      <c r="J82" s="8" t="s">
        <v>29</v>
      </c>
    </row>
    <row r="83" spans="1:10" x14ac:dyDescent="0.25" outlineLevel="2" collapsed="1">
      <c r="A83" s="7" t="s">
        <v>19</v>
      </c>
      <c r="B83" s="7" t="s">
        <v>16</v>
      </c>
      <c r="C83" s="7" t="s">
        <v>17</v>
      </c>
      <c r="D83" s="7"/>
      <c r="E83" s="7" t="s">
        <v>30</v>
      </c>
      <c r="F83" s="7" t="s">
        <v>19</v>
      </c>
      <c r="G83" s="7" t="s">
        <v>31</v>
      </c>
      <c r="H83" s="7" t="s">
        <v>17</v>
      </c>
      <c r="I83" s="7" t="s">
        <v>17</v>
      </c>
      <c r="J83" s="7" t="s">
        <v>32</v>
      </c>
    </row>
    <row r="84" spans="1:10" x14ac:dyDescent="0.25" outlineLevel="2" collapsed="1">
      <c r="A84" s="7" t="s">
        <v>19</v>
      </c>
      <c r="B84" s="7" t="s">
        <v>16</v>
      </c>
      <c r="C84" s="7" t="s">
        <v>17</v>
      </c>
      <c r="D84" s="7"/>
      <c r="E84" s="7" t="s">
        <v>33</v>
      </c>
      <c r="F84" s="7" t="s">
        <v>19</v>
      </c>
      <c r="G84" s="7" t="s">
        <v>31</v>
      </c>
      <c r="H84" s="7" t="s">
        <v>17</v>
      </c>
      <c r="I84" s="7" t="s">
        <v>17</v>
      </c>
      <c r="J84" s="7" t="s">
        <v>34</v>
      </c>
    </row>
    <row r="85" spans="1:10" x14ac:dyDescent="0.25" outlineLevel="2" collapsed="1">
      <c r="A85" s="7" t="s">
        <v>19</v>
      </c>
      <c r="B85" s="7" t="s">
        <v>16</v>
      </c>
      <c r="C85" s="7" t="s">
        <v>17</v>
      </c>
      <c r="D85" s="7"/>
      <c r="E85" s="7" t="s">
        <v>35</v>
      </c>
      <c r="F85" s="7" t="s">
        <v>19</v>
      </c>
      <c r="G85" s="7" t="s">
        <v>31</v>
      </c>
      <c r="H85" s="7" t="s">
        <v>17</v>
      </c>
      <c r="I85" s="7" t="s">
        <v>17</v>
      </c>
      <c r="J85" s="7" t="s">
        <v>36</v>
      </c>
    </row>
    <row r="86" spans="1:10" x14ac:dyDescent="0.25" outlineLevel="2" collapsed="1">
      <c r="A86" s="7" t="s">
        <v>19</v>
      </c>
      <c r="B86" s="7" t="s">
        <v>16</v>
      </c>
      <c r="C86" s="7" t="s">
        <v>17</v>
      </c>
      <c r="D86" s="7"/>
      <c r="E86" s="7" t="s">
        <v>37</v>
      </c>
      <c r="F86" s="7" t="s">
        <v>19</v>
      </c>
      <c r="G86" s="7" t="s">
        <v>31</v>
      </c>
      <c r="H86" s="7" t="s">
        <v>17</v>
      </c>
      <c r="I86" s="7" t="s">
        <v>17</v>
      </c>
      <c r="J86" s="7" t="s">
        <v>38</v>
      </c>
    </row>
    <row r="87" spans="1:10" x14ac:dyDescent="0.25" outlineLevel="2" collapsed="1">
      <c r="A87" s="7" t="s">
        <v>19</v>
      </c>
      <c r="B87" s="7" t="s">
        <v>16</v>
      </c>
      <c r="C87" s="7" t="s">
        <v>17</v>
      </c>
      <c r="D87" s="7"/>
      <c r="E87" s="7" t="s">
        <v>39</v>
      </c>
      <c r="F87" s="7" t="s">
        <v>19</v>
      </c>
      <c r="G87" s="7" t="s">
        <v>31</v>
      </c>
      <c r="H87" s="7" t="s">
        <v>17</v>
      </c>
      <c r="I87" s="7" t="s">
        <v>17</v>
      </c>
      <c r="J87" s="7" t="s">
        <v>40</v>
      </c>
    </row>
    <row r="88" spans="1:10" x14ac:dyDescent="0.25" outlineLevel="1" collapsed="1">
      <c r="A88" s="7" t="s">
        <v>19</v>
      </c>
      <c r="B88" s="7" t="s">
        <v>16</v>
      </c>
      <c r="C88" s="7" t="s">
        <v>17</v>
      </c>
      <c r="D88" s="7"/>
      <c r="E88" s="7" t="s">
        <v>41</v>
      </c>
      <c r="F88" s="7" t="s">
        <v>19</v>
      </c>
      <c r="G88" s="7" t="s">
        <v>31</v>
      </c>
      <c r="H88" s="7" t="s">
        <v>17</v>
      </c>
      <c r="I88" s="7" t="s">
        <v>17</v>
      </c>
      <c r="J88" s="7" t="s">
        <v>42</v>
      </c>
    </row>
    <row r="89" spans="1:10" x14ac:dyDescent="0.25" outlineLevel="1" collapsed="1">
      <c r="A89" s="7" t="s">
        <v>19</v>
      </c>
      <c r="B89" s="7" t="s">
        <v>16</v>
      </c>
      <c r="C89" s="7" t="s">
        <v>17</v>
      </c>
      <c r="D89" s="7"/>
      <c r="E89" s="7" t="s">
        <v>43</v>
      </c>
      <c r="F89" s="7" t="s">
        <v>19</v>
      </c>
      <c r="G89" s="7" t="s">
        <v>31</v>
      </c>
      <c r="H89" s="7" t="s">
        <v>17</v>
      </c>
      <c r="I89" s="7" t="s">
        <v>17</v>
      </c>
      <c r="J89" s="7" t="s">
        <v>44</v>
      </c>
    </row>
    <row r="90" spans="1:10" x14ac:dyDescent="0.25" outlineLevel="1" collapsed="1">
      <c r="A90" s="7" t="s">
        <v>19</v>
      </c>
      <c r="B90" s="7" t="s">
        <v>16</v>
      </c>
      <c r="C90" s="7" t="s">
        <v>17</v>
      </c>
      <c r="D90" s="7"/>
      <c r="E90" s="7" t="s">
        <v>45</v>
      </c>
      <c r="F90" s="7" t="s">
        <v>19</v>
      </c>
      <c r="G90" s="7" t="s">
        <v>31</v>
      </c>
      <c r="H90" s="7" t="s">
        <v>17</v>
      </c>
      <c r="I90" s="7" t="s">
        <v>17</v>
      </c>
      <c r="J90" s="7" t="s">
        <v>46</v>
      </c>
    </row>
    <row r="91" spans="1:10" x14ac:dyDescent="0.25" outlineLevel="1" collapsed="1">
      <c r="A91" s="7" t="s">
        <v>19</v>
      </c>
      <c r="B91" s="7" t="s">
        <v>16</v>
      </c>
      <c r="C91" s="7" t="s">
        <v>17</v>
      </c>
      <c r="D91" s="7"/>
      <c r="E91" s="7" t="s">
        <v>47</v>
      </c>
      <c r="F91" s="7" t="s">
        <v>19</v>
      </c>
      <c r="G91" s="7" t="s">
        <v>31</v>
      </c>
      <c r="H91" s="7" t="s">
        <v>17</v>
      </c>
      <c r="I91" s="7" t="s">
        <v>17</v>
      </c>
      <c r="J91" s="7" t="s">
        <v>48</v>
      </c>
    </row>
    <row r="92" spans="1:10" x14ac:dyDescent="0.25" outlineLevel="1" collapsed="1">
      <c r="A92" s="7" t="s">
        <v>19</v>
      </c>
      <c r="B92" s="7" t="s">
        <v>16</v>
      </c>
      <c r="C92" s="7" t="s">
        <v>17</v>
      </c>
      <c r="D92" s="7"/>
      <c r="E92" s="7" t="s">
        <v>49</v>
      </c>
      <c r="F92" s="7" t="s">
        <v>19</v>
      </c>
      <c r="G92" s="7" t="s">
        <v>31</v>
      </c>
      <c r="H92" s="7" t="s">
        <v>17</v>
      </c>
      <c r="I92" s="7" t="s">
        <v>17</v>
      </c>
      <c r="J92" s="7" t="s">
        <v>50</v>
      </c>
    </row>
    <row r="93" spans="1:10" x14ac:dyDescent="0.25" outlineLevel="1" collapsed="1">
      <c r="A93" s="7" t="s">
        <v>19</v>
      </c>
      <c r="B93" s="7" t="s">
        <v>16</v>
      </c>
      <c r="C93" s="7" t="s">
        <v>17</v>
      </c>
      <c r="D93" s="7"/>
      <c r="E93" s="7" t="s">
        <v>51</v>
      </c>
      <c r="F93" s="7" t="s">
        <v>19</v>
      </c>
      <c r="G93" s="7" t="s">
        <v>31</v>
      </c>
      <c r="H93" s="7" t="s">
        <v>17</v>
      </c>
      <c r="I93" s="7" t="s">
        <v>17</v>
      </c>
      <c r="J93" s="7" t="s">
        <v>52</v>
      </c>
    </row>
    <row r="94" spans="1:10" x14ac:dyDescent="0.25" outlineLevel="1" collapsed="1">
      <c r="A94" s="7" t="s">
        <v>19</v>
      </c>
      <c r="B94" s="7" t="s">
        <v>16</v>
      </c>
      <c r="C94" s="7" t="s">
        <v>17</v>
      </c>
      <c r="D94" s="7"/>
      <c r="E94" s="7" t="s">
        <v>53</v>
      </c>
      <c r="F94" s="7" t="s">
        <v>19</v>
      </c>
      <c r="G94" s="7" t="s">
        <v>31</v>
      </c>
      <c r="H94" s="7" t="s">
        <v>17</v>
      </c>
      <c r="I94" s="7" t="s">
        <v>17</v>
      </c>
      <c r="J94" s="7" t="s">
        <v>54</v>
      </c>
    </row>
    <row r="95" spans="1:10" x14ac:dyDescent="0.25">
      <c r="A95" s="5" t="s">
        <v>15</v>
      </c>
      <c r="B95" s="6" t="s">
        <v>1156</v>
      </c>
      <c r="C95" s="5" t="s">
        <v>17</v>
      </c>
      <c r="D95" s="5"/>
      <c r="E95" s="5" t="s">
        <v>1157</v>
      </c>
      <c r="F95" s="5" t="s">
        <v>19</v>
      </c>
      <c r="G95" s="5" t="s">
        <v>17</v>
      </c>
      <c r="H95" s="5" t="s">
        <v>17</v>
      </c>
      <c r="I95" s="5" t="s">
        <v>17</v>
      </c>
      <c r="J95" s="5" t="s">
        <v>1158</v>
      </c>
    </row>
    <row r="96" spans="1:10" x14ac:dyDescent="0.25" outlineLevel="1" collapsed="1">
      <c r="A96" s="7" t="s">
        <v>15</v>
      </c>
      <c r="B96" s="7" t="s">
        <v>16</v>
      </c>
      <c r="C96" s="7" t="s">
        <v>17</v>
      </c>
      <c r="D96" s="7"/>
      <c r="E96" s="7" t="s">
        <v>1159</v>
      </c>
      <c r="F96" s="7" t="s">
        <v>19</v>
      </c>
      <c r="G96" s="7" t="s">
        <v>1160</v>
      </c>
      <c r="H96" s="7" t="s">
        <v>17</v>
      </c>
      <c r="I96" s="7" t="s">
        <v>17</v>
      </c>
      <c r="J96" s="7" t="s">
        <v>1161</v>
      </c>
    </row>
    <row r="97" spans="1:10" x14ac:dyDescent="0.25" outlineLevel="1" collapsed="1">
      <c r="A97" s="7" t="s">
        <v>15</v>
      </c>
      <c r="B97" s="7" t="s">
        <v>16</v>
      </c>
      <c r="C97" s="7" t="s">
        <v>17</v>
      </c>
      <c r="D97" s="7"/>
      <c r="E97" s="7" t="s">
        <v>1162</v>
      </c>
      <c r="F97" s="7" t="s">
        <v>19</v>
      </c>
      <c r="G97" s="7" t="s">
        <v>1163</v>
      </c>
      <c r="H97" s="7" t="s">
        <v>17</v>
      </c>
      <c r="I97" s="7" t="s">
        <v>17</v>
      </c>
      <c r="J97" s="7" t="s">
        <v>1164</v>
      </c>
    </row>
    <row r="98" spans="1:10" x14ac:dyDescent="0.25" outlineLevel="1" collapsed="1">
      <c r="A98" s="7" t="s">
        <v>19</v>
      </c>
      <c r="B98" s="7" t="s">
        <v>16</v>
      </c>
      <c r="C98" s="7" t="s">
        <v>17</v>
      </c>
      <c r="D98" s="7"/>
      <c r="E98" s="7" t="s">
        <v>1165</v>
      </c>
      <c r="F98" s="7" t="s">
        <v>19</v>
      </c>
      <c r="G98" s="7" t="s">
        <v>1166</v>
      </c>
      <c r="H98" s="7" t="s">
        <v>17</v>
      </c>
      <c r="I98" s="7" t="s">
        <v>17</v>
      </c>
      <c r="J98" s="7" t="s">
        <v>1167</v>
      </c>
    </row>
    <row r="99" spans="1:10" x14ac:dyDescent="0.25" outlineLevel="1" collapsed="1">
      <c r="A99" s="7" t="s">
        <v>19</v>
      </c>
      <c r="B99" s="7" t="s">
        <v>16</v>
      </c>
      <c r="C99" s="7" t="s">
        <v>17</v>
      </c>
      <c r="D99" s="7"/>
      <c r="E99" s="7" t="s">
        <v>1168</v>
      </c>
      <c r="F99" s="7" t="s">
        <v>19</v>
      </c>
      <c r="G99" s="7" t="s">
        <v>31</v>
      </c>
      <c r="H99" s="7" t="s">
        <v>17</v>
      </c>
      <c r="I99" s="7" t="s">
        <v>17</v>
      </c>
      <c r="J99" s="7" t="s">
        <v>1169</v>
      </c>
    </row>
    <row r="100" spans="1:10" x14ac:dyDescent="0.25" outlineLevel="1" collapsed="1">
      <c r="A100" s="7" t="s">
        <v>19</v>
      </c>
      <c r="B100" s="7" t="s">
        <v>16</v>
      </c>
      <c r="C100" s="7" t="s">
        <v>17</v>
      </c>
      <c r="D100" s="7"/>
      <c r="E100" s="7" t="s">
        <v>1170</v>
      </c>
      <c r="F100" s="7" t="s">
        <v>19</v>
      </c>
      <c r="G100" s="7" t="s">
        <v>31</v>
      </c>
      <c r="H100" s="7" t="s">
        <v>17</v>
      </c>
      <c r="I100" s="7" t="s">
        <v>17</v>
      </c>
      <c r="J100" s="7" t="s">
        <v>44</v>
      </c>
    </row>
    <row r="101" spans="1:10" x14ac:dyDescent="0.25" outlineLevel="1" collapsed="1">
      <c r="A101" s="7" t="s">
        <v>19</v>
      </c>
      <c r="B101" s="7" t="s">
        <v>16</v>
      </c>
      <c r="C101" s="7" t="s">
        <v>17</v>
      </c>
      <c r="D101" s="7"/>
      <c r="E101" s="7" t="s">
        <v>1171</v>
      </c>
      <c r="F101" s="7" t="s">
        <v>19</v>
      </c>
      <c r="G101" s="7" t="s">
        <v>31</v>
      </c>
      <c r="H101" s="7" t="s">
        <v>17</v>
      </c>
      <c r="I101" s="7" t="s">
        <v>17</v>
      </c>
      <c r="J101" s="7" t="s">
        <v>1172</v>
      </c>
    </row>
    <row r="102" spans="1:10" x14ac:dyDescent="0.25" outlineLevel="1" collapsed="1">
      <c r="A102" s="7" t="s">
        <v>19</v>
      </c>
      <c r="B102" s="7" t="s">
        <v>16</v>
      </c>
      <c r="C102" s="7" t="s">
        <v>17</v>
      </c>
      <c r="D102" s="7"/>
      <c r="E102" s="7" t="s">
        <v>1173</v>
      </c>
      <c r="F102" s="7" t="s">
        <v>19</v>
      </c>
      <c r="G102" s="7" t="s">
        <v>31</v>
      </c>
      <c r="H102" s="7" t="s">
        <v>17</v>
      </c>
      <c r="I102" s="7" t="s">
        <v>17</v>
      </c>
      <c r="J102" s="7" t="s">
        <v>1174</v>
      </c>
    </row>
    <row r="103" spans="1:10" x14ac:dyDescent="0.25" outlineLevel="1" collapsed="1">
      <c r="A103" s="7" t="s">
        <v>19</v>
      </c>
      <c r="B103" s="7" t="s">
        <v>16</v>
      </c>
      <c r="C103" s="7" t="s">
        <v>17</v>
      </c>
      <c r="D103" s="7"/>
      <c r="E103" s="7" t="s">
        <v>1175</v>
      </c>
      <c r="F103" s="7" t="s">
        <v>19</v>
      </c>
      <c r="G103" s="7" t="s">
        <v>31</v>
      </c>
      <c r="H103" s="7" t="s">
        <v>17</v>
      </c>
      <c r="I103" s="7" t="s">
        <v>17</v>
      </c>
      <c r="J103" s="7" t="s">
        <v>1176</v>
      </c>
    </row>
    <row r="104" spans="1:10" x14ac:dyDescent="0.25" outlineLevel="1" collapsed="1">
      <c r="A104" s="7" t="s">
        <v>19</v>
      </c>
      <c r="B104" s="7" t="s">
        <v>16</v>
      </c>
      <c r="C104" s="7" t="s">
        <v>17</v>
      </c>
      <c r="D104" s="7"/>
      <c r="E104" s="7" t="s">
        <v>1177</v>
      </c>
      <c r="F104" s="7" t="s">
        <v>19</v>
      </c>
      <c r="G104" s="7" t="s">
        <v>31</v>
      </c>
      <c r="H104" s="7" t="s">
        <v>17</v>
      </c>
      <c r="I104" s="7" t="s">
        <v>17</v>
      </c>
      <c r="J104" s="7" t="s">
        <v>46</v>
      </c>
    </row>
    <row r="105" spans="1:10" x14ac:dyDescent="0.25" outlineLevel="1" collapsed="1">
      <c r="A105" s="7" t="s">
        <v>19</v>
      </c>
      <c r="B105" s="7" t="s">
        <v>16</v>
      </c>
      <c r="C105" s="7" t="s">
        <v>17</v>
      </c>
      <c r="D105" s="7"/>
      <c r="E105" s="7" t="s">
        <v>1178</v>
      </c>
      <c r="F105" s="7" t="s">
        <v>19</v>
      </c>
      <c r="G105" s="7" t="s">
        <v>31</v>
      </c>
      <c r="H105" s="7" t="s">
        <v>17</v>
      </c>
      <c r="I105" s="7" t="s">
        <v>17</v>
      </c>
      <c r="J105" s="7" t="s">
        <v>1179</v>
      </c>
    </row>
    <row r="106" spans="1:10" x14ac:dyDescent="0.25" outlineLevel="1" collapsed="1">
      <c r="A106" s="7" t="s">
        <v>19</v>
      </c>
      <c r="B106" s="7" t="s">
        <v>16</v>
      </c>
      <c r="C106" s="7" t="s">
        <v>17</v>
      </c>
      <c r="D106" s="7"/>
      <c r="E106" s="7" t="s">
        <v>1180</v>
      </c>
      <c r="F106" s="7" t="s">
        <v>19</v>
      </c>
      <c r="G106" s="7" t="s">
        <v>31</v>
      </c>
      <c r="H106" s="7" t="s">
        <v>17</v>
      </c>
      <c r="I106" s="7" t="s">
        <v>17</v>
      </c>
      <c r="J106" s="7" t="s">
        <v>1181</v>
      </c>
    </row>
    <row r="107" spans="1:10" x14ac:dyDescent="0.25" outlineLevel="1" collapsed="1">
      <c r="A107" s="7" t="s">
        <v>19</v>
      </c>
      <c r="B107" s="7" t="s">
        <v>16</v>
      </c>
      <c r="C107" s="7" t="s">
        <v>17</v>
      </c>
      <c r="D107" s="7"/>
      <c r="E107" s="7" t="s">
        <v>1182</v>
      </c>
      <c r="F107" s="7" t="s">
        <v>19</v>
      </c>
      <c r="G107" s="7" t="s">
        <v>31</v>
      </c>
      <c r="H107" s="7" t="s">
        <v>17</v>
      </c>
      <c r="I107" s="7" t="s">
        <v>17</v>
      </c>
      <c r="J107" s="7" t="s">
        <v>1183</v>
      </c>
    </row>
    <row r="108" spans="1:10" x14ac:dyDescent="0.25" outlineLevel="1" collapsed="1">
      <c r="A108" s="7" t="s">
        <v>19</v>
      </c>
      <c r="B108" s="7" t="s">
        <v>16</v>
      </c>
      <c r="C108" s="7" t="s">
        <v>17</v>
      </c>
      <c r="D108" s="7"/>
      <c r="E108" s="7" t="s">
        <v>1184</v>
      </c>
      <c r="F108" s="7" t="s">
        <v>19</v>
      </c>
      <c r="G108" s="7" t="s">
        <v>31</v>
      </c>
      <c r="H108" s="7" t="s">
        <v>17</v>
      </c>
      <c r="I108" s="7" t="s">
        <v>17</v>
      </c>
      <c r="J108" s="7" t="s">
        <v>1185</v>
      </c>
    </row>
    <row r="109" spans="1:10" x14ac:dyDescent="0.25" outlineLevel="1" collapsed="1">
      <c r="A109" s="7" t="s">
        <v>19</v>
      </c>
      <c r="B109" s="7" t="s">
        <v>16</v>
      </c>
      <c r="C109" s="7" t="s">
        <v>17</v>
      </c>
      <c r="D109" s="7"/>
      <c r="E109" s="7" t="s">
        <v>1186</v>
      </c>
      <c r="F109" s="7" t="s">
        <v>19</v>
      </c>
      <c r="G109" s="7" t="s">
        <v>31</v>
      </c>
      <c r="H109" s="7" t="s">
        <v>17</v>
      </c>
      <c r="I109" s="7" t="s">
        <v>17</v>
      </c>
      <c r="J109" s="7" t="s">
        <v>1187</v>
      </c>
    </row>
    <row r="110" spans="1:10" x14ac:dyDescent="0.25" outlineLevel="1" collapsed="1">
      <c r="A110" s="7" t="s">
        <v>19</v>
      </c>
      <c r="B110" s="7" t="s">
        <v>16</v>
      </c>
      <c r="C110" s="7" t="s">
        <v>17</v>
      </c>
      <c r="D110" s="7"/>
      <c r="E110" s="7" t="s">
        <v>1188</v>
      </c>
      <c r="F110" s="7" t="s">
        <v>19</v>
      </c>
      <c r="G110" s="7" t="s">
        <v>31</v>
      </c>
      <c r="H110" s="7" t="s">
        <v>17</v>
      </c>
      <c r="I110" s="7" t="s">
        <v>17</v>
      </c>
      <c r="J110" s="7" t="s">
        <v>1189</v>
      </c>
    </row>
    <row r="111" spans="1:10" x14ac:dyDescent="0.25" outlineLevel="1" collapsed="1">
      <c r="A111" s="7" t="s">
        <v>19</v>
      </c>
      <c r="B111" s="7" t="s">
        <v>16</v>
      </c>
      <c r="C111" s="7" t="s">
        <v>17</v>
      </c>
      <c r="D111" s="7"/>
      <c r="E111" s="7" t="s">
        <v>1190</v>
      </c>
      <c r="F111" s="7" t="s">
        <v>19</v>
      </c>
      <c r="G111" s="7" t="s">
        <v>31</v>
      </c>
      <c r="H111" s="7" t="s">
        <v>17</v>
      </c>
      <c r="I111" s="7" t="s">
        <v>17</v>
      </c>
      <c r="J111" s="7" t="s">
        <v>1191</v>
      </c>
    </row>
    <row r="112" spans="1:10" x14ac:dyDescent="0.25" outlineLevel="1" collapsed="1">
      <c r="A112" s="7" t="s">
        <v>19</v>
      </c>
      <c r="B112" s="7" t="s">
        <v>16</v>
      </c>
      <c r="C112" s="7" t="s">
        <v>17</v>
      </c>
      <c r="D112" s="7"/>
      <c r="E112" s="7" t="s">
        <v>1192</v>
      </c>
      <c r="F112" s="7" t="s">
        <v>19</v>
      </c>
      <c r="G112" s="7" t="s">
        <v>31</v>
      </c>
      <c r="H112" s="7" t="s">
        <v>17</v>
      </c>
      <c r="I112" s="7" t="s">
        <v>17</v>
      </c>
      <c r="J112" s="7" t="s">
        <v>1193</v>
      </c>
    </row>
    <row r="113" spans="1:10" x14ac:dyDescent="0.25">
      <c r="A113" s="5" t="s">
        <v>15</v>
      </c>
      <c r="B113" s="6" t="s">
        <v>1194</v>
      </c>
      <c r="C113" s="5" t="s">
        <v>17</v>
      </c>
      <c r="D113" s="5"/>
      <c r="E113" s="5" t="s">
        <v>1195</v>
      </c>
      <c r="F113" s="5" t="s">
        <v>19</v>
      </c>
      <c r="G113" s="5" t="s">
        <v>17</v>
      </c>
      <c r="H113" s="5" t="s">
        <v>17</v>
      </c>
      <c r="I113" s="5" t="s">
        <v>17</v>
      </c>
      <c r="J113" s="5" t="s">
        <v>1196</v>
      </c>
    </row>
    <row r="114" spans="1:10" x14ac:dyDescent="0.25" outlineLevel="1" collapsed="1">
      <c r="A114" s="8" t="s">
        <v>19</v>
      </c>
      <c r="B114" s="9" t="s">
        <v>1197</v>
      </c>
      <c r="C114" s="8" t="s">
        <v>17</v>
      </c>
      <c r="D114" s="8"/>
      <c r="E114" s="8" t="s">
        <v>1198</v>
      </c>
      <c r="F114" s="8" t="s">
        <v>15</v>
      </c>
      <c r="G114" s="8" t="s">
        <v>17</v>
      </c>
      <c r="H114" s="8" t="s">
        <v>17</v>
      </c>
      <c r="I114" s="8" t="s">
        <v>17</v>
      </c>
      <c r="J114" s="8" t="s">
        <v>1199</v>
      </c>
    </row>
    <row r="115" spans="1:10" x14ac:dyDescent="0.25" outlineLevel="2" collapsed="1">
      <c r="A115" s="7" t="s">
        <v>19</v>
      </c>
      <c r="B115" s="7" t="s">
        <v>16</v>
      </c>
      <c r="C115" s="7" t="s">
        <v>17</v>
      </c>
      <c r="D115" s="7"/>
      <c r="E115" s="7" t="s">
        <v>1200</v>
      </c>
      <c r="F115" s="7" t="s">
        <v>19</v>
      </c>
      <c r="G115" s="7" t="s">
        <v>31</v>
      </c>
      <c r="H115" s="7" t="s">
        <v>17</v>
      </c>
      <c r="I115" s="7" t="s">
        <v>17</v>
      </c>
      <c r="J115" s="7" t="s">
        <v>1201</v>
      </c>
    </row>
    <row r="116" spans="1:10" x14ac:dyDescent="0.25" outlineLevel="2" collapsed="1">
      <c r="A116" s="7" t="s">
        <v>19</v>
      </c>
      <c r="B116" s="7" t="s">
        <v>16</v>
      </c>
      <c r="C116" s="7" t="s">
        <v>17</v>
      </c>
      <c r="D116" s="7"/>
      <c r="E116" s="7" t="s">
        <v>1202</v>
      </c>
      <c r="F116" s="7" t="s">
        <v>19</v>
      </c>
      <c r="G116" s="7" t="s">
        <v>31</v>
      </c>
      <c r="H116" s="7" t="s">
        <v>17</v>
      </c>
      <c r="I116" s="7" t="s">
        <v>17</v>
      </c>
      <c r="J116" s="7" t="s">
        <v>1203</v>
      </c>
    </row>
    <row r="117" spans="1:10" x14ac:dyDescent="0.25" outlineLevel="2" collapsed="1">
      <c r="A117" s="7" t="s">
        <v>19</v>
      </c>
      <c r="B117" s="7" t="s">
        <v>16</v>
      </c>
      <c r="C117" s="7" t="s">
        <v>17</v>
      </c>
      <c r="D117" s="7"/>
      <c r="E117" s="7" t="s">
        <v>1204</v>
      </c>
      <c r="F117" s="7" t="s">
        <v>19</v>
      </c>
      <c r="G117" s="7" t="s">
        <v>31</v>
      </c>
      <c r="H117" s="7" t="s">
        <v>17</v>
      </c>
      <c r="I117" s="7" t="s">
        <v>17</v>
      </c>
      <c r="J117" s="7" t="s">
        <v>1205</v>
      </c>
    </row>
    <row r="118" spans="1:10" x14ac:dyDescent="0.25" outlineLevel="2" collapsed="1">
      <c r="A118" s="7" t="s">
        <v>19</v>
      </c>
      <c r="B118" s="7" t="s">
        <v>16</v>
      </c>
      <c r="C118" s="7" t="s">
        <v>17</v>
      </c>
      <c r="D118" s="7"/>
      <c r="E118" s="7" t="s">
        <v>1206</v>
      </c>
      <c r="F118" s="7" t="s">
        <v>19</v>
      </c>
      <c r="G118" s="7" t="s">
        <v>31</v>
      </c>
      <c r="H118" s="7" t="s">
        <v>17</v>
      </c>
      <c r="I118" s="7" t="s">
        <v>17</v>
      </c>
      <c r="J118" s="7" t="s">
        <v>1207</v>
      </c>
    </row>
    <row r="119" spans="1:10" x14ac:dyDescent="0.25" outlineLevel="2" collapsed="1">
      <c r="A119" s="7" t="s">
        <v>19</v>
      </c>
      <c r="B119" s="7" t="s">
        <v>16</v>
      </c>
      <c r="C119" s="7" t="s">
        <v>17</v>
      </c>
      <c r="D119" s="7"/>
      <c r="E119" s="7" t="s">
        <v>1208</v>
      </c>
      <c r="F119" s="7" t="s">
        <v>19</v>
      </c>
      <c r="G119" s="7" t="s">
        <v>31</v>
      </c>
      <c r="H119" s="7" t="s">
        <v>17</v>
      </c>
      <c r="I119" s="7" t="s">
        <v>17</v>
      </c>
      <c r="J119" s="7" t="s">
        <v>1209</v>
      </c>
    </row>
    <row r="120" spans="1:10" x14ac:dyDescent="0.25" outlineLevel="2" collapsed="1">
      <c r="A120" s="7" t="s">
        <v>19</v>
      </c>
      <c r="B120" s="7" t="s">
        <v>16</v>
      </c>
      <c r="C120" s="7" t="s">
        <v>17</v>
      </c>
      <c r="D120" s="7"/>
      <c r="E120" s="7" t="s">
        <v>1210</v>
      </c>
      <c r="F120" s="7" t="s">
        <v>19</v>
      </c>
      <c r="G120" s="7" t="s">
        <v>31</v>
      </c>
      <c r="H120" s="7" t="s">
        <v>17</v>
      </c>
      <c r="I120" s="7" t="s">
        <v>17</v>
      </c>
      <c r="J120" s="7" t="s">
        <v>1211</v>
      </c>
    </row>
    <row r="121" spans="1:10" x14ac:dyDescent="0.25">
      <c r="A121" s="5" t="s">
        <v>19</v>
      </c>
      <c r="B121" s="6" t="s">
        <v>1212</v>
      </c>
      <c r="C121" s="5" t="s">
        <v>17</v>
      </c>
      <c r="D121" s="5"/>
      <c r="E121" s="5" t="s">
        <v>1213</v>
      </c>
      <c r="F121" s="5" t="s">
        <v>15</v>
      </c>
      <c r="G121" s="5" t="s">
        <v>17</v>
      </c>
      <c r="H121" s="5" t="s">
        <v>17</v>
      </c>
      <c r="I121" s="5" t="s">
        <v>17</v>
      </c>
      <c r="J121" s="5" t="s">
        <v>1214</v>
      </c>
    </row>
    <row r="122" spans="1:10" x14ac:dyDescent="0.25" outlineLevel="1" collapsed="1">
      <c r="A122" s="7" t="s">
        <v>15</v>
      </c>
      <c r="B122" s="7" t="s">
        <v>159</v>
      </c>
      <c r="C122" s="7" t="s">
        <v>17</v>
      </c>
      <c r="D122" s="7"/>
      <c r="E122" s="7" t="s">
        <v>1215</v>
      </c>
      <c r="F122" s="7" t="s">
        <v>19</v>
      </c>
      <c r="G122" s="7" t="b">
        <v>0</v>
      </c>
      <c r="H122" s="7" t="s">
        <v>17</v>
      </c>
      <c r="I122" s="7" t="s">
        <v>17</v>
      </c>
      <c r="J122" s="7" t="s">
        <v>1216</v>
      </c>
    </row>
    <row r="123" spans="1:10" x14ac:dyDescent="0.25" outlineLevel="1" collapsed="1">
      <c r="A123" s="7" t="s">
        <v>15</v>
      </c>
      <c r="B123" s="7" t="s">
        <v>159</v>
      </c>
      <c r="C123" s="7" t="s">
        <v>17</v>
      </c>
      <c r="D123" s="7"/>
      <c r="E123" s="7" t="s">
        <v>1217</v>
      </c>
      <c r="F123" s="7" t="s">
        <v>19</v>
      </c>
      <c r="G123" s="7" t="b">
        <v>0</v>
      </c>
      <c r="H123" s="7" t="s">
        <v>17</v>
      </c>
      <c r="I123" s="7" t="s">
        <v>17</v>
      </c>
      <c r="J123" s="7" t="s">
        <v>1218</v>
      </c>
    </row>
    <row r="124" spans="1:10" x14ac:dyDescent="0.25" outlineLevel="1" collapsed="1">
      <c r="A124" s="7" t="s">
        <v>15</v>
      </c>
      <c r="B124" s="7" t="s">
        <v>159</v>
      </c>
      <c r="C124" s="7" t="s">
        <v>17</v>
      </c>
      <c r="D124" s="7"/>
      <c r="E124" s="7" t="s">
        <v>1219</v>
      </c>
      <c r="F124" s="7" t="s">
        <v>19</v>
      </c>
      <c r="G124" s="7" t="b">
        <v>0</v>
      </c>
      <c r="H124" s="7" t="s">
        <v>17</v>
      </c>
      <c r="I124" s="7" t="s">
        <v>17</v>
      </c>
      <c r="J124" s="7" t="s">
        <v>1220</v>
      </c>
    </row>
    <row r="125" spans="1:10" x14ac:dyDescent="0.25">
      <c r="A125" s="5" t="s">
        <v>15</v>
      </c>
      <c r="B125" s="6" t="s">
        <v>1221</v>
      </c>
      <c r="C125" s="5" t="s">
        <v>17</v>
      </c>
      <c r="D125" s="5"/>
      <c r="E125" s="5" t="s">
        <v>1222</v>
      </c>
      <c r="F125" s="5" t="s">
        <v>15</v>
      </c>
      <c r="G125" s="5" t="s">
        <v>17</v>
      </c>
      <c r="H125" s="5" t="s">
        <v>17</v>
      </c>
      <c r="I125" s="5" t="s">
        <v>17</v>
      </c>
      <c r="J125" s="5" t="s">
        <v>1223</v>
      </c>
    </row>
    <row r="126" spans="1:10" x14ac:dyDescent="0.25" outlineLevel="1" collapsed="1">
      <c r="A126" s="7" t="s">
        <v>15</v>
      </c>
      <c r="B126" s="7" t="s">
        <v>16</v>
      </c>
      <c r="C126" s="7" t="s">
        <v>17</v>
      </c>
      <c r="D126" s="7"/>
      <c r="E126" s="7" t="s">
        <v>1224</v>
      </c>
      <c r="F126" s="7" t="s">
        <v>19</v>
      </c>
      <c r="G126" s="7" t="s">
        <v>1225</v>
      </c>
      <c r="H126" s="7" t="s">
        <v>17</v>
      </c>
      <c r="I126" s="7" t="s">
        <v>17</v>
      </c>
      <c r="J126" s="7" t="s">
        <v>1226</v>
      </c>
    </row>
    <row r="127" spans="1:10" x14ac:dyDescent="0.25" outlineLevel="1" collapsed="1">
      <c r="A127" s="7" t="s">
        <v>15</v>
      </c>
      <c r="B127" s="7" t="s">
        <v>16</v>
      </c>
      <c r="C127" s="7" t="s">
        <v>17</v>
      </c>
      <c r="D127" s="7"/>
      <c r="E127" s="7" t="s">
        <v>1227</v>
      </c>
      <c r="F127" s="7" t="s">
        <v>19</v>
      </c>
      <c r="G127" s="7" t="s">
        <v>1228</v>
      </c>
      <c r="H127" s="7" t="s">
        <v>17</v>
      </c>
      <c r="I127" s="7" t="s">
        <v>17</v>
      </c>
      <c r="J127" s="7" t="s">
        <v>1229</v>
      </c>
    </row>
    <row r="128" spans="1:10" x14ac:dyDescent="0.25" outlineLevel="1" collapsed="1">
      <c r="A128" s="7" t="s">
        <v>15</v>
      </c>
      <c r="B128" s="7" t="s">
        <v>159</v>
      </c>
      <c r="C128" s="7" t="s">
        <v>17</v>
      </c>
      <c r="D128" s="7"/>
      <c r="E128" s="7" t="s">
        <v>1230</v>
      </c>
      <c r="F128" s="7" t="s">
        <v>19</v>
      </c>
      <c r="G128" s="7" t="b">
        <v>0</v>
      </c>
      <c r="H128" s="7" t="s">
        <v>17</v>
      </c>
      <c r="I128" s="7" t="s">
        <v>17</v>
      </c>
      <c r="J128" s="7" t="s">
        <v>1231</v>
      </c>
    </row>
    <row r="129" spans="1:10" x14ac:dyDescent="0.25" outlineLevel="1" collapsed="1">
      <c r="A129" s="7" t="s">
        <v>15</v>
      </c>
      <c r="B129" s="7" t="s">
        <v>159</v>
      </c>
      <c r="C129" s="7" t="s">
        <v>17</v>
      </c>
      <c r="D129" s="7"/>
      <c r="E129" s="7" t="s">
        <v>1232</v>
      </c>
      <c r="F129" s="7" t="s">
        <v>19</v>
      </c>
      <c r="G129" s="7" t="b">
        <v>0</v>
      </c>
      <c r="H129" s="7" t="s">
        <v>17</v>
      </c>
      <c r="I129" s="7" t="s">
        <v>17</v>
      </c>
      <c r="J129" s="7" t="s">
        <v>1233</v>
      </c>
    </row>
    <row r="130" spans="1:10" x14ac:dyDescent="0.25" outlineLevel="1" collapsed="1">
      <c r="A130" s="7" t="s">
        <v>19</v>
      </c>
      <c r="B130" s="7" t="s">
        <v>16</v>
      </c>
      <c r="C130" s="7" t="s">
        <v>17</v>
      </c>
      <c r="D130" s="7"/>
      <c r="E130" s="7" t="s">
        <v>1234</v>
      </c>
      <c r="F130" s="7" t="s">
        <v>19</v>
      </c>
      <c r="G130" s="7" t="s">
        <v>1235</v>
      </c>
      <c r="H130" s="7" t="s">
        <v>17</v>
      </c>
      <c r="I130" s="7" t="s">
        <v>17</v>
      </c>
      <c r="J130" s="7" t="s">
        <v>1236</v>
      </c>
    </row>
    <row r="131" spans="1:10" x14ac:dyDescent="0.25" outlineLevel="1" collapsed="1">
      <c r="A131" s="7" t="s">
        <v>19</v>
      </c>
      <c r="B131" s="7" t="s">
        <v>16</v>
      </c>
      <c r="C131" s="7" t="s">
        <v>17</v>
      </c>
      <c r="D131" s="7"/>
      <c r="E131" s="7" t="s">
        <v>1237</v>
      </c>
      <c r="F131" s="7" t="s">
        <v>19</v>
      </c>
      <c r="G131" s="7" t="s">
        <v>31</v>
      </c>
      <c r="H131" s="7" t="s">
        <v>17</v>
      </c>
      <c r="I131" s="7" t="s">
        <v>17</v>
      </c>
      <c r="J131" s="7" t="s">
        <v>1238</v>
      </c>
    </row>
    <row r="132" spans="1:10" x14ac:dyDescent="0.25" outlineLevel="1" collapsed="1">
      <c r="A132" s="8" t="s">
        <v>19</v>
      </c>
      <c r="B132" s="9" t="s">
        <v>1239</v>
      </c>
      <c r="C132" s="8" t="s">
        <v>17</v>
      </c>
      <c r="D132" s="8"/>
      <c r="E132" s="8" t="s">
        <v>1240</v>
      </c>
      <c r="F132" s="8" t="s">
        <v>15</v>
      </c>
      <c r="G132" s="8" t="s">
        <v>17</v>
      </c>
      <c r="H132" s="8" t="s">
        <v>17</v>
      </c>
      <c r="I132" s="8" t="s">
        <v>17</v>
      </c>
      <c r="J132" s="8" t="s">
        <v>1241</v>
      </c>
    </row>
    <row r="133" spans="1:10" x14ac:dyDescent="0.25" outlineLevel="2" collapsed="1">
      <c r="A133" s="7" t="s">
        <v>19</v>
      </c>
      <c r="B133" s="7" t="s">
        <v>16</v>
      </c>
      <c r="C133" s="7" t="s">
        <v>17</v>
      </c>
      <c r="D133" s="7"/>
      <c r="E133" s="7" t="s">
        <v>1242</v>
      </c>
      <c r="F133" s="7" t="s">
        <v>19</v>
      </c>
      <c r="G133" s="7" t="s">
        <v>31</v>
      </c>
      <c r="H133" s="7" t="s">
        <v>17</v>
      </c>
      <c r="I133" s="7" t="s">
        <v>17</v>
      </c>
      <c r="J133" s="7" t="s">
        <v>1243</v>
      </c>
    </row>
    <row r="134" spans="1:10" x14ac:dyDescent="0.25" outlineLevel="2" collapsed="1">
      <c r="A134" s="7" t="s">
        <v>19</v>
      </c>
      <c r="B134" s="7" t="s">
        <v>16</v>
      </c>
      <c r="C134" s="7" t="s">
        <v>17</v>
      </c>
      <c r="D134" s="7"/>
      <c r="E134" s="7" t="s">
        <v>1244</v>
      </c>
      <c r="F134" s="7" t="s">
        <v>19</v>
      </c>
      <c r="G134" s="7" t="s">
        <v>31</v>
      </c>
      <c r="H134" s="7" t="s">
        <v>17</v>
      </c>
      <c r="I134" s="7" t="s">
        <v>17</v>
      </c>
      <c r="J134" s="7" t="s">
        <v>1245</v>
      </c>
    </row>
    <row r="135" spans="1:10" x14ac:dyDescent="0.25" outlineLevel="2" collapsed="1">
      <c r="A135" s="7" t="s">
        <v>19</v>
      </c>
      <c r="B135" s="7" t="s">
        <v>16</v>
      </c>
      <c r="C135" s="7" t="s">
        <v>17</v>
      </c>
      <c r="D135" s="7"/>
      <c r="E135" s="7" t="s">
        <v>1246</v>
      </c>
      <c r="F135" s="7" t="s">
        <v>19</v>
      </c>
      <c r="G135" s="7" t="s">
        <v>31</v>
      </c>
      <c r="H135" s="7" t="s">
        <v>17</v>
      </c>
      <c r="I135" s="7" t="s">
        <v>17</v>
      </c>
      <c r="J135" s="7" t="s">
        <v>1247</v>
      </c>
    </row>
    <row r="136" spans="1:10" x14ac:dyDescent="0.25" outlineLevel="1" collapsed="1">
      <c r="A136" s="7" t="s">
        <v>19</v>
      </c>
      <c r="B136" s="7" t="s">
        <v>16</v>
      </c>
      <c r="C136" s="7" t="s">
        <v>17</v>
      </c>
      <c r="D136" s="7"/>
      <c r="E136" s="7" t="s">
        <v>1248</v>
      </c>
      <c r="F136" s="7" t="s">
        <v>19</v>
      </c>
      <c r="G136" s="7" t="s">
        <v>31</v>
      </c>
      <c r="H136" s="7" t="s">
        <v>17</v>
      </c>
      <c r="I136" s="7" t="s">
        <v>17</v>
      </c>
      <c r="J136" s="7" t="s">
        <v>1249</v>
      </c>
    </row>
    <row r="137" spans="1:10" x14ac:dyDescent="0.25" outlineLevel="1" collapsed="1">
      <c r="A137" s="7" t="s">
        <v>19</v>
      </c>
      <c r="B137" s="7" t="s">
        <v>16</v>
      </c>
      <c r="C137" s="7" t="s">
        <v>17</v>
      </c>
      <c r="D137" s="7"/>
      <c r="E137" s="7" t="s">
        <v>1250</v>
      </c>
      <c r="F137" s="7" t="s">
        <v>19</v>
      </c>
      <c r="G137" s="7" t="s">
        <v>31</v>
      </c>
      <c r="H137" s="7" t="s">
        <v>17</v>
      </c>
      <c r="I137" s="7" t="s">
        <v>17</v>
      </c>
      <c r="J137" s="7" t="s">
        <v>1251</v>
      </c>
    </row>
    <row r="138" spans="1:10" x14ac:dyDescent="0.25" outlineLevel="1" collapsed="1">
      <c r="A138" s="7" t="s">
        <v>19</v>
      </c>
      <c r="B138" s="7" t="s">
        <v>16</v>
      </c>
      <c r="C138" s="7" t="s">
        <v>17</v>
      </c>
      <c r="D138" s="7"/>
      <c r="E138" s="7" t="s">
        <v>1252</v>
      </c>
      <c r="F138" s="7" t="s">
        <v>19</v>
      </c>
      <c r="G138" s="7" t="s">
        <v>31</v>
      </c>
      <c r="H138" s="7" t="s">
        <v>17</v>
      </c>
      <c r="I138" s="7" t="s">
        <v>17</v>
      </c>
      <c r="J138" s="7" t="s">
        <v>1253</v>
      </c>
    </row>
    <row r="139" spans="1:10" x14ac:dyDescent="0.25" outlineLevel="1" collapsed="1">
      <c r="A139" s="7" t="s">
        <v>19</v>
      </c>
      <c r="B139" s="7" t="s">
        <v>16</v>
      </c>
      <c r="C139" s="7" t="s">
        <v>17</v>
      </c>
      <c r="D139" s="7"/>
      <c r="E139" s="7" t="s">
        <v>1254</v>
      </c>
      <c r="F139" s="7" t="s">
        <v>19</v>
      </c>
      <c r="G139" s="7" t="s">
        <v>31</v>
      </c>
      <c r="H139" s="7" t="s">
        <v>17</v>
      </c>
      <c r="I139" s="7" t="s">
        <v>17</v>
      </c>
      <c r="J139" s="7" t="s">
        <v>1255</v>
      </c>
    </row>
    <row r="140" spans="1:10" x14ac:dyDescent="0.25" outlineLevel="1" collapsed="1">
      <c r="A140" s="7" t="s">
        <v>19</v>
      </c>
      <c r="B140" s="7" t="s">
        <v>16</v>
      </c>
      <c r="C140" s="7" t="s">
        <v>17</v>
      </c>
      <c r="D140" s="7"/>
      <c r="E140" s="7" t="s">
        <v>1256</v>
      </c>
      <c r="F140" s="7" t="s">
        <v>19</v>
      </c>
      <c r="G140" s="7" t="s">
        <v>31</v>
      </c>
      <c r="H140" s="7" t="s">
        <v>17</v>
      </c>
      <c r="I140" s="7" t="s">
        <v>17</v>
      </c>
      <c r="J140" s="7" t="s">
        <v>1257</v>
      </c>
    </row>
    <row r="141" spans="1:10" x14ac:dyDescent="0.25" outlineLevel="1" collapsed="1">
      <c r="A141" s="7" t="s">
        <v>19</v>
      </c>
      <c r="B141" s="7" t="s">
        <v>16</v>
      </c>
      <c r="C141" s="7" t="s">
        <v>17</v>
      </c>
      <c r="D141" s="7"/>
      <c r="E141" s="7" t="s">
        <v>1258</v>
      </c>
      <c r="F141" s="7" t="s">
        <v>19</v>
      </c>
      <c r="G141" s="7" t="s">
        <v>31</v>
      </c>
      <c r="H141" s="7" t="s">
        <v>17</v>
      </c>
      <c r="I141" s="7" t="s">
        <v>17</v>
      </c>
      <c r="J141" s="7" t="s">
        <v>1259</v>
      </c>
    </row>
    <row r="142" spans="1:10" x14ac:dyDescent="0.25" outlineLevel="1" collapsed="1">
      <c r="A142" s="7" t="s">
        <v>19</v>
      </c>
      <c r="B142" s="7" t="s">
        <v>16</v>
      </c>
      <c r="C142" s="7" t="s">
        <v>17</v>
      </c>
      <c r="D142" s="7"/>
      <c r="E142" s="7" t="s">
        <v>1260</v>
      </c>
      <c r="F142" s="7" t="s">
        <v>19</v>
      </c>
      <c r="G142" s="7" t="s">
        <v>31</v>
      </c>
      <c r="H142" s="7" t="s">
        <v>17</v>
      </c>
      <c r="I142" s="7" t="s">
        <v>17</v>
      </c>
      <c r="J142" s="7" t="s">
        <v>1261</v>
      </c>
    </row>
    <row r="143" spans="1:10" x14ac:dyDescent="0.25" outlineLevel="1" collapsed="1">
      <c r="A143" s="7" t="s">
        <v>19</v>
      </c>
      <c r="B143" s="7" t="s">
        <v>16</v>
      </c>
      <c r="C143" s="7" t="s">
        <v>17</v>
      </c>
      <c r="D143" s="7"/>
      <c r="E143" s="7" t="s">
        <v>1262</v>
      </c>
      <c r="F143" s="7" t="s">
        <v>19</v>
      </c>
      <c r="G143" s="7" t="s">
        <v>31</v>
      </c>
      <c r="H143" s="7" t="s">
        <v>17</v>
      </c>
      <c r="I143" s="7" t="s">
        <v>17</v>
      </c>
      <c r="J143" s="7" t="s">
        <v>1263</v>
      </c>
    </row>
    <row r="144" spans="1:10" x14ac:dyDescent="0.25" outlineLevel="1" collapsed="1">
      <c r="A144" s="7" t="s">
        <v>19</v>
      </c>
      <c r="B144" s="7" t="s">
        <v>16</v>
      </c>
      <c r="C144" s="7" t="s">
        <v>17</v>
      </c>
      <c r="D144" s="7"/>
      <c r="E144" s="7" t="s">
        <v>1264</v>
      </c>
      <c r="F144" s="7" t="s">
        <v>19</v>
      </c>
      <c r="G144" s="7" t="s">
        <v>31</v>
      </c>
      <c r="H144" s="7" t="s">
        <v>17</v>
      </c>
      <c r="I144" s="7" t="s">
        <v>17</v>
      </c>
      <c r="J144" s="7" t="s">
        <v>1265</v>
      </c>
    </row>
    <row r="145" spans="1:10" x14ac:dyDescent="0.25">
      <c r="A145" s="5" t="s">
        <v>19</v>
      </c>
      <c r="B145" s="6" t="s">
        <v>1266</v>
      </c>
      <c r="C145" s="5" t="s">
        <v>17</v>
      </c>
      <c r="D145" s="5"/>
      <c r="E145" s="5" t="s">
        <v>1267</v>
      </c>
      <c r="F145" s="5" t="s">
        <v>15</v>
      </c>
      <c r="G145" s="5" t="s">
        <v>17</v>
      </c>
      <c r="H145" s="5" t="s">
        <v>17</v>
      </c>
      <c r="I145" s="5" t="s">
        <v>17</v>
      </c>
      <c r="J145" s="5" t="s">
        <v>1268</v>
      </c>
    </row>
    <row r="146" spans="1:10" x14ac:dyDescent="0.25" outlineLevel="1" collapsed="1">
      <c r="A146" s="7" t="s">
        <v>15</v>
      </c>
      <c r="B146" s="7" t="s">
        <v>159</v>
      </c>
      <c r="C146" s="7" t="s">
        <v>17</v>
      </c>
      <c r="D146" s="7"/>
      <c r="E146" s="7" t="s">
        <v>1012</v>
      </c>
      <c r="F146" s="7" t="s">
        <v>19</v>
      </c>
      <c r="G146" s="7" t="b">
        <v>0</v>
      </c>
      <c r="H146" s="7" t="s">
        <v>17</v>
      </c>
      <c r="I146" s="7" t="s">
        <v>17</v>
      </c>
      <c r="J146" s="7" t="s">
        <v>1013</v>
      </c>
    </row>
    <row r="147" spans="1:10" x14ac:dyDescent="0.25" outlineLevel="1" collapsed="1">
      <c r="A147" s="7" t="s">
        <v>15</v>
      </c>
      <c r="B147" s="7" t="s">
        <v>16</v>
      </c>
      <c r="C147" s="7" t="s">
        <v>17</v>
      </c>
      <c r="D147" s="7"/>
      <c r="E147" s="7" t="s">
        <v>1014</v>
      </c>
      <c r="F147" s="7" t="s">
        <v>19</v>
      </c>
      <c r="G147" s="7" t="s">
        <v>1015</v>
      </c>
      <c r="H147" s="7" t="s">
        <v>17</v>
      </c>
      <c r="I147" s="7" t="s">
        <v>17</v>
      </c>
      <c r="J147" s="7" t="s">
        <v>1016</v>
      </c>
    </row>
    <row r="148" spans="1:10" x14ac:dyDescent="0.25" outlineLevel="1" collapsed="1">
      <c r="A148" s="7" t="s">
        <v>15</v>
      </c>
      <c r="B148" s="7" t="s">
        <v>16</v>
      </c>
      <c r="C148" s="7" t="s">
        <v>17</v>
      </c>
      <c r="D148" s="7"/>
      <c r="E148" s="7" t="s">
        <v>1017</v>
      </c>
      <c r="F148" s="7" t="s">
        <v>19</v>
      </c>
      <c r="G148" s="7" t="s">
        <v>1015</v>
      </c>
      <c r="H148" s="7" t="s">
        <v>17</v>
      </c>
      <c r="I148" s="7" t="s">
        <v>17</v>
      </c>
      <c r="J148" s="7" t="s">
        <v>1018</v>
      </c>
    </row>
    <row r="149" spans="1:10" x14ac:dyDescent="0.25" outlineLevel="1" collapsed="1">
      <c r="A149" s="7" t="s">
        <v>15</v>
      </c>
      <c r="B149" s="7" t="s">
        <v>159</v>
      </c>
      <c r="C149" s="7" t="s">
        <v>17</v>
      </c>
      <c r="D149" s="7"/>
      <c r="E149" s="7" t="s">
        <v>1019</v>
      </c>
      <c r="F149" s="7" t="s">
        <v>19</v>
      </c>
      <c r="G149" s="7" t="b">
        <v>0</v>
      </c>
      <c r="H149" s="7" t="s">
        <v>17</v>
      </c>
      <c r="I149" s="7" t="s">
        <v>17</v>
      </c>
      <c r="J149" s="7" t="s">
        <v>1020</v>
      </c>
    </row>
    <row r="150" spans="1:10" x14ac:dyDescent="0.25" outlineLevel="1" collapsed="1">
      <c r="A150" s="7" t="s">
        <v>19</v>
      </c>
      <c r="B150" s="7" t="s">
        <v>16</v>
      </c>
      <c r="C150" s="7" t="s">
        <v>17</v>
      </c>
      <c r="D150" s="7"/>
      <c r="E150" s="7" t="s">
        <v>1021</v>
      </c>
      <c r="F150" s="7" t="s">
        <v>19</v>
      </c>
      <c r="G150" s="7" t="s">
        <v>1022</v>
      </c>
      <c r="H150" s="7" t="s">
        <v>17</v>
      </c>
      <c r="I150" s="7" t="s">
        <v>17</v>
      </c>
      <c r="J150" s="7" t="s">
        <v>1023</v>
      </c>
    </row>
    <row r="151" spans="1:10" x14ac:dyDescent="0.25" outlineLevel="1" collapsed="1">
      <c r="A151" s="7" t="s">
        <v>19</v>
      </c>
      <c r="B151" s="7" t="s">
        <v>16</v>
      </c>
      <c r="C151" s="7" t="s">
        <v>17</v>
      </c>
      <c r="D151" s="7"/>
      <c r="E151" s="7" t="s">
        <v>1024</v>
      </c>
      <c r="F151" s="7" t="s">
        <v>19</v>
      </c>
      <c r="G151" s="7" t="s">
        <v>31</v>
      </c>
      <c r="H151" s="7" t="s">
        <v>17</v>
      </c>
      <c r="I151" s="7" t="s">
        <v>17</v>
      </c>
      <c r="J151" s="7" t="s">
        <v>330</v>
      </c>
    </row>
    <row r="152" spans="1:10" x14ac:dyDescent="0.25">
      <c r="A152" s="5" t="s">
        <v>15</v>
      </c>
      <c r="B152" s="6" t="s">
        <v>1269</v>
      </c>
      <c r="C152" s="5" t="s">
        <v>17</v>
      </c>
      <c r="D152" s="5"/>
      <c r="E152" s="5" t="s">
        <v>1270</v>
      </c>
      <c r="F152" s="5" t="s">
        <v>19</v>
      </c>
      <c r="G152" s="5" t="s">
        <v>17</v>
      </c>
      <c r="H152" s="5" t="s">
        <v>17</v>
      </c>
      <c r="I152" s="5" t="s">
        <v>17</v>
      </c>
      <c r="J152" s="5" t="s">
        <v>131</v>
      </c>
    </row>
    <row r="153" spans="1:10" x14ac:dyDescent="0.25" outlineLevel="1" collapsed="1">
      <c r="A153" s="8" t="s">
        <v>19</v>
      </c>
      <c r="B153" s="9" t="s">
        <v>1271</v>
      </c>
      <c r="C153" s="8" t="s">
        <v>17</v>
      </c>
      <c r="D153" s="8"/>
      <c r="E153" s="8" t="s">
        <v>133</v>
      </c>
      <c r="F153" s="8" t="s">
        <v>15</v>
      </c>
      <c r="G153" s="8" t="s">
        <v>17</v>
      </c>
      <c r="H153" s="8" t="s">
        <v>17</v>
      </c>
      <c r="I153" s="8" t="s">
        <v>17</v>
      </c>
      <c r="J153" s="8" t="s">
        <v>134</v>
      </c>
    </row>
    <row r="154" spans="1:10" x14ac:dyDescent="0.25" outlineLevel="2" collapsed="1">
      <c r="A154" s="7" t="s">
        <v>19</v>
      </c>
      <c r="B154" s="7" t="s">
        <v>16</v>
      </c>
      <c r="C154" s="7" t="s">
        <v>17</v>
      </c>
      <c r="D154" s="7"/>
      <c r="E154" s="7" t="s">
        <v>135</v>
      </c>
      <c r="F154" s="7" t="s">
        <v>19</v>
      </c>
      <c r="G154" s="7" t="s">
        <v>31</v>
      </c>
      <c r="H154" s="7" t="s">
        <v>17</v>
      </c>
      <c r="I154" s="7" t="s">
        <v>17</v>
      </c>
      <c r="J154" s="7" t="s">
        <v>136</v>
      </c>
    </row>
    <row r="155" spans="1:10" x14ac:dyDescent="0.25" outlineLevel="2" collapsed="1">
      <c r="A155" s="7" t="s">
        <v>19</v>
      </c>
      <c r="B155" s="7" t="s">
        <v>16</v>
      </c>
      <c r="C155" s="7" t="s">
        <v>17</v>
      </c>
      <c r="D155" s="7"/>
      <c r="E155" s="7" t="s">
        <v>137</v>
      </c>
      <c r="F155" s="7" t="s">
        <v>19</v>
      </c>
      <c r="G155" s="7" t="s">
        <v>31</v>
      </c>
      <c r="H155" s="7" t="s">
        <v>17</v>
      </c>
      <c r="I155" s="7" t="s">
        <v>17</v>
      </c>
      <c r="J155" s="7" t="s">
        <v>138</v>
      </c>
    </row>
    <row r="156" spans="1:10" x14ac:dyDescent="0.25" outlineLevel="2" collapsed="1">
      <c r="A156" s="7" t="s">
        <v>19</v>
      </c>
      <c r="B156" s="7" t="s">
        <v>16</v>
      </c>
      <c r="C156" s="7" t="s">
        <v>17</v>
      </c>
      <c r="D156" s="7"/>
      <c r="E156" s="7" t="s">
        <v>139</v>
      </c>
      <c r="F156" s="7" t="s">
        <v>19</v>
      </c>
      <c r="G156" s="7" t="s">
        <v>31</v>
      </c>
      <c r="H156" s="7" t="s">
        <v>17</v>
      </c>
      <c r="I156" s="7" t="s">
        <v>17</v>
      </c>
      <c r="J156" s="7" t="s">
        <v>140</v>
      </c>
    </row>
    <row r="157" spans="1:10" x14ac:dyDescent="0.25" outlineLevel="2" collapsed="1">
      <c r="A157" s="7" t="s">
        <v>19</v>
      </c>
      <c r="B157" s="7" t="s">
        <v>16</v>
      </c>
      <c r="C157" s="7" t="s">
        <v>17</v>
      </c>
      <c r="D157" s="7"/>
      <c r="E157" s="7" t="s">
        <v>141</v>
      </c>
      <c r="F157" s="7" t="s">
        <v>19</v>
      </c>
      <c r="G157" s="7" t="s">
        <v>31</v>
      </c>
      <c r="H157" s="7" t="s">
        <v>17</v>
      </c>
      <c r="I157" s="7" t="s">
        <v>17</v>
      </c>
      <c r="J157" s="7" t="s">
        <v>142</v>
      </c>
    </row>
    <row r="158" spans="1:10" x14ac:dyDescent="0.25" outlineLevel="2" collapsed="1">
      <c r="A158" s="7" t="s">
        <v>19</v>
      </c>
      <c r="B158" s="7" t="s">
        <v>16</v>
      </c>
      <c r="C158" s="7" t="s">
        <v>17</v>
      </c>
      <c r="D158" s="7"/>
      <c r="E158" s="7" t="s">
        <v>1272</v>
      </c>
      <c r="F158" s="7" t="s">
        <v>19</v>
      </c>
      <c r="G158" s="7" t="s">
        <v>31</v>
      </c>
      <c r="H158" s="7" t="s">
        <v>17</v>
      </c>
      <c r="I158" s="7" t="s">
        <v>17</v>
      </c>
      <c r="J158" s="7" t="s">
        <v>1273</v>
      </c>
    </row>
    <row r="159" spans="1:10" x14ac:dyDescent="0.25" outlineLevel="1" collapsed="1">
      <c r="A159" s="8" t="s">
        <v>19</v>
      </c>
      <c r="B159" s="9" t="s">
        <v>1274</v>
      </c>
      <c r="C159" s="8" t="s">
        <v>17</v>
      </c>
      <c r="D159" s="8"/>
      <c r="E159" s="8" t="s">
        <v>1275</v>
      </c>
      <c r="F159" s="8" t="s">
        <v>15</v>
      </c>
      <c r="G159" s="8" t="s">
        <v>17</v>
      </c>
      <c r="H159" s="8" t="s">
        <v>17</v>
      </c>
      <c r="I159" s="8" t="s">
        <v>17</v>
      </c>
      <c r="J159" s="8" t="s">
        <v>1276</v>
      </c>
    </row>
    <row r="160" spans="1:10" x14ac:dyDescent="0.25" outlineLevel="2" collapsed="1">
      <c r="A160" s="7" t="s">
        <v>19</v>
      </c>
      <c r="B160" s="7" t="s">
        <v>16</v>
      </c>
      <c r="C160" s="7" t="s">
        <v>17</v>
      </c>
      <c r="D160" s="7"/>
      <c r="E160" s="7" t="s">
        <v>135</v>
      </c>
      <c r="F160" s="7" t="s">
        <v>19</v>
      </c>
      <c r="G160" s="7" t="s">
        <v>31</v>
      </c>
      <c r="H160" s="7" t="s">
        <v>17</v>
      </c>
      <c r="I160" s="7" t="s">
        <v>17</v>
      </c>
      <c r="J160" s="7" t="s">
        <v>136</v>
      </c>
    </row>
    <row r="161" spans="1:10" x14ac:dyDescent="0.25" outlineLevel="2" collapsed="1">
      <c r="A161" s="7" t="s">
        <v>19</v>
      </c>
      <c r="B161" s="7" t="s">
        <v>16</v>
      </c>
      <c r="C161" s="7" t="s">
        <v>17</v>
      </c>
      <c r="D161" s="7"/>
      <c r="E161" s="7" t="s">
        <v>1277</v>
      </c>
      <c r="F161" s="7" t="s">
        <v>19</v>
      </c>
      <c r="G161" s="7" t="s">
        <v>31</v>
      </c>
      <c r="H161" s="7" t="s">
        <v>17</v>
      </c>
      <c r="I161" s="7" t="s">
        <v>17</v>
      </c>
      <c r="J161" s="7" t="s">
        <v>1278</v>
      </c>
    </row>
    <row r="162" spans="1:10" x14ac:dyDescent="0.25" outlineLevel="2" collapsed="1">
      <c r="A162" s="7" t="s">
        <v>19</v>
      </c>
      <c r="B162" s="7" t="s">
        <v>16</v>
      </c>
      <c r="C162" s="7" t="s">
        <v>17</v>
      </c>
      <c r="D162" s="7"/>
      <c r="E162" s="7" t="s">
        <v>139</v>
      </c>
      <c r="F162" s="7" t="s">
        <v>19</v>
      </c>
      <c r="G162" s="7" t="s">
        <v>31</v>
      </c>
      <c r="H162" s="7" t="s">
        <v>17</v>
      </c>
      <c r="I162" s="7" t="s">
        <v>17</v>
      </c>
      <c r="J162" s="7" t="s">
        <v>140</v>
      </c>
    </row>
    <row r="163" spans="1:10" x14ac:dyDescent="0.25" outlineLevel="2" collapsed="1">
      <c r="A163" s="7" t="s">
        <v>19</v>
      </c>
      <c r="B163" s="7" t="s">
        <v>16</v>
      </c>
      <c r="C163" s="7" t="s">
        <v>17</v>
      </c>
      <c r="D163" s="7"/>
      <c r="E163" s="7" t="s">
        <v>1279</v>
      </c>
      <c r="F163" s="7" t="s">
        <v>19</v>
      </c>
      <c r="G163" s="7" t="s">
        <v>31</v>
      </c>
      <c r="H163" s="7" t="s">
        <v>17</v>
      </c>
      <c r="I163" s="7" t="s">
        <v>17</v>
      </c>
      <c r="J163" s="7" t="s">
        <v>1280</v>
      </c>
    </row>
    <row r="164" spans="1:10" x14ac:dyDescent="0.25" outlineLevel="2" collapsed="1">
      <c r="A164" s="7" t="s">
        <v>19</v>
      </c>
      <c r="B164" s="7" t="s">
        <v>16</v>
      </c>
      <c r="C164" s="7" t="s">
        <v>17</v>
      </c>
      <c r="D164" s="7"/>
      <c r="E164" s="7" t="s">
        <v>1281</v>
      </c>
      <c r="F164" s="7" t="s">
        <v>19</v>
      </c>
      <c r="G164" s="7" t="s">
        <v>31</v>
      </c>
      <c r="H164" s="7" t="s">
        <v>17</v>
      </c>
      <c r="I164" s="7" t="s">
        <v>17</v>
      </c>
      <c r="J164" s="7" t="s">
        <v>1282</v>
      </c>
    </row>
    <row r="165" spans="1:10" x14ac:dyDescent="0.25">
      <c r="A165" s="5" t="s">
        <v>15</v>
      </c>
      <c r="B165" s="6" t="s">
        <v>1283</v>
      </c>
      <c r="C165" s="5" t="s">
        <v>17</v>
      </c>
      <c r="D165" s="5"/>
      <c r="E165" s="5" t="s">
        <v>1284</v>
      </c>
      <c r="F165" s="5" t="s">
        <v>19</v>
      </c>
      <c r="G165" s="5" t="s">
        <v>17</v>
      </c>
      <c r="H165" s="5" t="s">
        <v>17</v>
      </c>
      <c r="I165" s="5" t="s">
        <v>17</v>
      </c>
      <c r="J165" s="5" t="s">
        <v>153</v>
      </c>
    </row>
    <row r="166" spans="1:10" x14ac:dyDescent="0.25" outlineLevel="1" collapsed="1">
      <c r="A166" s="8" t="s">
        <v>19</v>
      </c>
      <c r="B166" s="9" t="s">
        <v>1285</v>
      </c>
      <c r="C166" s="8" t="s">
        <v>17</v>
      </c>
      <c r="D166" s="8"/>
      <c r="E166" s="8" t="s">
        <v>1286</v>
      </c>
      <c r="F166" s="8" t="s">
        <v>15</v>
      </c>
      <c r="G166" s="8" t="s">
        <v>17</v>
      </c>
      <c r="H166" s="8" t="s">
        <v>17</v>
      </c>
      <c r="I166" s="8" t="s">
        <v>17</v>
      </c>
      <c r="J166" s="8" t="s">
        <v>1287</v>
      </c>
    </row>
    <row r="167" spans="1:10" x14ac:dyDescent="0.25" outlineLevel="2" collapsed="1">
      <c r="A167" s="7" t="s">
        <v>19</v>
      </c>
      <c r="B167" s="7" t="s">
        <v>16</v>
      </c>
      <c r="C167" s="7" t="s">
        <v>17</v>
      </c>
      <c r="D167" s="7"/>
      <c r="E167" s="7" t="s">
        <v>135</v>
      </c>
      <c r="F167" s="7" t="s">
        <v>19</v>
      </c>
      <c r="G167" s="7" t="s">
        <v>31</v>
      </c>
      <c r="H167" s="7" t="s">
        <v>17</v>
      </c>
      <c r="I167" s="7" t="s">
        <v>17</v>
      </c>
      <c r="J167" s="7" t="s">
        <v>136</v>
      </c>
    </row>
    <row r="168" spans="1:10" x14ac:dyDescent="0.25" outlineLevel="2" collapsed="1">
      <c r="A168" s="7" t="s">
        <v>19</v>
      </c>
      <c r="B168" s="7" t="s">
        <v>16</v>
      </c>
      <c r="C168" s="7" t="s">
        <v>17</v>
      </c>
      <c r="D168" s="7"/>
      <c r="E168" s="7" t="s">
        <v>1288</v>
      </c>
      <c r="F168" s="7" t="s">
        <v>19</v>
      </c>
      <c r="G168" s="7" t="s">
        <v>31</v>
      </c>
      <c r="H168" s="7" t="s">
        <v>17</v>
      </c>
      <c r="I168" s="7" t="s">
        <v>17</v>
      </c>
      <c r="J168" s="7" t="s">
        <v>1289</v>
      </c>
    </row>
    <row r="169" spans="1:10" x14ac:dyDescent="0.25" outlineLevel="2" collapsed="1">
      <c r="A169" s="7" t="s">
        <v>19</v>
      </c>
      <c r="B169" s="7" t="s">
        <v>16</v>
      </c>
      <c r="C169" s="7" t="s">
        <v>17</v>
      </c>
      <c r="D169" s="7"/>
      <c r="E169" s="7" t="s">
        <v>164</v>
      </c>
      <c r="F169" s="7" t="s">
        <v>19</v>
      </c>
      <c r="G169" s="7" t="s">
        <v>31</v>
      </c>
      <c r="H169" s="7" t="s">
        <v>17</v>
      </c>
      <c r="I169" s="7" t="s">
        <v>17</v>
      </c>
      <c r="J169" s="7" t="s">
        <v>165</v>
      </c>
    </row>
    <row r="170" spans="1:10" x14ac:dyDescent="0.25" outlineLevel="2" collapsed="1">
      <c r="A170" s="7" t="s">
        <v>19</v>
      </c>
      <c r="B170" s="7" t="s">
        <v>16</v>
      </c>
      <c r="C170" s="7" t="s">
        <v>17</v>
      </c>
      <c r="D170" s="7"/>
      <c r="E170" s="7" t="s">
        <v>1290</v>
      </c>
      <c r="F170" s="7" t="s">
        <v>19</v>
      </c>
      <c r="G170" s="7" t="s">
        <v>31</v>
      </c>
      <c r="H170" s="7" t="s">
        <v>17</v>
      </c>
      <c r="I170" s="7" t="s">
        <v>17</v>
      </c>
      <c r="J170" s="7" t="s">
        <v>1291</v>
      </c>
    </row>
    <row r="171" spans="1:10" x14ac:dyDescent="0.25" outlineLevel="2" collapsed="1">
      <c r="A171" s="7" t="s">
        <v>19</v>
      </c>
      <c r="B171" s="7" t="s">
        <v>16</v>
      </c>
      <c r="C171" s="7" t="s">
        <v>17</v>
      </c>
      <c r="D171" s="7"/>
      <c r="E171" s="7" t="s">
        <v>166</v>
      </c>
      <c r="F171" s="7" t="s">
        <v>19</v>
      </c>
      <c r="G171" s="7" t="s">
        <v>31</v>
      </c>
      <c r="H171" s="7" t="s">
        <v>17</v>
      </c>
      <c r="I171" s="7" t="s">
        <v>17</v>
      </c>
      <c r="J171" s="7" t="s">
        <v>167</v>
      </c>
    </row>
    <row r="172" spans="1:10" x14ac:dyDescent="0.25">
      <c r="A172" s="5" t="s">
        <v>15</v>
      </c>
      <c r="B172" s="6" t="s">
        <v>1292</v>
      </c>
      <c r="C172" s="5" t="s">
        <v>17</v>
      </c>
      <c r="D172" s="5"/>
      <c r="E172" s="5" t="s">
        <v>1293</v>
      </c>
      <c r="F172" s="5" t="s">
        <v>19</v>
      </c>
      <c r="G172" s="5" t="s">
        <v>17</v>
      </c>
      <c r="H172" s="5" t="s">
        <v>17</v>
      </c>
      <c r="I172" s="5" t="s">
        <v>17</v>
      </c>
      <c r="J172" s="5" t="s">
        <v>170</v>
      </c>
    </row>
    <row r="173" spans="1:10" x14ac:dyDescent="0.25" outlineLevel="1" collapsed="1">
      <c r="A173" s="7" t="s">
        <v>15</v>
      </c>
      <c r="B173" s="7" t="s">
        <v>16</v>
      </c>
      <c r="C173" s="7" t="s">
        <v>17</v>
      </c>
      <c r="D173" s="7"/>
      <c r="E173" s="7" t="s">
        <v>1294</v>
      </c>
      <c r="F173" s="7" t="s">
        <v>19</v>
      </c>
      <c r="G173" s="7" t="s">
        <v>1295</v>
      </c>
      <c r="H173" s="7" t="s">
        <v>17</v>
      </c>
      <c r="I173" s="7" t="s">
        <v>17</v>
      </c>
      <c r="J173" s="7" t="s">
        <v>1296</v>
      </c>
    </row>
    <row r="174" spans="1:10" x14ac:dyDescent="0.25">
      <c r="A174" s="5" t="s">
        <v>15</v>
      </c>
      <c r="B174" s="6" t="s">
        <v>1297</v>
      </c>
      <c r="C174" s="5" t="s">
        <v>17</v>
      </c>
      <c r="D174" s="5"/>
      <c r="E174" s="5" t="s">
        <v>1298</v>
      </c>
      <c r="F174" s="5" t="s">
        <v>19</v>
      </c>
      <c r="G174" s="5" t="s">
        <v>17</v>
      </c>
      <c r="H174" s="5" t="s">
        <v>17</v>
      </c>
      <c r="I174" s="5" t="s">
        <v>17</v>
      </c>
      <c r="J174" s="5" t="s">
        <v>185</v>
      </c>
    </row>
    <row r="175" spans="1:10" x14ac:dyDescent="0.25" outlineLevel="1" collapsed="1">
      <c r="A175" s="7" t="s">
        <v>15</v>
      </c>
      <c r="B175" s="7" t="s">
        <v>16</v>
      </c>
      <c r="C175" s="7" t="s">
        <v>17</v>
      </c>
      <c r="D175" s="7"/>
      <c r="E175" s="7" t="s">
        <v>1299</v>
      </c>
      <c r="F175" s="7" t="s">
        <v>19</v>
      </c>
      <c r="G175" s="7" t="s">
        <v>1300</v>
      </c>
      <c r="H175" s="7" t="s">
        <v>17</v>
      </c>
      <c r="I175" s="7" t="s">
        <v>17</v>
      </c>
      <c r="J175" s="7" t="s">
        <v>209</v>
      </c>
    </row>
    <row r="176" spans="1:10" x14ac:dyDescent="0.25" outlineLevel="1" collapsed="1">
      <c r="A176" s="7" t="s">
        <v>19</v>
      </c>
      <c r="B176" s="7" t="s">
        <v>16</v>
      </c>
      <c r="C176" s="7" t="s">
        <v>17</v>
      </c>
      <c r="D176" s="7"/>
      <c r="E176" s="7" t="s">
        <v>1301</v>
      </c>
      <c r="F176" s="7" t="s">
        <v>19</v>
      </c>
      <c r="G176" s="7" t="s">
        <v>31</v>
      </c>
      <c r="H176" s="7" t="s">
        <v>17</v>
      </c>
      <c r="I176" s="7" t="s">
        <v>17</v>
      </c>
      <c r="J176" s="7" t="s">
        <v>1302</v>
      </c>
    </row>
    <row r="177" spans="1:10" x14ac:dyDescent="0.25">
      <c r="A177" s="5" t="s">
        <v>15</v>
      </c>
      <c r="B177" s="6" t="s">
        <v>1303</v>
      </c>
      <c r="C177" s="5" t="s">
        <v>17</v>
      </c>
      <c r="D177" s="5"/>
      <c r="E177" s="5" t="s">
        <v>1304</v>
      </c>
      <c r="F177" s="5" t="s">
        <v>19</v>
      </c>
      <c r="G177" s="5" t="s">
        <v>17</v>
      </c>
      <c r="H177" s="5" t="s">
        <v>17</v>
      </c>
      <c r="I177" s="5" t="s">
        <v>17</v>
      </c>
      <c r="J177" s="5" t="s">
        <v>677</v>
      </c>
    </row>
    <row r="178" spans="1:10" x14ac:dyDescent="0.25" outlineLevel="1" collapsed="1">
      <c r="A178" s="8" t="s">
        <v>15</v>
      </c>
      <c r="B178" s="9" t="s">
        <v>1305</v>
      </c>
      <c r="C178" s="8" t="s">
        <v>17</v>
      </c>
      <c r="D178" s="8"/>
      <c r="E178" s="8" t="s">
        <v>1306</v>
      </c>
      <c r="F178" s="8" t="s">
        <v>19</v>
      </c>
      <c r="G178" s="8" t="s">
        <v>17</v>
      </c>
      <c r="H178" s="8" t="s">
        <v>17</v>
      </c>
      <c r="I178" s="8" t="s">
        <v>17</v>
      </c>
      <c r="J178" s="8" t="s">
        <v>225</v>
      </c>
    </row>
    <row r="179" spans="1:10" x14ac:dyDescent="0.25" outlineLevel="2" collapsed="1">
      <c r="A179" s="7" t="s">
        <v>15</v>
      </c>
      <c r="B179" s="7" t="s">
        <v>16</v>
      </c>
      <c r="C179" s="7" t="s">
        <v>17</v>
      </c>
      <c r="D179" s="7"/>
      <c r="E179" s="7" t="s">
        <v>1307</v>
      </c>
      <c r="F179" s="7" t="s">
        <v>19</v>
      </c>
      <c r="G179" s="7" t="s">
        <v>1308</v>
      </c>
      <c r="H179" s="7" t="s">
        <v>17</v>
      </c>
      <c r="I179" s="7" t="s">
        <v>17</v>
      </c>
      <c r="J179" s="7" t="s">
        <v>1309</v>
      </c>
    </row>
    <row r="180" spans="1:10" x14ac:dyDescent="0.25" outlineLevel="1" collapsed="1">
      <c r="A180" s="8" t="s">
        <v>15</v>
      </c>
      <c r="B180" s="9" t="s">
        <v>1310</v>
      </c>
      <c r="C180" s="8" t="s">
        <v>17</v>
      </c>
      <c r="D180" s="8"/>
      <c r="E180" s="8" t="s">
        <v>1311</v>
      </c>
      <c r="F180" s="8" t="s">
        <v>19</v>
      </c>
      <c r="G180" s="8" t="s">
        <v>17</v>
      </c>
      <c r="H180" s="8" t="s">
        <v>17</v>
      </c>
      <c r="I180" s="8" t="s">
        <v>17</v>
      </c>
      <c r="J180" s="8" t="s">
        <v>230</v>
      </c>
    </row>
    <row r="181" spans="1:10" x14ac:dyDescent="0.25" outlineLevel="2" collapsed="1">
      <c r="A181" s="7" t="s">
        <v>15</v>
      </c>
      <c r="B181" s="7" t="s">
        <v>159</v>
      </c>
      <c r="C181" s="7" t="s">
        <v>17</v>
      </c>
      <c r="D181" s="7"/>
      <c r="E181" s="7" t="s">
        <v>1312</v>
      </c>
      <c r="F181" s="7" t="s">
        <v>19</v>
      </c>
      <c r="G181" s="7" t="b">
        <v>0</v>
      </c>
      <c r="H181" s="7" t="s">
        <v>17</v>
      </c>
      <c r="I181" s="7" t="s">
        <v>17</v>
      </c>
      <c r="J181" s="7" t="s">
        <v>1313</v>
      </c>
    </row>
    <row r="182" spans="1:10" x14ac:dyDescent="0.25" outlineLevel="2" collapsed="1">
      <c r="A182" s="7" t="s">
        <v>15</v>
      </c>
      <c r="B182" s="7" t="s">
        <v>16</v>
      </c>
      <c r="C182" s="7" t="s">
        <v>17</v>
      </c>
      <c r="D182" s="7"/>
      <c r="E182" s="7" t="s">
        <v>1314</v>
      </c>
      <c r="F182" s="7" t="s">
        <v>19</v>
      </c>
      <c r="G182" s="7" t="s">
        <v>1315</v>
      </c>
      <c r="H182" s="7" t="s">
        <v>17</v>
      </c>
      <c r="I182" s="7" t="s">
        <v>17</v>
      </c>
      <c r="J182" s="7" t="s">
        <v>1316</v>
      </c>
    </row>
    <row r="183" spans="1:10" x14ac:dyDescent="0.25">
      <c r="A183" s="5" t="s">
        <v>15</v>
      </c>
      <c r="B183" s="6" t="s">
        <v>1317</v>
      </c>
      <c r="C183" s="5" t="s">
        <v>17</v>
      </c>
      <c r="D183" s="5"/>
      <c r="E183" s="5" t="s">
        <v>1318</v>
      </c>
      <c r="F183" s="5" t="s">
        <v>19</v>
      </c>
      <c r="G183" s="5" t="s">
        <v>17</v>
      </c>
      <c r="H183" s="5" t="s">
        <v>17</v>
      </c>
      <c r="I183" s="5" t="s">
        <v>17</v>
      </c>
      <c r="J183" s="5" t="s">
        <v>1319</v>
      </c>
    </row>
    <row r="184" spans="1:10" x14ac:dyDescent="0.25" outlineLevel="1" collapsed="1">
      <c r="A184" s="8" t="s">
        <v>19</v>
      </c>
      <c r="B184" s="9" t="s">
        <v>1320</v>
      </c>
      <c r="C184" s="8" t="s">
        <v>17</v>
      </c>
      <c r="D184" s="8"/>
      <c r="E184" s="8" t="s">
        <v>1321</v>
      </c>
      <c r="F184" s="8" t="s">
        <v>15</v>
      </c>
      <c r="G184" s="8" t="s">
        <v>17</v>
      </c>
      <c r="H184" s="8" t="s">
        <v>17</v>
      </c>
      <c r="I184" s="8" t="s">
        <v>17</v>
      </c>
      <c r="J184" s="8" t="s">
        <v>1322</v>
      </c>
    </row>
    <row r="185" spans="1:10" x14ac:dyDescent="0.25" outlineLevel="2" collapsed="1">
      <c r="A185" s="7" t="s">
        <v>19</v>
      </c>
      <c r="B185" s="7" t="s">
        <v>16</v>
      </c>
      <c r="C185" s="7" t="s">
        <v>17</v>
      </c>
      <c r="D185" s="7"/>
      <c r="E185" s="7" t="s">
        <v>478</v>
      </c>
      <c r="F185" s="7" t="s">
        <v>19</v>
      </c>
      <c r="G185" s="7" t="s">
        <v>31</v>
      </c>
      <c r="H185" s="7" t="s">
        <v>17</v>
      </c>
      <c r="I185" s="7" t="s">
        <v>17</v>
      </c>
      <c r="J185" s="7" t="s">
        <v>1323</v>
      </c>
    </row>
    <row r="186" spans="1:10" x14ac:dyDescent="0.25" outlineLevel="2" collapsed="1">
      <c r="A186" s="7" t="s">
        <v>19</v>
      </c>
      <c r="B186" s="7" t="s">
        <v>16</v>
      </c>
      <c r="C186" s="7" t="s">
        <v>17</v>
      </c>
      <c r="D186" s="7"/>
      <c r="E186" s="7" t="s">
        <v>1324</v>
      </c>
      <c r="F186" s="7" t="s">
        <v>19</v>
      </c>
      <c r="G186" s="7" t="s">
        <v>31</v>
      </c>
      <c r="H186" s="7" t="s">
        <v>17</v>
      </c>
      <c r="I186" s="7" t="s">
        <v>17</v>
      </c>
      <c r="J186" s="7" t="s">
        <v>1325</v>
      </c>
    </row>
    <row r="187" spans="1:10" x14ac:dyDescent="0.25" outlineLevel="2" collapsed="1">
      <c r="A187" s="7" t="s">
        <v>19</v>
      </c>
      <c r="B187" s="7" t="s">
        <v>16</v>
      </c>
      <c r="C187" s="7" t="s">
        <v>17</v>
      </c>
      <c r="D187" s="7"/>
      <c r="E187" s="7" t="s">
        <v>1326</v>
      </c>
      <c r="F187" s="7" t="s">
        <v>19</v>
      </c>
      <c r="G187" s="7" t="s">
        <v>31</v>
      </c>
      <c r="H187" s="7" t="s">
        <v>17</v>
      </c>
      <c r="I187" s="7" t="s">
        <v>17</v>
      </c>
      <c r="J187" s="7" t="s">
        <v>1327</v>
      </c>
    </row>
    <row r="188" spans="1:10" x14ac:dyDescent="0.25" outlineLevel="2" collapsed="1">
      <c r="A188" s="7" t="s">
        <v>19</v>
      </c>
      <c r="B188" s="7" t="s">
        <v>16</v>
      </c>
      <c r="C188" s="7" t="s">
        <v>17</v>
      </c>
      <c r="D188" s="7"/>
      <c r="E188" s="7" t="s">
        <v>1328</v>
      </c>
      <c r="F188" s="7" t="s">
        <v>19</v>
      </c>
      <c r="G188" s="7" t="s">
        <v>31</v>
      </c>
      <c r="H188" s="7" t="s">
        <v>17</v>
      </c>
      <c r="I188" s="7" t="s">
        <v>17</v>
      </c>
      <c r="J188" s="7" t="s">
        <v>824</v>
      </c>
    </row>
    <row r="189" spans="1:10" x14ac:dyDescent="0.25">
      <c r="A189" s="5" t="s">
        <v>15</v>
      </c>
      <c r="B189" s="6" t="s">
        <v>1329</v>
      </c>
      <c r="C189" s="5" t="s">
        <v>17</v>
      </c>
      <c r="D189" s="5"/>
      <c r="E189" s="5" t="s">
        <v>1330</v>
      </c>
      <c r="F189" s="5" t="s">
        <v>19</v>
      </c>
      <c r="G189" s="5" t="s">
        <v>17</v>
      </c>
      <c r="H189" s="5" t="s">
        <v>17</v>
      </c>
      <c r="I189" s="5" t="s">
        <v>17</v>
      </c>
      <c r="J189" s="5" t="s">
        <v>1331</v>
      </c>
    </row>
    <row r="190" spans="1:10" x14ac:dyDescent="0.25" outlineLevel="1" collapsed="1">
      <c r="A190" s="8" t="s">
        <v>15</v>
      </c>
      <c r="B190" s="9" t="s">
        <v>1332</v>
      </c>
      <c r="C190" s="8" t="s">
        <v>17</v>
      </c>
      <c r="D190" s="8"/>
      <c r="E190" s="8" t="s">
        <v>1333</v>
      </c>
      <c r="F190" s="8" t="s">
        <v>19</v>
      </c>
      <c r="G190" s="8" t="s">
        <v>17</v>
      </c>
      <c r="H190" s="8" t="s">
        <v>17</v>
      </c>
      <c r="I190" s="8" t="s">
        <v>17</v>
      </c>
      <c r="J190" s="8" t="s">
        <v>1334</v>
      </c>
    </row>
    <row r="191" spans="1:10" x14ac:dyDescent="0.25" outlineLevel="2" collapsed="1">
      <c r="A191" s="7" t="s">
        <v>15</v>
      </c>
      <c r="B191" s="7" t="s">
        <v>16</v>
      </c>
      <c r="C191" s="7" t="s">
        <v>17</v>
      </c>
      <c r="D191" s="7"/>
      <c r="E191" s="7" t="s">
        <v>1335</v>
      </c>
      <c r="F191" s="7" t="s">
        <v>19</v>
      </c>
      <c r="G191" s="7" t="s">
        <v>1336</v>
      </c>
      <c r="H191" s="7" t="s">
        <v>17</v>
      </c>
      <c r="I191" s="7" t="s">
        <v>17</v>
      </c>
      <c r="J191" s="7" t="s">
        <v>526</v>
      </c>
    </row>
    <row r="192" spans="1:10" x14ac:dyDescent="0.25" outlineLevel="1" collapsed="1">
      <c r="A192" s="8" t="s">
        <v>15</v>
      </c>
      <c r="B192" s="9" t="s">
        <v>1337</v>
      </c>
      <c r="C192" s="8" t="s">
        <v>17</v>
      </c>
      <c r="D192" s="8"/>
      <c r="E192" s="8" t="s">
        <v>1338</v>
      </c>
      <c r="F192" s="8" t="s">
        <v>19</v>
      </c>
      <c r="G192" s="8" t="s">
        <v>17</v>
      </c>
      <c r="H192" s="8" t="s">
        <v>17</v>
      </c>
      <c r="I192" s="8" t="s">
        <v>17</v>
      </c>
      <c r="J192" s="8" t="s">
        <v>531</v>
      </c>
    </row>
    <row r="193" spans="1:10" x14ac:dyDescent="0.25" outlineLevel="2" collapsed="1">
      <c r="A193" s="7" t="s">
        <v>15</v>
      </c>
      <c r="B193" s="7" t="s">
        <v>159</v>
      </c>
      <c r="C193" s="7" t="s">
        <v>17</v>
      </c>
      <c r="D193" s="7"/>
      <c r="E193" s="7" t="s">
        <v>1339</v>
      </c>
      <c r="F193" s="7" t="s">
        <v>19</v>
      </c>
      <c r="G193" s="7" t="b">
        <v>0</v>
      </c>
      <c r="H193" s="7" t="s">
        <v>17</v>
      </c>
      <c r="I193" s="7" t="s">
        <v>17</v>
      </c>
      <c r="J193" s="7" t="s">
        <v>1340</v>
      </c>
    </row>
    <row r="194" spans="1:10" x14ac:dyDescent="0.25" outlineLevel="2" collapsed="1">
      <c r="A194" s="7" t="s">
        <v>15</v>
      </c>
      <c r="B194" s="7" t="s">
        <v>16</v>
      </c>
      <c r="C194" s="7" t="s">
        <v>17</v>
      </c>
      <c r="D194" s="7"/>
      <c r="E194" s="7" t="s">
        <v>1341</v>
      </c>
      <c r="F194" s="7" t="s">
        <v>19</v>
      </c>
      <c r="G194" s="7" t="s">
        <v>1342</v>
      </c>
      <c r="H194" s="7" t="s">
        <v>1342</v>
      </c>
      <c r="I194" s="7" t="s">
        <v>17</v>
      </c>
      <c r="J194" s="7" t="s">
        <v>1343</v>
      </c>
    </row>
    <row r="195" spans="1:10" x14ac:dyDescent="0.25" outlineLevel="1" collapsed="1">
      <c r="A195" s="8" t="s">
        <v>19</v>
      </c>
      <c r="B195" s="9" t="s">
        <v>1344</v>
      </c>
      <c r="C195" s="8" t="s">
        <v>17</v>
      </c>
      <c r="D195" s="8"/>
      <c r="E195" s="8" t="s">
        <v>1344</v>
      </c>
      <c r="F195" s="8" t="s">
        <v>15</v>
      </c>
      <c r="G195" s="8" t="s">
        <v>17</v>
      </c>
      <c r="H195" s="8" t="s">
        <v>17</v>
      </c>
      <c r="I195" s="8" t="s">
        <v>17</v>
      </c>
      <c r="J195" s="8" t="s">
        <v>529</v>
      </c>
    </row>
    <row r="196" spans="1:10" x14ac:dyDescent="0.25" outlineLevel="2" collapsed="1">
      <c r="A196" s="7" t="s">
        <v>19</v>
      </c>
      <c r="B196" s="7" t="s">
        <v>16</v>
      </c>
      <c r="C196" s="7" t="s">
        <v>17</v>
      </c>
      <c r="D196" s="7"/>
      <c r="E196" s="7" t="s">
        <v>1345</v>
      </c>
      <c r="F196" s="7" t="s">
        <v>19</v>
      </c>
      <c r="G196" s="7" t="s">
        <v>31</v>
      </c>
      <c r="H196" s="7" t="s">
        <v>17</v>
      </c>
      <c r="I196" s="7" t="s">
        <v>17</v>
      </c>
      <c r="J196" s="7" t="s">
        <v>1346</v>
      </c>
    </row>
    <row r="197" spans="1:10" x14ac:dyDescent="0.25" outlineLevel="2" collapsed="1">
      <c r="A197" s="7" t="s">
        <v>19</v>
      </c>
      <c r="B197" s="7" t="s">
        <v>16</v>
      </c>
      <c r="C197" s="7" t="s">
        <v>17</v>
      </c>
      <c r="D197" s="7"/>
      <c r="E197" s="7" t="s">
        <v>1347</v>
      </c>
      <c r="F197" s="7" t="s">
        <v>19</v>
      </c>
      <c r="G197" s="7" t="s">
        <v>31</v>
      </c>
      <c r="H197" s="7" t="s">
        <v>17</v>
      </c>
      <c r="I197" s="7" t="s">
        <v>17</v>
      </c>
      <c r="J197" s="7" t="s">
        <v>1348</v>
      </c>
    </row>
    <row r="198" spans="1:10" x14ac:dyDescent="0.25" outlineLevel="2" collapsed="1">
      <c r="A198" s="7" t="s">
        <v>19</v>
      </c>
      <c r="B198" s="7" t="s">
        <v>16</v>
      </c>
      <c r="C198" s="7" t="s">
        <v>17</v>
      </c>
      <c r="D198" s="7"/>
      <c r="E198" s="7" t="s">
        <v>1349</v>
      </c>
      <c r="F198" s="7" t="s">
        <v>19</v>
      </c>
      <c r="G198" s="7" t="s">
        <v>31</v>
      </c>
      <c r="H198" s="7" t="s">
        <v>17</v>
      </c>
      <c r="I198" s="7" t="s">
        <v>17</v>
      </c>
      <c r="J198" s="7" t="s">
        <v>1350</v>
      </c>
    </row>
    <row r="199" spans="1:10" x14ac:dyDescent="0.25" outlineLevel="2" collapsed="1">
      <c r="A199" s="7" t="s">
        <v>19</v>
      </c>
      <c r="B199" s="7" t="s">
        <v>16</v>
      </c>
      <c r="C199" s="7" t="s">
        <v>17</v>
      </c>
      <c r="D199" s="7"/>
      <c r="E199" s="7" t="s">
        <v>9</v>
      </c>
      <c r="F199" s="7" t="s">
        <v>19</v>
      </c>
      <c r="G199" s="7" t="s">
        <v>31</v>
      </c>
      <c r="H199" s="7" t="s">
        <v>17</v>
      </c>
      <c r="I199" s="7" t="s">
        <v>17</v>
      </c>
      <c r="J199" s="7" t="s">
        <v>843</v>
      </c>
    </row>
    <row r="200" spans="1:10" x14ac:dyDescent="0.25" outlineLevel="1" collapsed="1">
      <c r="A200" s="8" t="s">
        <v>19</v>
      </c>
      <c r="B200" s="9" t="s">
        <v>1351</v>
      </c>
      <c r="C200" s="8" t="s">
        <v>17</v>
      </c>
      <c r="D200" s="8"/>
      <c r="E200" s="8" t="s">
        <v>1352</v>
      </c>
      <c r="F200" s="8" t="s">
        <v>15</v>
      </c>
      <c r="G200" s="8" t="s">
        <v>17</v>
      </c>
      <c r="H200" s="8" t="s">
        <v>17</v>
      </c>
      <c r="I200" s="8" t="s">
        <v>17</v>
      </c>
      <c r="J200" s="8" t="s">
        <v>1353</v>
      </c>
    </row>
    <row r="201" spans="1:10" x14ac:dyDescent="0.25" outlineLevel="2" collapsed="1">
      <c r="A201" s="7" t="s">
        <v>19</v>
      </c>
      <c r="B201" s="7" t="s">
        <v>16</v>
      </c>
      <c r="C201" s="7" t="s">
        <v>17</v>
      </c>
      <c r="D201" s="7"/>
      <c r="E201" s="7" t="s">
        <v>1354</v>
      </c>
      <c r="F201" s="7" t="s">
        <v>19</v>
      </c>
      <c r="G201" s="7" t="s">
        <v>31</v>
      </c>
      <c r="H201" s="7" t="s">
        <v>17</v>
      </c>
      <c r="I201" s="7" t="s">
        <v>17</v>
      </c>
      <c r="J201" s="7" t="s">
        <v>1355</v>
      </c>
    </row>
    <row r="202" spans="1:10" x14ac:dyDescent="0.25" outlineLevel="2" collapsed="1">
      <c r="A202" s="7" t="s">
        <v>19</v>
      </c>
      <c r="B202" s="7" t="s">
        <v>16</v>
      </c>
      <c r="C202" s="7" t="s">
        <v>17</v>
      </c>
      <c r="D202" s="7"/>
      <c r="E202" s="7" t="s">
        <v>1356</v>
      </c>
      <c r="F202" s="7" t="s">
        <v>19</v>
      </c>
      <c r="G202" s="7" t="s">
        <v>31</v>
      </c>
      <c r="H202" s="7" t="s">
        <v>17</v>
      </c>
      <c r="I202" s="7" t="s">
        <v>17</v>
      </c>
      <c r="J202" s="7" t="s">
        <v>1357</v>
      </c>
    </row>
    <row r="203" spans="1:10" x14ac:dyDescent="0.25" outlineLevel="2" collapsed="1">
      <c r="A203" s="7" t="s">
        <v>19</v>
      </c>
      <c r="B203" s="7" t="s">
        <v>16</v>
      </c>
      <c r="C203" s="7" t="s">
        <v>17</v>
      </c>
      <c r="D203" s="7"/>
      <c r="E203" s="7" t="s">
        <v>1358</v>
      </c>
      <c r="F203" s="7" t="s">
        <v>19</v>
      </c>
      <c r="G203" s="7" t="s">
        <v>31</v>
      </c>
      <c r="H203" s="7" t="s">
        <v>17</v>
      </c>
      <c r="I203" s="7" t="s">
        <v>17</v>
      </c>
      <c r="J203" s="7" t="s">
        <v>1359</v>
      </c>
    </row>
    <row r="204" spans="1:10" x14ac:dyDescent="0.25" outlineLevel="2" collapsed="1">
      <c r="A204" s="7" t="s">
        <v>19</v>
      </c>
      <c r="B204" s="7" t="s">
        <v>63</v>
      </c>
      <c r="C204" s="7" t="s">
        <v>17</v>
      </c>
      <c r="D204" s="7"/>
      <c r="E204" s="7" t="s">
        <v>1360</v>
      </c>
      <c r="F204" s="7" t="s">
        <v>19</v>
      </c>
      <c r="G204" s="7">
        <v>1</v>
      </c>
      <c r="H204" s="7" t="s">
        <v>17</v>
      </c>
      <c r="I204" s="7" t="s">
        <v>17</v>
      </c>
      <c r="J204" s="7" t="s">
        <v>1361</v>
      </c>
    </row>
    <row r="205" spans="1:10" x14ac:dyDescent="0.25" outlineLevel="2" collapsed="1">
      <c r="A205" s="7" t="s">
        <v>19</v>
      </c>
      <c r="B205" s="7" t="s">
        <v>16</v>
      </c>
      <c r="C205" s="7" t="s">
        <v>17</v>
      </c>
      <c r="D205" s="7"/>
      <c r="E205" s="7" t="s">
        <v>1362</v>
      </c>
      <c r="F205" s="7" t="s">
        <v>19</v>
      </c>
      <c r="G205" s="7" t="s">
        <v>31</v>
      </c>
      <c r="H205" s="7" t="s">
        <v>17</v>
      </c>
      <c r="I205" s="7" t="s">
        <v>17</v>
      </c>
      <c r="J205" s="7" t="s">
        <v>1191</v>
      </c>
    </row>
    <row r="206" spans="1:10" x14ac:dyDescent="0.25">
      <c r="A206" s="5" t="s">
        <v>15</v>
      </c>
      <c r="B206" s="6" t="s">
        <v>1363</v>
      </c>
      <c r="C206" s="5" t="s">
        <v>17</v>
      </c>
      <c r="D206" s="5"/>
      <c r="E206" s="5" t="s">
        <v>1364</v>
      </c>
      <c r="F206" s="5" t="s">
        <v>19</v>
      </c>
      <c r="G206" s="5" t="s">
        <v>17</v>
      </c>
      <c r="H206" s="5" t="s">
        <v>17</v>
      </c>
      <c r="I206" s="5" t="s">
        <v>17</v>
      </c>
      <c r="J206" s="5" t="s">
        <v>1365</v>
      </c>
    </row>
    <row r="207" spans="1:10" x14ac:dyDescent="0.25" outlineLevel="1" collapsed="1">
      <c r="A207" s="8" t="s">
        <v>15</v>
      </c>
      <c r="B207" s="9" t="s">
        <v>1366</v>
      </c>
      <c r="C207" s="8" t="s">
        <v>17</v>
      </c>
      <c r="D207" s="8"/>
      <c r="E207" s="8" t="s">
        <v>1367</v>
      </c>
      <c r="F207" s="8" t="s">
        <v>19</v>
      </c>
      <c r="G207" s="8" t="s">
        <v>17</v>
      </c>
      <c r="H207" s="8" t="s">
        <v>17</v>
      </c>
      <c r="I207" s="8" t="s">
        <v>17</v>
      </c>
      <c r="J207" s="8" t="s">
        <v>1368</v>
      </c>
    </row>
    <row r="208" spans="1:10" x14ac:dyDescent="0.25" outlineLevel="2" collapsed="1">
      <c r="A208" s="7" t="s">
        <v>15</v>
      </c>
      <c r="B208" s="7" t="s">
        <v>16</v>
      </c>
      <c r="C208" s="7" t="s">
        <v>17</v>
      </c>
      <c r="D208" s="7"/>
      <c r="E208" s="7" t="s">
        <v>248</v>
      </c>
      <c r="F208" s="7" t="s">
        <v>19</v>
      </c>
      <c r="G208" s="7" t="s">
        <v>249</v>
      </c>
      <c r="H208" s="7" t="s">
        <v>17</v>
      </c>
      <c r="I208" s="7" t="s">
        <v>17</v>
      </c>
      <c r="J208" s="7" t="s">
        <v>250</v>
      </c>
    </row>
    <row r="209" spans="1:10" x14ac:dyDescent="0.25" outlineLevel="1" collapsed="1">
      <c r="A209" s="8" t="s">
        <v>15</v>
      </c>
      <c r="B209" s="9" t="s">
        <v>1369</v>
      </c>
      <c r="C209" s="8" t="s">
        <v>17</v>
      </c>
      <c r="D209" s="8"/>
      <c r="E209" s="8" t="s">
        <v>1370</v>
      </c>
      <c r="F209" s="8" t="s">
        <v>19</v>
      </c>
      <c r="G209" s="8" t="s">
        <v>17</v>
      </c>
      <c r="H209" s="8" t="s">
        <v>17</v>
      </c>
      <c r="I209" s="8" t="s">
        <v>17</v>
      </c>
      <c r="J209" s="8" t="s">
        <v>1371</v>
      </c>
    </row>
    <row r="210" spans="1:10" x14ac:dyDescent="0.25" outlineLevel="2" collapsed="1">
      <c r="A210" s="7" t="s">
        <v>19</v>
      </c>
      <c r="B210" s="7" t="s">
        <v>159</v>
      </c>
      <c r="C210" s="7" t="s">
        <v>17</v>
      </c>
      <c r="D210" s="7"/>
      <c r="E210" s="7" t="s">
        <v>241</v>
      </c>
      <c r="F210" s="7" t="s">
        <v>19</v>
      </c>
      <c r="G210" s="7" t="b">
        <v>0</v>
      </c>
      <c r="H210" s="7" t="s">
        <v>17</v>
      </c>
      <c r="I210" s="7" t="s">
        <v>17</v>
      </c>
      <c r="J210" s="7" t="s">
        <v>242</v>
      </c>
    </row>
    <row r="211" spans="1:10" x14ac:dyDescent="0.25" outlineLevel="2" collapsed="1">
      <c r="A211" s="7" t="s">
        <v>19</v>
      </c>
      <c r="B211" s="7" t="s">
        <v>16</v>
      </c>
      <c r="C211" s="7" t="s">
        <v>17</v>
      </c>
      <c r="D211" s="7"/>
      <c r="E211" s="7" t="s">
        <v>243</v>
      </c>
      <c r="F211" s="7" t="s">
        <v>19</v>
      </c>
      <c r="G211" s="7" t="s">
        <v>244</v>
      </c>
      <c r="H211" s="7" t="s">
        <v>17</v>
      </c>
      <c r="I211" s="7" t="s">
        <v>17</v>
      </c>
      <c r="J211" s="7" t="s">
        <v>245</v>
      </c>
    </row>
    <row r="212" spans="1:10" x14ac:dyDescent="0.25" outlineLevel="1" collapsed="1">
      <c r="A212" s="8" t="s">
        <v>19</v>
      </c>
      <c r="B212" s="9" t="s">
        <v>1372</v>
      </c>
      <c r="C212" s="8" t="s">
        <v>17</v>
      </c>
      <c r="D212" s="8"/>
      <c r="E212" s="8" t="s">
        <v>1373</v>
      </c>
      <c r="F212" s="8" t="s">
        <v>15</v>
      </c>
      <c r="G212" s="8" t="s">
        <v>17</v>
      </c>
      <c r="H212" s="8" t="s">
        <v>17</v>
      </c>
      <c r="I212" s="8" t="s">
        <v>17</v>
      </c>
      <c r="J212" s="8" t="s">
        <v>1374</v>
      </c>
    </row>
    <row r="213" spans="1:10" x14ac:dyDescent="0.25" outlineLevel="2" collapsed="1">
      <c r="A213" s="7" t="s">
        <v>19</v>
      </c>
      <c r="B213" s="7" t="s">
        <v>16</v>
      </c>
      <c r="C213" s="7" t="s">
        <v>17</v>
      </c>
      <c r="D213" s="7"/>
      <c r="E213" s="7" t="s">
        <v>1375</v>
      </c>
      <c r="F213" s="7" t="s">
        <v>19</v>
      </c>
      <c r="G213" s="7" t="s">
        <v>31</v>
      </c>
      <c r="H213" s="7" t="s">
        <v>17</v>
      </c>
      <c r="I213" s="7" t="s">
        <v>17</v>
      </c>
      <c r="J213" s="7" t="s">
        <v>1376</v>
      </c>
    </row>
    <row r="214" spans="1:10" x14ac:dyDescent="0.25" outlineLevel="2" collapsed="1">
      <c r="A214" s="7" t="s">
        <v>19</v>
      </c>
      <c r="B214" s="7" t="s">
        <v>16</v>
      </c>
      <c r="C214" s="7" t="s">
        <v>17</v>
      </c>
      <c r="D214" s="7"/>
      <c r="E214" s="7" t="s">
        <v>1377</v>
      </c>
      <c r="F214" s="7" t="s">
        <v>19</v>
      </c>
      <c r="G214" s="7" t="s">
        <v>31</v>
      </c>
      <c r="H214" s="7" t="s">
        <v>17</v>
      </c>
      <c r="I214" s="7" t="s">
        <v>17</v>
      </c>
      <c r="J214" s="7" t="s">
        <v>1378</v>
      </c>
    </row>
    <row r="215" spans="1:10" x14ac:dyDescent="0.25" outlineLevel="2" collapsed="1">
      <c r="A215" s="7" t="s">
        <v>19</v>
      </c>
      <c r="B215" s="7" t="s">
        <v>16</v>
      </c>
      <c r="C215" s="7" t="s">
        <v>17</v>
      </c>
      <c r="D215" s="7"/>
      <c r="E215" s="7" t="s">
        <v>1379</v>
      </c>
      <c r="F215" s="7" t="s">
        <v>19</v>
      </c>
      <c r="G215" s="7" t="s">
        <v>31</v>
      </c>
      <c r="H215" s="7" t="s">
        <v>17</v>
      </c>
      <c r="I215" s="7" t="s">
        <v>17</v>
      </c>
      <c r="J215" s="7" t="s">
        <v>1380</v>
      </c>
    </row>
    <row r="216" spans="1:10" x14ac:dyDescent="0.25">
      <c r="A216" s="5" t="s">
        <v>15</v>
      </c>
      <c r="B216" s="6" t="s">
        <v>1381</v>
      </c>
      <c r="C216" s="5" t="s">
        <v>17</v>
      </c>
      <c r="D216" s="5"/>
      <c r="E216" s="5" t="s">
        <v>1382</v>
      </c>
      <c r="F216" s="5" t="s">
        <v>19</v>
      </c>
      <c r="G216" s="5" t="s">
        <v>17</v>
      </c>
      <c r="H216" s="5" t="s">
        <v>17</v>
      </c>
      <c r="I216" s="5" t="s">
        <v>17</v>
      </c>
      <c r="J216" s="5" t="s">
        <v>1383</v>
      </c>
    </row>
    <row r="217" spans="1:10" x14ac:dyDescent="0.25" outlineLevel="1" collapsed="1">
      <c r="A217" s="8" t="s">
        <v>19</v>
      </c>
      <c r="B217" s="9" t="s">
        <v>1384</v>
      </c>
      <c r="C217" s="8" t="s">
        <v>17</v>
      </c>
      <c r="D217" s="8"/>
      <c r="E217" s="8" t="s">
        <v>1385</v>
      </c>
      <c r="F217" s="8" t="s">
        <v>15</v>
      </c>
      <c r="G217" s="8" t="s">
        <v>17</v>
      </c>
      <c r="H217" s="8" t="s">
        <v>17</v>
      </c>
      <c r="I217" s="8" t="s">
        <v>17</v>
      </c>
      <c r="J217" s="8" t="s">
        <v>1386</v>
      </c>
    </row>
    <row r="218" spans="1:10" x14ac:dyDescent="0.25" outlineLevel="2" collapsed="1">
      <c r="A218" s="7" t="s">
        <v>19</v>
      </c>
      <c r="B218" s="7" t="s">
        <v>16</v>
      </c>
      <c r="C218" s="7" t="s">
        <v>17</v>
      </c>
      <c r="D218" s="7"/>
      <c r="E218" s="7" t="s">
        <v>474</v>
      </c>
      <c r="F218" s="7" t="s">
        <v>19</v>
      </c>
      <c r="G218" s="7" t="s">
        <v>31</v>
      </c>
      <c r="H218" s="7" t="s">
        <v>17</v>
      </c>
      <c r="I218" s="7" t="s">
        <v>17</v>
      </c>
      <c r="J218" s="7" t="s">
        <v>476</v>
      </c>
    </row>
    <row r="219" spans="1:10" x14ac:dyDescent="0.25" outlineLevel="2" collapsed="1">
      <c r="A219" s="7" t="s">
        <v>19</v>
      </c>
      <c r="B219" s="7" t="s">
        <v>16</v>
      </c>
      <c r="C219" s="7" t="s">
        <v>17</v>
      </c>
      <c r="D219" s="7"/>
      <c r="E219" s="7" t="s">
        <v>1387</v>
      </c>
      <c r="F219" s="7" t="s">
        <v>19</v>
      </c>
      <c r="G219" s="7" t="s">
        <v>31</v>
      </c>
      <c r="H219" s="7" t="s">
        <v>17</v>
      </c>
      <c r="I219" s="7" t="s">
        <v>17</v>
      </c>
      <c r="J219" s="7" t="s">
        <v>1388</v>
      </c>
    </row>
    <row r="220" spans="1:10" x14ac:dyDescent="0.25" outlineLevel="2" collapsed="1">
      <c r="A220" s="7" t="s">
        <v>19</v>
      </c>
      <c r="B220" s="7" t="s">
        <v>16</v>
      </c>
      <c r="C220" s="7" t="s">
        <v>17</v>
      </c>
      <c r="D220" s="7"/>
      <c r="E220" s="7" t="s">
        <v>1389</v>
      </c>
      <c r="F220" s="7" t="s">
        <v>19</v>
      </c>
      <c r="G220" s="7" t="s">
        <v>31</v>
      </c>
      <c r="H220" s="7" t="s">
        <v>17</v>
      </c>
      <c r="I220" s="7" t="s">
        <v>17</v>
      </c>
      <c r="J220" s="7" t="s">
        <v>1390</v>
      </c>
    </row>
    <row r="221" spans="1:10" x14ac:dyDescent="0.25" outlineLevel="2" collapsed="1">
      <c r="A221" s="7" t="s">
        <v>19</v>
      </c>
      <c r="B221" s="7" t="s">
        <v>16</v>
      </c>
      <c r="C221" s="7" t="s">
        <v>17</v>
      </c>
      <c r="D221" s="7"/>
      <c r="E221" s="7" t="s">
        <v>1391</v>
      </c>
      <c r="F221" s="7" t="s">
        <v>19</v>
      </c>
      <c r="G221" s="7" t="s">
        <v>31</v>
      </c>
      <c r="H221" s="7" t="s">
        <v>17</v>
      </c>
      <c r="I221" s="7" t="s">
        <v>17</v>
      </c>
      <c r="J221" s="7" t="s">
        <v>1392</v>
      </c>
    </row>
    <row r="222" spans="1:10" x14ac:dyDescent="0.25" outlineLevel="2" collapsed="1">
      <c r="A222" s="7" t="s">
        <v>19</v>
      </c>
      <c r="B222" s="7" t="s">
        <v>16</v>
      </c>
      <c r="C222" s="7" t="s">
        <v>17</v>
      </c>
      <c r="D222" s="7"/>
      <c r="E222" s="7" t="s">
        <v>1393</v>
      </c>
      <c r="F222" s="7" t="s">
        <v>19</v>
      </c>
      <c r="G222" s="7" t="s">
        <v>31</v>
      </c>
      <c r="H222" s="7" t="s">
        <v>17</v>
      </c>
      <c r="I222" s="7" t="s">
        <v>17</v>
      </c>
      <c r="J222" s="7" t="s">
        <v>1394</v>
      </c>
    </row>
    <row r="223" spans="1:10" x14ac:dyDescent="0.25" outlineLevel="2" collapsed="1">
      <c r="A223" s="7" t="s">
        <v>19</v>
      </c>
      <c r="B223" s="7" t="s">
        <v>16</v>
      </c>
      <c r="C223" s="7" t="s">
        <v>17</v>
      </c>
      <c r="D223" s="7"/>
      <c r="E223" s="7" t="s">
        <v>1395</v>
      </c>
      <c r="F223" s="7" t="s">
        <v>19</v>
      </c>
      <c r="G223" s="7" t="s">
        <v>31</v>
      </c>
      <c r="H223" s="7" t="s">
        <v>17</v>
      </c>
      <c r="I223" s="7" t="s">
        <v>17</v>
      </c>
      <c r="J223" s="7" t="s">
        <v>1396</v>
      </c>
    </row>
    <row r="224" spans="1:10" x14ac:dyDescent="0.25" outlineLevel="1" collapsed="1">
      <c r="A224" s="8" t="s">
        <v>19</v>
      </c>
      <c r="B224" s="9" t="s">
        <v>1397</v>
      </c>
      <c r="C224" s="8" t="s">
        <v>17</v>
      </c>
      <c r="D224" s="8"/>
      <c r="E224" s="8" t="s">
        <v>1397</v>
      </c>
      <c r="F224" s="8" t="s">
        <v>15</v>
      </c>
      <c r="G224" s="8" t="s">
        <v>17</v>
      </c>
      <c r="H224" s="8" t="s">
        <v>17</v>
      </c>
      <c r="I224" s="8" t="s">
        <v>17</v>
      </c>
      <c r="J224" s="8" t="s">
        <v>1398</v>
      </c>
    </row>
    <row r="225" spans="1:10" x14ac:dyDescent="0.25" outlineLevel="2" collapsed="1">
      <c r="A225" s="7" t="s">
        <v>19</v>
      </c>
      <c r="B225" s="7" t="s">
        <v>16</v>
      </c>
      <c r="C225" s="7" t="s">
        <v>17</v>
      </c>
      <c r="D225" s="7"/>
      <c r="E225" s="7" t="s">
        <v>474</v>
      </c>
      <c r="F225" s="7" t="s">
        <v>19</v>
      </c>
      <c r="G225" s="7" t="s">
        <v>31</v>
      </c>
      <c r="H225" s="7" t="s">
        <v>17</v>
      </c>
      <c r="I225" s="7" t="s">
        <v>17</v>
      </c>
      <c r="J225" s="7" t="s">
        <v>476</v>
      </c>
    </row>
    <row r="226" spans="1:10" x14ac:dyDescent="0.25" outlineLevel="2" collapsed="1">
      <c r="A226" s="7" t="s">
        <v>19</v>
      </c>
      <c r="B226" s="7" t="s">
        <v>16</v>
      </c>
      <c r="C226" s="7" t="s">
        <v>17</v>
      </c>
      <c r="D226" s="7"/>
      <c r="E226" s="7" t="s">
        <v>1387</v>
      </c>
      <c r="F226" s="7" t="s">
        <v>19</v>
      </c>
      <c r="G226" s="7" t="s">
        <v>31</v>
      </c>
      <c r="H226" s="7" t="s">
        <v>17</v>
      </c>
      <c r="I226" s="7" t="s">
        <v>17</v>
      </c>
      <c r="J226" s="7" t="s">
        <v>1388</v>
      </c>
    </row>
    <row r="227" spans="1:10" x14ac:dyDescent="0.25" outlineLevel="2" collapsed="1">
      <c r="A227" s="7" t="s">
        <v>19</v>
      </c>
      <c r="B227" s="7" t="s">
        <v>16</v>
      </c>
      <c r="C227" s="7" t="s">
        <v>17</v>
      </c>
      <c r="D227" s="7"/>
      <c r="E227" s="7" t="s">
        <v>264</v>
      </c>
      <c r="F227" s="7" t="s">
        <v>19</v>
      </c>
      <c r="G227" s="7" t="s">
        <v>31</v>
      </c>
      <c r="H227" s="7" t="s">
        <v>17</v>
      </c>
      <c r="I227" s="7" t="s">
        <v>17</v>
      </c>
      <c r="J227" s="7" t="s">
        <v>265</v>
      </c>
    </row>
    <row r="228" spans="1:10" x14ac:dyDescent="0.25" outlineLevel="2" collapsed="1">
      <c r="A228" s="7" t="s">
        <v>19</v>
      </c>
      <c r="B228" s="7" t="s">
        <v>16</v>
      </c>
      <c r="C228" s="7" t="s">
        <v>17</v>
      </c>
      <c r="D228" s="7"/>
      <c r="E228" s="7" t="s">
        <v>266</v>
      </c>
      <c r="F228" s="7" t="s">
        <v>19</v>
      </c>
      <c r="G228" s="7" t="s">
        <v>31</v>
      </c>
      <c r="H228" s="7" t="s">
        <v>17</v>
      </c>
      <c r="I228" s="7" t="s">
        <v>17</v>
      </c>
      <c r="J228" s="7" t="s">
        <v>267</v>
      </c>
    </row>
    <row r="229" spans="1:10" x14ac:dyDescent="0.25" outlineLevel="2" collapsed="1">
      <c r="A229" s="7" t="s">
        <v>19</v>
      </c>
      <c r="B229" s="7" t="s">
        <v>16</v>
      </c>
      <c r="C229" s="7" t="s">
        <v>17</v>
      </c>
      <c r="D229" s="7"/>
      <c r="E229" s="7" t="s">
        <v>1399</v>
      </c>
      <c r="F229" s="7" t="s">
        <v>19</v>
      </c>
      <c r="G229" s="7" t="s">
        <v>31</v>
      </c>
      <c r="H229" s="7" t="s">
        <v>17</v>
      </c>
      <c r="I229" s="7" t="s">
        <v>17</v>
      </c>
      <c r="J229" s="7" t="s">
        <v>1400</v>
      </c>
    </row>
    <row r="230" spans="1:10" x14ac:dyDescent="0.25" outlineLevel="2" collapsed="1">
      <c r="A230" s="7" t="s">
        <v>19</v>
      </c>
      <c r="B230" s="7" t="s">
        <v>16</v>
      </c>
      <c r="C230" s="7" t="s">
        <v>17</v>
      </c>
      <c r="D230" s="7"/>
      <c r="E230" s="7" t="s">
        <v>1401</v>
      </c>
      <c r="F230" s="7" t="s">
        <v>19</v>
      </c>
      <c r="G230" s="7" t="s">
        <v>31</v>
      </c>
      <c r="H230" s="7" t="s">
        <v>17</v>
      </c>
      <c r="I230" s="7" t="s">
        <v>17</v>
      </c>
      <c r="J230" s="7" t="s">
        <v>1402</v>
      </c>
    </row>
    <row r="231" spans="1:10" x14ac:dyDescent="0.25" outlineLevel="2" collapsed="1">
      <c r="A231" s="7" t="s">
        <v>19</v>
      </c>
      <c r="B231" s="7" t="s">
        <v>16</v>
      </c>
      <c r="C231" s="7" t="s">
        <v>17</v>
      </c>
      <c r="D231" s="7"/>
      <c r="E231" s="7" t="s">
        <v>1403</v>
      </c>
      <c r="F231" s="7" t="s">
        <v>19</v>
      </c>
      <c r="G231" s="7" t="s">
        <v>31</v>
      </c>
      <c r="H231" s="7" t="s">
        <v>17</v>
      </c>
      <c r="I231" s="7" t="s">
        <v>17</v>
      </c>
      <c r="J231" s="7" t="s">
        <v>1404</v>
      </c>
    </row>
    <row r="232" spans="1:10" x14ac:dyDescent="0.25">
      <c r="A232" s="5" t="s">
        <v>19</v>
      </c>
      <c r="B232" s="6" t="s">
        <v>1405</v>
      </c>
      <c r="C232" s="5" t="s">
        <v>17</v>
      </c>
      <c r="D232" s="5"/>
      <c r="E232" s="5" t="s">
        <v>1406</v>
      </c>
      <c r="F232" s="5" t="s">
        <v>15</v>
      </c>
      <c r="G232" s="5" t="s">
        <v>17</v>
      </c>
      <c r="H232" s="5" t="s">
        <v>17</v>
      </c>
      <c r="I232" s="5" t="s">
        <v>17</v>
      </c>
      <c r="J232" s="5" t="s">
        <v>1407</v>
      </c>
    </row>
    <row r="233" spans="1:10" x14ac:dyDescent="0.25" outlineLevel="1" collapsed="1">
      <c r="A233" s="7" t="s">
        <v>15</v>
      </c>
      <c r="B233" s="7" t="s">
        <v>159</v>
      </c>
      <c r="C233" s="7" t="s">
        <v>17</v>
      </c>
      <c r="D233" s="7"/>
      <c r="E233" s="7" t="s">
        <v>1408</v>
      </c>
      <c r="F233" s="7" t="s">
        <v>19</v>
      </c>
      <c r="G233" s="7" t="b">
        <v>0</v>
      </c>
      <c r="H233" s="7" t="s">
        <v>17</v>
      </c>
      <c r="I233" s="7" t="s">
        <v>17</v>
      </c>
      <c r="J233" s="7" t="s">
        <v>1409</v>
      </c>
    </row>
    <row r="234" spans="1:10" x14ac:dyDescent="0.25" outlineLevel="1" collapsed="1">
      <c r="A234" s="7" t="s">
        <v>19</v>
      </c>
      <c r="B234" s="7" t="s">
        <v>16</v>
      </c>
      <c r="C234" s="7" t="s">
        <v>17</v>
      </c>
      <c r="D234" s="7"/>
      <c r="E234" s="7" t="s">
        <v>1395</v>
      </c>
      <c r="F234" s="7" t="s">
        <v>19</v>
      </c>
      <c r="G234" s="7" t="s">
        <v>31</v>
      </c>
      <c r="H234" s="7" t="s">
        <v>17</v>
      </c>
      <c r="I234" s="7" t="s">
        <v>17</v>
      </c>
      <c r="J234" s="7" t="s">
        <v>1396</v>
      </c>
    </row>
    <row r="235" spans="1:10" x14ac:dyDescent="0.25" outlineLevel="1" collapsed="1">
      <c r="A235" s="7" t="s">
        <v>19</v>
      </c>
      <c r="B235" s="7" t="s">
        <v>16</v>
      </c>
      <c r="C235" s="7" t="s">
        <v>17</v>
      </c>
      <c r="D235" s="7"/>
      <c r="E235" s="7" t="s">
        <v>1410</v>
      </c>
      <c r="F235" s="7" t="s">
        <v>19</v>
      </c>
      <c r="G235" s="7" t="s">
        <v>31</v>
      </c>
      <c r="H235" s="7" t="s">
        <v>17</v>
      </c>
      <c r="I235" s="7" t="s">
        <v>17</v>
      </c>
      <c r="J235" s="7" t="s">
        <v>1411</v>
      </c>
    </row>
    <row r="236" spans="1:10" x14ac:dyDescent="0.25" outlineLevel="1" collapsed="1">
      <c r="A236" s="7" t="s">
        <v>19</v>
      </c>
      <c r="B236" s="7" t="s">
        <v>16</v>
      </c>
      <c r="C236" s="7" t="s">
        <v>17</v>
      </c>
      <c r="D236" s="7"/>
      <c r="E236" s="7" t="s">
        <v>1412</v>
      </c>
      <c r="F236" s="7" t="s">
        <v>19</v>
      </c>
      <c r="G236" s="7" t="s">
        <v>31</v>
      </c>
      <c r="H236" s="7" t="s">
        <v>17</v>
      </c>
      <c r="I236" s="7" t="s">
        <v>17</v>
      </c>
      <c r="J236" s="7" t="s">
        <v>1413</v>
      </c>
    </row>
    <row r="237" spans="1:10" x14ac:dyDescent="0.25" outlineLevel="1" collapsed="1">
      <c r="A237" s="7" t="s">
        <v>19</v>
      </c>
      <c r="B237" s="7" t="s">
        <v>16</v>
      </c>
      <c r="C237" s="7" t="s">
        <v>17</v>
      </c>
      <c r="D237" s="7"/>
      <c r="E237" s="7" t="s">
        <v>1414</v>
      </c>
      <c r="F237" s="7" t="s">
        <v>19</v>
      </c>
      <c r="G237" s="7" t="s">
        <v>31</v>
      </c>
      <c r="H237" s="7" t="s">
        <v>17</v>
      </c>
      <c r="I237" s="7" t="s">
        <v>17</v>
      </c>
      <c r="J237" s="7" t="s">
        <v>1415</v>
      </c>
    </row>
    <row r="238" spans="1:10" x14ac:dyDescent="0.25">
      <c r="A238" s="5" t="s">
        <v>15</v>
      </c>
      <c r="B238" s="6" t="s">
        <v>1416</v>
      </c>
      <c r="C238" s="5" t="s">
        <v>17</v>
      </c>
      <c r="D238" s="5"/>
      <c r="E238" s="5" t="s">
        <v>1417</v>
      </c>
      <c r="F238" s="5" t="s">
        <v>19</v>
      </c>
      <c r="G238" s="5" t="s">
        <v>17</v>
      </c>
      <c r="H238" s="5" t="s">
        <v>17</v>
      </c>
      <c r="I238" s="5" t="s">
        <v>17</v>
      </c>
      <c r="J238" s="5" t="s">
        <v>117</v>
      </c>
    </row>
    <row r="239" spans="1:10" x14ac:dyDescent="0.25" outlineLevel="1" collapsed="1">
      <c r="A239" s="8" t="s">
        <v>15</v>
      </c>
      <c r="B239" s="9" t="s">
        <v>1418</v>
      </c>
      <c r="C239" s="8" t="s">
        <v>17</v>
      </c>
      <c r="D239" s="8"/>
      <c r="E239" s="8" t="s">
        <v>1419</v>
      </c>
      <c r="F239" s="8" t="s">
        <v>15</v>
      </c>
      <c r="G239" s="8" t="s">
        <v>17</v>
      </c>
      <c r="H239" s="8" t="s">
        <v>17</v>
      </c>
      <c r="I239" s="8" t="s">
        <v>17</v>
      </c>
      <c r="J239" s="8" t="s">
        <v>1420</v>
      </c>
    </row>
    <row r="240" spans="1:10" x14ac:dyDescent="0.25" outlineLevel="2" collapsed="1">
      <c r="A240" s="7" t="s">
        <v>15</v>
      </c>
      <c r="B240" s="7" t="s">
        <v>16</v>
      </c>
      <c r="C240" s="7" t="s">
        <v>17</v>
      </c>
      <c r="D240" s="7"/>
      <c r="E240" s="7" t="s">
        <v>9</v>
      </c>
      <c r="F240" s="7" t="s">
        <v>19</v>
      </c>
      <c r="G240" s="7" t="s">
        <v>31</v>
      </c>
      <c r="H240" s="7" t="s">
        <v>17</v>
      </c>
      <c r="I240" s="7" t="s">
        <v>17</v>
      </c>
      <c r="J240" s="7" t="s">
        <v>843</v>
      </c>
    </row>
    <row r="241" spans="1:10" x14ac:dyDescent="0.25" outlineLevel="2" collapsed="1">
      <c r="A241" s="7" t="s">
        <v>15</v>
      </c>
      <c r="B241" s="7" t="s">
        <v>16</v>
      </c>
      <c r="C241" s="7" t="s">
        <v>17</v>
      </c>
      <c r="D241" s="7"/>
      <c r="E241" s="7" t="s">
        <v>1421</v>
      </c>
      <c r="F241" s="7" t="s">
        <v>19</v>
      </c>
      <c r="G241" s="7" t="s">
        <v>31</v>
      </c>
      <c r="H241" s="7" t="s">
        <v>17</v>
      </c>
      <c r="I241" s="7" t="s">
        <v>17</v>
      </c>
      <c r="J241" s="7" t="s">
        <v>1422</v>
      </c>
    </row>
    <row r="242" spans="1:10" x14ac:dyDescent="0.25" outlineLevel="2" collapsed="1">
      <c r="A242" s="7" t="s">
        <v>15</v>
      </c>
      <c r="B242" s="7" t="s">
        <v>16</v>
      </c>
      <c r="C242" s="7" t="s">
        <v>17</v>
      </c>
      <c r="D242" s="7"/>
      <c r="E242" s="7" t="s">
        <v>1423</v>
      </c>
      <c r="F242" s="7" t="s">
        <v>19</v>
      </c>
      <c r="G242" s="7" t="s">
        <v>31</v>
      </c>
      <c r="H242" s="7" t="s">
        <v>17</v>
      </c>
      <c r="I242" s="7" t="s">
        <v>17</v>
      </c>
      <c r="J242" s="7" t="s">
        <v>1424</v>
      </c>
    </row>
    <row r="243" spans="1:10" x14ac:dyDescent="0.25" outlineLevel="2" collapsed="1">
      <c r="A243" s="7" t="s">
        <v>15</v>
      </c>
      <c r="B243" s="7" t="s">
        <v>16</v>
      </c>
      <c r="C243" s="7" t="s">
        <v>17</v>
      </c>
      <c r="D243" s="7"/>
      <c r="E243" s="7" t="s">
        <v>1425</v>
      </c>
      <c r="F243" s="7" t="s">
        <v>19</v>
      </c>
      <c r="G243" s="7" t="s">
        <v>31</v>
      </c>
      <c r="H243" s="7" t="s">
        <v>17</v>
      </c>
      <c r="I243" s="7" t="s">
        <v>17</v>
      </c>
      <c r="J243" s="7" t="s">
        <v>1426</v>
      </c>
    </row>
    <row r="244" spans="1:10" x14ac:dyDescent="0.25" outlineLevel="2" collapsed="1">
      <c r="A244" s="7" t="s">
        <v>15</v>
      </c>
      <c r="B244" s="7" t="s">
        <v>284</v>
      </c>
      <c r="C244" s="11" t="s">
        <v>1427</v>
      </c>
      <c r="D244" s="7"/>
      <c r="E244" s="7" t="s">
        <v>1428</v>
      </c>
      <c r="F244" s="7" t="s">
        <v>19</v>
      </c>
      <c r="G244" s="7" t="s">
        <v>1429</v>
      </c>
      <c r="H244" s="7" t="s">
        <v>17</v>
      </c>
      <c r="I244" s="7" t="s">
        <v>17</v>
      </c>
      <c r="J244" s="7" t="s">
        <v>1430</v>
      </c>
    </row>
    <row r="245" spans="1:10" x14ac:dyDescent="0.25" outlineLevel="2" collapsed="1">
      <c r="A245" s="7" t="s">
        <v>19</v>
      </c>
      <c r="B245" s="7" t="s">
        <v>16</v>
      </c>
      <c r="C245" s="7" t="s">
        <v>17</v>
      </c>
      <c r="D245" s="7"/>
      <c r="E245" s="7" t="s">
        <v>1431</v>
      </c>
      <c r="F245" s="7" t="s">
        <v>19</v>
      </c>
      <c r="G245" s="7" t="s">
        <v>31</v>
      </c>
      <c r="H245" s="7" t="s">
        <v>17</v>
      </c>
      <c r="I245" s="7" t="s">
        <v>17</v>
      </c>
      <c r="J245" s="7" t="s">
        <v>1432</v>
      </c>
    </row>
    <row r="246" spans="1:10" x14ac:dyDescent="0.25" outlineLevel="2" collapsed="1">
      <c r="A246" s="7" t="s">
        <v>19</v>
      </c>
      <c r="B246" s="7" t="s">
        <v>16</v>
      </c>
      <c r="C246" s="7" t="s">
        <v>17</v>
      </c>
      <c r="D246" s="7"/>
      <c r="E246" s="7" t="s">
        <v>638</v>
      </c>
      <c r="F246" s="7" t="s">
        <v>19</v>
      </c>
      <c r="G246" s="7" t="s">
        <v>31</v>
      </c>
      <c r="H246" s="7" t="s">
        <v>17</v>
      </c>
      <c r="I246" s="7" t="s">
        <v>17</v>
      </c>
      <c r="J246" s="7" t="s">
        <v>640</v>
      </c>
    </row>
    <row r="247" spans="1:10" x14ac:dyDescent="0.25">
      <c r="A247" s="5" t="s">
        <v>15</v>
      </c>
      <c r="B247" s="6" t="s">
        <v>1433</v>
      </c>
      <c r="C247" s="5" t="s">
        <v>17</v>
      </c>
      <c r="D247" s="5"/>
      <c r="E247" s="5" t="s">
        <v>1434</v>
      </c>
      <c r="F247" s="5" t="s">
        <v>19</v>
      </c>
      <c r="G247" s="5" t="s">
        <v>17</v>
      </c>
      <c r="H247" s="5" t="s">
        <v>17</v>
      </c>
      <c r="I247" s="5" t="s">
        <v>17</v>
      </c>
      <c r="J247" s="5" t="s">
        <v>126</v>
      </c>
    </row>
    <row r="248" spans="1:10" x14ac:dyDescent="0.25" outlineLevel="1" collapsed="1">
      <c r="A248" s="8" t="s">
        <v>15</v>
      </c>
      <c r="B248" s="9" t="s">
        <v>1435</v>
      </c>
      <c r="C248" s="8" t="s">
        <v>17</v>
      </c>
      <c r="D248" s="8"/>
      <c r="E248" s="8" t="s">
        <v>1436</v>
      </c>
      <c r="F248" s="8" t="s">
        <v>19</v>
      </c>
      <c r="G248" s="8" t="s">
        <v>17</v>
      </c>
      <c r="H248" s="8" t="s">
        <v>17</v>
      </c>
      <c r="I248" s="8" t="s">
        <v>17</v>
      </c>
      <c r="J248" s="8" t="s">
        <v>1437</v>
      </c>
    </row>
    <row r="249" spans="1:10" x14ac:dyDescent="0.25" outlineLevel="2" collapsed="1">
      <c r="A249" s="7" t="s">
        <v>15</v>
      </c>
      <c r="B249" s="7" t="s">
        <v>16</v>
      </c>
      <c r="C249" s="7" t="s">
        <v>17</v>
      </c>
      <c r="D249" s="7"/>
      <c r="E249" s="7" t="s">
        <v>1438</v>
      </c>
      <c r="F249" s="7" t="s">
        <v>19</v>
      </c>
      <c r="G249" s="7" t="s">
        <v>1439</v>
      </c>
      <c r="H249" s="7" t="s">
        <v>17</v>
      </c>
      <c r="I249" s="7" t="s">
        <v>17</v>
      </c>
      <c r="J249" s="7" t="s">
        <v>1440</v>
      </c>
    </row>
    <row r="250" spans="1:10" x14ac:dyDescent="0.25" outlineLevel="1" collapsed="1">
      <c r="A250" s="8" t="s">
        <v>15</v>
      </c>
      <c r="B250" s="9" t="s">
        <v>1441</v>
      </c>
      <c r="C250" s="8" t="s">
        <v>17</v>
      </c>
      <c r="D250" s="8"/>
      <c r="E250" s="8" t="s">
        <v>1442</v>
      </c>
      <c r="F250" s="8" t="s">
        <v>19</v>
      </c>
      <c r="G250" s="8" t="s">
        <v>17</v>
      </c>
      <c r="H250" s="8" t="s">
        <v>17</v>
      </c>
      <c r="I250" s="8" t="s">
        <v>17</v>
      </c>
      <c r="J250" s="8" t="s">
        <v>1443</v>
      </c>
    </row>
    <row r="251" spans="1:10" x14ac:dyDescent="0.25" outlineLevel="2" collapsed="1">
      <c r="A251" s="7" t="s">
        <v>15</v>
      </c>
      <c r="B251" s="7" t="s">
        <v>16</v>
      </c>
      <c r="C251" s="7" t="s">
        <v>17</v>
      </c>
      <c r="D251" s="7"/>
      <c r="E251" s="7" t="s">
        <v>1444</v>
      </c>
      <c r="F251" s="7" t="s">
        <v>19</v>
      </c>
      <c r="G251" s="7" t="s">
        <v>1445</v>
      </c>
      <c r="H251" s="7" t="s">
        <v>17</v>
      </c>
      <c r="I251" s="7" t="s">
        <v>17</v>
      </c>
      <c r="J251" s="7" t="s">
        <v>1446</v>
      </c>
    </row>
    <row r="252" spans="1:10" x14ac:dyDescent="0.25" outlineLevel="1" collapsed="1">
      <c r="A252" s="8" t="s">
        <v>15</v>
      </c>
      <c r="B252" s="9" t="s">
        <v>1447</v>
      </c>
      <c r="C252" s="8" t="s">
        <v>17</v>
      </c>
      <c r="D252" s="8"/>
      <c r="E252" s="8" t="s">
        <v>1448</v>
      </c>
      <c r="F252" s="8" t="s">
        <v>19</v>
      </c>
      <c r="G252" s="8" t="s">
        <v>17</v>
      </c>
      <c r="H252" s="8" t="s">
        <v>17</v>
      </c>
      <c r="I252" s="8" t="s">
        <v>17</v>
      </c>
      <c r="J252" s="8" t="s">
        <v>1449</v>
      </c>
    </row>
    <row r="253" spans="1:10" x14ac:dyDescent="0.25" outlineLevel="2" collapsed="1">
      <c r="A253" s="7" t="s">
        <v>15</v>
      </c>
      <c r="B253" s="7" t="s">
        <v>16</v>
      </c>
      <c r="C253" s="7" t="s">
        <v>17</v>
      </c>
      <c r="D253" s="7"/>
      <c r="E253" s="7" t="s">
        <v>1450</v>
      </c>
      <c r="F253" s="7" t="s">
        <v>19</v>
      </c>
      <c r="G253" s="7" t="s">
        <v>1451</v>
      </c>
      <c r="H253" s="7" t="s">
        <v>17</v>
      </c>
      <c r="I253" s="7" t="s">
        <v>17</v>
      </c>
      <c r="J253" s="7" t="s">
        <v>1452</v>
      </c>
    </row>
    <row r="254" spans="1:10" x14ac:dyDescent="0.25" outlineLevel="1" collapsed="1">
      <c r="A254" s="8" t="s">
        <v>15</v>
      </c>
      <c r="B254" s="9" t="s">
        <v>1453</v>
      </c>
      <c r="C254" s="8" t="s">
        <v>17</v>
      </c>
      <c r="D254" s="8"/>
      <c r="E254" s="8" t="s">
        <v>1454</v>
      </c>
      <c r="F254" s="8" t="s">
        <v>19</v>
      </c>
      <c r="G254" s="8" t="s">
        <v>17</v>
      </c>
      <c r="H254" s="8" t="s">
        <v>17</v>
      </c>
      <c r="I254" s="8" t="s">
        <v>17</v>
      </c>
      <c r="J254" s="8" t="s">
        <v>1455</v>
      </c>
    </row>
    <row r="255" spans="1:10" x14ac:dyDescent="0.25" outlineLevel="2" collapsed="1">
      <c r="A255" s="7" t="s">
        <v>15</v>
      </c>
      <c r="B255" s="7" t="s">
        <v>16</v>
      </c>
      <c r="C255" s="7" t="s">
        <v>17</v>
      </c>
      <c r="D255" s="7"/>
      <c r="E255" s="7" t="s">
        <v>1456</v>
      </c>
      <c r="F255" s="7" t="s">
        <v>19</v>
      </c>
      <c r="G255" s="7" t="s">
        <v>1457</v>
      </c>
      <c r="H255" s="7" t="s">
        <v>17</v>
      </c>
      <c r="I255" s="7" t="s">
        <v>17</v>
      </c>
      <c r="J255" s="7" t="s">
        <v>1458</v>
      </c>
    </row>
    <row r="256" spans="1:10" x14ac:dyDescent="0.25" outlineLevel="1" collapsed="1">
      <c r="A256" s="8" t="s">
        <v>15</v>
      </c>
      <c r="B256" s="9" t="s">
        <v>1459</v>
      </c>
      <c r="C256" s="8" t="s">
        <v>17</v>
      </c>
      <c r="D256" s="8"/>
      <c r="E256" s="8" t="s">
        <v>1460</v>
      </c>
      <c r="F256" s="8" t="s">
        <v>19</v>
      </c>
      <c r="G256" s="8" t="s">
        <v>17</v>
      </c>
      <c r="H256" s="8" t="s">
        <v>17</v>
      </c>
      <c r="I256" s="8" t="s">
        <v>17</v>
      </c>
      <c r="J256" s="8" t="s">
        <v>1461</v>
      </c>
    </row>
    <row r="257" spans="1:10" x14ac:dyDescent="0.25" outlineLevel="2" collapsed="1">
      <c r="A257" s="7" t="s">
        <v>15</v>
      </c>
      <c r="B257" s="7" t="s">
        <v>16</v>
      </c>
      <c r="C257" s="7" t="s">
        <v>17</v>
      </c>
      <c r="D257" s="7"/>
      <c r="E257" s="7" t="s">
        <v>1462</v>
      </c>
      <c r="F257" s="7" t="s">
        <v>19</v>
      </c>
      <c r="G257" s="7" t="s">
        <v>1463</v>
      </c>
      <c r="H257" s="7" t="s">
        <v>17</v>
      </c>
      <c r="I257" s="7" t="s">
        <v>17</v>
      </c>
      <c r="J257" s="7" t="s">
        <v>1464</v>
      </c>
    </row>
    <row r="258" spans="1:10" x14ac:dyDescent="0.25" outlineLevel="1" collapsed="1">
      <c r="A258" s="8" t="s">
        <v>15</v>
      </c>
      <c r="B258" s="9" t="s">
        <v>1465</v>
      </c>
      <c r="C258" s="8" t="s">
        <v>17</v>
      </c>
      <c r="D258" s="8"/>
      <c r="E258" s="8" t="s">
        <v>1466</v>
      </c>
      <c r="F258" s="8" t="s">
        <v>19</v>
      </c>
      <c r="G258" s="8" t="s">
        <v>17</v>
      </c>
      <c r="H258" s="8" t="s">
        <v>17</v>
      </c>
      <c r="I258" s="8" t="s">
        <v>17</v>
      </c>
      <c r="J258" s="8" t="s">
        <v>1467</v>
      </c>
    </row>
    <row r="259" spans="1:10" x14ac:dyDescent="0.25" outlineLevel="2" collapsed="1">
      <c r="A259" s="7" t="s">
        <v>15</v>
      </c>
      <c r="B259" s="7" t="s">
        <v>16</v>
      </c>
      <c r="C259" s="7" t="s">
        <v>17</v>
      </c>
      <c r="D259" s="7"/>
      <c r="E259" s="7" t="s">
        <v>1468</v>
      </c>
      <c r="F259" s="7" t="s">
        <v>19</v>
      </c>
      <c r="G259" s="7" t="s">
        <v>1469</v>
      </c>
      <c r="H259" s="7" t="s">
        <v>17</v>
      </c>
      <c r="I259" s="7" t="s">
        <v>17</v>
      </c>
      <c r="J259" s="7" t="s">
        <v>1470</v>
      </c>
    </row>
    <row r="260" spans="1:10" x14ac:dyDescent="0.25" outlineLevel="1" collapsed="1">
      <c r="A260" s="8" t="s">
        <v>15</v>
      </c>
      <c r="B260" s="9" t="s">
        <v>1471</v>
      </c>
      <c r="C260" s="8" t="s">
        <v>17</v>
      </c>
      <c r="D260" s="8"/>
      <c r="E260" s="8" t="s">
        <v>1472</v>
      </c>
      <c r="F260" s="8" t="s">
        <v>19</v>
      </c>
      <c r="G260" s="8" t="s">
        <v>17</v>
      </c>
      <c r="H260" s="8" t="s">
        <v>17</v>
      </c>
      <c r="I260" s="8" t="s">
        <v>17</v>
      </c>
      <c r="J260" s="8" t="s">
        <v>1473</v>
      </c>
    </row>
    <row r="261" spans="1:10" x14ac:dyDescent="0.25" outlineLevel="2" collapsed="1">
      <c r="A261" s="7" t="s">
        <v>15</v>
      </c>
      <c r="B261" s="7" t="s">
        <v>16</v>
      </c>
      <c r="C261" s="7" t="s">
        <v>17</v>
      </c>
      <c r="D261" s="7"/>
      <c r="E261" s="7" t="s">
        <v>1474</v>
      </c>
      <c r="F261" s="7" t="s">
        <v>19</v>
      </c>
      <c r="G261" s="7" t="s">
        <v>1475</v>
      </c>
      <c r="H261" s="7" t="s">
        <v>17</v>
      </c>
      <c r="I261" s="7" t="s">
        <v>17</v>
      </c>
      <c r="J261" s="7" t="s">
        <v>1476</v>
      </c>
    </row>
    <row r="262" spans="1:10" x14ac:dyDescent="0.25">
      <c r="A262" s="5" t="s">
        <v>15</v>
      </c>
      <c r="B262" s="6" t="s">
        <v>1477</v>
      </c>
      <c r="C262" s="5" t="s">
        <v>17</v>
      </c>
      <c r="D262" s="5"/>
      <c r="E262" s="5" t="s">
        <v>1478</v>
      </c>
      <c r="F262" s="5" t="s">
        <v>19</v>
      </c>
      <c r="G262" s="5" t="s">
        <v>17</v>
      </c>
      <c r="H262" s="5" t="s">
        <v>17</v>
      </c>
      <c r="I262" s="5" t="s">
        <v>17</v>
      </c>
      <c r="J262" s="5" t="s">
        <v>1479</v>
      </c>
    </row>
    <row r="263" spans="1:10" x14ac:dyDescent="0.25">
      <c r="A263" s="5" t="s">
        <v>15</v>
      </c>
      <c r="B263" s="6" t="s">
        <v>1480</v>
      </c>
      <c r="C263" s="5" t="s">
        <v>17</v>
      </c>
      <c r="D263" s="5"/>
      <c r="E263" s="5" t="s">
        <v>1481</v>
      </c>
      <c r="F263" s="5" t="s">
        <v>19</v>
      </c>
      <c r="G263" s="5" t="s">
        <v>17</v>
      </c>
      <c r="H263" s="5" t="s">
        <v>17</v>
      </c>
      <c r="I263" s="5" t="s">
        <v>17</v>
      </c>
      <c r="J263" s="5" t="s">
        <v>1482</v>
      </c>
    </row>
    <row r="264" spans="1:10" x14ac:dyDescent="0.25">
      <c r="A264" s="5" t="s">
        <v>15</v>
      </c>
      <c r="B264" s="6" t="s">
        <v>1483</v>
      </c>
      <c r="C264" s="5" t="s">
        <v>17</v>
      </c>
      <c r="D264" s="5"/>
      <c r="E264" s="5" t="s">
        <v>1484</v>
      </c>
      <c r="F264" s="5" t="s">
        <v>19</v>
      </c>
      <c r="G264" s="5" t="s">
        <v>17</v>
      </c>
      <c r="H264" s="5" t="s">
        <v>17</v>
      </c>
      <c r="I264" s="5" t="s">
        <v>17</v>
      </c>
      <c r="J264" s="5" t="s">
        <v>1485</v>
      </c>
    </row>
    <row r="265" spans="1:10" x14ac:dyDescent="0.25">
      <c r="A265" s="5" t="s">
        <v>15</v>
      </c>
      <c r="B265" s="6" t="s">
        <v>1486</v>
      </c>
      <c r="C265" s="5" t="s">
        <v>17</v>
      </c>
      <c r="D265" s="5"/>
      <c r="E265" s="5" t="s">
        <v>1487</v>
      </c>
      <c r="F265" s="5" t="s">
        <v>19</v>
      </c>
      <c r="G265" s="5" t="s">
        <v>17</v>
      </c>
      <c r="H265" s="5" t="s">
        <v>17</v>
      </c>
      <c r="I265" s="5" t="s">
        <v>17</v>
      </c>
      <c r="J265" s="5" t="s">
        <v>1488</v>
      </c>
    </row>
    <row r="266" spans="1:10" x14ac:dyDescent="0.25" outlineLevel="1" collapsed="1">
      <c r="A266" s="8" t="s">
        <v>15</v>
      </c>
      <c r="B266" s="9" t="s">
        <v>1489</v>
      </c>
      <c r="C266" s="8" t="s">
        <v>17</v>
      </c>
      <c r="D266" s="8"/>
      <c r="E266" s="8" t="s">
        <v>1490</v>
      </c>
      <c r="F266" s="8" t="s">
        <v>19</v>
      </c>
      <c r="G266" s="8" t="s">
        <v>17</v>
      </c>
      <c r="H266" s="8" t="s">
        <v>17</v>
      </c>
      <c r="I266" s="8" t="s">
        <v>17</v>
      </c>
      <c r="J266" s="8" t="s">
        <v>1491</v>
      </c>
    </row>
    <row r="267" spans="1:10" x14ac:dyDescent="0.25" outlineLevel="2" collapsed="1">
      <c r="A267" s="7" t="s">
        <v>15</v>
      </c>
      <c r="B267" s="7" t="s">
        <v>159</v>
      </c>
      <c r="C267" s="7" t="s">
        <v>17</v>
      </c>
      <c r="D267" s="7"/>
      <c r="E267" s="7" t="s">
        <v>1492</v>
      </c>
      <c r="F267" s="7" t="s">
        <v>19</v>
      </c>
      <c r="G267" s="7" t="b">
        <v>0</v>
      </c>
      <c r="H267" s="7" t="s">
        <v>17</v>
      </c>
      <c r="I267" s="7" t="s">
        <v>17</v>
      </c>
      <c r="J267" s="7" t="s">
        <v>1493</v>
      </c>
    </row>
    <row r="268" spans="1:10" x14ac:dyDescent="0.25" outlineLevel="2" collapsed="1">
      <c r="A268" s="7" t="s">
        <v>15</v>
      </c>
      <c r="B268" s="7" t="s">
        <v>16</v>
      </c>
      <c r="C268" s="7" t="s">
        <v>17</v>
      </c>
      <c r="D268" s="7"/>
      <c r="E268" s="7" t="s">
        <v>1494</v>
      </c>
      <c r="F268" s="7" t="s">
        <v>19</v>
      </c>
      <c r="G268" s="7" t="s">
        <v>1495</v>
      </c>
      <c r="H268" s="7" t="s">
        <v>1495</v>
      </c>
      <c r="I268" s="7" t="s">
        <v>17</v>
      </c>
      <c r="J268" s="7" t="s">
        <v>1496</v>
      </c>
    </row>
    <row r="269" spans="1:10" x14ac:dyDescent="0.25" outlineLevel="1" collapsed="1">
      <c r="A269" s="8" t="s">
        <v>15</v>
      </c>
      <c r="B269" s="9" t="s">
        <v>1497</v>
      </c>
      <c r="C269" s="8" t="s">
        <v>17</v>
      </c>
      <c r="D269" s="8"/>
      <c r="E269" s="8" t="s">
        <v>1498</v>
      </c>
      <c r="F269" s="8" t="s">
        <v>19</v>
      </c>
      <c r="G269" s="8" t="s">
        <v>17</v>
      </c>
      <c r="H269" s="8" t="s">
        <v>17</v>
      </c>
      <c r="I269" s="8" t="s">
        <v>17</v>
      </c>
      <c r="J269" s="8" t="s">
        <v>1499</v>
      </c>
    </row>
    <row r="270" spans="1:10" x14ac:dyDescent="0.25" outlineLevel="2" collapsed="1">
      <c r="A270" s="7" t="s">
        <v>15</v>
      </c>
      <c r="B270" s="7" t="s">
        <v>159</v>
      </c>
      <c r="C270" s="7" t="s">
        <v>17</v>
      </c>
      <c r="D270" s="7"/>
      <c r="E270" s="7" t="s">
        <v>1500</v>
      </c>
      <c r="F270" s="7" t="s">
        <v>19</v>
      </c>
      <c r="G270" s="7" t="b">
        <v>0</v>
      </c>
      <c r="H270" s="7" t="s">
        <v>17</v>
      </c>
      <c r="I270" s="7" t="s">
        <v>17</v>
      </c>
      <c r="J270" s="7" t="s">
        <v>1501</v>
      </c>
    </row>
    <row r="271" spans="1:10" x14ac:dyDescent="0.25" outlineLevel="2" collapsed="1">
      <c r="A271" s="7" t="s">
        <v>15</v>
      </c>
      <c r="B271" s="7" t="s">
        <v>16</v>
      </c>
      <c r="C271" s="7" t="s">
        <v>17</v>
      </c>
      <c r="D271" s="7"/>
      <c r="E271" s="7" t="s">
        <v>1502</v>
      </c>
      <c r="F271" s="7" t="s">
        <v>19</v>
      </c>
      <c r="G271" s="7" t="s">
        <v>1503</v>
      </c>
      <c r="H271" s="7" t="s">
        <v>1503</v>
      </c>
      <c r="I271" s="7" t="s">
        <v>17</v>
      </c>
      <c r="J271" s="7" t="s">
        <v>1504</v>
      </c>
    </row>
    <row r="272" spans="1:10" x14ac:dyDescent="0.25" outlineLevel="1" collapsed="1">
      <c r="A272" s="8" t="s">
        <v>15</v>
      </c>
      <c r="B272" s="9" t="s">
        <v>1505</v>
      </c>
      <c r="C272" s="8" t="s">
        <v>17</v>
      </c>
      <c r="D272" s="8"/>
      <c r="E272" s="8" t="s">
        <v>1506</v>
      </c>
      <c r="F272" s="8" t="s">
        <v>19</v>
      </c>
      <c r="G272" s="8" t="s">
        <v>17</v>
      </c>
      <c r="H272" s="8" t="s">
        <v>17</v>
      </c>
      <c r="I272" s="8" t="s">
        <v>17</v>
      </c>
      <c r="J272" s="8" t="s">
        <v>623</v>
      </c>
    </row>
    <row r="273" spans="1:10" x14ac:dyDescent="0.25" outlineLevel="2" collapsed="1">
      <c r="A273" s="7" t="s">
        <v>15</v>
      </c>
      <c r="B273" s="7" t="s">
        <v>159</v>
      </c>
      <c r="C273" s="7" t="s">
        <v>17</v>
      </c>
      <c r="D273" s="7"/>
      <c r="E273" s="7" t="s">
        <v>1507</v>
      </c>
      <c r="F273" s="7" t="s">
        <v>19</v>
      </c>
      <c r="G273" s="7" t="b">
        <v>0</v>
      </c>
      <c r="H273" s="7" t="s">
        <v>17</v>
      </c>
      <c r="I273" s="7" t="s">
        <v>17</v>
      </c>
      <c r="J273" s="7" t="s">
        <v>1508</v>
      </c>
    </row>
    <row r="274" spans="1:10" x14ac:dyDescent="0.25" outlineLevel="2" collapsed="1">
      <c r="A274" s="7" t="s">
        <v>15</v>
      </c>
      <c r="B274" s="7" t="s">
        <v>16</v>
      </c>
      <c r="C274" s="7" t="s">
        <v>17</v>
      </c>
      <c r="D274" s="7"/>
      <c r="E274" s="7" t="s">
        <v>1509</v>
      </c>
      <c r="F274" s="7" t="s">
        <v>19</v>
      </c>
      <c r="G274" s="7" t="s">
        <v>1510</v>
      </c>
      <c r="H274" s="7" t="s">
        <v>1510</v>
      </c>
      <c r="I274" s="7" t="s">
        <v>17</v>
      </c>
      <c r="J274" s="7" t="s">
        <v>1511</v>
      </c>
    </row>
    <row r="275" spans="1:10" x14ac:dyDescent="0.25" outlineLevel="2" collapsed="1">
      <c r="A275" s="7" t="s">
        <v>19</v>
      </c>
      <c r="B275" s="7" t="s">
        <v>63</v>
      </c>
      <c r="C275" s="7" t="s">
        <v>17</v>
      </c>
      <c r="D275" s="7"/>
      <c r="E275" s="7" t="s">
        <v>1512</v>
      </c>
      <c r="F275" s="7" t="s">
        <v>19</v>
      </c>
      <c r="G275" s="7">
        <v>1</v>
      </c>
      <c r="H275" s="7" t="s">
        <v>17</v>
      </c>
      <c r="I275" s="7" t="s">
        <v>17</v>
      </c>
      <c r="J275" s="7" t="s">
        <v>1513</v>
      </c>
    </row>
    <row r="276" spans="1:10" x14ac:dyDescent="0.25" outlineLevel="1" collapsed="1">
      <c r="A276" s="8" t="s">
        <v>15</v>
      </c>
      <c r="B276" s="9" t="s">
        <v>1514</v>
      </c>
      <c r="C276" s="8" t="s">
        <v>17</v>
      </c>
      <c r="D276" s="8"/>
      <c r="E276" s="8" t="s">
        <v>1515</v>
      </c>
      <c r="F276" s="8" t="s">
        <v>19</v>
      </c>
      <c r="G276" s="8" t="s">
        <v>17</v>
      </c>
      <c r="H276" s="8" t="s">
        <v>17</v>
      </c>
      <c r="I276" s="8" t="s">
        <v>17</v>
      </c>
      <c r="J276" s="8" t="s">
        <v>1516</v>
      </c>
    </row>
    <row r="277" spans="1:10" x14ac:dyDescent="0.25" outlineLevel="2" collapsed="1">
      <c r="A277" s="7" t="s">
        <v>15</v>
      </c>
      <c r="B277" s="7" t="s">
        <v>16</v>
      </c>
      <c r="C277" s="7" t="s">
        <v>17</v>
      </c>
      <c r="D277" s="7"/>
      <c r="E277" s="7" t="s">
        <v>1517</v>
      </c>
      <c r="F277" s="7" t="s">
        <v>19</v>
      </c>
      <c r="G277" s="7" t="s">
        <v>1518</v>
      </c>
      <c r="H277" s="7" t="s">
        <v>1518</v>
      </c>
      <c r="I277" s="7" t="s">
        <v>17</v>
      </c>
      <c r="J277" s="7" t="s">
        <v>626</v>
      </c>
    </row>
    <row r="278" spans="1:10" x14ac:dyDescent="0.25" outlineLevel="1" collapsed="1">
      <c r="A278" s="8" t="s">
        <v>19</v>
      </c>
      <c r="B278" s="9" t="s">
        <v>1519</v>
      </c>
      <c r="C278" s="8" t="s">
        <v>17</v>
      </c>
      <c r="D278" s="8"/>
      <c r="E278" s="8" t="s">
        <v>1520</v>
      </c>
      <c r="F278" s="8" t="s">
        <v>15</v>
      </c>
      <c r="G278" s="8" t="s">
        <v>17</v>
      </c>
      <c r="H278" s="8" t="s">
        <v>17</v>
      </c>
      <c r="I278" s="8" t="s">
        <v>17</v>
      </c>
      <c r="J278" s="8" t="s">
        <v>1521</v>
      </c>
    </row>
    <row r="279" spans="1:10" x14ac:dyDescent="0.25" outlineLevel="2" collapsed="1">
      <c r="A279" s="7" t="s">
        <v>19</v>
      </c>
      <c r="B279" s="7" t="s">
        <v>63</v>
      </c>
      <c r="C279" s="7" t="s">
        <v>17</v>
      </c>
      <c r="D279" s="7"/>
      <c r="E279" s="7" t="s">
        <v>1522</v>
      </c>
      <c r="F279" s="7" t="s">
        <v>19</v>
      </c>
      <c r="G279" s="7">
        <v>1</v>
      </c>
      <c r="H279" s="7" t="s">
        <v>17</v>
      </c>
      <c r="I279" s="7" t="s">
        <v>17</v>
      </c>
      <c r="J279" s="7" t="s">
        <v>1523</v>
      </c>
    </row>
    <row r="280" spans="1:10" x14ac:dyDescent="0.25" outlineLevel="2" collapsed="1">
      <c r="A280" s="7" t="s">
        <v>19</v>
      </c>
      <c r="B280" s="7" t="s">
        <v>16</v>
      </c>
      <c r="C280" s="7" t="s">
        <v>17</v>
      </c>
      <c r="D280" s="7"/>
      <c r="E280" s="7" t="s">
        <v>1524</v>
      </c>
      <c r="F280" s="7" t="s">
        <v>19</v>
      </c>
      <c r="G280" s="7" t="s">
        <v>31</v>
      </c>
      <c r="H280" s="7" t="s">
        <v>17</v>
      </c>
      <c r="I280" s="7" t="s">
        <v>17</v>
      </c>
      <c r="J280" s="7" t="s">
        <v>1525</v>
      </c>
    </row>
    <row r="281" spans="1:10" x14ac:dyDescent="0.25" outlineLevel="1" collapsed="1">
      <c r="A281" s="8" t="s">
        <v>19</v>
      </c>
      <c r="B281" s="9" t="s">
        <v>1526</v>
      </c>
      <c r="C281" s="8" t="s">
        <v>17</v>
      </c>
      <c r="D281" s="8"/>
      <c r="E281" s="8" t="s">
        <v>1527</v>
      </c>
      <c r="F281" s="8" t="s">
        <v>15</v>
      </c>
      <c r="G281" s="8" t="s">
        <v>17</v>
      </c>
      <c r="H281" s="8" t="s">
        <v>17</v>
      </c>
      <c r="I281" s="8" t="s">
        <v>17</v>
      </c>
      <c r="J281" s="8" t="s">
        <v>1528</v>
      </c>
    </row>
    <row r="282" spans="1:10" x14ac:dyDescent="0.25" outlineLevel="2" collapsed="1">
      <c r="A282" s="7" t="s">
        <v>19</v>
      </c>
      <c r="B282" s="7" t="s">
        <v>16</v>
      </c>
      <c r="C282" s="7" t="s">
        <v>17</v>
      </c>
      <c r="D282" s="7"/>
      <c r="E282" s="7" t="s">
        <v>728</v>
      </c>
      <c r="F282" s="7" t="s">
        <v>19</v>
      </c>
      <c r="G282" s="7" t="s">
        <v>31</v>
      </c>
      <c r="H282" s="7" t="s">
        <v>17</v>
      </c>
      <c r="I282" s="7" t="s">
        <v>17</v>
      </c>
      <c r="J282" s="7" t="s">
        <v>730</v>
      </c>
    </row>
    <row r="283" spans="1:10" x14ac:dyDescent="0.25" outlineLevel="2" collapsed="1">
      <c r="A283" s="7" t="s">
        <v>19</v>
      </c>
      <c r="B283" s="7" t="s">
        <v>16</v>
      </c>
      <c r="C283" s="7" t="s">
        <v>17</v>
      </c>
      <c r="D283" s="7"/>
      <c r="E283" s="7" t="s">
        <v>731</v>
      </c>
      <c r="F283" s="7" t="s">
        <v>19</v>
      </c>
      <c r="G283" s="7" t="s">
        <v>31</v>
      </c>
      <c r="H283" s="7" t="s">
        <v>17</v>
      </c>
      <c r="I283" s="7" t="s">
        <v>17</v>
      </c>
      <c r="J283" s="7" t="s">
        <v>733</v>
      </c>
    </row>
    <row r="284" spans="1:10" x14ac:dyDescent="0.25" outlineLevel="2" collapsed="1">
      <c r="A284" s="7" t="s">
        <v>19</v>
      </c>
      <c r="B284" s="7" t="s">
        <v>16</v>
      </c>
      <c r="C284" s="7" t="s">
        <v>17</v>
      </c>
      <c r="D284" s="7"/>
      <c r="E284" s="7" t="s">
        <v>30</v>
      </c>
      <c r="F284" s="7" t="s">
        <v>19</v>
      </c>
      <c r="G284" s="7" t="s">
        <v>31</v>
      </c>
      <c r="H284" s="7" t="s">
        <v>17</v>
      </c>
      <c r="I284" s="7" t="s">
        <v>17</v>
      </c>
      <c r="J284" s="7" t="s">
        <v>32</v>
      </c>
    </row>
    <row r="285" spans="1:10" x14ac:dyDescent="0.25" outlineLevel="2" collapsed="1">
      <c r="A285" s="7" t="s">
        <v>19</v>
      </c>
      <c r="B285" s="7" t="s">
        <v>16</v>
      </c>
      <c r="C285" s="7" t="s">
        <v>17</v>
      </c>
      <c r="D285" s="7"/>
      <c r="E285" s="7" t="s">
        <v>33</v>
      </c>
      <c r="F285" s="7" t="s">
        <v>19</v>
      </c>
      <c r="G285" s="7" t="s">
        <v>31</v>
      </c>
      <c r="H285" s="7" t="s">
        <v>17</v>
      </c>
      <c r="I285" s="7" t="s">
        <v>17</v>
      </c>
      <c r="J285" s="7" t="s">
        <v>34</v>
      </c>
    </row>
    <row r="286" spans="1:10" x14ac:dyDescent="0.25" outlineLevel="2" collapsed="1">
      <c r="A286" s="7" t="s">
        <v>19</v>
      </c>
      <c r="B286" s="7" t="s">
        <v>63</v>
      </c>
      <c r="C286" s="7" t="s">
        <v>17</v>
      </c>
      <c r="D286" s="7"/>
      <c r="E286" s="7" t="s">
        <v>1529</v>
      </c>
      <c r="F286" s="7" t="s">
        <v>19</v>
      </c>
      <c r="G286" s="7">
        <v>1</v>
      </c>
      <c r="H286" s="7" t="s">
        <v>17</v>
      </c>
      <c r="I286" s="7" t="s">
        <v>17</v>
      </c>
      <c r="J286" s="7" t="s">
        <v>1530</v>
      </c>
    </row>
    <row r="287" spans="1:10" x14ac:dyDescent="0.25" outlineLevel="2" collapsed="1">
      <c r="A287" s="7" t="s">
        <v>19</v>
      </c>
      <c r="B287" s="7" t="s">
        <v>63</v>
      </c>
      <c r="C287" s="7" t="s">
        <v>17</v>
      </c>
      <c r="D287" s="7"/>
      <c r="E287" s="7" t="s">
        <v>1531</v>
      </c>
      <c r="F287" s="7" t="s">
        <v>19</v>
      </c>
      <c r="G287" s="7">
        <v>1</v>
      </c>
      <c r="H287" s="7" t="s">
        <v>17</v>
      </c>
      <c r="I287" s="7" t="s">
        <v>17</v>
      </c>
      <c r="J287" s="7" t="s">
        <v>1532</v>
      </c>
    </row>
    <row r="288" spans="1:10" x14ac:dyDescent="0.25" outlineLevel="2" collapsed="1">
      <c r="A288" s="7" t="s">
        <v>19</v>
      </c>
      <c r="B288" s="7" t="s">
        <v>63</v>
      </c>
      <c r="C288" s="7" t="s">
        <v>17</v>
      </c>
      <c r="D288" s="7"/>
      <c r="E288" s="7" t="s">
        <v>1533</v>
      </c>
      <c r="F288" s="7" t="s">
        <v>19</v>
      </c>
      <c r="G288" s="7">
        <v>1</v>
      </c>
      <c r="H288" s="7" t="s">
        <v>17</v>
      </c>
      <c r="I288" s="7" t="s">
        <v>17</v>
      </c>
      <c r="J288" s="7" t="s">
        <v>1534</v>
      </c>
    </row>
    <row r="289" spans="1:10" x14ac:dyDescent="0.25" outlineLevel="2" collapsed="1">
      <c r="A289" s="7" t="s">
        <v>19</v>
      </c>
      <c r="B289" s="7" t="s">
        <v>16</v>
      </c>
      <c r="C289" s="7" t="s">
        <v>17</v>
      </c>
      <c r="D289" s="7"/>
      <c r="E289" s="7" t="s">
        <v>1535</v>
      </c>
      <c r="F289" s="7" t="s">
        <v>19</v>
      </c>
      <c r="G289" s="7" t="s">
        <v>31</v>
      </c>
      <c r="H289" s="7" t="s">
        <v>17</v>
      </c>
      <c r="I289" s="7" t="s">
        <v>17</v>
      </c>
      <c r="J289" s="7" t="s">
        <v>1536</v>
      </c>
    </row>
    <row r="290" spans="1:10" x14ac:dyDescent="0.25" outlineLevel="2" collapsed="1">
      <c r="A290" s="7" t="s">
        <v>19</v>
      </c>
      <c r="B290" s="7" t="s">
        <v>16</v>
      </c>
      <c r="C290" s="7" t="s">
        <v>17</v>
      </c>
      <c r="D290" s="7"/>
      <c r="E290" s="7" t="s">
        <v>1537</v>
      </c>
      <c r="F290" s="7" t="s">
        <v>19</v>
      </c>
      <c r="G290" s="7" t="s">
        <v>31</v>
      </c>
      <c r="H290" s="7" t="s">
        <v>17</v>
      </c>
      <c r="I290" s="7" t="s">
        <v>17</v>
      </c>
      <c r="J290" s="7" t="s">
        <v>1538</v>
      </c>
    </row>
    <row r="291" spans="1:10" x14ac:dyDescent="0.25" outlineLevel="2" collapsed="1">
      <c r="A291" s="7" t="s">
        <v>19</v>
      </c>
      <c r="B291" s="7" t="s">
        <v>16</v>
      </c>
      <c r="C291" s="7" t="s">
        <v>17</v>
      </c>
      <c r="D291" s="7"/>
      <c r="E291" s="7" t="s">
        <v>1539</v>
      </c>
      <c r="F291" s="7" t="s">
        <v>19</v>
      </c>
      <c r="G291" s="7" t="s">
        <v>31</v>
      </c>
      <c r="H291" s="7" t="s">
        <v>17</v>
      </c>
      <c r="I291" s="7" t="s">
        <v>17</v>
      </c>
      <c r="J291" s="7" t="s">
        <v>752</v>
      </c>
    </row>
    <row r="292" spans="1:10" x14ac:dyDescent="0.25" outlineLevel="1" collapsed="1">
      <c r="A292" s="7" t="s">
        <v>19</v>
      </c>
      <c r="B292" s="7" t="s">
        <v>16</v>
      </c>
      <c r="C292" s="7" t="s">
        <v>17</v>
      </c>
      <c r="D292" s="7"/>
      <c r="E292" s="7" t="s">
        <v>1540</v>
      </c>
      <c r="F292" s="7" t="s">
        <v>19</v>
      </c>
      <c r="G292" s="7" t="s">
        <v>31</v>
      </c>
      <c r="H292" s="7" t="s">
        <v>17</v>
      </c>
      <c r="I292" s="7" t="s">
        <v>17</v>
      </c>
      <c r="J292" s="7" t="s">
        <v>1541</v>
      </c>
    </row>
    <row r="293" spans="1:10" x14ac:dyDescent="0.25" outlineLevel="1" collapsed="1">
      <c r="A293" s="7" t="s">
        <v>19</v>
      </c>
      <c r="B293" s="7" t="s">
        <v>63</v>
      </c>
      <c r="C293" s="7" t="s">
        <v>17</v>
      </c>
      <c r="D293" s="7"/>
      <c r="E293" s="7" t="s">
        <v>1542</v>
      </c>
      <c r="F293" s="7" t="s">
        <v>19</v>
      </c>
      <c r="G293" s="7">
        <v>1</v>
      </c>
      <c r="H293" s="7" t="s">
        <v>17</v>
      </c>
      <c r="I293" s="7" t="s">
        <v>17</v>
      </c>
      <c r="J293" s="7" t="s">
        <v>1543</v>
      </c>
    </row>
    <row r="294" spans="1:10" x14ac:dyDescent="0.25" outlineLevel="1" collapsed="1">
      <c r="A294" s="7" t="s">
        <v>19</v>
      </c>
      <c r="B294" s="7" t="s">
        <v>16</v>
      </c>
      <c r="C294" s="7" t="s">
        <v>17</v>
      </c>
      <c r="D294" s="7"/>
      <c r="E294" s="7" t="s">
        <v>1544</v>
      </c>
      <c r="F294" s="7" t="s">
        <v>19</v>
      </c>
      <c r="G294" s="7" t="s">
        <v>31</v>
      </c>
      <c r="H294" s="7" t="s">
        <v>17</v>
      </c>
      <c r="I294" s="7" t="s">
        <v>17</v>
      </c>
      <c r="J294" s="7" t="s">
        <v>1545</v>
      </c>
    </row>
    <row r="295" spans="1:10" x14ac:dyDescent="0.25" outlineLevel="1" collapsed="1">
      <c r="A295" s="7" t="s">
        <v>19</v>
      </c>
      <c r="B295" s="7" t="s">
        <v>16</v>
      </c>
      <c r="C295" s="7" t="s">
        <v>17</v>
      </c>
      <c r="D295" s="7"/>
      <c r="E295" s="7" t="s">
        <v>1546</v>
      </c>
      <c r="F295" s="7" t="s">
        <v>19</v>
      </c>
      <c r="G295" s="7" t="s">
        <v>31</v>
      </c>
      <c r="H295" s="7" t="s">
        <v>17</v>
      </c>
      <c r="I295" s="7" t="s">
        <v>17</v>
      </c>
      <c r="J295" s="7" t="s">
        <v>1547</v>
      </c>
    </row>
    <row r="296" spans="1:10" x14ac:dyDescent="0.25" outlineLevel="1" collapsed="1">
      <c r="A296" s="7" t="s">
        <v>19</v>
      </c>
      <c r="B296" s="7" t="s">
        <v>16</v>
      </c>
      <c r="C296" s="7" t="s">
        <v>17</v>
      </c>
      <c r="D296" s="7"/>
      <c r="E296" s="7" t="s">
        <v>1548</v>
      </c>
      <c r="F296" s="7" t="s">
        <v>19</v>
      </c>
      <c r="G296" s="7" t="s">
        <v>31</v>
      </c>
      <c r="H296" s="7" t="s">
        <v>17</v>
      </c>
      <c r="I296" s="7" t="s">
        <v>17</v>
      </c>
      <c r="J296" s="7" t="s">
        <v>1549</v>
      </c>
    </row>
    <row r="297" spans="1:10" x14ac:dyDescent="0.25" outlineLevel="1" collapsed="1">
      <c r="A297" s="7" t="s">
        <v>19</v>
      </c>
      <c r="B297" s="7" t="s">
        <v>16</v>
      </c>
      <c r="C297" s="7" t="s">
        <v>17</v>
      </c>
      <c r="D297" s="7"/>
      <c r="E297" s="7" t="s">
        <v>1550</v>
      </c>
      <c r="F297" s="7" t="s">
        <v>19</v>
      </c>
      <c r="G297" s="7" t="s">
        <v>31</v>
      </c>
      <c r="H297" s="7" t="s">
        <v>17</v>
      </c>
      <c r="I297" s="7" t="s">
        <v>17</v>
      </c>
      <c r="J297" s="7" t="s">
        <v>1551</v>
      </c>
    </row>
    <row r="298" spans="1:10" x14ac:dyDescent="0.25" outlineLevel="1" collapsed="1">
      <c r="A298" s="7" t="s">
        <v>19</v>
      </c>
      <c r="B298" s="7" t="s">
        <v>16</v>
      </c>
      <c r="C298" s="7" t="s">
        <v>17</v>
      </c>
      <c r="D298" s="7"/>
      <c r="E298" s="7" t="s">
        <v>1552</v>
      </c>
      <c r="F298" s="7" t="s">
        <v>19</v>
      </c>
      <c r="G298" s="7" t="s">
        <v>31</v>
      </c>
      <c r="H298" s="7" t="s">
        <v>17</v>
      </c>
      <c r="I298" s="7" t="s">
        <v>17</v>
      </c>
      <c r="J298" s="7" t="s">
        <v>1553</v>
      </c>
    </row>
    <row r="299" spans="1:10" x14ac:dyDescent="0.25" outlineLevel="1" collapsed="1">
      <c r="A299" s="7" t="s">
        <v>19</v>
      </c>
      <c r="B299" s="7" t="s">
        <v>16</v>
      </c>
      <c r="C299" s="7" t="s">
        <v>17</v>
      </c>
      <c r="D299" s="7"/>
      <c r="E299" s="7" t="s">
        <v>1554</v>
      </c>
      <c r="F299" s="7" t="s">
        <v>19</v>
      </c>
      <c r="G299" s="7" t="s">
        <v>31</v>
      </c>
      <c r="H299" s="7" t="s">
        <v>17</v>
      </c>
      <c r="I299" s="7" t="s">
        <v>17</v>
      </c>
      <c r="J299" s="7" t="s">
        <v>1555</v>
      </c>
    </row>
    <row r="300" spans="1:10" x14ac:dyDescent="0.25" outlineLevel="1" collapsed="1">
      <c r="A300" s="8" t="s">
        <v>19</v>
      </c>
      <c r="B300" s="9" t="s">
        <v>1556</v>
      </c>
      <c r="C300" s="8" t="s">
        <v>17</v>
      </c>
      <c r="D300" s="8"/>
      <c r="E300" s="8" t="s">
        <v>1557</v>
      </c>
      <c r="F300" s="8" t="s">
        <v>15</v>
      </c>
      <c r="G300" s="8" t="s">
        <v>17</v>
      </c>
      <c r="H300" s="8" t="s">
        <v>17</v>
      </c>
      <c r="I300" s="8" t="s">
        <v>17</v>
      </c>
      <c r="J300" s="8" t="s">
        <v>1558</v>
      </c>
    </row>
    <row r="301" spans="1:10" x14ac:dyDescent="0.25" outlineLevel="2" collapsed="1">
      <c r="A301" s="7" t="s">
        <v>19</v>
      </c>
      <c r="B301" s="7" t="s">
        <v>16</v>
      </c>
      <c r="C301" s="7" t="s">
        <v>17</v>
      </c>
      <c r="D301" s="7"/>
      <c r="E301" s="7" t="s">
        <v>728</v>
      </c>
      <c r="F301" s="7" t="s">
        <v>19</v>
      </c>
      <c r="G301" s="7" t="s">
        <v>31</v>
      </c>
      <c r="H301" s="7" t="s">
        <v>17</v>
      </c>
      <c r="I301" s="7" t="s">
        <v>17</v>
      </c>
      <c r="J301" s="7" t="s">
        <v>730</v>
      </c>
    </row>
    <row r="302" spans="1:10" x14ac:dyDescent="0.25" outlineLevel="2" collapsed="1">
      <c r="A302" s="7" t="s">
        <v>19</v>
      </c>
      <c r="B302" s="7" t="s">
        <v>16</v>
      </c>
      <c r="C302" s="7" t="s">
        <v>17</v>
      </c>
      <c r="D302" s="7"/>
      <c r="E302" s="7" t="s">
        <v>731</v>
      </c>
      <c r="F302" s="7" t="s">
        <v>19</v>
      </c>
      <c r="G302" s="7" t="s">
        <v>31</v>
      </c>
      <c r="H302" s="7" t="s">
        <v>17</v>
      </c>
      <c r="I302" s="7" t="s">
        <v>17</v>
      </c>
      <c r="J302" s="7" t="s">
        <v>733</v>
      </c>
    </row>
    <row r="303" spans="1:10" x14ac:dyDescent="0.25" outlineLevel="2" collapsed="1">
      <c r="A303" s="7" t="s">
        <v>19</v>
      </c>
      <c r="B303" s="7" t="s">
        <v>16</v>
      </c>
      <c r="C303" s="7" t="s">
        <v>17</v>
      </c>
      <c r="D303" s="7"/>
      <c r="E303" s="7" t="s">
        <v>30</v>
      </c>
      <c r="F303" s="7" t="s">
        <v>19</v>
      </c>
      <c r="G303" s="7" t="s">
        <v>31</v>
      </c>
      <c r="H303" s="7" t="s">
        <v>17</v>
      </c>
      <c r="I303" s="7" t="s">
        <v>17</v>
      </c>
      <c r="J303" s="7" t="s">
        <v>32</v>
      </c>
    </row>
    <row r="304" spans="1:10" x14ac:dyDescent="0.25" outlineLevel="2" collapsed="1">
      <c r="A304" s="7" t="s">
        <v>19</v>
      </c>
      <c r="B304" s="7" t="s">
        <v>16</v>
      </c>
      <c r="C304" s="7" t="s">
        <v>17</v>
      </c>
      <c r="D304" s="7"/>
      <c r="E304" s="7" t="s">
        <v>33</v>
      </c>
      <c r="F304" s="7" t="s">
        <v>19</v>
      </c>
      <c r="G304" s="7" t="s">
        <v>31</v>
      </c>
      <c r="H304" s="7" t="s">
        <v>17</v>
      </c>
      <c r="I304" s="7" t="s">
        <v>17</v>
      </c>
      <c r="J304" s="7" t="s">
        <v>34</v>
      </c>
    </row>
    <row r="305" spans="1:10" x14ac:dyDescent="0.25" outlineLevel="2" collapsed="1">
      <c r="A305" s="7" t="s">
        <v>19</v>
      </c>
      <c r="B305" s="7" t="s">
        <v>16</v>
      </c>
      <c r="C305" s="7" t="s">
        <v>17</v>
      </c>
      <c r="D305" s="7"/>
      <c r="E305" s="7" t="s">
        <v>1559</v>
      </c>
      <c r="F305" s="7" t="s">
        <v>19</v>
      </c>
      <c r="G305" s="7" t="s">
        <v>31</v>
      </c>
      <c r="H305" s="7" t="s">
        <v>17</v>
      </c>
      <c r="I305" s="7" t="s">
        <v>17</v>
      </c>
      <c r="J305" s="7" t="s">
        <v>1560</v>
      </c>
    </row>
    <row r="306" spans="1:10" x14ac:dyDescent="0.25" outlineLevel="2" collapsed="1">
      <c r="A306" s="7" t="s">
        <v>19</v>
      </c>
      <c r="B306" s="7" t="s">
        <v>16</v>
      </c>
      <c r="C306" s="7" t="s">
        <v>17</v>
      </c>
      <c r="D306" s="7"/>
      <c r="E306" s="7" t="s">
        <v>1533</v>
      </c>
      <c r="F306" s="7" t="s">
        <v>19</v>
      </c>
      <c r="G306" s="7" t="s">
        <v>31</v>
      </c>
      <c r="H306" s="7" t="s">
        <v>17</v>
      </c>
      <c r="I306" s="7" t="s">
        <v>17</v>
      </c>
      <c r="J306" s="7" t="s">
        <v>1534</v>
      </c>
    </row>
    <row r="307" spans="1:10" x14ac:dyDescent="0.25" outlineLevel="2" collapsed="1">
      <c r="A307" s="7" t="s">
        <v>19</v>
      </c>
      <c r="B307" s="7" t="s">
        <v>16</v>
      </c>
      <c r="C307" s="7" t="s">
        <v>17</v>
      </c>
      <c r="D307" s="7"/>
      <c r="E307" s="7" t="s">
        <v>1539</v>
      </c>
      <c r="F307" s="7" t="s">
        <v>19</v>
      </c>
      <c r="G307" s="7" t="s">
        <v>31</v>
      </c>
      <c r="H307" s="7" t="s">
        <v>17</v>
      </c>
      <c r="I307" s="7" t="s">
        <v>17</v>
      </c>
      <c r="J307" s="7" t="s">
        <v>752</v>
      </c>
    </row>
    <row r="308" spans="1:10" x14ac:dyDescent="0.25">
      <c r="A308" s="5" t="s">
        <v>15</v>
      </c>
      <c r="B308" s="6" t="s">
        <v>1561</v>
      </c>
      <c r="C308" s="5" t="s">
        <v>17</v>
      </c>
      <c r="D308" s="5"/>
      <c r="E308" s="5" t="s">
        <v>1562</v>
      </c>
      <c r="F308" s="5" t="s">
        <v>19</v>
      </c>
      <c r="G308" s="5" t="s">
        <v>17</v>
      </c>
      <c r="H308" s="5" t="s">
        <v>17</v>
      </c>
      <c r="I308" s="5" t="s">
        <v>17</v>
      </c>
      <c r="J308" s="5" t="s">
        <v>1563</v>
      </c>
    </row>
    <row r="309" spans="1:10" x14ac:dyDescent="0.25" outlineLevel="1" collapsed="1">
      <c r="A309" s="7" t="s">
        <v>15</v>
      </c>
      <c r="B309" s="7" t="s">
        <v>16</v>
      </c>
      <c r="C309" s="7" t="s">
        <v>17</v>
      </c>
      <c r="D309" s="7"/>
      <c r="E309" s="7" t="s">
        <v>1564</v>
      </c>
      <c r="F309" s="7" t="s">
        <v>19</v>
      </c>
      <c r="G309" s="7" t="s">
        <v>1565</v>
      </c>
      <c r="H309" s="7" t="s">
        <v>17</v>
      </c>
      <c r="I309" s="7" t="s">
        <v>17</v>
      </c>
      <c r="J309" s="7" t="s">
        <v>1566</v>
      </c>
    </row>
    <row r="310" spans="1:10" x14ac:dyDescent="0.25" outlineLevel="1" collapsed="1">
      <c r="A310" s="8" t="s">
        <v>19</v>
      </c>
      <c r="B310" s="9" t="s">
        <v>1567</v>
      </c>
      <c r="C310" s="8" t="s">
        <v>17</v>
      </c>
      <c r="D310" s="8"/>
      <c r="E310" s="8" t="s">
        <v>1568</v>
      </c>
      <c r="F310" s="8" t="s">
        <v>15</v>
      </c>
      <c r="G310" s="8" t="s">
        <v>17</v>
      </c>
      <c r="H310" s="8" t="s">
        <v>17</v>
      </c>
      <c r="I310" s="8" t="s">
        <v>17</v>
      </c>
      <c r="J310" s="8" t="s">
        <v>1569</v>
      </c>
    </row>
    <row r="311" spans="1:10" x14ac:dyDescent="0.25" outlineLevel="2" collapsed="1">
      <c r="A311" s="7" t="s">
        <v>15</v>
      </c>
      <c r="B311" s="7" t="s">
        <v>291</v>
      </c>
      <c r="C311" s="7" t="s">
        <v>17</v>
      </c>
      <c r="D311" s="7"/>
      <c r="E311" s="7" t="s">
        <v>30</v>
      </c>
      <c r="F311" s="7" t="s">
        <v>19</v>
      </c>
      <c r="G311" s="7" t="s">
        <v>293</v>
      </c>
      <c r="H311" s="7" t="s">
        <v>17</v>
      </c>
      <c r="I311" s="7" t="s">
        <v>17</v>
      </c>
      <c r="J311" s="7" t="s">
        <v>734</v>
      </c>
    </row>
    <row r="312" spans="1:10" x14ac:dyDescent="0.25" outlineLevel="2" collapsed="1">
      <c r="A312" s="7" t="s">
        <v>15</v>
      </c>
      <c r="B312" s="7" t="s">
        <v>291</v>
      </c>
      <c r="C312" s="7" t="s">
        <v>17</v>
      </c>
      <c r="D312" s="7"/>
      <c r="E312" s="7" t="s">
        <v>33</v>
      </c>
      <c r="F312" s="7" t="s">
        <v>19</v>
      </c>
      <c r="G312" s="7" t="s">
        <v>293</v>
      </c>
      <c r="H312" s="7" t="s">
        <v>17</v>
      </c>
      <c r="I312" s="7" t="s">
        <v>17</v>
      </c>
      <c r="J312" s="7" t="s">
        <v>735</v>
      </c>
    </row>
    <row r="313" spans="1:10" x14ac:dyDescent="0.25" outlineLevel="2" collapsed="1">
      <c r="A313" s="7" t="s">
        <v>15</v>
      </c>
      <c r="B313" s="7" t="s">
        <v>63</v>
      </c>
      <c r="C313" s="7" t="s">
        <v>17</v>
      </c>
      <c r="D313" s="7"/>
      <c r="E313" s="7" t="s">
        <v>1570</v>
      </c>
      <c r="F313" s="7" t="s">
        <v>19</v>
      </c>
      <c r="G313" s="7">
        <v>276.0886</v>
      </c>
      <c r="H313" s="7" t="s">
        <v>17</v>
      </c>
      <c r="I313" s="7" t="s">
        <v>17</v>
      </c>
      <c r="J313" s="7" t="s">
        <v>1571</v>
      </c>
    </row>
    <row r="314" spans="1:10" x14ac:dyDescent="0.25" outlineLevel="2" collapsed="1">
      <c r="A314" s="7" t="s">
        <v>15</v>
      </c>
      <c r="B314" s="7" t="s">
        <v>63</v>
      </c>
      <c r="C314" s="7" t="s">
        <v>17</v>
      </c>
      <c r="D314" s="7"/>
      <c r="E314" s="7" t="s">
        <v>1572</v>
      </c>
      <c r="F314" s="7" t="s">
        <v>19</v>
      </c>
      <c r="G314" s="7">
        <v>0.3504</v>
      </c>
      <c r="H314" s="7" t="s">
        <v>17</v>
      </c>
      <c r="I314" s="7" t="s">
        <v>17</v>
      </c>
      <c r="J314" s="7" t="s">
        <v>1573</v>
      </c>
    </row>
    <row r="315" spans="1:10" x14ac:dyDescent="0.25" outlineLevel="2" collapsed="1">
      <c r="A315" s="7" t="s">
        <v>15</v>
      </c>
      <c r="B315" s="7" t="s">
        <v>63</v>
      </c>
      <c r="C315" s="7" t="s">
        <v>17</v>
      </c>
      <c r="D315" s="7"/>
      <c r="E315" s="7" t="s">
        <v>740</v>
      </c>
      <c r="F315" s="7" t="s">
        <v>19</v>
      </c>
      <c r="G315" s="7">
        <v>0</v>
      </c>
      <c r="H315" s="7" t="s">
        <v>17</v>
      </c>
      <c r="I315" s="7" t="s">
        <v>17</v>
      </c>
      <c r="J315" s="7" t="s">
        <v>741</v>
      </c>
    </row>
    <row r="316" spans="1:10" x14ac:dyDescent="0.25" outlineLevel="2" collapsed="1">
      <c r="A316" s="7" t="s">
        <v>15</v>
      </c>
      <c r="B316" s="7" t="s">
        <v>63</v>
      </c>
      <c r="C316" s="7" t="s">
        <v>17</v>
      </c>
      <c r="D316" s="7"/>
      <c r="E316" s="7" t="s">
        <v>1574</v>
      </c>
      <c r="F316" s="7" t="s">
        <v>19</v>
      </c>
      <c r="G316" s="7">
        <v>275.738</v>
      </c>
      <c r="H316" s="7" t="s">
        <v>17</v>
      </c>
      <c r="I316" s="7" t="s">
        <v>17</v>
      </c>
      <c r="J316" s="7" t="s">
        <v>1575</v>
      </c>
    </row>
    <row r="317" spans="1:10" x14ac:dyDescent="0.25" outlineLevel="2" collapsed="1">
      <c r="A317" s="7" t="s">
        <v>15</v>
      </c>
      <c r="B317" s="7" t="s">
        <v>63</v>
      </c>
      <c r="C317" s="7" t="s">
        <v>17</v>
      </c>
      <c r="D317" s="7"/>
      <c r="E317" s="7" t="s">
        <v>1576</v>
      </c>
      <c r="F317" s="7" t="s">
        <v>19</v>
      </c>
      <c r="G317" s="7">
        <v>0</v>
      </c>
      <c r="H317" s="7" t="s">
        <v>17</v>
      </c>
      <c r="I317" s="7" t="s">
        <v>17</v>
      </c>
      <c r="J317" s="7" t="s">
        <v>1577</v>
      </c>
    </row>
    <row r="318" spans="1:10" x14ac:dyDescent="0.25" outlineLevel="2" collapsed="1">
      <c r="A318" s="7" t="s">
        <v>15</v>
      </c>
      <c r="B318" s="7" t="s">
        <v>63</v>
      </c>
      <c r="C318" s="7" t="s">
        <v>17</v>
      </c>
      <c r="D318" s="7"/>
      <c r="E318" s="7" t="s">
        <v>1578</v>
      </c>
      <c r="F318" s="7" t="s">
        <v>19</v>
      </c>
      <c r="G318" s="7">
        <v>275.738</v>
      </c>
      <c r="H318" s="7" t="s">
        <v>17</v>
      </c>
      <c r="I318" s="7" t="s">
        <v>17</v>
      </c>
      <c r="J318" s="7" t="s">
        <v>747</v>
      </c>
    </row>
    <row r="319" spans="1:10" x14ac:dyDescent="0.25" outlineLevel="2" collapsed="1">
      <c r="A319" s="7" t="s">
        <v>19</v>
      </c>
      <c r="B319" s="7" t="s">
        <v>16</v>
      </c>
      <c r="C319" s="7" t="s">
        <v>17</v>
      </c>
      <c r="D319" s="7"/>
      <c r="E319" s="7" t="s">
        <v>728</v>
      </c>
      <c r="F319" s="7" t="s">
        <v>19</v>
      </c>
      <c r="G319" s="7" t="s">
        <v>31</v>
      </c>
      <c r="H319" s="7" t="s">
        <v>17</v>
      </c>
      <c r="I319" s="7" t="s">
        <v>17</v>
      </c>
      <c r="J319" s="7" t="s">
        <v>730</v>
      </c>
    </row>
    <row r="320" spans="1:10" x14ac:dyDescent="0.25" outlineLevel="2" collapsed="1">
      <c r="A320" s="7" t="s">
        <v>19</v>
      </c>
      <c r="B320" s="7" t="s">
        <v>16</v>
      </c>
      <c r="C320" s="7" t="s">
        <v>17</v>
      </c>
      <c r="D320" s="7"/>
      <c r="E320" s="7" t="s">
        <v>731</v>
      </c>
      <c r="F320" s="7" t="s">
        <v>19</v>
      </c>
      <c r="G320" s="7" t="s">
        <v>31</v>
      </c>
      <c r="H320" s="7" t="s">
        <v>17</v>
      </c>
      <c r="I320" s="7" t="s">
        <v>17</v>
      </c>
      <c r="J320" s="7" t="s">
        <v>733</v>
      </c>
    </row>
    <row r="321" spans="1:10" x14ac:dyDescent="0.25" outlineLevel="2" collapsed="1">
      <c r="A321" s="7" t="s">
        <v>19</v>
      </c>
      <c r="B321" s="7" t="s">
        <v>63</v>
      </c>
      <c r="C321" s="7" t="s">
        <v>17</v>
      </c>
      <c r="D321" s="7"/>
      <c r="E321" s="7" t="s">
        <v>736</v>
      </c>
      <c r="F321" s="7" t="s">
        <v>19</v>
      </c>
      <c r="G321" s="7">
        <v>1</v>
      </c>
      <c r="H321" s="7" t="s">
        <v>17</v>
      </c>
      <c r="I321" s="7" t="s">
        <v>17</v>
      </c>
      <c r="J321" s="7" t="s">
        <v>759</v>
      </c>
    </row>
    <row r="322" spans="1:10" x14ac:dyDescent="0.25" outlineLevel="2" collapsed="1">
      <c r="A322" s="7" t="s">
        <v>19</v>
      </c>
      <c r="B322" s="7" t="s">
        <v>63</v>
      </c>
      <c r="C322" s="7" t="s">
        <v>17</v>
      </c>
      <c r="D322" s="7"/>
      <c r="E322" s="7" t="s">
        <v>738</v>
      </c>
      <c r="F322" s="7" t="s">
        <v>19</v>
      </c>
      <c r="G322" s="7">
        <v>1</v>
      </c>
      <c r="H322" s="7" t="s">
        <v>17</v>
      </c>
      <c r="I322" s="7" t="s">
        <v>17</v>
      </c>
      <c r="J322" s="7" t="s">
        <v>760</v>
      </c>
    </row>
    <row r="323" spans="1:10" x14ac:dyDescent="0.25" outlineLevel="2" collapsed="1">
      <c r="A323" s="7" t="s">
        <v>19</v>
      </c>
      <c r="B323" s="7" t="s">
        <v>63</v>
      </c>
      <c r="C323" s="7" t="s">
        <v>17</v>
      </c>
      <c r="D323" s="7"/>
      <c r="E323" s="7" t="s">
        <v>751</v>
      </c>
      <c r="F323" s="7" t="s">
        <v>19</v>
      </c>
      <c r="G323" s="7">
        <v>1</v>
      </c>
      <c r="H323" s="7" t="s">
        <v>17</v>
      </c>
      <c r="I323" s="7" t="s">
        <v>17</v>
      </c>
      <c r="J323" s="7" t="s">
        <v>1579</v>
      </c>
    </row>
    <row r="324" spans="1:10" x14ac:dyDescent="0.25" outlineLevel="2" collapsed="1">
      <c r="A324" s="7" t="s">
        <v>19</v>
      </c>
      <c r="B324" s="7" t="s">
        <v>63</v>
      </c>
      <c r="C324" s="7" t="s">
        <v>17</v>
      </c>
      <c r="D324" s="7"/>
      <c r="E324" s="7" t="s">
        <v>753</v>
      </c>
      <c r="F324" s="7" t="s">
        <v>19</v>
      </c>
      <c r="G324" s="7">
        <v>1</v>
      </c>
      <c r="H324" s="7" t="s">
        <v>17</v>
      </c>
      <c r="I324" s="7" t="s">
        <v>17</v>
      </c>
      <c r="J324" s="7" t="s">
        <v>1580</v>
      </c>
    </row>
    <row r="325" spans="1:10" x14ac:dyDescent="0.25" outlineLevel="2" collapsed="1">
      <c r="A325" s="7" t="s">
        <v>19</v>
      </c>
      <c r="B325" s="7" t="s">
        <v>63</v>
      </c>
      <c r="C325" s="7" t="s">
        <v>17</v>
      </c>
      <c r="D325" s="7"/>
      <c r="E325" s="7" t="s">
        <v>755</v>
      </c>
      <c r="F325" s="7" t="s">
        <v>19</v>
      </c>
      <c r="G325" s="7">
        <v>1</v>
      </c>
      <c r="H325" s="7" t="s">
        <v>17</v>
      </c>
      <c r="I325" s="7" t="s">
        <v>17</v>
      </c>
      <c r="J325" s="7" t="s">
        <v>1581</v>
      </c>
    </row>
    <row r="326" spans="1:10" x14ac:dyDescent="0.25" outlineLevel="2" collapsed="1">
      <c r="A326" s="7" t="s">
        <v>19</v>
      </c>
      <c r="B326" s="7" t="s">
        <v>63</v>
      </c>
      <c r="C326" s="7" t="s">
        <v>17</v>
      </c>
      <c r="D326" s="7"/>
      <c r="E326" s="7" t="s">
        <v>757</v>
      </c>
      <c r="F326" s="7" t="s">
        <v>19</v>
      </c>
      <c r="G326" s="7">
        <v>1</v>
      </c>
      <c r="H326" s="7" t="s">
        <v>17</v>
      </c>
      <c r="I326" s="7" t="s">
        <v>17</v>
      </c>
      <c r="J326" s="7" t="s">
        <v>1582</v>
      </c>
    </row>
    <row r="327" spans="1:10" x14ac:dyDescent="0.25" outlineLevel="1" collapsed="1">
      <c r="A327" s="8" t="s">
        <v>19</v>
      </c>
      <c r="B327" s="9" t="s">
        <v>1583</v>
      </c>
      <c r="C327" s="8" t="s">
        <v>17</v>
      </c>
      <c r="D327" s="8"/>
      <c r="E327" s="8" t="s">
        <v>1583</v>
      </c>
      <c r="F327" s="8" t="s">
        <v>15</v>
      </c>
      <c r="G327" s="8" t="s">
        <v>17</v>
      </c>
      <c r="H327" s="8" t="s">
        <v>17</v>
      </c>
      <c r="I327" s="8" t="s">
        <v>17</v>
      </c>
      <c r="J327" s="8" t="s">
        <v>1584</v>
      </c>
    </row>
    <row r="328" spans="1:10" x14ac:dyDescent="0.25" outlineLevel="2" collapsed="1">
      <c r="A328" s="7" t="s">
        <v>19</v>
      </c>
      <c r="B328" s="7" t="s">
        <v>16</v>
      </c>
      <c r="C328" s="7" t="s">
        <v>17</v>
      </c>
      <c r="D328" s="7"/>
      <c r="E328" s="7" t="s">
        <v>30</v>
      </c>
      <c r="F328" s="7" t="s">
        <v>19</v>
      </c>
      <c r="G328" s="7" t="s">
        <v>31</v>
      </c>
      <c r="H328" s="7" t="s">
        <v>17</v>
      </c>
      <c r="I328" s="7" t="s">
        <v>17</v>
      </c>
      <c r="J328" s="7" t="s">
        <v>32</v>
      </c>
    </row>
    <row r="329" spans="1:10" x14ac:dyDescent="0.25" outlineLevel="2" collapsed="1">
      <c r="A329" s="7" t="s">
        <v>19</v>
      </c>
      <c r="B329" s="7" t="s">
        <v>16</v>
      </c>
      <c r="C329" s="7" t="s">
        <v>17</v>
      </c>
      <c r="D329" s="7"/>
      <c r="E329" s="7" t="s">
        <v>33</v>
      </c>
      <c r="F329" s="7" t="s">
        <v>19</v>
      </c>
      <c r="G329" s="7" t="s">
        <v>31</v>
      </c>
      <c r="H329" s="7" t="s">
        <v>17</v>
      </c>
      <c r="I329" s="7" t="s">
        <v>17</v>
      </c>
      <c r="J329" s="7" t="s">
        <v>34</v>
      </c>
    </row>
    <row r="330" spans="1:10" x14ac:dyDescent="0.25" outlineLevel="2" collapsed="1">
      <c r="A330" s="7" t="s">
        <v>19</v>
      </c>
      <c r="B330" s="7" t="s">
        <v>16</v>
      </c>
      <c r="C330" s="7" t="s">
        <v>17</v>
      </c>
      <c r="D330" s="7"/>
      <c r="E330" s="7" t="s">
        <v>1585</v>
      </c>
      <c r="F330" s="7" t="s">
        <v>19</v>
      </c>
      <c r="G330" s="7" t="s">
        <v>31</v>
      </c>
      <c r="H330" s="7" t="s">
        <v>17</v>
      </c>
      <c r="I330" s="7" t="s">
        <v>17</v>
      </c>
      <c r="J330" s="7" t="s">
        <v>1586</v>
      </c>
    </row>
    <row r="331" spans="1:10" x14ac:dyDescent="0.25" outlineLevel="2" collapsed="1">
      <c r="A331" s="7" t="s">
        <v>19</v>
      </c>
      <c r="B331" s="7" t="s">
        <v>16</v>
      </c>
      <c r="C331" s="7" t="s">
        <v>17</v>
      </c>
      <c r="D331" s="7"/>
      <c r="E331" s="7" t="s">
        <v>1587</v>
      </c>
      <c r="F331" s="7" t="s">
        <v>19</v>
      </c>
      <c r="G331" s="7" t="s">
        <v>31</v>
      </c>
      <c r="H331" s="7" t="s">
        <v>17</v>
      </c>
      <c r="I331" s="7" t="s">
        <v>17</v>
      </c>
      <c r="J331" s="7" t="s">
        <v>779</v>
      </c>
    </row>
    <row r="332" spans="1:10" x14ac:dyDescent="0.25" outlineLevel="2" collapsed="1">
      <c r="A332" s="7" t="s">
        <v>19</v>
      </c>
      <c r="B332" s="7" t="s">
        <v>16</v>
      </c>
      <c r="C332" s="7" t="s">
        <v>17</v>
      </c>
      <c r="D332" s="7"/>
      <c r="E332" s="7" t="s">
        <v>1588</v>
      </c>
      <c r="F332" s="7" t="s">
        <v>19</v>
      </c>
      <c r="G332" s="7" t="s">
        <v>31</v>
      </c>
      <c r="H332" s="7" t="s">
        <v>17</v>
      </c>
      <c r="I332" s="7" t="s">
        <v>17</v>
      </c>
      <c r="J332" s="7" t="s">
        <v>1589</v>
      </c>
    </row>
    <row r="333" spans="1:10" x14ac:dyDescent="0.25" outlineLevel="2" collapsed="1">
      <c r="A333" s="7" t="s">
        <v>19</v>
      </c>
      <c r="B333" s="7" t="s">
        <v>16</v>
      </c>
      <c r="C333" s="7" t="s">
        <v>17</v>
      </c>
      <c r="D333" s="7"/>
      <c r="E333" s="7" t="s">
        <v>782</v>
      </c>
      <c r="F333" s="7" t="s">
        <v>19</v>
      </c>
      <c r="G333" s="7" t="s">
        <v>31</v>
      </c>
      <c r="H333" s="7" t="s">
        <v>17</v>
      </c>
      <c r="I333" s="7" t="s">
        <v>17</v>
      </c>
      <c r="J333" s="7" t="s">
        <v>1590</v>
      </c>
    </row>
    <row r="334" spans="1:10" x14ac:dyDescent="0.25">
      <c r="A334" s="5" t="s">
        <v>15</v>
      </c>
      <c r="B334" s="6" t="s">
        <v>1591</v>
      </c>
      <c r="C334" s="5" t="s">
        <v>17</v>
      </c>
      <c r="D334" s="5"/>
      <c r="E334" s="5" t="s">
        <v>1592</v>
      </c>
      <c r="F334" s="5" t="s">
        <v>19</v>
      </c>
      <c r="G334" s="5" t="s">
        <v>17</v>
      </c>
      <c r="H334" s="5" t="s">
        <v>17</v>
      </c>
      <c r="I334" s="5" t="s">
        <v>17</v>
      </c>
      <c r="J334" s="5" t="s">
        <v>1593</v>
      </c>
    </row>
    <row r="335" spans="1:10" x14ac:dyDescent="0.25" outlineLevel="1" collapsed="1">
      <c r="A335" s="8" t="s">
        <v>19</v>
      </c>
      <c r="B335" s="9" t="s">
        <v>1594</v>
      </c>
      <c r="C335" s="8" t="s">
        <v>17</v>
      </c>
      <c r="D335" s="8"/>
      <c r="E335" s="8" t="s">
        <v>1595</v>
      </c>
      <c r="F335" s="8" t="s">
        <v>19</v>
      </c>
      <c r="G335" s="8" t="s">
        <v>17</v>
      </c>
      <c r="H335" s="8" t="s">
        <v>17</v>
      </c>
      <c r="I335" s="8" t="s">
        <v>17</v>
      </c>
      <c r="J335" s="8" t="s">
        <v>1596</v>
      </c>
    </row>
    <row r="336" spans="1:10" x14ac:dyDescent="0.25" outlineLevel="2" collapsed="1">
      <c r="A336" s="8" t="s">
        <v>15</v>
      </c>
      <c r="B336" s="9" t="s">
        <v>1597</v>
      </c>
      <c r="C336" s="8" t="s">
        <v>17</v>
      </c>
      <c r="D336" s="8"/>
      <c r="E336" s="8" t="s">
        <v>1598</v>
      </c>
      <c r="F336" s="8" t="s">
        <v>19</v>
      </c>
      <c r="G336" s="8" t="s">
        <v>17</v>
      </c>
      <c r="H336" s="8" t="s">
        <v>17</v>
      </c>
      <c r="I336" s="8" t="s">
        <v>17</v>
      </c>
      <c r="J336" s="8" t="s">
        <v>1599</v>
      </c>
    </row>
    <row r="337" spans="1:10" x14ac:dyDescent="0.25" outlineLevel="3" collapsed="1">
      <c r="A337" s="7" t="s">
        <v>15</v>
      </c>
      <c r="B337" s="7" t="s">
        <v>16</v>
      </c>
      <c r="C337" s="7" t="s">
        <v>17</v>
      </c>
      <c r="D337" s="7"/>
      <c r="E337" s="7" t="s">
        <v>1431</v>
      </c>
      <c r="F337" s="7" t="s">
        <v>19</v>
      </c>
      <c r="G337" s="7" t="s">
        <v>31</v>
      </c>
      <c r="H337" s="7" t="s">
        <v>17</v>
      </c>
      <c r="I337" s="7" t="s">
        <v>17</v>
      </c>
      <c r="J337" s="7" t="s">
        <v>637</v>
      </c>
    </row>
    <row r="338" spans="1:10" x14ac:dyDescent="0.25" outlineLevel="3" collapsed="1">
      <c r="A338" s="7" t="s">
        <v>15</v>
      </c>
      <c r="B338" s="7" t="s">
        <v>16</v>
      </c>
      <c r="C338" s="7" t="s">
        <v>17</v>
      </c>
      <c r="D338" s="7"/>
      <c r="E338" s="7" t="s">
        <v>638</v>
      </c>
      <c r="F338" s="7" t="s">
        <v>19</v>
      </c>
      <c r="G338" s="7" t="s">
        <v>31</v>
      </c>
      <c r="H338" s="7" t="s">
        <v>17</v>
      </c>
      <c r="I338" s="7" t="s">
        <v>17</v>
      </c>
      <c r="J338" s="7" t="s">
        <v>640</v>
      </c>
    </row>
    <row r="339" spans="1:10" x14ac:dyDescent="0.25" outlineLevel="3" collapsed="1">
      <c r="A339" s="7" t="s">
        <v>15</v>
      </c>
      <c r="B339" s="7" t="s">
        <v>16</v>
      </c>
      <c r="C339" s="7" t="s">
        <v>17</v>
      </c>
      <c r="D339" s="7"/>
      <c r="E339" s="7" t="s">
        <v>9</v>
      </c>
      <c r="F339" s="7" t="s">
        <v>19</v>
      </c>
      <c r="G339" s="7" t="s">
        <v>31</v>
      </c>
      <c r="H339" s="7" t="s">
        <v>17</v>
      </c>
      <c r="I339" s="7" t="s">
        <v>17</v>
      </c>
      <c r="J339" s="7" t="s">
        <v>843</v>
      </c>
    </row>
    <row r="340" spans="1:10" x14ac:dyDescent="0.25" outlineLevel="3" collapsed="1">
      <c r="A340" s="7" t="s">
        <v>19</v>
      </c>
      <c r="B340" s="7" t="s">
        <v>16</v>
      </c>
      <c r="C340" s="7" t="s">
        <v>17</v>
      </c>
      <c r="D340" s="7"/>
      <c r="E340" s="7" t="s">
        <v>1600</v>
      </c>
      <c r="F340" s="7" t="s">
        <v>19</v>
      </c>
      <c r="G340" s="7" t="s">
        <v>31</v>
      </c>
      <c r="H340" s="7" t="s">
        <v>17</v>
      </c>
      <c r="I340" s="7" t="s">
        <v>17</v>
      </c>
      <c r="J340" s="7" t="s">
        <v>1424</v>
      </c>
    </row>
    <row r="341" spans="1:10" x14ac:dyDescent="0.25" outlineLevel="3" collapsed="1">
      <c r="A341" s="7" t="s">
        <v>15</v>
      </c>
      <c r="B341" s="7" t="s">
        <v>16</v>
      </c>
      <c r="C341" s="7" t="s">
        <v>17</v>
      </c>
      <c r="D341" s="7"/>
      <c r="E341" s="7" t="s">
        <v>1601</v>
      </c>
      <c r="F341" s="7" t="s">
        <v>19</v>
      </c>
      <c r="G341" s="7" t="s">
        <v>31</v>
      </c>
      <c r="H341" s="7" t="s">
        <v>17</v>
      </c>
      <c r="I341" s="7" t="s">
        <v>17</v>
      </c>
      <c r="J341" s="7" t="s">
        <v>1602</v>
      </c>
    </row>
    <row r="342" spans="1:10" x14ac:dyDescent="0.25" outlineLevel="3" collapsed="1">
      <c r="A342" s="7" t="s">
        <v>15</v>
      </c>
      <c r="B342" s="7" t="s">
        <v>16</v>
      </c>
      <c r="C342" s="7" t="s">
        <v>17</v>
      </c>
      <c r="D342" s="7"/>
      <c r="E342" s="7" t="s">
        <v>1603</v>
      </c>
      <c r="F342" s="7" t="s">
        <v>19</v>
      </c>
      <c r="G342" s="7" t="s">
        <v>31</v>
      </c>
      <c r="H342" s="7" t="s">
        <v>17</v>
      </c>
      <c r="I342" s="7" t="s">
        <v>17</v>
      </c>
      <c r="J342" s="7" t="s">
        <v>1422</v>
      </c>
    </row>
    <row r="343" spans="1:10" x14ac:dyDescent="0.25" outlineLevel="3" collapsed="1">
      <c r="A343" s="7" t="s">
        <v>15</v>
      </c>
      <c r="B343" s="7" t="s">
        <v>284</v>
      </c>
      <c r="C343" s="11" t="s">
        <v>1604</v>
      </c>
      <c r="D343" s="7"/>
      <c r="E343" s="7" t="s">
        <v>1605</v>
      </c>
      <c r="F343" s="7" t="s">
        <v>19</v>
      </c>
      <c r="G343" s="7" t="s">
        <v>1606</v>
      </c>
      <c r="H343" s="7" t="s">
        <v>17</v>
      </c>
      <c r="I343" s="7" t="s">
        <v>17</v>
      </c>
      <c r="J343" s="7" t="s">
        <v>1607</v>
      </c>
    </row>
    <row r="344" spans="1:10" x14ac:dyDescent="0.25" outlineLevel="3" collapsed="1">
      <c r="A344" s="7" t="s">
        <v>19</v>
      </c>
      <c r="B344" s="7" t="s">
        <v>63</v>
      </c>
      <c r="C344" s="7" t="s">
        <v>17</v>
      </c>
      <c r="D344" s="7">
        <f>EXACT(G343,"Single value")</f>
      </c>
      <c r="E344" s="7" t="s">
        <v>1608</v>
      </c>
      <c r="F344" s="7" t="s">
        <v>19</v>
      </c>
      <c r="G344" s="7">
        <v>1</v>
      </c>
      <c r="H344" s="7" t="s">
        <v>17</v>
      </c>
      <c r="I344" s="7" t="s">
        <v>17</v>
      </c>
      <c r="J344" s="7" t="s">
        <v>1609</v>
      </c>
    </row>
    <row r="345" spans="1:10" x14ac:dyDescent="0.25" outlineLevel="3" collapsed="1">
      <c r="A345" s="7" t="s">
        <v>15</v>
      </c>
      <c r="B345" s="7" t="s">
        <v>16</v>
      </c>
      <c r="C345" s="7" t="s">
        <v>17</v>
      </c>
      <c r="D345" s="7"/>
      <c r="E345" s="7" t="s">
        <v>1610</v>
      </c>
      <c r="F345" s="7" t="s">
        <v>19</v>
      </c>
      <c r="G345" s="7" t="s">
        <v>31</v>
      </c>
      <c r="H345" s="7" t="s">
        <v>17</v>
      </c>
      <c r="I345" s="7" t="s">
        <v>17</v>
      </c>
      <c r="J345" s="7" t="s">
        <v>1191</v>
      </c>
    </row>
    <row r="346" spans="1:10" x14ac:dyDescent="0.25" outlineLevel="3" collapsed="1">
      <c r="A346" s="7" t="s">
        <v>15</v>
      </c>
      <c r="B346" s="7" t="s">
        <v>284</v>
      </c>
      <c r="C346" s="11" t="s">
        <v>1611</v>
      </c>
      <c r="D346" s="7"/>
      <c r="E346" s="7" t="s">
        <v>1612</v>
      </c>
      <c r="F346" s="7" t="s">
        <v>19</v>
      </c>
      <c r="G346" s="7" t="s">
        <v>1613</v>
      </c>
      <c r="H346" s="7" t="s">
        <v>17</v>
      </c>
      <c r="I346" s="7" t="s">
        <v>17</v>
      </c>
      <c r="J346" s="7" t="s">
        <v>1614</v>
      </c>
    </row>
    <row r="347" spans="1:10" x14ac:dyDescent="0.25" outlineLevel="3" collapsed="1">
      <c r="A347" s="7" t="s">
        <v>19</v>
      </c>
      <c r="B347" s="7" t="s">
        <v>16</v>
      </c>
      <c r="C347" s="7" t="s">
        <v>17</v>
      </c>
      <c r="D347" s="7"/>
      <c r="E347" s="7" t="s">
        <v>1615</v>
      </c>
      <c r="F347" s="7" t="s">
        <v>19</v>
      </c>
      <c r="G347" s="7" t="s">
        <v>31</v>
      </c>
      <c r="H347" s="7" t="s">
        <v>17</v>
      </c>
      <c r="I347" s="7" t="s">
        <v>17</v>
      </c>
      <c r="J347" s="7" t="s">
        <v>1616</v>
      </c>
    </row>
    <row r="348" spans="1:10" x14ac:dyDescent="0.25" outlineLevel="2" collapsed="1">
      <c r="A348" s="8" t="s">
        <v>15</v>
      </c>
      <c r="B348" s="9" t="s">
        <v>1597</v>
      </c>
      <c r="C348" s="8" t="s">
        <v>17</v>
      </c>
      <c r="D348" s="8"/>
      <c r="E348" s="8" t="s">
        <v>1617</v>
      </c>
      <c r="F348" s="8" t="s">
        <v>19</v>
      </c>
      <c r="G348" s="8" t="s">
        <v>17</v>
      </c>
      <c r="H348" s="8" t="s">
        <v>17</v>
      </c>
      <c r="I348" s="8" t="s">
        <v>17</v>
      </c>
      <c r="J348" s="8" t="s">
        <v>1618</v>
      </c>
    </row>
    <row r="349" spans="1:10" x14ac:dyDescent="0.25" outlineLevel="3" collapsed="1">
      <c r="A349" s="7" t="s">
        <v>15</v>
      </c>
      <c r="B349" s="7" t="s">
        <v>16</v>
      </c>
      <c r="C349" s="7" t="s">
        <v>17</v>
      </c>
      <c r="D349" s="7"/>
      <c r="E349" s="7" t="s">
        <v>1431</v>
      </c>
      <c r="F349" s="7" t="s">
        <v>19</v>
      </c>
      <c r="G349" s="7" t="s">
        <v>31</v>
      </c>
      <c r="H349" s="7" t="s">
        <v>17</v>
      </c>
      <c r="I349" s="7" t="s">
        <v>17</v>
      </c>
      <c r="J349" s="7" t="s">
        <v>637</v>
      </c>
    </row>
    <row r="350" spans="1:10" x14ac:dyDescent="0.25" outlineLevel="3" collapsed="1">
      <c r="A350" s="7" t="s">
        <v>15</v>
      </c>
      <c r="B350" s="7" t="s">
        <v>16</v>
      </c>
      <c r="C350" s="7" t="s">
        <v>17</v>
      </c>
      <c r="D350" s="7"/>
      <c r="E350" s="7" t="s">
        <v>638</v>
      </c>
      <c r="F350" s="7" t="s">
        <v>19</v>
      </c>
      <c r="G350" s="7" t="s">
        <v>31</v>
      </c>
      <c r="H350" s="7" t="s">
        <v>17</v>
      </c>
      <c r="I350" s="7" t="s">
        <v>17</v>
      </c>
      <c r="J350" s="7" t="s">
        <v>640</v>
      </c>
    </row>
    <row r="351" spans="1:10" x14ac:dyDescent="0.25" outlineLevel="3" collapsed="1">
      <c r="A351" s="7" t="s">
        <v>15</v>
      </c>
      <c r="B351" s="7" t="s">
        <v>16</v>
      </c>
      <c r="C351" s="7" t="s">
        <v>17</v>
      </c>
      <c r="D351" s="7"/>
      <c r="E351" s="7" t="s">
        <v>9</v>
      </c>
      <c r="F351" s="7" t="s">
        <v>19</v>
      </c>
      <c r="G351" s="7" t="s">
        <v>31</v>
      </c>
      <c r="H351" s="7" t="s">
        <v>17</v>
      </c>
      <c r="I351" s="7" t="s">
        <v>17</v>
      </c>
      <c r="J351" s="7" t="s">
        <v>843</v>
      </c>
    </row>
    <row r="352" spans="1:10" x14ac:dyDescent="0.25" outlineLevel="3" collapsed="1">
      <c r="A352" s="7" t="s">
        <v>19</v>
      </c>
      <c r="B352" s="7" t="s">
        <v>16</v>
      </c>
      <c r="C352" s="7" t="s">
        <v>17</v>
      </c>
      <c r="D352" s="7"/>
      <c r="E352" s="7" t="s">
        <v>1600</v>
      </c>
      <c r="F352" s="7" t="s">
        <v>19</v>
      </c>
      <c r="G352" s="7" t="s">
        <v>31</v>
      </c>
      <c r="H352" s="7" t="s">
        <v>17</v>
      </c>
      <c r="I352" s="7" t="s">
        <v>17</v>
      </c>
      <c r="J352" s="7" t="s">
        <v>1424</v>
      </c>
    </row>
    <row r="353" spans="1:10" x14ac:dyDescent="0.25" outlineLevel="3" collapsed="1">
      <c r="A353" s="7" t="s">
        <v>15</v>
      </c>
      <c r="B353" s="7" t="s">
        <v>16</v>
      </c>
      <c r="C353" s="7" t="s">
        <v>17</v>
      </c>
      <c r="D353" s="7"/>
      <c r="E353" s="7" t="s">
        <v>1601</v>
      </c>
      <c r="F353" s="7" t="s">
        <v>19</v>
      </c>
      <c r="G353" s="7" t="s">
        <v>31</v>
      </c>
      <c r="H353" s="7" t="s">
        <v>17</v>
      </c>
      <c r="I353" s="7" t="s">
        <v>17</v>
      </c>
      <c r="J353" s="7" t="s">
        <v>1602</v>
      </c>
    </row>
    <row r="354" spans="1:10" x14ac:dyDescent="0.25" outlineLevel="3" collapsed="1">
      <c r="A354" s="7" t="s">
        <v>15</v>
      </c>
      <c r="B354" s="7" t="s">
        <v>16</v>
      </c>
      <c r="C354" s="7" t="s">
        <v>17</v>
      </c>
      <c r="D354" s="7"/>
      <c r="E354" s="7" t="s">
        <v>1603</v>
      </c>
      <c r="F354" s="7" t="s">
        <v>19</v>
      </c>
      <c r="G354" s="7" t="s">
        <v>31</v>
      </c>
      <c r="H354" s="7" t="s">
        <v>17</v>
      </c>
      <c r="I354" s="7" t="s">
        <v>17</v>
      </c>
      <c r="J354" s="7" t="s">
        <v>1422</v>
      </c>
    </row>
    <row r="355" spans="1:10" x14ac:dyDescent="0.25" outlineLevel="3" collapsed="1">
      <c r="A355" s="7" t="s">
        <v>15</v>
      </c>
      <c r="B355" s="7" t="s">
        <v>284</v>
      </c>
      <c r="C355" s="11" t="s">
        <v>1604</v>
      </c>
      <c r="D355" s="7"/>
      <c r="E355" s="7" t="s">
        <v>1605</v>
      </c>
      <c r="F355" s="7" t="s">
        <v>19</v>
      </c>
      <c r="G355" s="7" t="s">
        <v>1606</v>
      </c>
      <c r="H355" s="7" t="s">
        <v>17</v>
      </c>
      <c r="I355" s="7" t="s">
        <v>17</v>
      </c>
      <c r="J355" s="7" t="s">
        <v>1607</v>
      </c>
    </row>
    <row r="356" spans="1:10" x14ac:dyDescent="0.25" outlineLevel="3" collapsed="1">
      <c r="A356" s="7" t="s">
        <v>19</v>
      </c>
      <c r="B356" s="7" t="s">
        <v>63</v>
      </c>
      <c r="C356" s="7" t="s">
        <v>17</v>
      </c>
      <c r="D356" s="7">
        <f>EXACT(G355,"Single value")</f>
      </c>
      <c r="E356" s="7" t="s">
        <v>1608</v>
      </c>
      <c r="F356" s="7" t="s">
        <v>19</v>
      </c>
      <c r="G356" s="7">
        <v>1</v>
      </c>
      <c r="H356" s="7" t="s">
        <v>17</v>
      </c>
      <c r="I356" s="7" t="s">
        <v>17</v>
      </c>
      <c r="J356" s="7" t="s">
        <v>1609</v>
      </c>
    </row>
    <row r="357" spans="1:10" x14ac:dyDescent="0.25" outlineLevel="3" collapsed="1">
      <c r="A357" s="7" t="s">
        <v>15</v>
      </c>
      <c r="B357" s="7" t="s">
        <v>16</v>
      </c>
      <c r="C357" s="7" t="s">
        <v>17</v>
      </c>
      <c r="D357" s="7"/>
      <c r="E357" s="7" t="s">
        <v>1610</v>
      </c>
      <c r="F357" s="7" t="s">
        <v>19</v>
      </c>
      <c r="G357" s="7" t="s">
        <v>31</v>
      </c>
      <c r="H357" s="7" t="s">
        <v>17</v>
      </c>
      <c r="I357" s="7" t="s">
        <v>17</v>
      </c>
      <c r="J357" s="7" t="s">
        <v>1191</v>
      </c>
    </row>
    <row r="358" spans="1:10" x14ac:dyDescent="0.25" outlineLevel="3" collapsed="1">
      <c r="A358" s="7" t="s">
        <v>15</v>
      </c>
      <c r="B358" s="7" t="s">
        <v>284</v>
      </c>
      <c r="C358" s="11" t="s">
        <v>1611</v>
      </c>
      <c r="D358" s="7"/>
      <c r="E358" s="7" t="s">
        <v>1612</v>
      </c>
      <c r="F358" s="7" t="s">
        <v>19</v>
      </c>
      <c r="G358" s="7" t="s">
        <v>1613</v>
      </c>
      <c r="H358" s="7" t="s">
        <v>17</v>
      </c>
      <c r="I358" s="7" t="s">
        <v>17</v>
      </c>
      <c r="J358" s="7" t="s">
        <v>1614</v>
      </c>
    </row>
    <row r="359" spans="1:10" x14ac:dyDescent="0.25" outlineLevel="3" collapsed="1">
      <c r="A359" s="7" t="s">
        <v>19</v>
      </c>
      <c r="B359" s="7" t="s">
        <v>16</v>
      </c>
      <c r="C359" s="7" t="s">
        <v>17</v>
      </c>
      <c r="D359" s="7"/>
      <c r="E359" s="7" t="s">
        <v>1615</v>
      </c>
      <c r="F359" s="7" t="s">
        <v>19</v>
      </c>
      <c r="G359" s="7" t="s">
        <v>31</v>
      </c>
      <c r="H359" s="7" t="s">
        <v>17</v>
      </c>
      <c r="I359" s="7" t="s">
        <v>17</v>
      </c>
      <c r="J359" s="7" t="s">
        <v>1616</v>
      </c>
    </row>
    <row r="360" spans="1:10" x14ac:dyDescent="0.25" outlineLevel="2" collapsed="1">
      <c r="A360" s="8" t="s">
        <v>15</v>
      </c>
      <c r="B360" s="9" t="s">
        <v>1597</v>
      </c>
      <c r="C360" s="8" t="s">
        <v>17</v>
      </c>
      <c r="D360" s="8"/>
      <c r="E360" s="8" t="s">
        <v>1619</v>
      </c>
      <c r="F360" s="8" t="s">
        <v>19</v>
      </c>
      <c r="G360" s="8" t="s">
        <v>17</v>
      </c>
      <c r="H360" s="8" t="s">
        <v>17</v>
      </c>
      <c r="I360" s="8" t="s">
        <v>17</v>
      </c>
      <c r="J360" s="8" t="s">
        <v>1620</v>
      </c>
    </row>
    <row r="361" spans="1:10" x14ac:dyDescent="0.25" outlineLevel="3" collapsed="1">
      <c r="A361" s="7" t="s">
        <v>15</v>
      </c>
      <c r="B361" s="7" t="s">
        <v>16</v>
      </c>
      <c r="C361" s="7" t="s">
        <v>17</v>
      </c>
      <c r="D361" s="7"/>
      <c r="E361" s="7" t="s">
        <v>1431</v>
      </c>
      <c r="F361" s="7" t="s">
        <v>19</v>
      </c>
      <c r="G361" s="7" t="s">
        <v>31</v>
      </c>
      <c r="H361" s="7" t="s">
        <v>17</v>
      </c>
      <c r="I361" s="7" t="s">
        <v>17</v>
      </c>
      <c r="J361" s="7" t="s">
        <v>637</v>
      </c>
    </row>
    <row r="362" spans="1:10" x14ac:dyDescent="0.25" outlineLevel="3" collapsed="1">
      <c r="A362" s="7" t="s">
        <v>15</v>
      </c>
      <c r="B362" s="7" t="s">
        <v>16</v>
      </c>
      <c r="C362" s="7" t="s">
        <v>17</v>
      </c>
      <c r="D362" s="7"/>
      <c r="E362" s="7" t="s">
        <v>638</v>
      </c>
      <c r="F362" s="7" t="s">
        <v>19</v>
      </c>
      <c r="G362" s="7" t="s">
        <v>31</v>
      </c>
      <c r="H362" s="7" t="s">
        <v>17</v>
      </c>
      <c r="I362" s="7" t="s">
        <v>17</v>
      </c>
      <c r="J362" s="7" t="s">
        <v>640</v>
      </c>
    </row>
    <row r="363" spans="1:10" x14ac:dyDescent="0.25" outlineLevel="3" collapsed="1">
      <c r="A363" s="7" t="s">
        <v>15</v>
      </c>
      <c r="B363" s="7" t="s">
        <v>16</v>
      </c>
      <c r="C363" s="7" t="s">
        <v>17</v>
      </c>
      <c r="D363" s="7"/>
      <c r="E363" s="7" t="s">
        <v>9</v>
      </c>
      <c r="F363" s="7" t="s">
        <v>19</v>
      </c>
      <c r="G363" s="7" t="s">
        <v>31</v>
      </c>
      <c r="H363" s="7" t="s">
        <v>17</v>
      </c>
      <c r="I363" s="7" t="s">
        <v>17</v>
      </c>
      <c r="J363" s="7" t="s">
        <v>843</v>
      </c>
    </row>
    <row r="364" spans="1:10" x14ac:dyDescent="0.25" outlineLevel="3" collapsed="1">
      <c r="A364" s="7" t="s">
        <v>19</v>
      </c>
      <c r="B364" s="7" t="s">
        <v>16</v>
      </c>
      <c r="C364" s="7" t="s">
        <v>17</v>
      </c>
      <c r="D364" s="7"/>
      <c r="E364" s="7" t="s">
        <v>1600</v>
      </c>
      <c r="F364" s="7" t="s">
        <v>19</v>
      </c>
      <c r="G364" s="7" t="s">
        <v>31</v>
      </c>
      <c r="H364" s="7" t="s">
        <v>17</v>
      </c>
      <c r="I364" s="7" t="s">
        <v>17</v>
      </c>
      <c r="J364" s="7" t="s">
        <v>1424</v>
      </c>
    </row>
    <row r="365" spans="1:10" x14ac:dyDescent="0.25" outlineLevel="3" collapsed="1">
      <c r="A365" s="7" t="s">
        <v>15</v>
      </c>
      <c r="B365" s="7" t="s">
        <v>16</v>
      </c>
      <c r="C365" s="7" t="s">
        <v>17</v>
      </c>
      <c r="D365" s="7"/>
      <c r="E365" s="7" t="s">
        <v>1601</v>
      </c>
      <c r="F365" s="7" t="s">
        <v>19</v>
      </c>
      <c r="G365" s="7" t="s">
        <v>31</v>
      </c>
      <c r="H365" s="7" t="s">
        <v>17</v>
      </c>
      <c r="I365" s="7" t="s">
        <v>17</v>
      </c>
      <c r="J365" s="7" t="s">
        <v>1602</v>
      </c>
    </row>
    <row r="366" spans="1:10" x14ac:dyDescent="0.25" outlineLevel="3" collapsed="1">
      <c r="A366" s="7" t="s">
        <v>15</v>
      </c>
      <c r="B366" s="7" t="s">
        <v>16</v>
      </c>
      <c r="C366" s="7" t="s">
        <v>17</v>
      </c>
      <c r="D366" s="7"/>
      <c r="E366" s="7" t="s">
        <v>1603</v>
      </c>
      <c r="F366" s="7" t="s">
        <v>19</v>
      </c>
      <c r="G366" s="7" t="s">
        <v>31</v>
      </c>
      <c r="H366" s="7" t="s">
        <v>17</v>
      </c>
      <c r="I366" s="7" t="s">
        <v>17</v>
      </c>
      <c r="J366" s="7" t="s">
        <v>1422</v>
      </c>
    </row>
    <row r="367" spans="1:10" x14ac:dyDescent="0.25" outlineLevel="3" collapsed="1">
      <c r="A367" s="7" t="s">
        <v>15</v>
      </c>
      <c r="B367" s="7" t="s">
        <v>284</v>
      </c>
      <c r="C367" s="11" t="s">
        <v>1604</v>
      </c>
      <c r="D367" s="7"/>
      <c r="E367" s="7" t="s">
        <v>1605</v>
      </c>
      <c r="F367" s="7" t="s">
        <v>19</v>
      </c>
      <c r="G367" s="7" t="s">
        <v>1606</v>
      </c>
      <c r="H367" s="7" t="s">
        <v>17</v>
      </c>
      <c r="I367" s="7" t="s">
        <v>17</v>
      </c>
      <c r="J367" s="7" t="s">
        <v>1607</v>
      </c>
    </row>
    <row r="368" spans="1:10" x14ac:dyDescent="0.25" outlineLevel="3" collapsed="1">
      <c r="A368" s="7" t="s">
        <v>19</v>
      </c>
      <c r="B368" s="7" t="s">
        <v>63</v>
      </c>
      <c r="C368" s="7" t="s">
        <v>17</v>
      </c>
      <c r="D368" s="7">
        <f>EXACT(G367,"Single value")</f>
      </c>
      <c r="E368" s="7" t="s">
        <v>1608</v>
      </c>
      <c r="F368" s="7" t="s">
        <v>19</v>
      </c>
      <c r="G368" s="7">
        <v>1</v>
      </c>
      <c r="H368" s="7" t="s">
        <v>17</v>
      </c>
      <c r="I368" s="7" t="s">
        <v>17</v>
      </c>
      <c r="J368" s="7" t="s">
        <v>1609</v>
      </c>
    </row>
    <row r="369" spans="1:10" x14ac:dyDescent="0.25" outlineLevel="3" collapsed="1">
      <c r="A369" s="7" t="s">
        <v>15</v>
      </c>
      <c r="B369" s="7" t="s">
        <v>16</v>
      </c>
      <c r="C369" s="7" t="s">
        <v>17</v>
      </c>
      <c r="D369" s="7"/>
      <c r="E369" s="7" t="s">
        <v>1610</v>
      </c>
      <c r="F369" s="7" t="s">
        <v>19</v>
      </c>
      <c r="G369" s="7" t="s">
        <v>31</v>
      </c>
      <c r="H369" s="7" t="s">
        <v>17</v>
      </c>
      <c r="I369" s="7" t="s">
        <v>17</v>
      </c>
      <c r="J369" s="7" t="s">
        <v>1191</v>
      </c>
    </row>
    <row r="370" spans="1:10" x14ac:dyDescent="0.25" outlineLevel="3" collapsed="1">
      <c r="A370" s="7" t="s">
        <v>15</v>
      </c>
      <c r="B370" s="7" t="s">
        <v>284</v>
      </c>
      <c r="C370" s="11" t="s">
        <v>1611</v>
      </c>
      <c r="D370" s="7"/>
      <c r="E370" s="7" t="s">
        <v>1612</v>
      </c>
      <c r="F370" s="7" t="s">
        <v>19</v>
      </c>
      <c r="G370" s="7" t="s">
        <v>1613</v>
      </c>
      <c r="H370" s="7" t="s">
        <v>17</v>
      </c>
      <c r="I370" s="7" t="s">
        <v>17</v>
      </c>
      <c r="J370" s="7" t="s">
        <v>1614</v>
      </c>
    </row>
    <row r="371" spans="1:10" x14ac:dyDescent="0.25" outlineLevel="3" collapsed="1">
      <c r="A371" s="7" t="s">
        <v>19</v>
      </c>
      <c r="B371" s="7" t="s">
        <v>16</v>
      </c>
      <c r="C371" s="7" t="s">
        <v>17</v>
      </c>
      <c r="D371" s="7"/>
      <c r="E371" s="7" t="s">
        <v>1615</v>
      </c>
      <c r="F371" s="7" t="s">
        <v>19</v>
      </c>
      <c r="G371" s="7" t="s">
        <v>31</v>
      </c>
      <c r="H371" s="7" t="s">
        <v>17</v>
      </c>
      <c r="I371" s="7" t="s">
        <v>17</v>
      </c>
      <c r="J371" s="7" t="s">
        <v>1616</v>
      </c>
    </row>
    <row r="372" spans="1:10" x14ac:dyDescent="0.25" outlineLevel="2" collapsed="1">
      <c r="A372" s="8" t="s">
        <v>19</v>
      </c>
      <c r="B372" s="9" t="s">
        <v>1597</v>
      </c>
      <c r="C372" s="8" t="s">
        <v>17</v>
      </c>
      <c r="D372" s="8"/>
      <c r="E372" s="8" t="s">
        <v>1621</v>
      </c>
      <c r="F372" s="8" t="s">
        <v>19</v>
      </c>
      <c r="G372" s="8" t="s">
        <v>17</v>
      </c>
      <c r="H372" s="8" t="s">
        <v>17</v>
      </c>
      <c r="I372" s="8" t="s">
        <v>17</v>
      </c>
      <c r="J372" s="8" t="s">
        <v>1622</v>
      </c>
    </row>
    <row r="373" spans="1:10" x14ac:dyDescent="0.25" outlineLevel="3" collapsed="1">
      <c r="A373" s="7" t="s">
        <v>15</v>
      </c>
      <c r="B373" s="7" t="s">
        <v>16</v>
      </c>
      <c r="C373" s="7" t="s">
        <v>17</v>
      </c>
      <c r="D373" s="7"/>
      <c r="E373" s="7" t="s">
        <v>1431</v>
      </c>
      <c r="F373" s="7" t="s">
        <v>19</v>
      </c>
      <c r="G373" s="7" t="s">
        <v>31</v>
      </c>
      <c r="H373" s="7" t="s">
        <v>17</v>
      </c>
      <c r="I373" s="7" t="s">
        <v>17</v>
      </c>
      <c r="J373" s="7" t="s">
        <v>637</v>
      </c>
    </row>
    <row r="374" spans="1:10" x14ac:dyDescent="0.25" outlineLevel="3" collapsed="1">
      <c r="A374" s="7" t="s">
        <v>15</v>
      </c>
      <c r="B374" s="7" t="s">
        <v>16</v>
      </c>
      <c r="C374" s="7" t="s">
        <v>17</v>
      </c>
      <c r="D374" s="7"/>
      <c r="E374" s="7" t="s">
        <v>638</v>
      </c>
      <c r="F374" s="7" t="s">
        <v>19</v>
      </c>
      <c r="G374" s="7" t="s">
        <v>31</v>
      </c>
      <c r="H374" s="7" t="s">
        <v>17</v>
      </c>
      <c r="I374" s="7" t="s">
        <v>17</v>
      </c>
      <c r="J374" s="7" t="s">
        <v>640</v>
      </c>
    </row>
    <row r="375" spans="1:10" x14ac:dyDescent="0.25" outlineLevel="3" collapsed="1">
      <c r="A375" s="7" t="s">
        <v>15</v>
      </c>
      <c r="B375" s="7" t="s">
        <v>16</v>
      </c>
      <c r="C375" s="7" t="s">
        <v>17</v>
      </c>
      <c r="D375" s="7"/>
      <c r="E375" s="7" t="s">
        <v>9</v>
      </c>
      <c r="F375" s="7" t="s">
        <v>19</v>
      </c>
      <c r="G375" s="7" t="s">
        <v>31</v>
      </c>
      <c r="H375" s="7" t="s">
        <v>17</v>
      </c>
      <c r="I375" s="7" t="s">
        <v>17</v>
      </c>
      <c r="J375" s="7" t="s">
        <v>843</v>
      </c>
    </row>
    <row r="376" spans="1:10" x14ac:dyDescent="0.25" outlineLevel="3" collapsed="1">
      <c r="A376" s="7" t="s">
        <v>19</v>
      </c>
      <c r="B376" s="7" t="s">
        <v>16</v>
      </c>
      <c r="C376" s="7" t="s">
        <v>17</v>
      </c>
      <c r="D376" s="7"/>
      <c r="E376" s="7" t="s">
        <v>1600</v>
      </c>
      <c r="F376" s="7" t="s">
        <v>19</v>
      </c>
      <c r="G376" s="7" t="s">
        <v>31</v>
      </c>
      <c r="H376" s="7" t="s">
        <v>17</v>
      </c>
      <c r="I376" s="7" t="s">
        <v>17</v>
      </c>
      <c r="J376" s="7" t="s">
        <v>1424</v>
      </c>
    </row>
    <row r="377" spans="1:10" x14ac:dyDescent="0.25" outlineLevel="3" collapsed="1">
      <c r="A377" s="7" t="s">
        <v>15</v>
      </c>
      <c r="B377" s="7" t="s">
        <v>16</v>
      </c>
      <c r="C377" s="7" t="s">
        <v>17</v>
      </c>
      <c r="D377" s="7"/>
      <c r="E377" s="7" t="s">
        <v>1601</v>
      </c>
      <c r="F377" s="7" t="s">
        <v>19</v>
      </c>
      <c r="G377" s="7" t="s">
        <v>31</v>
      </c>
      <c r="H377" s="7" t="s">
        <v>17</v>
      </c>
      <c r="I377" s="7" t="s">
        <v>17</v>
      </c>
      <c r="J377" s="7" t="s">
        <v>1602</v>
      </c>
    </row>
    <row r="378" spans="1:10" x14ac:dyDescent="0.25" outlineLevel="3" collapsed="1">
      <c r="A378" s="7" t="s">
        <v>15</v>
      </c>
      <c r="B378" s="7" t="s">
        <v>16</v>
      </c>
      <c r="C378" s="7" t="s">
        <v>17</v>
      </c>
      <c r="D378" s="7"/>
      <c r="E378" s="7" t="s">
        <v>1603</v>
      </c>
      <c r="F378" s="7" t="s">
        <v>19</v>
      </c>
      <c r="G378" s="7" t="s">
        <v>31</v>
      </c>
      <c r="H378" s="7" t="s">
        <v>17</v>
      </c>
      <c r="I378" s="7" t="s">
        <v>17</v>
      </c>
      <c r="J378" s="7" t="s">
        <v>1422</v>
      </c>
    </row>
    <row r="379" spans="1:10" x14ac:dyDescent="0.25" outlineLevel="3" collapsed="1">
      <c r="A379" s="7" t="s">
        <v>15</v>
      </c>
      <c r="B379" s="7" t="s">
        <v>284</v>
      </c>
      <c r="C379" s="11" t="s">
        <v>1604</v>
      </c>
      <c r="D379" s="7"/>
      <c r="E379" s="7" t="s">
        <v>1605</v>
      </c>
      <c r="F379" s="7" t="s">
        <v>19</v>
      </c>
      <c r="G379" s="7" t="s">
        <v>1606</v>
      </c>
      <c r="H379" s="7" t="s">
        <v>17</v>
      </c>
      <c r="I379" s="7" t="s">
        <v>17</v>
      </c>
      <c r="J379" s="7" t="s">
        <v>1607</v>
      </c>
    </row>
    <row r="380" spans="1:10" x14ac:dyDescent="0.25" outlineLevel="3" collapsed="1">
      <c r="A380" s="7" t="s">
        <v>19</v>
      </c>
      <c r="B380" s="7" t="s">
        <v>63</v>
      </c>
      <c r="C380" s="7" t="s">
        <v>17</v>
      </c>
      <c r="D380" s="7">
        <f>EXACT(G379,"Single value")</f>
      </c>
      <c r="E380" s="7" t="s">
        <v>1608</v>
      </c>
      <c r="F380" s="7" t="s">
        <v>19</v>
      </c>
      <c r="G380" s="7">
        <v>1</v>
      </c>
      <c r="H380" s="7" t="s">
        <v>17</v>
      </c>
      <c r="I380" s="7" t="s">
        <v>17</v>
      </c>
      <c r="J380" s="7" t="s">
        <v>1609</v>
      </c>
    </row>
    <row r="381" spans="1:10" x14ac:dyDescent="0.25" outlineLevel="3" collapsed="1">
      <c r="A381" s="7" t="s">
        <v>15</v>
      </c>
      <c r="B381" s="7" t="s">
        <v>16</v>
      </c>
      <c r="C381" s="7" t="s">
        <v>17</v>
      </c>
      <c r="D381" s="7"/>
      <c r="E381" s="7" t="s">
        <v>1610</v>
      </c>
      <c r="F381" s="7" t="s">
        <v>19</v>
      </c>
      <c r="G381" s="7" t="s">
        <v>31</v>
      </c>
      <c r="H381" s="7" t="s">
        <v>17</v>
      </c>
      <c r="I381" s="7" t="s">
        <v>17</v>
      </c>
      <c r="J381" s="7" t="s">
        <v>1191</v>
      </c>
    </row>
    <row r="382" spans="1:10" x14ac:dyDescent="0.25" outlineLevel="3" collapsed="1">
      <c r="A382" s="7" t="s">
        <v>15</v>
      </c>
      <c r="B382" s="7" t="s">
        <v>284</v>
      </c>
      <c r="C382" s="11" t="s">
        <v>1611</v>
      </c>
      <c r="D382" s="7"/>
      <c r="E382" s="7" t="s">
        <v>1612</v>
      </c>
      <c r="F382" s="7" t="s">
        <v>19</v>
      </c>
      <c r="G382" s="7" t="s">
        <v>1613</v>
      </c>
      <c r="H382" s="7" t="s">
        <v>17</v>
      </c>
      <c r="I382" s="7" t="s">
        <v>17</v>
      </c>
      <c r="J382" s="7" t="s">
        <v>1614</v>
      </c>
    </row>
    <row r="383" spans="1:10" x14ac:dyDescent="0.25" outlineLevel="3" collapsed="1">
      <c r="A383" s="7" t="s">
        <v>19</v>
      </c>
      <c r="B383" s="7" t="s">
        <v>16</v>
      </c>
      <c r="C383" s="7" t="s">
        <v>17</v>
      </c>
      <c r="D383" s="7"/>
      <c r="E383" s="7" t="s">
        <v>1615</v>
      </c>
      <c r="F383" s="7" t="s">
        <v>19</v>
      </c>
      <c r="G383" s="7" t="s">
        <v>31</v>
      </c>
      <c r="H383" s="7" t="s">
        <v>17</v>
      </c>
      <c r="I383" s="7" t="s">
        <v>17</v>
      </c>
      <c r="J383" s="7" t="s">
        <v>1616</v>
      </c>
    </row>
    <row r="384" spans="1:10" x14ac:dyDescent="0.25" outlineLevel="2" collapsed="1">
      <c r="A384" s="8" t="s">
        <v>15</v>
      </c>
      <c r="B384" s="9" t="s">
        <v>1597</v>
      </c>
      <c r="C384" s="8" t="s">
        <v>17</v>
      </c>
      <c r="D384" s="8"/>
      <c r="E384" s="8" t="s">
        <v>1623</v>
      </c>
      <c r="F384" s="8" t="s">
        <v>19</v>
      </c>
      <c r="G384" s="8" t="s">
        <v>17</v>
      </c>
      <c r="H384" s="8" t="s">
        <v>17</v>
      </c>
      <c r="I384" s="8" t="s">
        <v>17</v>
      </c>
      <c r="J384" s="8" t="s">
        <v>1624</v>
      </c>
    </row>
    <row r="385" spans="1:10" x14ac:dyDescent="0.25" outlineLevel="3" collapsed="1">
      <c r="A385" s="7" t="s">
        <v>15</v>
      </c>
      <c r="B385" s="7" t="s">
        <v>16</v>
      </c>
      <c r="C385" s="7" t="s">
        <v>17</v>
      </c>
      <c r="D385" s="7"/>
      <c r="E385" s="7" t="s">
        <v>1431</v>
      </c>
      <c r="F385" s="7" t="s">
        <v>19</v>
      </c>
      <c r="G385" s="7" t="s">
        <v>31</v>
      </c>
      <c r="H385" s="7" t="s">
        <v>17</v>
      </c>
      <c r="I385" s="7" t="s">
        <v>17</v>
      </c>
      <c r="J385" s="7" t="s">
        <v>637</v>
      </c>
    </row>
    <row r="386" spans="1:10" x14ac:dyDescent="0.25" outlineLevel="3" collapsed="1">
      <c r="A386" s="7" t="s">
        <v>15</v>
      </c>
      <c r="B386" s="7" t="s">
        <v>16</v>
      </c>
      <c r="C386" s="7" t="s">
        <v>17</v>
      </c>
      <c r="D386" s="7"/>
      <c r="E386" s="7" t="s">
        <v>638</v>
      </c>
      <c r="F386" s="7" t="s">
        <v>19</v>
      </c>
      <c r="G386" s="7" t="s">
        <v>31</v>
      </c>
      <c r="H386" s="7" t="s">
        <v>17</v>
      </c>
      <c r="I386" s="7" t="s">
        <v>17</v>
      </c>
      <c r="J386" s="7" t="s">
        <v>640</v>
      </c>
    </row>
    <row r="387" spans="1:10" x14ac:dyDescent="0.25" outlineLevel="3" collapsed="1">
      <c r="A387" s="7" t="s">
        <v>15</v>
      </c>
      <c r="B387" s="7" t="s">
        <v>16</v>
      </c>
      <c r="C387" s="7" t="s">
        <v>17</v>
      </c>
      <c r="D387" s="7"/>
      <c r="E387" s="7" t="s">
        <v>9</v>
      </c>
      <c r="F387" s="7" t="s">
        <v>19</v>
      </c>
      <c r="G387" s="7" t="s">
        <v>31</v>
      </c>
      <c r="H387" s="7" t="s">
        <v>17</v>
      </c>
      <c r="I387" s="7" t="s">
        <v>17</v>
      </c>
      <c r="J387" s="7" t="s">
        <v>843</v>
      </c>
    </row>
    <row r="388" spans="1:10" x14ac:dyDescent="0.25" outlineLevel="3" collapsed="1">
      <c r="A388" s="7" t="s">
        <v>19</v>
      </c>
      <c r="B388" s="7" t="s">
        <v>16</v>
      </c>
      <c r="C388" s="7" t="s">
        <v>17</v>
      </c>
      <c r="D388" s="7"/>
      <c r="E388" s="7" t="s">
        <v>1600</v>
      </c>
      <c r="F388" s="7" t="s">
        <v>19</v>
      </c>
      <c r="G388" s="7" t="s">
        <v>31</v>
      </c>
      <c r="H388" s="7" t="s">
        <v>17</v>
      </c>
      <c r="I388" s="7" t="s">
        <v>17</v>
      </c>
      <c r="J388" s="7" t="s">
        <v>1424</v>
      </c>
    </row>
    <row r="389" spans="1:10" x14ac:dyDescent="0.25" outlineLevel="3" collapsed="1">
      <c r="A389" s="7" t="s">
        <v>15</v>
      </c>
      <c r="B389" s="7" t="s">
        <v>16</v>
      </c>
      <c r="C389" s="7" t="s">
        <v>17</v>
      </c>
      <c r="D389" s="7"/>
      <c r="E389" s="7" t="s">
        <v>1601</v>
      </c>
      <c r="F389" s="7" t="s">
        <v>19</v>
      </c>
      <c r="G389" s="7" t="s">
        <v>31</v>
      </c>
      <c r="H389" s="7" t="s">
        <v>17</v>
      </c>
      <c r="I389" s="7" t="s">
        <v>17</v>
      </c>
      <c r="J389" s="7" t="s">
        <v>1602</v>
      </c>
    </row>
    <row r="390" spans="1:10" x14ac:dyDescent="0.25" outlineLevel="3" collapsed="1">
      <c r="A390" s="7" t="s">
        <v>15</v>
      </c>
      <c r="B390" s="7" t="s">
        <v>16</v>
      </c>
      <c r="C390" s="7" t="s">
        <v>17</v>
      </c>
      <c r="D390" s="7"/>
      <c r="E390" s="7" t="s">
        <v>1603</v>
      </c>
      <c r="F390" s="7" t="s">
        <v>19</v>
      </c>
      <c r="G390" s="7" t="s">
        <v>31</v>
      </c>
      <c r="H390" s="7" t="s">
        <v>17</v>
      </c>
      <c r="I390" s="7" t="s">
        <v>17</v>
      </c>
      <c r="J390" s="7" t="s">
        <v>1422</v>
      </c>
    </row>
    <row r="391" spans="1:10" x14ac:dyDescent="0.25" outlineLevel="3" collapsed="1">
      <c r="A391" s="7" t="s">
        <v>15</v>
      </c>
      <c r="B391" s="7" t="s">
        <v>284</v>
      </c>
      <c r="C391" s="11" t="s">
        <v>1604</v>
      </c>
      <c r="D391" s="7"/>
      <c r="E391" s="7" t="s">
        <v>1605</v>
      </c>
      <c r="F391" s="7" t="s">
        <v>19</v>
      </c>
      <c r="G391" s="7" t="s">
        <v>1606</v>
      </c>
      <c r="H391" s="7" t="s">
        <v>17</v>
      </c>
      <c r="I391" s="7" t="s">
        <v>17</v>
      </c>
      <c r="J391" s="7" t="s">
        <v>1607</v>
      </c>
    </row>
    <row r="392" spans="1:10" x14ac:dyDescent="0.25" outlineLevel="3" collapsed="1">
      <c r="A392" s="7" t="s">
        <v>19</v>
      </c>
      <c r="B392" s="7" t="s">
        <v>63</v>
      </c>
      <c r="C392" s="7" t="s">
        <v>17</v>
      </c>
      <c r="D392" s="7">
        <f>EXACT(G391,"Single value")</f>
      </c>
      <c r="E392" s="7" t="s">
        <v>1608</v>
      </c>
      <c r="F392" s="7" t="s">
        <v>19</v>
      </c>
      <c r="G392" s="7">
        <v>1</v>
      </c>
      <c r="H392" s="7" t="s">
        <v>17</v>
      </c>
      <c r="I392" s="7" t="s">
        <v>17</v>
      </c>
      <c r="J392" s="7" t="s">
        <v>1609</v>
      </c>
    </row>
    <row r="393" spans="1:10" x14ac:dyDescent="0.25" outlineLevel="3" collapsed="1">
      <c r="A393" s="7" t="s">
        <v>15</v>
      </c>
      <c r="B393" s="7" t="s">
        <v>16</v>
      </c>
      <c r="C393" s="7" t="s">
        <v>17</v>
      </c>
      <c r="D393" s="7"/>
      <c r="E393" s="7" t="s">
        <v>1610</v>
      </c>
      <c r="F393" s="7" t="s">
        <v>19</v>
      </c>
      <c r="G393" s="7" t="s">
        <v>31</v>
      </c>
      <c r="H393" s="7" t="s">
        <v>17</v>
      </c>
      <c r="I393" s="7" t="s">
        <v>17</v>
      </c>
      <c r="J393" s="7" t="s">
        <v>1191</v>
      </c>
    </row>
    <row r="394" spans="1:10" x14ac:dyDescent="0.25" outlineLevel="3" collapsed="1">
      <c r="A394" s="7" t="s">
        <v>15</v>
      </c>
      <c r="B394" s="7" t="s">
        <v>284</v>
      </c>
      <c r="C394" s="11" t="s">
        <v>1611</v>
      </c>
      <c r="D394" s="7"/>
      <c r="E394" s="7" t="s">
        <v>1612</v>
      </c>
      <c r="F394" s="7" t="s">
        <v>19</v>
      </c>
      <c r="G394" s="7" t="s">
        <v>1613</v>
      </c>
      <c r="H394" s="7" t="s">
        <v>17</v>
      </c>
      <c r="I394" s="7" t="s">
        <v>17</v>
      </c>
      <c r="J394" s="7" t="s">
        <v>1614</v>
      </c>
    </row>
    <row r="395" spans="1:10" x14ac:dyDescent="0.25" outlineLevel="3" collapsed="1">
      <c r="A395" s="7" t="s">
        <v>19</v>
      </c>
      <c r="B395" s="7" t="s">
        <v>16</v>
      </c>
      <c r="C395" s="7" t="s">
        <v>17</v>
      </c>
      <c r="D395" s="7"/>
      <c r="E395" s="7" t="s">
        <v>1615</v>
      </c>
      <c r="F395" s="7" t="s">
        <v>19</v>
      </c>
      <c r="G395" s="7" t="s">
        <v>31</v>
      </c>
      <c r="H395" s="7" t="s">
        <v>17</v>
      </c>
      <c r="I395" s="7" t="s">
        <v>17</v>
      </c>
      <c r="J395" s="7" t="s">
        <v>1616</v>
      </c>
    </row>
    <row r="396" spans="1:10" x14ac:dyDescent="0.25" outlineLevel="2" collapsed="1">
      <c r="A396" s="8" t="s">
        <v>15</v>
      </c>
      <c r="B396" s="9" t="s">
        <v>1597</v>
      </c>
      <c r="C396" s="8" t="s">
        <v>17</v>
      </c>
      <c r="D396" s="8"/>
      <c r="E396" s="8" t="s">
        <v>1625</v>
      </c>
      <c r="F396" s="8" t="s">
        <v>19</v>
      </c>
      <c r="G396" s="8" t="s">
        <v>17</v>
      </c>
      <c r="H396" s="8" t="s">
        <v>17</v>
      </c>
      <c r="I396" s="8" t="s">
        <v>17</v>
      </c>
      <c r="J396" s="8" t="s">
        <v>1626</v>
      </c>
    </row>
    <row r="397" spans="1:10" x14ac:dyDescent="0.25" outlineLevel="3" collapsed="1">
      <c r="A397" s="7" t="s">
        <v>15</v>
      </c>
      <c r="B397" s="7" t="s">
        <v>16</v>
      </c>
      <c r="C397" s="7" t="s">
        <v>17</v>
      </c>
      <c r="D397" s="7"/>
      <c r="E397" s="7" t="s">
        <v>1431</v>
      </c>
      <c r="F397" s="7" t="s">
        <v>19</v>
      </c>
      <c r="G397" s="7" t="s">
        <v>31</v>
      </c>
      <c r="H397" s="7" t="s">
        <v>17</v>
      </c>
      <c r="I397" s="7" t="s">
        <v>17</v>
      </c>
      <c r="J397" s="7" t="s">
        <v>637</v>
      </c>
    </row>
    <row r="398" spans="1:10" x14ac:dyDescent="0.25" outlineLevel="3" collapsed="1">
      <c r="A398" s="7" t="s">
        <v>15</v>
      </c>
      <c r="B398" s="7" t="s">
        <v>16</v>
      </c>
      <c r="C398" s="7" t="s">
        <v>17</v>
      </c>
      <c r="D398" s="7"/>
      <c r="E398" s="7" t="s">
        <v>638</v>
      </c>
      <c r="F398" s="7" t="s">
        <v>19</v>
      </c>
      <c r="G398" s="7" t="s">
        <v>31</v>
      </c>
      <c r="H398" s="7" t="s">
        <v>17</v>
      </c>
      <c r="I398" s="7" t="s">
        <v>17</v>
      </c>
      <c r="J398" s="7" t="s">
        <v>640</v>
      </c>
    </row>
    <row r="399" spans="1:10" x14ac:dyDescent="0.25" outlineLevel="3" collapsed="1">
      <c r="A399" s="7" t="s">
        <v>15</v>
      </c>
      <c r="B399" s="7" t="s">
        <v>16</v>
      </c>
      <c r="C399" s="7" t="s">
        <v>17</v>
      </c>
      <c r="D399" s="7"/>
      <c r="E399" s="7" t="s">
        <v>9</v>
      </c>
      <c r="F399" s="7" t="s">
        <v>19</v>
      </c>
      <c r="G399" s="7" t="s">
        <v>31</v>
      </c>
      <c r="H399" s="7" t="s">
        <v>17</v>
      </c>
      <c r="I399" s="7" t="s">
        <v>17</v>
      </c>
      <c r="J399" s="7" t="s">
        <v>843</v>
      </c>
    </row>
    <row r="400" spans="1:10" x14ac:dyDescent="0.25" outlineLevel="3" collapsed="1">
      <c r="A400" s="7" t="s">
        <v>19</v>
      </c>
      <c r="B400" s="7" t="s">
        <v>16</v>
      </c>
      <c r="C400" s="7" t="s">
        <v>17</v>
      </c>
      <c r="D400" s="7"/>
      <c r="E400" s="7" t="s">
        <v>1600</v>
      </c>
      <c r="F400" s="7" t="s">
        <v>19</v>
      </c>
      <c r="G400" s="7" t="s">
        <v>31</v>
      </c>
      <c r="H400" s="7" t="s">
        <v>17</v>
      </c>
      <c r="I400" s="7" t="s">
        <v>17</v>
      </c>
      <c r="J400" s="7" t="s">
        <v>1424</v>
      </c>
    </row>
    <row r="401" spans="1:10" x14ac:dyDescent="0.25" outlineLevel="3" collapsed="1">
      <c r="A401" s="7" t="s">
        <v>15</v>
      </c>
      <c r="B401" s="7" t="s">
        <v>16</v>
      </c>
      <c r="C401" s="7" t="s">
        <v>17</v>
      </c>
      <c r="D401" s="7"/>
      <c r="E401" s="7" t="s">
        <v>1601</v>
      </c>
      <c r="F401" s="7" t="s">
        <v>19</v>
      </c>
      <c r="G401" s="7" t="s">
        <v>31</v>
      </c>
      <c r="H401" s="7" t="s">
        <v>17</v>
      </c>
      <c r="I401" s="7" t="s">
        <v>17</v>
      </c>
      <c r="J401" s="7" t="s">
        <v>1602</v>
      </c>
    </row>
    <row r="402" spans="1:10" x14ac:dyDescent="0.25" outlineLevel="3" collapsed="1">
      <c r="A402" s="7" t="s">
        <v>15</v>
      </c>
      <c r="B402" s="7" t="s">
        <v>16</v>
      </c>
      <c r="C402" s="7" t="s">
        <v>17</v>
      </c>
      <c r="D402" s="7"/>
      <c r="E402" s="7" t="s">
        <v>1603</v>
      </c>
      <c r="F402" s="7" t="s">
        <v>19</v>
      </c>
      <c r="G402" s="7" t="s">
        <v>31</v>
      </c>
      <c r="H402" s="7" t="s">
        <v>17</v>
      </c>
      <c r="I402" s="7" t="s">
        <v>17</v>
      </c>
      <c r="J402" s="7" t="s">
        <v>1422</v>
      </c>
    </row>
    <row r="403" spans="1:10" x14ac:dyDescent="0.25" outlineLevel="3" collapsed="1">
      <c r="A403" s="7" t="s">
        <v>15</v>
      </c>
      <c r="B403" s="7" t="s">
        <v>284</v>
      </c>
      <c r="C403" s="11" t="s">
        <v>1604</v>
      </c>
      <c r="D403" s="7"/>
      <c r="E403" s="7" t="s">
        <v>1605</v>
      </c>
      <c r="F403" s="7" t="s">
        <v>19</v>
      </c>
      <c r="G403" s="7" t="s">
        <v>1606</v>
      </c>
      <c r="H403" s="7" t="s">
        <v>17</v>
      </c>
      <c r="I403" s="7" t="s">
        <v>17</v>
      </c>
      <c r="J403" s="7" t="s">
        <v>1607</v>
      </c>
    </row>
    <row r="404" spans="1:10" x14ac:dyDescent="0.25" outlineLevel="3" collapsed="1">
      <c r="A404" s="7" t="s">
        <v>19</v>
      </c>
      <c r="B404" s="7" t="s">
        <v>63</v>
      </c>
      <c r="C404" s="7" t="s">
        <v>17</v>
      </c>
      <c r="D404" s="7">
        <f>EXACT(G403,"Single value")</f>
      </c>
      <c r="E404" s="7" t="s">
        <v>1608</v>
      </c>
      <c r="F404" s="7" t="s">
        <v>19</v>
      </c>
      <c r="G404" s="7">
        <v>1</v>
      </c>
      <c r="H404" s="7" t="s">
        <v>17</v>
      </c>
      <c r="I404" s="7" t="s">
        <v>17</v>
      </c>
      <c r="J404" s="7" t="s">
        <v>1609</v>
      </c>
    </row>
    <row r="405" spans="1:10" x14ac:dyDescent="0.25" outlineLevel="3" collapsed="1">
      <c r="A405" s="7" t="s">
        <v>15</v>
      </c>
      <c r="B405" s="7" t="s">
        <v>16</v>
      </c>
      <c r="C405" s="7" t="s">
        <v>17</v>
      </c>
      <c r="D405" s="7"/>
      <c r="E405" s="7" t="s">
        <v>1610</v>
      </c>
      <c r="F405" s="7" t="s">
        <v>19</v>
      </c>
      <c r="G405" s="7" t="s">
        <v>31</v>
      </c>
      <c r="H405" s="7" t="s">
        <v>17</v>
      </c>
      <c r="I405" s="7" t="s">
        <v>17</v>
      </c>
      <c r="J405" s="7" t="s">
        <v>1191</v>
      </c>
    </row>
    <row r="406" spans="1:10" x14ac:dyDescent="0.25" outlineLevel="3" collapsed="1">
      <c r="A406" s="7" t="s">
        <v>15</v>
      </c>
      <c r="B406" s="7" t="s">
        <v>284</v>
      </c>
      <c r="C406" s="11" t="s">
        <v>1611</v>
      </c>
      <c r="D406" s="7"/>
      <c r="E406" s="7" t="s">
        <v>1612</v>
      </c>
      <c r="F406" s="7" t="s">
        <v>19</v>
      </c>
      <c r="G406" s="7" t="s">
        <v>1613</v>
      </c>
      <c r="H406" s="7" t="s">
        <v>17</v>
      </c>
      <c r="I406" s="7" t="s">
        <v>17</v>
      </c>
      <c r="J406" s="7" t="s">
        <v>1614</v>
      </c>
    </row>
    <row r="407" spans="1:10" x14ac:dyDescent="0.25" outlineLevel="3" collapsed="1">
      <c r="A407" s="7" t="s">
        <v>19</v>
      </c>
      <c r="B407" s="7" t="s">
        <v>16</v>
      </c>
      <c r="C407" s="7" t="s">
        <v>17</v>
      </c>
      <c r="D407" s="7"/>
      <c r="E407" s="7" t="s">
        <v>1615</v>
      </c>
      <c r="F407" s="7" t="s">
        <v>19</v>
      </c>
      <c r="G407" s="7" t="s">
        <v>31</v>
      </c>
      <c r="H407" s="7" t="s">
        <v>17</v>
      </c>
      <c r="I407" s="7" t="s">
        <v>17</v>
      </c>
      <c r="J407" s="7" t="s">
        <v>1616</v>
      </c>
    </row>
    <row r="408" spans="1:10" x14ac:dyDescent="0.25" outlineLevel="2" collapsed="1">
      <c r="A408" s="8" t="s">
        <v>19</v>
      </c>
      <c r="B408" s="9" t="s">
        <v>1597</v>
      </c>
      <c r="C408" s="8" t="s">
        <v>17</v>
      </c>
      <c r="D408" s="8"/>
      <c r="E408" s="8" t="s">
        <v>1627</v>
      </c>
      <c r="F408" s="8" t="s">
        <v>19</v>
      </c>
      <c r="G408" s="8" t="s">
        <v>17</v>
      </c>
      <c r="H408" s="8" t="s">
        <v>17</v>
      </c>
      <c r="I408" s="8" t="s">
        <v>17</v>
      </c>
      <c r="J408" s="8" t="s">
        <v>1628</v>
      </c>
    </row>
    <row r="409" spans="1:10" x14ac:dyDescent="0.25" outlineLevel="3" collapsed="1">
      <c r="A409" s="7" t="s">
        <v>15</v>
      </c>
      <c r="B409" s="7" t="s">
        <v>16</v>
      </c>
      <c r="C409" s="7" t="s">
        <v>17</v>
      </c>
      <c r="D409" s="7"/>
      <c r="E409" s="7" t="s">
        <v>1431</v>
      </c>
      <c r="F409" s="7" t="s">
        <v>19</v>
      </c>
      <c r="G409" s="7" t="s">
        <v>31</v>
      </c>
      <c r="H409" s="7" t="s">
        <v>17</v>
      </c>
      <c r="I409" s="7" t="s">
        <v>17</v>
      </c>
      <c r="J409" s="7" t="s">
        <v>637</v>
      </c>
    </row>
    <row r="410" spans="1:10" x14ac:dyDescent="0.25" outlineLevel="3" collapsed="1">
      <c r="A410" s="7" t="s">
        <v>15</v>
      </c>
      <c r="B410" s="7" t="s">
        <v>16</v>
      </c>
      <c r="C410" s="7" t="s">
        <v>17</v>
      </c>
      <c r="D410" s="7"/>
      <c r="E410" s="7" t="s">
        <v>638</v>
      </c>
      <c r="F410" s="7" t="s">
        <v>19</v>
      </c>
      <c r="G410" s="7" t="s">
        <v>31</v>
      </c>
      <c r="H410" s="7" t="s">
        <v>17</v>
      </c>
      <c r="I410" s="7" t="s">
        <v>17</v>
      </c>
      <c r="J410" s="7" t="s">
        <v>640</v>
      </c>
    </row>
    <row r="411" spans="1:10" x14ac:dyDescent="0.25" outlineLevel="3" collapsed="1">
      <c r="A411" s="7" t="s">
        <v>15</v>
      </c>
      <c r="B411" s="7" t="s">
        <v>16</v>
      </c>
      <c r="C411" s="7" t="s">
        <v>17</v>
      </c>
      <c r="D411" s="7"/>
      <c r="E411" s="7" t="s">
        <v>9</v>
      </c>
      <c r="F411" s="7" t="s">
        <v>19</v>
      </c>
      <c r="G411" s="7" t="s">
        <v>31</v>
      </c>
      <c r="H411" s="7" t="s">
        <v>17</v>
      </c>
      <c r="I411" s="7" t="s">
        <v>17</v>
      </c>
      <c r="J411" s="7" t="s">
        <v>843</v>
      </c>
    </row>
    <row r="412" spans="1:10" x14ac:dyDescent="0.25" outlineLevel="3" collapsed="1">
      <c r="A412" s="7" t="s">
        <v>19</v>
      </c>
      <c r="B412" s="7" t="s">
        <v>16</v>
      </c>
      <c r="C412" s="7" t="s">
        <v>17</v>
      </c>
      <c r="D412" s="7"/>
      <c r="E412" s="7" t="s">
        <v>1600</v>
      </c>
      <c r="F412" s="7" t="s">
        <v>19</v>
      </c>
      <c r="G412" s="7" t="s">
        <v>31</v>
      </c>
      <c r="H412" s="7" t="s">
        <v>17</v>
      </c>
      <c r="I412" s="7" t="s">
        <v>17</v>
      </c>
      <c r="J412" s="7" t="s">
        <v>1424</v>
      </c>
    </row>
    <row r="413" spans="1:10" x14ac:dyDescent="0.25" outlineLevel="3" collapsed="1">
      <c r="A413" s="7" t="s">
        <v>15</v>
      </c>
      <c r="B413" s="7" t="s">
        <v>16</v>
      </c>
      <c r="C413" s="7" t="s">
        <v>17</v>
      </c>
      <c r="D413" s="7"/>
      <c r="E413" s="7" t="s">
        <v>1601</v>
      </c>
      <c r="F413" s="7" t="s">
        <v>19</v>
      </c>
      <c r="G413" s="7" t="s">
        <v>31</v>
      </c>
      <c r="H413" s="7" t="s">
        <v>17</v>
      </c>
      <c r="I413" s="7" t="s">
        <v>17</v>
      </c>
      <c r="J413" s="7" t="s">
        <v>1602</v>
      </c>
    </row>
    <row r="414" spans="1:10" x14ac:dyDescent="0.25" outlineLevel="3" collapsed="1">
      <c r="A414" s="7" t="s">
        <v>15</v>
      </c>
      <c r="B414" s="7" t="s">
        <v>16</v>
      </c>
      <c r="C414" s="7" t="s">
        <v>17</v>
      </c>
      <c r="D414" s="7"/>
      <c r="E414" s="7" t="s">
        <v>1603</v>
      </c>
      <c r="F414" s="7" t="s">
        <v>19</v>
      </c>
      <c r="G414" s="7" t="s">
        <v>31</v>
      </c>
      <c r="H414" s="7" t="s">
        <v>17</v>
      </c>
      <c r="I414" s="7" t="s">
        <v>17</v>
      </c>
      <c r="J414" s="7" t="s">
        <v>1422</v>
      </c>
    </row>
    <row r="415" spans="1:10" x14ac:dyDescent="0.25" outlineLevel="3" collapsed="1">
      <c r="A415" s="7" t="s">
        <v>15</v>
      </c>
      <c r="B415" s="7" t="s">
        <v>284</v>
      </c>
      <c r="C415" s="11" t="s">
        <v>1604</v>
      </c>
      <c r="D415" s="7"/>
      <c r="E415" s="7" t="s">
        <v>1605</v>
      </c>
      <c r="F415" s="7" t="s">
        <v>19</v>
      </c>
      <c r="G415" s="7" t="s">
        <v>1606</v>
      </c>
      <c r="H415" s="7" t="s">
        <v>17</v>
      </c>
      <c r="I415" s="7" t="s">
        <v>17</v>
      </c>
      <c r="J415" s="7" t="s">
        <v>1607</v>
      </c>
    </row>
    <row r="416" spans="1:10" x14ac:dyDescent="0.25" outlineLevel="3" collapsed="1">
      <c r="A416" s="7" t="s">
        <v>19</v>
      </c>
      <c r="B416" s="7" t="s">
        <v>63</v>
      </c>
      <c r="C416" s="7" t="s">
        <v>17</v>
      </c>
      <c r="D416" s="7">
        <f>EXACT(G415,"Single value")</f>
      </c>
      <c r="E416" s="7" t="s">
        <v>1608</v>
      </c>
      <c r="F416" s="7" t="s">
        <v>19</v>
      </c>
      <c r="G416" s="7">
        <v>1</v>
      </c>
      <c r="H416" s="7" t="s">
        <v>17</v>
      </c>
      <c r="I416" s="7" t="s">
        <v>17</v>
      </c>
      <c r="J416" s="7" t="s">
        <v>1609</v>
      </c>
    </row>
    <row r="417" spans="1:10" x14ac:dyDescent="0.25" outlineLevel="3" collapsed="1">
      <c r="A417" s="7" t="s">
        <v>15</v>
      </c>
      <c r="B417" s="7" t="s">
        <v>16</v>
      </c>
      <c r="C417" s="7" t="s">
        <v>17</v>
      </c>
      <c r="D417" s="7"/>
      <c r="E417" s="7" t="s">
        <v>1610</v>
      </c>
      <c r="F417" s="7" t="s">
        <v>19</v>
      </c>
      <c r="G417" s="7" t="s">
        <v>31</v>
      </c>
      <c r="H417" s="7" t="s">
        <v>17</v>
      </c>
      <c r="I417" s="7" t="s">
        <v>17</v>
      </c>
      <c r="J417" s="7" t="s">
        <v>1191</v>
      </c>
    </row>
    <row r="418" spans="1:10" x14ac:dyDescent="0.25" outlineLevel="3" collapsed="1">
      <c r="A418" s="7" t="s">
        <v>15</v>
      </c>
      <c r="B418" s="7" t="s">
        <v>284</v>
      </c>
      <c r="C418" s="11" t="s">
        <v>1611</v>
      </c>
      <c r="D418" s="7"/>
      <c r="E418" s="7" t="s">
        <v>1612</v>
      </c>
      <c r="F418" s="7" t="s">
        <v>19</v>
      </c>
      <c r="G418" s="7" t="s">
        <v>1613</v>
      </c>
      <c r="H418" s="7" t="s">
        <v>17</v>
      </c>
      <c r="I418" s="7" t="s">
        <v>17</v>
      </c>
      <c r="J418" s="7" t="s">
        <v>1614</v>
      </c>
    </row>
    <row r="419" spans="1:10" x14ac:dyDescent="0.25" outlineLevel="3" collapsed="1">
      <c r="A419" s="7" t="s">
        <v>19</v>
      </c>
      <c r="B419" s="7" t="s">
        <v>16</v>
      </c>
      <c r="C419" s="7" t="s">
        <v>17</v>
      </c>
      <c r="D419" s="7"/>
      <c r="E419" s="7" t="s">
        <v>1615</v>
      </c>
      <c r="F419" s="7" t="s">
        <v>19</v>
      </c>
      <c r="G419" s="7" t="s">
        <v>31</v>
      </c>
      <c r="H419" s="7" t="s">
        <v>17</v>
      </c>
      <c r="I419" s="7" t="s">
        <v>17</v>
      </c>
      <c r="J419" s="7" t="s">
        <v>1616</v>
      </c>
    </row>
    <row r="420" spans="1:10" x14ac:dyDescent="0.25" outlineLevel="2" collapsed="1">
      <c r="A420" s="8" t="s">
        <v>19</v>
      </c>
      <c r="B420" s="9" t="s">
        <v>1597</v>
      </c>
      <c r="C420" s="8" t="s">
        <v>17</v>
      </c>
      <c r="D420" s="8"/>
      <c r="E420" s="8" t="s">
        <v>1629</v>
      </c>
      <c r="F420" s="8" t="s">
        <v>19</v>
      </c>
      <c r="G420" s="8" t="s">
        <v>17</v>
      </c>
      <c r="H420" s="8" t="s">
        <v>17</v>
      </c>
      <c r="I420" s="8" t="s">
        <v>17</v>
      </c>
      <c r="J420" s="8" t="s">
        <v>1630</v>
      </c>
    </row>
    <row r="421" spans="1:10" x14ac:dyDescent="0.25" outlineLevel="3" collapsed="1">
      <c r="A421" s="7" t="s">
        <v>15</v>
      </c>
      <c r="B421" s="7" t="s">
        <v>16</v>
      </c>
      <c r="C421" s="7" t="s">
        <v>17</v>
      </c>
      <c r="D421" s="7"/>
      <c r="E421" s="7" t="s">
        <v>1431</v>
      </c>
      <c r="F421" s="7" t="s">
        <v>19</v>
      </c>
      <c r="G421" s="7" t="s">
        <v>31</v>
      </c>
      <c r="H421" s="7" t="s">
        <v>17</v>
      </c>
      <c r="I421" s="7" t="s">
        <v>17</v>
      </c>
      <c r="J421" s="7" t="s">
        <v>637</v>
      </c>
    </row>
    <row r="422" spans="1:10" x14ac:dyDescent="0.25" outlineLevel="3" collapsed="1">
      <c r="A422" s="7" t="s">
        <v>15</v>
      </c>
      <c r="B422" s="7" t="s">
        <v>16</v>
      </c>
      <c r="C422" s="7" t="s">
        <v>17</v>
      </c>
      <c r="D422" s="7"/>
      <c r="E422" s="7" t="s">
        <v>638</v>
      </c>
      <c r="F422" s="7" t="s">
        <v>19</v>
      </c>
      <c r="G422" s="7" t="s">
        <v>31</v>
      </c>
      <c r="H422" s="7" t="s">
        <v>17</v>
      </c>
      <c r="I422" s="7" t="s">
        <v>17</v>
      </c>
      <c r="J422" s="7" t="s">
        <v>640</v>
      </c>
    </row>
    <row r="423" spans="1:10" x14ac:dyDescent="0.25" outlineLevel="3" collapsed="1">
      <c r="A423" s="7" t="s">
        <v>15</v>
      </c>
      <c r="B423" s="7" t="s">
        <v>16</v>
      </c>
      <c r="C423" s="7" t="s">
        <v>17</v>
      </c>
      <c r="D423" s="7"/>
      <c r="E423" s="7" t="s">
        <v>9</v>
      </c>
      <c r="F423" s="7" t="s">
        <v>19</v>
      </c>
      <c r="G423" s="7" t="s">
        <v>31</v>
      </c>
      <c r="H423" s="7" t="s">
        <v>17</v>
      </c>
      <c r="I423" s="7" t="s">
        <v>17</v>
      </c>
      <c r="J423" s="7" t="s">
        <v>843</v>
      </c>
    </row>
    <row r="424" spans="1:10" x14ac:dyDescent="0.25" outlineLevel="3" collapsed="1">
      <c r="A424" s="7" t="s">
        <v>19</v>
      </c>
      <c r="B424" s="7" t="s">
        <v>16</v>
      </c>
      <c r="C424" s="7" t="s">
        <v>17</v>
      </c>
      <c r="D424" s="7"/>
      <c r="E424" s="7" t="s">
        <v>1600</v>
      </c>
      <c r="F424" s="7" t="s">
        <v>19</v>
      </c>
      <c r="G424" s="7" t="s">
        <v>31</v>
      </c>
      <c r="H424" s="7" t="s">
        <v>17</v>
      </c>
      <c r="I424" s="7" t="s">
        <v>17</v>
      </c>
      <c r="J424" s="7" t="s">
        <v>1424</v>
      </c>
    </row>
    <row r="425" spans="1:10" x14ac:dyDescent="0.25" outlineLevel="3" collapsed="1">
      <c r="A425" s="7" t="s">
        <v>15</v>
      </c>
      <c r="B425" s="7" t="s">
        <v>16</v>
      </c>
      <c r="C425" s="7" t="s">
        <v>17</v>
      </c>
      <c r="D425" s="7"/>
      <c r="E425" s="7" t="s">
        <v>1601</v>
      </c>
      <c r="F425" s="7" t="s">
        <v>19</v>
      </c>
      <c r="G425" s="7" t="s">
        <v>31</v>
      </c>
      <c r="H425" s="7" t="s">
        <v>17</v>
      </c>
      <c r="I425" s="7" t="s">
        <v>17</v>
      </c>
      <c r="J425" s="7" t="s">
        <v>1602</v>
      </c>
    </row>
    <row r="426" spans="1:10" x14ac:dyDescent="0.25" outlineLevel="3" collapsed="1">
      <c r="A426" s="7" t="s">
        <v>15</v>
      </c>
      <c r="B426" s="7" t="s">
        <v>16</v>
      </c>
      <c r="C426" s="7" t="s">
        <v>17</v>
      </c>
      <c r="D426" s="7"/>
      <c r="E426" s="7" t="s">
        <v>1603</v>
      </c>
      <c r="F426" s="7" t="s">
        <v>19</v>
      </c>
      <c r="G426" s="7" t="s">
        <v>31</v>
      </c>
      <c r="H426" s="7" t="s">
        <v>17</v>
      </c>
      <c r="I426" s="7" t="s">
        <v>17</v>
      </c>
      <c r="J426" s="7" t="s">
        <v>1422</v>
      </c>
    </row>
    <row r="427" spans="1:10" x14ac:dyDescent="0.25" outlineLevel="3" collapsed="1">
      <c r="A427" s="7" t="s">
        <v>15</v>
      </c>
      <c r="B427" s="7" t="s">
        <v>284</v>
      </c>
      <c r="C427" s="11" t="s">
        <v>1604</v>
      </c>
      <c r="D427" s="7"/>
      <c r="E427" s="7" t="s">
        <v>1605</v>
      </c>
      <c r="F427" s="7" t="s">
        <v>19</v>
      </c>
      <c r="G427" s="7" t="s">
        <v>1606</v>
      </c>
      <c r="H427" s="7" t="s">
        <v>17</v>
      </c>
      <c r="I427" s="7" t="s">
        <v>17</v>
      </c>
      <c r="J427" s="7" t="s">
        <v>1607</v>
      </c>
    </row>
    <row r="428" spans="1:10" x14ac:dyDescent="0.25" outlineLevel="3" collapsed="1">
      <c r="A428" s="7" t="s">
        <v>19</v>
      </c>
      <c r="B428" s="7" t="s">
        <v>63</v>
      </c>
      <c r="C428" s="7" t="s">
        <v>17</v>
      </c>
      <c r="D428" s="7">
        <f>EXACT(G427,"Single value")</f>
      </c>
      <c r="E428" s="7" t="s">
        <v>1608</v>
      </c>
      <c r="F428" s="7" t="s">
        <v>19</v>
      </c>
      <c r="G428" s="7">
        <v>1</v>
      </c>
      <c r="H428" s="7" t="s">
        <v>17</v>
      </c>
      <c r="I428" s="7" t="s">
        <v>17</v>
      </c>
      <c r="J428" s="7" t="s">
        <v>1609</v>
      </c>
    </row>
    <row r="429" spans="1:10" x14ac:dyDescent="0.25" outlineLevel="3" collapsed="1">
      <c r="A429" s="7" t="s">
        <v>15</v>
      </c>
      <c r="B429" s="7" t="s">
        <v>16</v>
      </c>
      <c r="C429" s="7" t="s">
        <v>17</v>
      </c>
      <c r="D429" s="7"/>
      <c r="E429" s="7" t="s">
        <v>1610</v>
      </c>
      <c r="F429" s="7" t="s">
        <v>19</v>
      </c>
      <c r="G429" s="7" t="s">
        <v>31</v>
      </c>
      <c r="H429" s="7" t="s">
        <v>17</v>
      </c>
      <c r="I429" s="7" t="s">
        <v>17</v>
      </c>
      <c r="J429" s="7" t="s">
        <v>1191</v>
      </c>
    </row>
    <row r="430" spans="1:10" x14ac:dyDescent="0.25" outlineLevel="3" collapsed="1">
      <c r="A430" s="7" t="s">
        <v>15</v>
      </c>
      <c r="B430" s="7" t="s">
        <v>284</v>
      </c>
      <c r="C430" s="11" t="s">
        <v>1611</v>
      </c>
      <c r="D430" s="7"/>
      <c r="E430" s="7" t="s">
        <v>1612</v>
      </c>
      <c r="F430" s="7" t="s">
        <v>19</v>
      </c>
      <c r="G430" s="7" t="s">
        <v>1613</v>
      </c>
      <c r="H430" s="7" t="s">
        <v>17</v>
      </c>
      <c r="I430" s="7" t="s">
        <v>17</v>
      </c>
      <c r="J430" s="7" t="s">
        <v>1614</v>
      </c>
    </row>
    <row r="431" spans="1:10" x14ac:dyDescent="0.25" outlineLevel="3" collapsed="1">
      <c r="A431" s="7" t="s">
        <v>19</v>
      </c>
      <c r="B431" s="7" t="s">
        <v>16</v>
      </c>
      <c r="C431" s="7" t="s">
        <v>17</v>
      </c>
      <c r="D431" s="7"/>
      <c r="E431" s="7" t="s">
        <v>1615</v>
      </c>
      <c r="F431" s="7" t="s">
        <v>19</v>
      </c>
      <c r="G431" s="7" t="s">
        <v>31</v>
      </c>
      <c r="H431" s="7" t="s">
        <v>17</v>
      </c>
      <c r="I431" s="7" t="s">
        <v>17</v>
      </c>
      <c r="J431" s="7" t="s">
        <v>1616</v>
      </c>
    </row>
    <row r="432" spans="1:10" x14ac:dyDescent="0.25" outlineLevel="2" collapsed="1">
      <c r="A432" s="8" t="s">
        <v>15</v>
      </c>
      <c r="B432" s="9" t="s">
        <v>1597</v>
      </c>
      <c r="C432" s="8" t="s">
        <v>17</v>
      </c>
      <c r="D432" s="8"/>
      <c r="E432" s="8" t="s">
        <v>1631</v>
      </c>
      <c r="F432" s="8" t="s">
        <v>19</v>
      </c>
      <c r="G432" s="8" t="s">
        <v>17</v>
      </c>
      <c r="H432" s="8" t="s">
        <v>17</v>
      </c>
      <c r="I432" s="8" t="s">
        <v>17</v>
      </c>
      <c r="J432" s="8" t="s">
        <v>1632</v>
      </c>
    </row>
    <row r="433" spans="1:10" x14ac:dyDescent="0.25" outlineLevel="3" collapsed="1">
      <c r="A433" s="7" t="s">
        <v>15</v>
      </c>
      <c r="B433" s="7" t="s">
        <v>16</v>
      </c>
      <c r="C433" s="7" t="s">
        <v>17</v>
      </c>
      <c r="D433" s="7"/>
      <c r="E433" s="7" t="s">
        <v>1431</v>
      </c>
      <c r="F433" s="7" t="s">
        <v>19</v>
      </c>
      <c r="G433" s="7" t="s">
        <v>31</v>
      </c>
      <c r="H433" s="7" t="s">
        <v>17</v>
      </c>
      <c r="I433" s="7" t="s">
        <v>17</v>
      </c>
      <c r="J433" s="7" t="s">
        <v>637</v>
      </c>
    </row>
    <row r="434" spans="1:10" x14ac:dyDescent="0.25" outlineLevel="3" collapsed="1">
      <c r="A434" s="7" t="s">
        <v>15</v>
      </c>
      <c r="B434" s="7" t="s">
        <v>16</v>
      </c>
      <c r="C434" s="7" t="s">
        <v>17</v>
      </c>
      <c r="D434" s="7"/>
      <c r="E434" s="7" t="s">
        <v>638</v>
      </c>
      <c r="F434" s="7" t="s">
        <v>19</v>
      </c>
      <c r="G434" s="7" t="s">
        <v>31</v>
      </c>
      <c r="H434" s="7" t="s">
        <v>17</v>
      </c>
      <c r="I434" s="7" t="s">
        <v>17</v>
      </c>
      <c r="J434" s="7" t="s">
        <v>640</v>
      </c>
    </row>
    <row r="435" spans="1:10" x14ac:dyDescent="0.25" outlineLevel="3" collapsed="1">
      <c r="A435" s="7" t="s">
        <v>15</v>
      </c>
      <c r="B435" s="7" t="s">
        <v>16</v>
      </c>
      <c r="C435" s="7" t="s">
        <v>17</v>
      </c>
      <c r="D435" s="7"/>
      <c r="E435" s="7" t="s">
        <v>9</v>
      </c>
      <c r="F435" s="7" t="s">
        <v>19</v>
      </c>
      <c r="G435" s="7" t="s">
        <v>31</v>
      </c>
      <c r="H435" s="7" t="s">
        <v>17</v>
      </c>
      <c r="I435" s="7" t="s">
        <v>17</v>
      </c>
      <c r="J435" s="7" t="s">
        <v>843</v>
      </c>
    </row>
    <row r="436" spans="1:10" x14ac:dyDescent="0.25" outlineLevel="3" collapsed="1">
      <c r="A436" s="7" t="s">
        <v>19</v>
      </c>
      <c r="B436" s="7" t="s">
        <v>16</v>
      </c>
      <c r="C436" s="7" t="s">
        <v>17</v>
      </c>
      <c r="D436" s="7"/>
      <c r="E436" s="7" t="s">
        <v>1600</v>
      </c>
      <c r="F436" s="7" t="s">
        <v>19</v>
      </c>
      <c r="G436" s="7" t="s">
        <v>31</v>
      </c>
      <c r="H436" s="7" t="s">
        <v>17</v>
      </c>
      <c r="I436" s="7" t="s">
        <v>17</v>
      </c>
      <c r="J436" s="7" t="s">
        <v>1424</v>
      </c>
    </row>
    <row r="437" spans="1:10" x14ac:dyDescent="0.25" outlineLevel="3" collapsed="1">
      <c r="A437" s="7" t="s">
        <v>15</v>
      </c>
      <c r="B437" s="7" t="s">
        <v>16</v>
      </c>
      <c r="C437" s="7" t="s">
        <v>17</v>
      </c>
      <c r="D437" s="7"/>
      <c r="E437" s="7" t="s">
        <v>1601</v>
      </c>
      <c r="F437" s="7" t="s">
        <v>19</v>
      </c>
      <c r="G437" s="7" t="s">
        <v>31</v>
      </c>
      <c r="H437" s="7" t="s">
        <v>17</v>
      </c>
      <c r="I437" s="7" t="s">
        <v>17</v>
      </c>
      <c r="J437" s="7" t="s">
        <v>1602</v>
      </c>
    </row>
    <row r="438" spans="1:10" x14ac:dyDescent="0.25" outlineLevel="3" collapsed="1">
      <c r="A438" s="7" t="s">
        <v>15</v>
      </c>
      <c r="B438" s="7" t="s">
        <v>16</v>
      </c>
      <c r="C438" s="7" t="s">
        <v>17</v>
      </c>
      <c r="D438" s="7"/>
      <c r="E438" s="7" t="s">
        <v>1603</v>
      </c>
      <c r="F438" s="7" t="s">
        <v>19</v>
      </c>
      <c r="G438" s="7" t="s">
        <v>31</v>
      </c>
      <c r="H438" s="7" t="s">
        <v>17</v>
      </c>
      <c r="I438" s="7" t="s">
        <v>17</v>
      </c>
      <c r="J438" s="7" t="s">
        <v>1422</v>
      </c>
    </row>
    <row r="439" spans="1:10" x14ac:dyDescent="0.25" outlineLevel="3" collapsed="1">
      <c r="A439" s="7" t="s">
        <v>15</v>
      </c>
      <c r="B439" s="7" t="s">
        <v>284</v>
      </c>
      <c r="C439" s="11" t="s">
        <v>1604</v>
      </c>
      <c r="D439" s="7"/>
      <c r="E439" s="7" t="s">
        <v>1605</v>
      </c>
      <c r="F439" s="7" t="s">
        <v>19</v>
      </c>
      <c r="G439" s="7" t="s">
        <v>1606</v>
      </c>
      <c r="H439" s="7" t="s">
        <v>17</v>
      </c>
      <c r="I439" s="7" t="s">
        <v>17</v>
      </c>
      <c r="J439" s="7" t="s">
        <v>1607</v>
      </c>
    </row>
    <row r="440" spans="1:10" x14ac:dyDescent="0.25" outlineLevel="3" collapsed="1">
      <c r="A440" s="7" t="s">
        <v>19</v>
      </c>
      <c r="B440" s="7" t="s">
        <v>63</v>
      </c>
      <c r="C440" s="7" t="s">
        <v>17</v>
      </c>
      <c r="D440" s="7">
        <f>EXACT(G439,"Single value")</f>
      </c>
      <c r="E440" s="7" t="s">
        <v>1608</v>
      </c>
      <c r="F440" s="7" t="s">
        <v>19</v>
      </c>
      <c r="G440" s="7">
        <v>1</v>
      </c>
      <c r="H440" s="7" t="s">
        <v>17</v>
      </c>
      <c r="I440" s="7" t="s">
        <v>17</v>
      </c>
      <c r="J440" s="7" t="s">
        <v>1609</v>
      </c>
    </row>
    <row r="441" spans="1:10" x14ac:dyDescent="0.25" outlineLevel="3" collapsed="1">
      <c r="A441" s="7" t="s">
        <v>15</v>
      </c>
      <c r="B441" s="7" t="s">
        <v>16</v>
      </c>
      <c r="C441" s="7" t="s">
        <v>17</v>
      </c>
      <c r="D441" s="7"/>
      <c r="E441" s="7" t="s">
        <v>1610</v>
      </c>
      <c r="F441" s="7" t="s">
        <v>19</v>
      </c>
      <c r="G441" s="7" t="s">
        <v>31</v>
      </c>
      <c r="H441" s="7" t="s">
        <v>17</v>
      </c>
      <c r="I441" s="7" t="s">
        <v>17</v>
      </c>
      <c r="J441" s="7" t="s">
        <v>1191</v>
      </c>
    </row>
    <row r="442" spans="1:10" x14ac:dyDescent="0.25" outlineLevel="3" collapsed="1">
      <c r="A442" s="7" t="s">
        <v>15</v>
      </c>
      <c r="B442" s="7" t="s">
        <v>284</v>
      </c>
      <c r="C442" s="11" t="s">
        <v>1611</v>
      </c>
      <c r="D442" s="7"/>
      <c r="E442" s="7" t="s">
        <v>1612</v>
      </c>
      <c r="F442" s="7" t="s">
        <v>19</v>
      </c>
      <c r="G442" s="7" t="s">
        <v>1613</v>
      </c>
      <c r="H442" s="7" t="s">
        <v>17</v>
      </c>
      <c r="I442" s="7" t="s">
        <v>17</v>
      </c>
      <c r="J442" s="7" t="s">
        <v>1614</v>
      </c>
    </row>
    <row r="443" spans="1:10" x14ac:dyDescent="0.25" outlineLevel="3" collapsed="1">
      <c r="A443" s="7" t="s">
        <v>19</v>
      </c>
      <c r="B443" s="7" t="s">
        <v>16</v>
      </c>
      <c r="C443" s="7" t="s">
        <v>17</v>
      </c>
      <c r="D443" s="7"/>
      <c r="E443" s="7" t="s">
        <v>1615</v>
      </c>
      <c r="F443" s="7" t="s">
        <v>19</v>
      </c>
      <c r="G443" s="7" t="s">
        <v>31</v>
      </c>
      <c r="H443" s="7" t="s">
        <v>17</v>
      </c>
      <c r="I443" s="7" t="s">
        <v>17</v>
      </c>
      <c r="J443" s="7" t="s">
        <v>1616</v>
      </c>
    </row>
    <row r="444" spans="1:10" x14ac:dyDescent="0.25" outlineLevel="2" collapsed="1">
      <c r="A444" s="7" t="s">
        <v>15</v>
      </c>
      <c r="B444" s="7" t="s">
        <v>284</v>
      </c>
      <c r="C444" s="11" t="s">
        <v>1633</v>
      </c>
      <c r="D444" s="7"/>
      <c r="E444" s="7" t="s">
        <v>1634</v>
      </c>
      <c r="F444" s="7" t="s">
        <v>19</v>
      </c>
      <c r="G444" s="7" t="s">
        <v>1635</v>
      </c>
      <c r="H444" s="7" t="s">
        <v>17</v>
      </c>
      <c r="I444" s="7" t="s">
        <v>17</v>
      </c>
      <c r="J444" s="7" t="s">
        <v>1636</v>
      </c>
    </row>
    <row r="445" spans="1:10" x14ac:dyDescent="0.25" outlineLevel="2" collapsed="1">
      <c r="A445" s="8" t="s">
        <v>19</v>
      </c>
      <c r="B445" s="9" t="s">
        <v>1597</v>
      </c>
      <c r="C445" s="8" t="s">
        <v>17</v>
      </c>
      <c r="D445" s="8">
        <f>EXACT(G444,"Eq.(4) - project-specific T_i, WH, T_f or WHE")</f>
      </c>
      <c r="E445" s="8" t="s">
        <v>1637</v>
      </c>
      <c r="F445" s="8" t="s">
        <v>19</v>
      </c>
      <c r="G445" s="8" t="s">
        <v>17</v>
      </c>
      <c r="H445" s="8" t="s">
        <v>17</v>
      </c>
      <c r="I445" s="8" t="s">
        <v>17</v>
      </c>
      <c r="J445" s="8" t="s">
        <v>1638</v>
      </c>
    </row>
    <row r="446" spans="1:10" x14ac:dyDescent="0.25" outlineLevel="3" collapsed="1">
      <c r="A446" s="7" t="s">
        <v>15</v>
      </c>
      <c r="B446" s="7" t="s">
        <v>16</v>
      </c>
      <c r="C446" s="7" t="s">
        <v>17</v>
      </c>
      <c r="D446" s="7"/>
      <c r="E446" s="7" t="s">
        <v>1431</v>
      </c>
      <c r="F446" s="7" t="s">
        <v>19</v>
      </c>
      <c r="G446" s="7" t="s">
        <v>31</v>
      </c>
      <c r="H446" s="7" t="s">
        <v>17</v>
      </c>
      <c r="I446" s="7" t="s">
        <v>17</v>
      </c>
      <c r="J446" s="7" t="s">
        <v>637</v>
      </c>
    </row>
    <row r="447" spans="1:10" x14ac:dyDescent="0.25" outlineLevel="3" collapsed="1">
      <c r="A447" s="7" t="s">
        <v>15</v>
      </c>
      <c r="B447" s="7" t="s">
        <v>16</v>
      </c>
      <c r="C447" s="7" t="s">
        <v>17</v>
      </c>
      <c r="D447" s="7"/>
      <c r="E447" s="7" t="s">
        <v>638</v>
      </c>
      <c r="F447" s="7" t="s">
        <v>19</v>
      </c>
      <c r="G447" s="7" t="s">
        <v>31</v>
      </c>
      <c r="H447" s="7" t="s">
        <v>17</v>
      </c>
      <c r="I447" s="7" t="s">
        <v>17</v>
      </c>
      <c r="J447" s="7" t="s">
        <v>640</v>
      </c>
    </row>
    <row r="448" spans="1:10" x14ac:dyDescent="0.25" outlineLevel="3" collapsed="1">
      <c r="A448" s="7" t="s">
        <v>15</v>
      </c>
      <c r="B448" s="7" t="s">
        <v>16</v>
      </c>
      <c r="C448" s="7" t="s">
        <v>17</v>
      </c>
      <c r="D448" s="7"/>
      <c r="E448" s="7" t="s">
        <v>9</v>
      </c>
      <c r="F448" s="7" t="s">
        <v>19</v>
      </c>
      <c r="G448" s="7" t="s">
        <v>31</v>
      </c>
      <c r="H448" s="7" t="s">
        <v>17</v>
      </c>
      <c r="I448" s="7" t="s">
        <v>17</v>
      </c>
      <c r="J448" s="7" t="s">
        <v>843</v>
      </c>
    </row>
    <row r="449" spans="1:10" x14ac:dyDescent="0.25" outlineLevel="3" collapsed="1">
      <c r="A449" s="7" t="s">
        <v>19</v>
      </c>
      <c r="B449" s="7" t="s">
        <v>16</v>
      </c>
      <c r="C449" s="7" t="s">
        <v>17</v>
      </c>
      <c r="D449" s="7"/>
      <c r="E449" s="7" t="s">
        <v>1600</v>
      </c>
      <c r="F449" s="7" t="s">
        <v>19</v>
      </c>
      <c r="G449" s="7" t="s">
        <v>31</v>
      </c>
      <c r="H449" s="7" t="s">
        <v>17</v>
      </c>
      <c r="I449" s="7" t="s">
        <v>17</v>
      </c>
      <c r="J449" s="7" t="s">
        <v>1424</v>
      </c>
    </row>
    <row r="450" spans="1:10" x14ac:dyDescent="0.25" outlineLevel="3" collapsed="1">
      <c r="A450" s="7" t="s">
        <v>15</v>
      </c>
      <c r="B450" s="7" t="s">
        <v>16</v>
      </c>
      <c r="C450" s="7" t="s">
        <v>17</v>
      </c>
      <c r="D450" s="7"/>
      <c r="E450" s="7" t="s">
        <v>1601</v>
      </c>
      <c r="F450" s="7" t="s">
        <v>19</v>
      </c>
      <c r="G450" s="7" t="s">
        <v>31</v>
      </c>
      <c r="H450" s="7" t="s">
        <v>17</v>
      </c>
      <c r="I450" s="7" t="s">
        <v>17</v>
      </c>
      <c r="J450" s="7" t="s">
        <v>1602</v>
      </c>
    </row>
    <row r="451" spans="1:10" x14ac:dyDescent="0.25" outlineLevel="3" collapsed="1">
      <c r="A451" s="7" t="s">
        <v>15</v>
      </c>
      <c r="B451" s="7" t="s">
        <v>16</v>
      </c>
      <c r="C451" s="7" t="s">
        <v>17</v>
      </c>
      <c r="D451" s="7"/>
      <c r="E451" s="7" t="s">
        <v>1603</v>
      </c>
      <c r="F451" s="7" t="s">
        <v>19</v>
      </c>
      <c r="G451" s="7" t="s">
        <v>31</v>
      </c>
      <c r="H451" s="7" t="s">
        <v>17</v>
      </c>
      <c r="I451" s="7" t="s">
        <v>17</v>
      </c>
      <c r="J451" s="7" t="s">
        <v>1422</v>
      </c>
    </row>
    <row r="452" spans="1:10" x14ac:dyDescent="0.25" outlineLevel="3" collapsed="1">
      <c r="A452" s="7" t="s">
        <v>15</v>
      </c>
      <c r="B452" s="7" t="s">
        <v>284</v>
      </c>
      <c r="C452" s="11" t="s">
        <v>1604</v>
      </c>
      <c r="D452" s="7"/>
      <c r="E452" s="7" t="s">
        <v>1605</v>
      </c>
      <c r="F452" s="7" t="s">
        <v>19</v>
      </c>
      <c r="G452" s="7" t="s">
        <v>1606</v>
      </c>
      <c r="H452" s="7" t="s">
        <v>17</v>
      </c>
      <c r="I452" s="7" t="s">
        <v>17</v>
      </c>
      <c r="J452" s="7" t="s">
        <v>1607</v>
      </c>
    </row>
    <row r="453" spans="1:10" x14ac:dyDescent="0.25" outlineLevel="3" collapsed="1">
      <c r="A453" s="7" t="s">
        <v>19</v>
      </c>
      <c r="B453" s="7" t="s">
        <v>63</v>
      </c>
      <c r="C453" s="7" t="s">
        <v>17</v>
      </c>
      <c r="D453" s="7">
        <f>EXACT(G452,"Single value")</f>
      </c>
      <c r="E453" s="7" t="s">
        <v>1608</v>
      </c>
      <c r="F453" s="7" t="s">
        <v>19</v>
      </c>
      <c r="G453" s="7">
        <v>1</v>
      </c>
      <c r="H453" s="7" t="s">
        <v>17</v>
      </c>
      <c r="I453" s="7" t="s">
        <v>17</v>
      </c>
      <c r="J453" s="7" t="s">
        <v>1609</v>
      </c>
    </row>
    <row r="454" spans="1:10" x14ac:dyDescent="0.25" outlineLevel="3" collapsed="1">
      <c r="A454" s="7" t="s">
        <v>15</v>
      </c>
      <c r="B454" s="7" t="s">
        <v>16</v>
      </c>
      <c r="C454" s="7" t="s">
        <v>17</v>
      </c>
      <c r="D454" s="7"/>
      <c r="E454" s="7" t="s">
        <v>1610</v>
      </c>
      <c r="F454" s="7" t="s">
        <v>19</v>
      </c>
      <c r="G454" s="7" t="s">
        <v>31</v>
      </c>
      <c r="H454" s="7" t="s">
        <v>17</v>
      </c>
      <c r="I454" s="7" t="s">
        <v>17</v>
      </c>
      <c r="J454" s="7" t="s">
        <v>1191</v>
      </c>
    </row>
    <row r="455" spans="1:10" x14ac:dyDescent="0.25" outlineLevel="3" collapsed="1">
      <c r="A455" s="7" t="s">
        <v>15</v>
      </c>
      <c r="B455" s="7" t="s">
        <v>284</v>
      </c>
      <c r="C455" s="11" t="s">
        <v>1611</v>
      </c>
      <c r="D455" s="7"/>
      <c r="E455" s="7" t="s">
        <v>1612</v>
      </c>
      <c r="F455" s="7" t="s">
        <v>19</v>
      </c>
      <c r="G455" s="7" t="s">
        <v>1613</v>
      </c>
      <c r="H455" s="7" t="s">
        <v>17</v>
      </c>
      <c r="I455" s="7" t="s">
        <v>17</v>
      </c>
      <c r="J455" s="7" t="s">
        <v>1614</v>
      </c>
    </row>
    <row r="456" spans="1:10" x14ac:dyDescent="0.25" outlineLevel="3" collapsed="1">
      <c r="A456" s="7" t="s">
        <v>19</v>
      </c>
      <c r="B456" s="7" t="s">
        <v>16</v>
      </c>
      <c r="C456" s="7" t="s">
        <v>17</v>
      </c>
      <c r="D456" s="7"/>
      <c r="E456" s="7" t="s">
        <v>1615</v>
      </c>
      <c r="F456" s="7" t="s">
        <v>19</v>
      </c>
      <c r="G456" s="7" t="s">
        <v>31</v>
      </c>
      <c r="H456" s="7" t="s">
        <v>17</v>
      </c>
      <c r="I456" s="7" t="s">
        <v>17</v>
      </c>
      <c r="J456" s="7" t="s">
        <v>1616</v>
      </c>
    </row>
    <row r="457" spans="1:10" x14ac:dyDescent="0.25" outlineLevel="2" collapsed="1">
      <c r="A457" s="8" t="s">
        <v>19</v>
      </c>
      <c r="B457" s="9" t="s">
        <v>1597</v>
      </c>
      <c r="C457" s="8" t="s">
        <v>17</v>
      </c>
      <c r="D457" s="8">
        <f>EXACT(G444,"Eq.(4) - project-specific T_i, WH, T_f or WHE")</f>
      </c>
      <c r="E457" s="8" t="s">
        <v>1639</v>
      </c>
      <c r="F457" s="8" t="s">
        <v>19</v>
      </c>
      <c r="G457" s="8" t="s">
        <v>17</v>
      </c>
      <c r="H457" s="8" t="s">
        <v>17</v>
      </c>
      <c r="I457" s="8" t="s">
        <v>17</v>
      </c>
      <c r="J457" s="8" t="s">
        <v>1640</v>
      </c>
    </row>
    <row r="458" spans="1:10" x14ac:dyDescent="0.25" outlineLevel="3" collapsed="1">
      <c r="A458" s="7" t="s">
        <v>15</v>
      </c>
      <c r="B458" s="7" t="s">
        <v>16</v>
      </c>
      <c r="C458" s="7" t="s">
        <v>17</v>
      </c>
      <c r="D458" s="7"/>
      <c r="E458" s="7" t="s">
        <v>1431</v>
      </c>
      <c r="F458" s="7" t="s">
        <v>19</v>
      </c>
      <c r="G458" s="7" t="s">
        <v>31</v>
      </c>
      <c r="H458" s="7" t="s">
        <v>17</v>
      </c>
      <c r="I458" s="7" t="s">
        <v>17</v>
      </c>
      <c r="J458" s="7" t="s">
        <v>637</v>
      </c>
    </row>
    <row r="459" spans="1:10" x14ac:dyDescent="0.25" outlineLevel="3" collapsed="1">
      <c r="A459" s="7" t="s">
        <v>15</v>
      </c>
      <c r="B459" s="7" t="s">
        <v>16</v>
      </c>
      <c r="C459" s="7" t="s">
        <v>17</v>
      </c>
      <c r="D459" s="7"/>
      <c r="E459" s="7" t="s">
        <v>638</v>
      </c>
      <c r="F459" s="7" t="s">
        <v>19</v>
      </c>
      <c r="G459" s="7" t="s">
        <v>31</v>
      </c>
      <c r="H459" s="7" t="s">
        <v>17</v>
      </c>
      <c r="I459" s="7" t="s">
        <v>17</v>
      </c>
      <c r="J459" s="7" t="s">
        <v>640</v>
      </c>
    </row>
    <row r="460" spans="1:10" x14ac:dyDescent="0.25" outlineLevel="3" collapsed="1">
      <c r="A460" s="7" t="s">
        <v>15</v>
      </c>
      <c r="B460" s="7" t="s">
        <v>16</v>
      </c>
      <c r="C460" s="7" t="s">
        <v>17</v>
      </c>
      <c r="D460" s="7"/>
      <c r="E460" s="7" t="s">
        <v>9</v>
      </c>
      <c r="F460" s="7" t="s">
        <v>19</v>
      </c>
      <c r="G460" s="7" t="s">
        <v>31</v>
      </c>
      <c r="H460" s="7" t="s">
        <v>17</v>
      </c>
      <c r="I460" s="7" t="s">
        <v>17</v>
      </c>
      <c r="J460" s="7" t="s">
        <v>843</v>
      </c>
    </row>
    <row r="461" spans="1:10" x14ac:dyDescent="0.25" outlineLevel="3" collapsed="1">
      <c r="A461" s="7" t="s">
        <v>19</v>
      </c>
      <c r="B461" s="7" t="s">
        <v>16</v>
      </c>
      <c r="C461" s="7" t="s">
        <v>17</v>
      </c>
      <c r="D461" s="7"/>
      <c r="E461" s="7" t="s">
        <v>1600</v>
      </c>
      <c r="F461" s="7" t="s">
        <v>19</v>
      </c>
      <c r="G461" s="7" t="s">
        <v>31</v>
      </c>
      <c r="H461" s="7" t="s">
        <v>17</v>
      </c>
      <c r="I461" s="7" t="s">
        <v>17</v>
      </c>
      <c r="J461" s="7" t="s">
        <v>1424</v>
      </c>
    </row>
    <row r="462" spans="1:10" x14ac:dyDescent="0.25" outlineLevel="3" collapsed="1">
      <c r="A462" s="7" t="s">
        <v>15</v>
      </c>
      <c r="B462" s="7" t="s">
        <v>16</v>
      </c>
      <c r="C462" s="7" t="s">
        <v>17</v>
      </c>
      <c r="D462" s="7"/>
      <c r="E462" s="7" t="s">
        <v>1601</v>
      </c>
      <c r="F462" s="7" t="s">
        <v>19</v>
      </c>
      <c r="G462" s="7" t="s">
        <v>31</v>
      </c>
      <c r="H462" s="7" t="s">
        <v>17</v>
      </c>
      <c r="I462" s="7" t="s">
        <v>17</v>
      </c>
      <c r="J462" s="7" t="s">
        <v>1602</v>
      </c>
    </row>
    <row r="463" spans="1:10" x14ac:dyDescent="0.25" outlineLevel="3" collapsed="1">
      <c r="A463" s="7" t="s">
        <v>15</v>
      </c>
      <c r="B463" s="7" t="s">
        <v>16</v>
      </c>
      <c r="C463" s="7" t="s">
        <v>17</v>
      </c>
      <c r="D463" s="7"/>
      <c r="E463" s="7" t="s">
        <v>1603</v>
      </c>
      <c r="F463" s="7" t="s">
        <v>19</v>
      </c>
      <c r="G463" s="7" t="s">
        <v>31</v>
      </c>
      <c r="H463" s="7" t="s">
        <v>17</v>
      </c>
      <c r="I463" s="7" t="s">
        <v>17</v>
      </c>
      <c r="J463" s="7" t="s">
        <v>1422</v>
      </c>
    </row>
    <row r="464" spans="1:10" x14ac:dyDescent="0.25" outlineLevel="3" collapsed="1">
      <c r="A464" s="7" t="s">
        <v>15</v>
      </c>
      <c r="B464" s="7" t="s">
        <v>284</v>
      </c>
      <c r="C464" s="11" t="s">
        <v>1604</v>
      </c>
      <c r="D464" s="7"/>
      <c r="E464" s="7" t="s">
        <v>1605</v>
      </c>
      <c r="F464" s="7" t="s">
        <v>19</v>
      </c>
      <c r="G464" s="7" t="s">
        <v>1606</v>
      </c>
      <c r="H464" s="7" t="s">
        <v>17</v>
      </c>
      <c r="I464" s="7" t="s">
        <v>17</v>
      </c>
      <c r="J464" s="7" t="s">
        <v>1607</v>
      </c>
    </row>
    <row r="465" spans="1:10" x14ac:dyDescent="0.25" outlineLevel="3" collapsed="1">
      <c r="A465" s="7" t="s">
        <v>19</v>
      </c>
      <c r="B465" s="7" t="s">
        <v>63</v>
      </c>
      <c r="C465" s="7" t="s">
        <v>17</v>
      </c>
      <c r="D465" s="7">
        <f>EXACT(G464,"Single value")</f>
      </c>
      <c r="E465" s="7" t="s">
        <v>1608</v>
      </c>
      <c r="F465" s="7" t="s">
        <v>19</v>
      </c>
      <c r="G465" s="7">
        <v>1</v>
      </c>
      <c r="H465" s="7" t="s">
        <v>17</v>
      </c>
      <c r="I465" s="7" t="s">
        <v>17</v>
      </c>
      <c r="J465" s="7" t="s">
        <v>1609</v>
      </c>
    </row>
    <row r="466" spans="1:10" x14ac:dyDescent="0.25" outlineLevel="3" collapsed="1">
      <c r="A466" s="7" t="s">
        <v>15</v>
      </c>
      <c r="B466" s="7" t="s">
        <v>16</v>
      </c>
      <c r="C466" s="7" t="s">
        <v>17</v>
      </c>
      <c r="D466" s="7"/>
      <c r="E466" s="7" t="s">
        <v>1610</v>
      </c>
      <c r="F466" s="7" t="s">
        <v>19</v>
      </c>
      <c r="G466" s="7" t="s">
        <v>31</v>
      </c>
      <c r="H466" s="7" t="s">
        <v>17</v>
      </c>
      <c r="I466" s="7" t="s">
        <v>17</v>
      </c>
      <c r="J466" s="7" t="s">
        <v>1191</v>
      </c>
    </row>
    <row r="467" spans="1:10" x14ac:dyDescent="0.25" outlineLevel="3" collapsed="1">
      <c r="A467" s="7" t="s">
        <v>15</v>
      </c>
      <c r="B467" s="7" t="s">
        <v>284</v>
      </c>
      <c r="C467" s="11" t="s">
        <v>1611</v>
      </c>
      <c r="D467" s="7"/>
      <c r="E467" s="7" t="s">
        <v>1612</v>
      </c>
      <c r="F467" s="7" t="s">
        <v>19</v>
      </c>
      <c r="G467" s="7" t="s">
        <v>1613</v>
      </c>
      <c r="H467" s="7" t="s">
        <v>17</v>
      </c>
      <c r="I467" s="7" t="s">
        <v>17</v>
      </c>
      <c r="J467" s="7" t="s">
        <v>1614</v>
      </c>
    </row>
    <row r="468" spans="1:10" x14ac:dyDescent="0.25" outlineLevel="3" collapsed="1">
      <c r="A468" s="7" t="s">
        <v>19</v>
      </c>
      <c r="B468" s="7" t="s">
        <v>16</v>
      </c>
      <c r="C468" s="7" t="s">
        <v>17</v>
      </c>
      <c r="D468" s="7"/>
      <c r="E468" s="7" t="s">
        <v>1615</v>
      </c>
      <c r="F468" s="7" t="s">
        <v>19</v>
      </c>
      <c r="G468" s="7" t="s">
        <v>31</v>
      </c>
      <c r="H468" s="7" t="s">
        <v>17</v>
      </c>
      <c r="I468" s="7" t="s">
        <v>17</v>
      </c>
      <c r="J468" s="7" t="s">
        <v>1616</v>
      </c>
    </row>
    <row r="469" spans="1:10" x14ac:dyDescent="0.25" outlineLevel="2" collapsed="1">
      <c r="A469" s="8" t="s">
        <v>19</v>
      </c>
      <c r="B469" s="9" t="s">
        <v>1597</v>
      </c>
      <c r="C469" s="8" t="s">
        <v>17</v>
      </c>
      <c r="D469" s="8">
        <f>EXACT(G444,"Eq.(4) - project-specific T_i, WH, T_f or WHE")</f>
      </c>
      <c r="E469" s="8" t="s">
        <v>1641</v>
      </c>
      <c r="F469" s="8" t="s">
        <v>19</v>
      </c>
      <c r="G469" s="8" t="s">
        <v>17</v>
      </c>
      <c r="H469" s="8" t="s">
        <v>17</v>
      </c>
      <c r="I469" s="8" t="s">
        <v>17</v>
      </c>
      <c r="J469" s="8" t="s">
        <v>1642</v>
      </c>
    </row>
    <row r="470" spans="1:10" x14ac:dyDescent="0.25" outlineLevel="3" collapsed="1">
      <c r="A470" s="7" t="s">
        <v>15</v>
      </c>
      <c r="B470" s="7" t="s">
        <v>16</v>
      </c>
      <c r="C470" s="7" t="s">
        <v>17</v>
      </c>
      <c r="D470" s="7"/>
      <c r="E470" s="7" t="s">
        <v>1431</v>
      </c>
      <c r="F470" s="7" t="s">
        <v>19</v>
      </c>
      <c r="G470" s="7" t="s">
        <v>31</v>
      </c>
      <c r="H470" s="7" t="s">
        <v>17</v>
      </c>
      <c r="I470" s="7" t="s">
        <v>17</v>
      </c>
      <c r="J470" s="7" t="s">
        <v>637</v>
      </c>
    </row>
    <row r="471" spans="1:10" x14ac:dyDescent="0.25" outlineLevel="3" collapsed="1">
      <c r="A471" s="7" t="s">
        <v>15</v>
      </c>
      <c r="B471" s="7" t="s">
        <v>16</v>
      </c>
      <c r="C471" s="7" t="s">
        <v>17</v>
      </c>
      <c r="D471" s="7"/>
      <c r="E471" s="7" t="s">
        <v>638</v>
      </c>
      <c r="F471" s="7" t="s">
        <v>19</v>
      </c>
      <c r="G471" s="7" t="s">
        <v>31</v>
      </c>
      <c r="H471" s="7" t="s">
        <v>17</v>
      </c>
      <c r="I471" s="7" t="s">
        <v>17</v>
      </c>
      <c r="J471" s="7" t="s">
        <v>640</v>
      </c>
    </row>
    <row r="472" spans="1:10" x14ac:dyDescent="0.25" outlineLevel="3" collapsed="1">
      <c r="A472" s="7" t="s">
        <v>15</v>
      </c>
      <c r="B472" s="7" t="s">
        <v>16</v>
      </c>
      <c r="C472" s="7" t="s">
        <v>17</v>
      </c>
      <c r="D472" s="7"/>
      <c r="E472" s="7" t="s">
        <v>9</v>
      </c>
      <c r="F472" s="7" t="s">
        <v>19</v>
      </c>
      <c r="G472" s="7" t="s">
        <v>31</v>
      </c>
      <c r="H472" s="7" t="s">
        <v>17</v>
      </c>
      <c r="I472" s="7" t="s">
        <v>17</v>
      </c>
      <c r="J472" s="7" t="s">
        <v>843</v>
      </c>
    </row>
    <row r="473" spans="1:10" x14ac:dyDescent="0.25" outlineLevel="3" collapsed="1">
      <c r="A473" s="7" t="s">
        <v>19</v>
      </c>
      <c r="B473" s="7" t="s">
        <v>16</v>
      </c>
      <c r="C473" s="7" t="s">
        <v>17</v>
      </c>
      <c r="D473" s="7"/>
      <c r="E473" s="7" t="s">
        <v>1600</v>
      </c>
      <c r="F473" s="7" t="s">
        <v>19</v>
      </c>
      <c r="G473" s="7" t="s">
        <v>31</v>
      </c>
      <c r="H473" s="7" t="s">
        <v>17</v>
      </c>
      <c r="I473" s="7" t="s">
        <v>17</v>
      </c>
      <c r="J473" s="7" t="s">
        <v>1424</v>
      </c>
    </row>
    <row r="474" spans="1:10" x14ac:dyDescent="0.25" outlineLevel="3" collapsed="1">
      <c r="A474" s="7" t="s">
        <v>15</v>
      </c>
      <c r="B474" s="7" t="s">
        <v>16</v>
      </c>
      <c r="C474" s="7" t="s">
        <v>17</v>
      </c>
      <c r="D474" s="7"/>
      <c r="E474" s="7" t="s">
        <v>1601</v>
      </c>
      <c r="F474" s="7" t="s">
        <v>19</v>
      </c>
      <c r="G474" s="7" t="s">
        <v>31</v>
      </c>
      <c r="H474" s="7" t="s">
        <v>17</v>
      </c>
      <c r="I474" s="7" t="s">
        <v>17</v>
      </c>
      <c r="J474" s="7" t="s">
        <v>1602</v>
      </c>
    </row>
    <row r="475" spans="1:10" x14ac:dyDescent="0.25" outlineLevel="3" collapsed="1">
      <c r="A475" s="7" t="s">
        <v>15</v>
      </c>
      <c r="B475" s="7" t="s">
        <v>16</v>
      </c>
      <c r="C475" s="7" t="s">
        <v>17</v>
      </c>
      <c r="D475" s="7"/>
      <c r="E475" s="7" t="s">
        <v>1603</v>
      </c>
      <c r="F475" s="7" t="s">
        <v>19</v>
      </c>
      <c r="G475" s="7" t="s">
        <v>31</v>
      </c>
      <c r="H475" s="7" t="s">
        <v>17</v>
      </c>
      <c r="I475" s="7" t="s">
        <v>17</v>
      </c>
      <c r="J475" s="7" t="s">
        <v>1422</v>
      </c>
    </row>
    <row r="476" spans="1:10" x14ac:dyDescent="0.25" outlineLevel="3" collapsed="1">
      <c r="A476" s="7" t="s">
        <v>15</v>
      </c>
      <c r="B476" s="7" t="s">
        <v>284</v>
      </c>
      <c r="C476" s="11" t="s">
        <v>1604</v>
      </c>
      <c r="D476" s="7"/>
      <c r="E476" s="7" t="s">
        <v>1605</v>
      </c>
      <c r="F476" s="7" t="s">
        <v>19</v>
      </c>
      <c r="G476" s="7" t="s">
        <v>1606</v>
      </c>
      <c r="H476" s="7" t="s">
        <v>17</v>
      </c>
      <c r="I476" s="7" t="s">
        <v>17</v>
      </c>
      <c r="J476" s="7" t="s">
        <v>1607</v>
      </c>
    </row>
    <row r="477" spans="1:10" x14ac:dyDescent="0.25" outlineLevel="3" collapsed="1">
      <c r="A477" s="7" t="s">
        <v>19</v>
      </c>
      <c r="B477" s="7" t="s">
        <v>63</v>
      </c>
      <c r="C477" s="7" t="s">
        <v>17</v>
      </c>
      <c r="D477" s="7">
        <f>EXACT(G476,"Single value")</f>
      </c>
      <c r="E477" s="7" t="s">
        <v>1608</v>
      </c>
      <c r="F477" s="7" t="s">
        <v>19</v>
      </c>
      <c r="G477" s="7">
        <v>1</v>
      </c>
      <c r="H477" s="7" t="s">
        <v>17</v>
      </c>
      <c r="I477" s="7" t="s">
        <v>17</v>
      </c>
      <c r="J477" s="7" t="s">
        <v>1609</v>
      </c>
    </row>
    <row r="478" spans="1:10" x14ac:dyDescent="0.25" outlineLevel="3" collapsed="1">
      <c r="A478" s="7" t="s">
        <v>15</v>
      </c>
      <c r="B478" s="7" t="s">
        <v>16</v>
      </c>
      <c r="C478" s="7" t="s">
        <v>17</v>
      </c>
      <c r="D478" s="7"/>
      <c r="E478" s="7" t="s">
        <v>1610</v>
      </c>
      <c r="F478" s="7" t="s">
        <v>19</v>
      </c>
      <c r="G478" s="7" t="s">
        <v>31</v>
      </c>
      <c r="H478" s="7" t="s">
        <v>17</v>
      </c>
      <c r="I478" s="7" t="s">
        <v>17</v>
      </c>
      <c r="J478" s="7" t="s">
        <v>1191</v>
      </c>
    </row>
    <row r="479" spans="1:10" x14ac:dyDescent="0.25" outlineLevel="3" collapsed="1">
      <c r="A479" s="7" t="s">
        <v>15</v>
      </c>
      <c r="B479" s="7" t="s">
        <v>284</v>
      </c>
      <c r="C479" s="11" t="s">
        <v>1611</v>
      </c>
      <c r="D479" s="7"/>
      <c r="E479" s="7" t="s">
        <v>1612</v>
      </c>
      <c r="F479" s="7" t="s">
        <v>19</v>
      </c>
      <c r="G479" s="7" t="s">
        <v>1613</v>
      </c>
      <c r="H479" s="7" t="s">
        <v>17</v>
      </c>
      <c r="I479" s="7" t="s">
        <v>17</v>
      </c>
      <c r="J479" s="7" t="s">
        <v>1614</v>
      </c>
    </row>
    <row r="480" spans="1:10" x14ac:dyDescent="0.25" outlineLevel="3" collapsed="1">
      <c r="A480" s="7" t="s">
        <v>19</v>
      </c>
      <c r="B480" s="7" t="s">
        <v>16</v>
      </c>
      <c r="C480" s="7" t="s">
        <v>17</v>
      </c>
      <c r="D480" s="7"/>
      <c r="E480" s="7" t="s">
        <v>1615</v>
      </c>
      <c r="F480" s="7" t="s">
        <v>19</v>
      </c>
      <c r="G480" s="7" t="s">
        <v>31</v>
      </c>
      <c r="H480" s="7" t="s">
        <v>17</v>
      </c>
      <c r="I480" s="7" t="s">
        <v>17</v>
      </c>
      <c r="J480" s="7" t="s">
        <v>1616</v>
      </c>
    </row>
    <row r="481" spans="1:10" x14ac:dyDescent="0.25" outlineLevel="2" collapsed="1">
      <c r="A481" s="8" t="s">
        <v>19</v>
      </c>
      <c r="B481" s="9" t="s">
        <v>1597</v>
      </c>
      <c r="C481" s="8" t="s">
        <v>17</v>
      </c>
      <c r="D481" s="8">
        <f>EXACT(G444,"Eq.(4) - project-specific T_i, WH, T_f or WHE")</f>
      </c>
      <c r="E481" s="8" t="s">
        <v>1643</v>
      </c>
      <c r="F481" s="8" t="s">
        <v>19</v>
      </c>
      <c r="G481" s="8" t="s">
        <v>17</v>
      </c>
      <c r="H481" s="8" t="s">
        <v>17</v>
      </c>
      <c r="I481" s="8" t="s">
        <v>17</v>
      </c>
      <c r="J481" s="8" t="s">
        <v>1644</v>
      </c>
    </row>
    <row r="482" spans="1:10" x14ac:dyDescent="0.25" outlineLevel="3" collapsed="1">
      <c r="A482" s="7" t="s">
        <v>15</v>
      </c>
      <c r="B482" s="7" t="s">
        <v>16</v>
      </c>
      <c r="C482" s="7" t="s">
        <v>17</v>
      </c>
      <c r="D482" s="7"/>
      <c r="E482" s="7" t="s">
        <v>1431</v>
      </c>
      <c r="F482" s="7" t="s">
        <v>19</v>
      </c>
      <c r="G482" s="7" t="s">
        <v>31</v>
      </c>
      <c r="H482" s="7" t="s">
        <v>17</v>
      </c>
      <c r="I482" s="7" t="s">
        <v>17</v>
      </c>
      <c r="J482" s="7" t="s">
        <v>637</v>
      </c>
    </row>
    <row r="483" spans="1:10" x14ac:dyDescent="0.25" outlineLevel="3" collapsed="1">
      <c r="A483" s="7" t="s">
        <v>15</v>
      </c>
      <c r="B483" s="7" t="s">
        <v>16</v>
      </c>
      <c r="C483" s="7" t="s">
        <v>17</v>
      </c>
      <c r="D483" s="7"/>
      <c r="E483" s="7" t="s">
        <v>638</v>
      </c>
      <c r="F483" s="7" t="s">
        <v>19</v>
      </c>
      <c r="G483" s="7" t="s">
        <v>31</v>
      </c>
      <c r="H483" s="7" t="s">
        <v>17</v>
      </c>
      <c r="I483" s="7" t="s">
        <v>17</v>
      </c>
      <c r="J483" s="7" t="s">
        <v>640</v>
      </c>
    </row>
    <row r="484" spans="1:10" x14ac:dyDescent="0.25" outlineLevel="3" collapsed="1">
      <c r="A484" s="7" t="s">
        <v>15</v>
      </c>
      <c r="B484" s="7" t="s">
        <v>16</v>
      </c>
      <c r="C484" s="7" t="s">
        <v>17</v>
      </c>
      <c r="D484" s="7"/>
      <c r="E484" s="7" t="s">
        <v>9</v>
      </c>
      <c r="F484" s="7" t="s">
        <v>19</v>
      </c>
      <c r="G484" s="7" t="s">
        <v>31</v>
      </c>
      <c r="H484" s="7" t="s">
        <v>17</v>
      </c>
      <c r="I484" s="7" t="s">
        <v>17</v>
      </c>
      <c r="J484" s="7" t="s">
        <v>843</v>
      </c>
    </row>
    <row r="485" spans="1:10" x14ac:dyDescent="0.25" outlineLevel="3" collapsed="1">
      <c r="A485" s="7" t="s">
        <v>19</v>
      </c>
      <c r="B485" s="7" t="s">
        <v>16</v>
      </c>
      <c r="C485" s="7" t="s">
        <v>17</v>
      </c>
      <c r="D485" s="7"/>
      <c r="E485" s="7" t="s">
        <v>1600</v>
      </c>
      <c r="F485" s="7" t="s">
        <v>19</v>
      </c>
      <c r="G485" s="7" t="s">
        <v>31</v>
      </c>
      <c r="H485" s="7" t="s">
        <v>17</v>
      </c>
      <c r="I485" s="7" t="s">
        <v>17</v>
      </c>
      <c r="J485" s="7" t="s">
        <v>1424</v>
      </c>
    </row>
    <row r="486" spans="1:10" x14ac:dyDescent="0.25" outlineLevel="3" collapsed="1">
      <c r="A486" s="7" t="s">
        <v>15</v>
      </c>
      <c r="B486" s="7" t="s">
        <v>16</v>
      </c>
      <c r="C486" s="7" t="s">
        <v>17</v>
      </c>
      <c r="D486" s="7"/>
      <c r="E486" s="7" t="s">
        <v>1601</v>
      </c>
      <c r="F486" s="7" t="s">
        <v>19</v>
      </c>
      <c r="G486" s="7" t="s">
        <v>31</v>
      </c>
      <c r="H486" s="7" t="s">
        <v>17</v>
      </c>
      <c r="I486" s="7" t="s">
        <v>17</v>
      </c>
      <c r="J486" s="7" t="s">
        <v>1602</v>
      </c>
    </row>
    <row r="487" spans="1:10" x14ac:dyDescent="0.25" outlineLevel="3" collapsed="1">
      <c r="A487" s="7" t="s">
        <v>15</v>
      </c>
      <c r="B487" s="7" t="s">
        <v>16</v>
      </c>
      <c r="C487" s="7" t="s">
        <v>17</v>
      </c>
      <c r="D487" s="7"/>
      <c r="E487" s="7" t="s">
        <v>1603</v>
      </c>
      <c r="F487" s="7" t="s">
        <v>19</v>
      </c>
      <c r="G487" s="7" t="s">
        <v>31</v>
      </c>
      <c r="H487" s="7" t="s">
        <v>17</v>
      </c>
      <c r="I487" s="7" t="s">
        <v>17</v>
      </c>
      <c r="J487" s="7" t="s">
        <v>1422</v>
      </c>
    </row>
    <row r="488" spans="1:10" x14ac:dyDescent="0.25" outlineLevel="3" collapsed="1">
      <c r="A488" s="7" t="s">
        <v>15</v>
      </c>
      <c r="B488" s="7" t="s">
        <v>284</v>
      </c>
      <c r="C488" s="11" t="s">
        <v>1604</v>
      </c>
      <c r="D488" s="7"/>
      <c r="E488" s="7" t="s">
        <v>1605</v>
      </c>
      <c r="F488" s="7" t="s">
        <v>19</v>
      </c>
      <c r="G488" s="7" t="s">
        <v>1606</v>
      </c>
      <c r="H488" s="7" t="s">
        <v>17</v>
      </c>
      <c r="I488" s="7" t="s">
        <v>17</v>
      </c>
      <c r="J488" s="7" t="s">
        <v>1607</v>
      </c>
    </row>
    <row r="489" spans="1:10" x14ac:dyDescent="0.25" outlineLevel="3" collapsed="1">
      <c r="A489" s="7" t="s">
        <v>19</v>
      </c>
      <c r="B489" s="7" t="s">
        <v>63</v>
      </c>
      <c r="C489" s="7" t="s">
        <v>17</v>
      </c>
      <c r="D489" s="7">
        <f>EXACT(G488,"Single value")</f>
      </c>
      <c r="E489" s="7" t="s">
        <v>1608</v>
      </c>
      <c r="F489" s="7" t="s">
        <v>19</v>
      </c>
      <c r="G489" s="7">
        <v>1</v>
      </c>
      <c r="H489" s="7" t="s">
        <v>17</v>
      </c>
      <c r="I489" s="7" t="s">
        <v>17</v>
      </c>
      <c r="J489" s="7" t="s">
        <v>1609</v>
      </c>
    </row>
    <row r="490" spans="1:10" x14ac:dyDescent="0.25" outlineLevel="3" collapsed="1">
      <c r="A490" s="7" t="s">
        <v>15</v>
      </c>
      <c r="B490" s="7" t="s">
        <v>16</v>
      </c>
      <c r="C490" s="7" t="s">
        <v>17</v>
      </c>
      <c r="D490" s="7"/>
      <c r="E490" s="7" t="s">
        <v>1610</v>
      </c>
      <c r="F490" s="7" t="s">
        <v>19</v>
      </c>
      <c r="G490" s="7" t="s">
        <v>31</v>
      </c>
      <c r="H490" s="7" t="s">
        <v>17</v>
      </c>
      <c r="I490" s="7" t="s">
        <v>17</v>
      </c>
      <c r="J490" s="7" t="s">
        <v>1191</v>
      </c>
    </row>
    <row r="491" spans="1:10" x14ac:dyDescent="0.25" outlineLevel="3" collapsed="1">
      <c r="A491" s="7" t="s">
        <v>15</v>
      </c>
      <c r="B491" s="7" t="s">
        <v>284</v>
      </c>
      <c r="C491" s="11" t="s">
        <v>1611</v>
      </c>
      <c r="D491" s="7"/>
      <c r="E491" s="7" t="s">
        <v>1612</v>
      </c>
      <c r="F491" s="7" t="s">
        <v>19</v>
      </c>
      <c r="G491" s="7" t="s">
        <v>1613</v>
      </c>
      <c r="H491" s="7" t="s">
        <v>17</v>
      </c>
      <c r="I491" s="7" t="s">
        <v>17</v>
      </c>
      <c r="J491" s="7" t="s">
        <v>1614</v>
      </c>
    </row>
    <row r="492" spans="1:10" x14ac:dyDescent="0.25" outlineLevel="3" collapsed="1">
      <c r="A492" s="7" t="s">
        <v>19</v>
      </c>
      <c r="B492" s="7" t="s">
        <v>16</v>
      </c>
      <c r="C492" s="7" t="s">
        <v>17</v>
      </c>
      <c r="D492" s="7"/>
      <c r="E492" s="7" t="s">
        <v>1615</v>
      </c>
      <c r="F492" s="7" t="s">
        <v>19</v>
      </c>
      <c r="G492" s="7" t="s">
        <v>31</v>
      </c>
      <c r="H492" s="7" t="s">
        <v>17</v>
      </c>
      <c r="I492" s="7" t="s">
        <v>17</v>
      </c>
      <c r="J492" s="7" t="s">
        <v>1616</v>
      </c>
    </row>
    <row r="493" spans="1:10" x14ac:dyDescent="0.25" outlineLevel="2" collapsed="1">
      <c r="A493" s="8" t="s">
        <v>15</v>
      </c>
      <c r="B493" s="9" t="s">
        <v>1597</v>
      </c>
      <c r="C493" s="8" t="s">
        <v>17</v>
      </c>
      <c r="D493" s="8"/>
      <c r="E493" s="8" t="s">
        <v>1645</v>
      </c>
      <c r="F493" s="8" t="s">
        <v>19</v>
      </c>
      <c r="G493" s="8" t="s">
        <v>17</v>
      </c>
      <c r="H493" s="8" t="s">
        <v>17</v>
      </c>
      <c r="I493" s="8" t="s">
        <v>17</v>
      </c>
      <c r="J493" s="8" t="s">
        <v>1646</v>
      </c>
    </row>
    <row r="494" spans="1:10" x14ac:dyDescent="0.25" outlineLevel="3" collapsed="1">
      <c r="A494" s="7" t="s">
        <v>15</v>
      </c>
      <c r="B494" s="7" t="s">
        <v>16</v>
      </c>
      <c r="C494" s="7" t="s">
        <v>17</v>
      </c>
      <c r="D494" s="7"/>
      <c r="E494" s="7" t="s">
        <v>1431</v>
      </c>
      <c r="F494" s="7" t="s">
        <v>19</v>
      </c>
      <c r="G494" s="7" t="s">
        <v>31</v>
      </c>
      <c r="H494" s="7" t="s">
        <v>17</v>
      </c>
      <c r="I494" s="7" t="s">
        <v>17</v>
      </c>
      <c r="J494" s="7" t="s">
        <v>637</v>
      </c>
    </row>
    <row r="495" spans="1:10" x14ac:dyDescent="0.25" outlineLevel="3" collapsed="1">
      <c r="A495" s="7" t="s">
        <v>15</v>
      </c>
      <c r="B495" s="7" t="s">
        <v>16</v>
      </c>
      <c r="C495" s="7" t="s">
        <v>17</v>
      </c>
      <c r="D495" s="7"/>
      <c r="E495" s="7" t="s">
        <v>638</v>
      </c>
      <c r="F495" s="7" t="s">
        <v>19</v>
      </c>
      <c r="G495" s="7" t="s">
        <v>31</v>
      </c>
      <c r="H495" s="7" t="s">
        <v>17</v>
      </c>
      <c r="I495" s="7" t="s">
        <v>17</v>
      </c>
      <c r="J495" s="7" t="s">
        <v>640</v>
      </c>
    </row>
    <row r="496" spans="1:10" x14ac:dyDescent="0.25" outlineLevel="3" collapsed="1">
      <c r="A496" s="7" t="s">
        <v>15</v>
      </c>
      <c r="B496" s="7" t="s">
        <v>16</v>
      </c>
      <c r="C496" s="7" t="s">
        <v>17</v>
      </c>
      <c r="D496" s="7"/>
      <c r="E496" s="7" t="s">
        <v>9</v>
      </c>
      <c r="F496" s="7" t="s">
        <v>19</v>
      </c>
      <c r="G496" s="7" t="s">
        <v>31</v>
      </c>
      <c r="H496" s="7" t="s">
        <v>17</v>
      </c>
      <c r="I496" s="7" t="s">
        <v>17</v>
      </c>
      <c r="J496" s="7" t="s">
        <v>843</v>
      </c>
    </row>
    <row r="497" spans="1:10" x14ac:dyDescent="0.25" outlineLevel="3" collapsed="1">
      <c r="A497" s="7" t="s">
        <v>19</v>
      </c>
      <c r="B497" s="7" t="s">
        <v>16</v>
      </c>
      <c r="C497" s="7" t="s">
        <v>17</v>
      </c>
      <c r="D497" s="7"/>
      <c r="E497" s="7" t="s">
        <v>1600</v>
      </c>
      <c r="F497" s="7" t="s">
        <v>19</v>
      </c>
      <c r="G497" s="7" t="s">
        <v>31</v>
      </c>
      <c r="H497" s="7" t="s">
        <v>17</v>
      </c>
      <c r="I497" s="7" t="s">
        <v>17</v>
      </c>
      <c r="J497" s="7" t="s">
        <v>1424</v>
      </c>
    </row>
    <row r="498" spans="1:10" x14ac:dyDescent="0.25" outlineLevel="3" collapsed="1">
      <c r="A498" s="7" t="s">
        <v>15</v>
      </c>
      <c r="B498" s="7" t="s">
        <v>16</v>
      </c>
      <c r="C498" s="7" t="s">
        <v>17</v>
      </c>
      <c r="D498" s="7"/>
      <c r="E498" s="7" t="s">
        <v>1601</v>
      </c>
      <c r="F498" s="7" t="s">
        <v>19</v>
      </c>
      <c r="G498" s="7" t="s">
        <v>31</v>
      </c>
      <c r="H498" s="7" t="s">
        <v>17</v>
      </c>
      <c r="I498" s="7" t="s">
        <v>17</v>
      </c>
      <c r="J498" s="7" t="s">
        <v>1602</v>
      </c>
    </row>
    <row r="499" spans="1:10" x14ac:dyDescent="0.25" outlineLevel="3" collapsed="1">
      <c r="A499" s="7" t="s">
        <v>15</v>
      </c>
      <c r="B499" s="7" t="s">
        <v>16</v>
      </c>
      <c r="C499" s="7" t="s">
        <v>17</v>
      </c>
      <c r="D499" s="7"/>
      <c r="E499" s="7" t="s">
        <v>1603</v>
      </c>
      <c r="F499" s="7" t="s">
        <v>19</v>
      </c>
      <c r="G499" s="7" t="s">
        <v>31</v>
      </c>
      <c r="H499" s="7" t="s">
        <v>17</v>
      </c>
      <c r="I499" s="7" t="s">
        <v>17</v>
      </c>
      <c r="J499" s="7" t="s">
        <v>1422</v>
      </c>
    </row>
    <row r="500" spans="1:10" x14ac:dyDescent="0.25" outlineLevel="3" collapsed="1">
      <c r="A500" s="7" t="s">
        <v>15</v>
      </c>
      <c r="B500" s="7" t="s">
        <v>284</v>
      </c>
      <c r="C500" s="11" t="s">
        <v>1604</v>
      </c>
      <c r="D500" s="7"/>
      <c r="E500" s="7" t="s">
        <v>1605</v>
      </c>
      <c r="F500" s="7" t="s">
        <v>19</v>
      </c>
      <c r="G500" s="7" t="s">
        <v>1606</v>
      </c>
      <c r="H500" s="7" t="s">
        <v>17</v>
      </c>
      <c r="I500" s="7" t="s">
        <v>17</v>
      </c>
      <c r="J500" s="7" t="s">
        <v>1607</v>
      </c>
    </row>
    <row r="501" spans="1:10" x14ac:dyDescent="0.25" outlineLevel="3" collapsed="1">
      <c r="A501" s="7" t="s">
        <v>19</v>
      </c>
      <c r="B501" s="7" t="s">
        <v>63</v>
      </c>
      <c r="C501" s="7" t="s">
        <v>17</v>
      </c>
      <c r="D501" s="7">
        <f>EXACT(G500,"Single value")</f>
      </c>
      <c r="E501" s="7" t="s">
        <v>1608</v>
      </c>
      <c r="F501" s="7" t="s">
        <v>19</v>
      </c>
      <c r="G501" s="7">
        <v>1</v>
      </c>
      <c r="H501" s="7" t="s">
        <v>17</v>
      </c>
      <c r="I501" s="7" t="s">
        <v>17</v>
      </c>
      <c r="J501" s="7" t="s">
        <v>1609</v>
      </c>
    </row>
    <row r="502" spans="1:10" x14ac:dyDescent="0.25" outlineLevel="3" collapsed="1">
      <c r="A502" s="7" t="s">
        <v>15</v>
      </c>
      <c r="B502" s="7" t="s">
        <v>16</v>
      </c>
      <c r="C502" s="7" t="s">
        <v>17</v>
      </c>
      <c r="D502" s="7"/>
      <c r="E502" s="7" t="s">
        <v>1610</v>
      </c>
      <c r="F502" s="7" t="s">
        <v>19</v>
      </c>
      <c r="G502" s="7" t="s">
        <v>31</v>
      </c>
      <c r="H502" s="7" t="s">
        <v>17</v>
      </c>
      <c r="I502" s="7" t="s">
        <v>17</v>
      </c>
      <c r="J502" s="7" t="s">
        <v>1191</v>
      </c>
    </row>
    <row r="503" spans="1:10" x14ac:dyDescent="0.25" outlineLevel="3" collapsed="1">
      <c r="A503" s="7" t="s">
        <v>15</v>
      </c>
      <c r="B503" s="7" t="s">
        <v>284</v>
      </c>
      <c r="C503" s="11" t="s">
        <v>1611</v>
      </c>
      <c r="D503" s="7"/>
      <c r="E503" s="7" t="s">
        <v>1612</v>
      </c>
      <c r="F503" s="7" t="s">
        <v>19</v>
      </c>
      <c r="G503" s="7" t="s">
        <v>1613</v>
      </c>
      <c r="H503" s="7" t="s">
        <v>17</v>
      </c>
      <c r="I503" s="7" t="s">
        <v>17</v>
      </c>
      <c r="J503" s="7" t="s">
        <v>1614</v>
      </c>
    </row>
    <row r="504" spans="1:10" x14ac:dyDescent="0.25" outlineLevel="3" collapsed="1">
      <c r="A504" s="7" t="s">
        <v>19</v>
      </c>
      <c r="B504" s="7" t="s">
        <v>16</v>
      </c>
      <c r="C504" s="7" t="s">
        <v>17</v>
      </c>
      <c r="D504" s="7"/>
      <c r="E504" s="7" t="s">
        <v>1615</v>
      </c>
      <c r="F504" s="7" t="s">
        <v>19</v>
      </c>
      <c r="G504" s="7" t="s">
        <v>31</v>
      </c>
      <c r="H504" s="7" t="s">
        <v>17</v>
      </c>
      <c r="I504" s="7" t="s">
        <v>17</v>
      </c>
      <c r="J504" s="7" t="s">
        <v>1616</v>
      </c>
    </row>
    <row r="505" spans="1:10" x14ac:dyDescent="0.25" outlineLevel="1" collapsed="1">
      <c r="A505" s="8" t="s">
        <v>19</v>
      </c>
      <c r="B505" s="9" t="s">
        <v>1647</v>
      </c>
      <c r="C505" s="8" t="s">
        <v>17</v>
      </c>
      <c r="D505" s="8"/>
      <c r="E505" s="8" t="s">
        <v>1648</v>
      </c>
      <c r="F505" s="8" t="s">
        <v>19</v>
      </c>
      <c r="G505" s="8" t="s">
        <v>17</v>
      </c>
      <c r="H505" s="8" t="s">
        <v>17</v>
      </c>
      <c r="I505" s="8" t="s">
        <v>17</v>
      </c>
      <c r="J505" s="8" t="s">
        <v>1649</v>
      </c>
    </row>
    <row r="506" spans="1:10" x14ac:dyDescent="0.25" outlineLevel="2" collapsed="1">
      <c r="A506" s="8" t="s">
        <v>19</v>
      </c>
      <c r="B506" s="9" t="s">
        <v>1597</v>
      </c>
      <c r="C506" s="8" t="s">
        <v>17</v>
      </c>
      <c r="D506" s="8"/>
      <c r="E506" s="8" t="s">
        <v>1650</v>
      </c>
      <c r="F506" s="8" t="s">
        <v>19</v>
      </c>
      <c r="G506" s="8" t="s">
        <v>17</v>
      </c>
      <c r="H506" s="8" t="s">
        <v>17</v>
      </c>
      <c r="I506" s="8" t="s">
        <v>17</v>
      </c>
      <c r="J506" s="8" t="s">
        <v>1651</v>
      </c>
    </row>
    <row r="507" spans="1:10" x14ac:dyDescent="0.25" outlineLevel="3" collapsed="1">
      <c r="A507" s="7" t="s">
        <v>15</v>
      </c>
      <c r="B507" s="7" t="s">
        <v>16</v>
      </c>
      <c r="C507" s="7" t="s">
        <v>17</v>
      </c>
      <c r="D507" s="7"/>
      <c r="E507" s="7" t="s">
        <v>1431</v>
      </c>
      <c r="F507" s="7" t="s">
        <v>19</v>
      </c>
      <c r="G507" s="7" t="s">
        <v>31</v>
      </c>
      <c r="H507" s="7" t="s">
        <v>17</v>
      </c>
      <c r="I507" s="7" t="s">
        <v>17</v>
      </c>
      <c r="J507" s="7" t="s">
        <v>637</v>
      </c>
    </row>
    <row r="508" spans="1:10" x14ac:dyDescent="0.25" outlineLevel="3" collapsed="1">
      <c r="A508" s="7" t="s">
        <v>15</v>
      </c>
      <c r="B508" s="7" t="s">
        <v>16</v>
      </c>
      <c r="C508" s="7" t="s">
        <v>17</v>
      </c>
      <c r="D508" s="7"/>
      <c r="E508" s="7" t="s">
        <v>638</v>
      </c>
      <c r="F508" s="7" t="s">
        <v>19</v>
      </c>
      <c r="G508" s="7" t="s">
        <v>31</v>
      </c>
      <c r="H508" s="7" t="s">
        <v>17</v>
      </c>
      <c r="I508" s="7" t="s">
        <v>17</v>
      </c>
      <c r="J508" s="7" t="s">
        <v>640</v>
      </c>
    </row>
    <row r="509" spans="1:10" x14ac:dyDescent="0.25" outlineLevel="3" collapsed="1">
      <c r="A509" s="7" t="s">
        <v>15</v>
      </c>
      <c r="B509" s="7" t="s">
        <v>16</v>
      </c>
      <c r="C509" s="7" t="s">
        <v>17</v>
      </c>
      <c r="D509" s="7"/>
      <c r="E509" s="7" t="s">
        <v>9</v>
      </c>
      <c r="F509" s="7" t="s">
        <v>19</v>
      </c>
      <c r="G509" s="7" t="s">
        <v>31</v>
      </c>
      <c r="H509" s="7" t="s">
        <v>17</v>
      </c>
      <c r="I509" s="7" t="s">
        <v>17</v>
      </c>
      <c r="J509" s="7" t="s">
        <v>843</v>
      </c>
    </row>
    <row r="510" spans="1:10" x14ac:dyDescent="0.25" outlineLevel="3" collapsed="1">
      <c r="A510" s="7" t="s">
        <v>19</v>
      </c>
      <c r="B510" s="7" t="s">
        <v>16</v>
      </c>
      <c r="C510" s="7" t="s">
        <v>17</v>
      </c>
      <c r="D510" s="7"/>
      <c r="E510" s="7" t="s">
        <v>1600</v>
      </c>
      <c r="F510" s="7" t="s">
        <v>19</v>
      </c>
      <c r="G510" s="7" t="s">
        <v>31</v>
      </c>
      <c r="H510" s="7" t="s">
        <v>17</v>
      </c>
      <c r="I510" s="7" t="s">
        <v>17</v>
      </c>
      <c r="J510" s="7" t="s">
        <v>1424</v>
      </c>
    </row>
    <row r="511" spans="1:10" x14ac:dyDescent="0.25" outlineLevel="3" collapsed="1">
      <c r="A511" s="7" t="s">
        <v>15</v>
      </c>
      <c r="B511" s="7" t="s">
        <v>16</v>
      </c>
      <c r="C511" s="7" t="s">
        <v>17</v>
      </c>
      <c r="D511" s="7"/>
      <c r="E511" s="7" t="s">
        <v>1601</v>
      </c>
      <c r="F511" s="7" t="s">
        <v>19</v>
      </c>
      <c r="G511" s="7" t="s">
        <v>31</v>
      </c>
      <c r="H511" s="7" t="s">
        <v>17</v>
      </c>
      <c r="I511" s="7" t="s">
        <v>17</v>
      </c>
      <c r="J511" s="7" t="s">
        <v>1602</v>
      </c>
    </row>
    <row r="512" spans="1:10" x14ac:dyDescent="0.25" outlineLevel="3" collapsed="1">
      <c r="A512" s="7" t="s">
        <v>15</v>
      </c>
      <c r="B512" s="7" t="s">
        <v>16</v>
      </c>
      <c r="C512" s="7" t="s">
        <v>17</v>
      </c>
      <c r="D512" s="7"/>
      <c r="E512" s="7" t="s">
        <v>1603</v>
      </c>
      <c r="F512" s="7" t="s">
        <v>19</v>
      </c>
      <c r="G512" s="7" t="s">
        <v>31</v>
      </c>
      <c r="H512" s="7" t="s">
        <v>17</v>
      </c>
      <c r="I512" s="7" t="s">
        <v>17</v>
      </c>
      <c r="J512" s="7" t="s">
        <v>1422</v>
      </c>
    </row>
    <row r="513" spans="1:10" x14ac:dyDescent="0.25" outlineLevel="3" collapsed="1">
      <c r="A513" s="7" t="s">
        <v>15</v>
      </c>
      <c r="B513" s="7" t="s">
        <v>284</v>
      </c>
      <c r="C513" s="11" t="s">
        <v>1604</v>
      </c>
      <c r="D513" s="7"/>
      <c r="E513" s="7" t="s">
        <v>1605</v>
      </c>
      <c r="F513" s="7" t="s">
        <v>19</v>
      </c>
      <c r="G513" s="7" t="s">
        <v>1606</v>
      </c>
      <c r="H513" s="7" t="s">
        <v>17</v>
      </c>
      <c r="I513" s="7" t="s">
        <v>17</v>
      </c>
      <c r="J513" s="7" t="s">
        <v>1607</v>
      </c>
    </row>
    <row r="514" spans="1:10" x14ac:dyDescent="0.25" outlineLevel="3" collapsed="1">
      <c r="A514" s="7" t="s">
        <v>19</v>
      </c>
      <c r="B514" s="7" t="s">
        <v>63</v>
      </c>
      <c r="C514" s="7" t="s">
        <v>17</v>
      </c>
      <c r="D514" s="7">
        <f>EXACT(G513,"Single value")</f>
      </c>
      <c r="E514" s="7" t="s">
        <v>1608</v>
      </c>
      <c r="F514" s="7" t="s">
        <v>19</v>
      </c>
      <c r="G514" s="7">
        <v>1</v>
      </c>
      <c r="H514" s="7" t="s">
        <v>17</v>
      </c>
      <c r="I514" s="7" t="s">
        <v>17</v>
      </c>
      <c r="J514" s="7" t="s">
        <v>1609</v>
      </c>
    </row>
    <row r="515" spans="1:10" x14ac:dyDescent="0.25" outlineLevel="3" collapsed="1">
      <c r="A515" s="7" t="s">
        <v>15</v>
      </c>
      <c r="B515" s="7" t="s">
        <v>16</v>
      </c>
      <c r="C515" s="7" t="s">
        <v>17</v>
      </c>
      <c r="D515" s="7"/>
      <c r="E515" s="7" t="s">
        <v>1610</v>
      </c>
      <c r="F515" s="7" t="s">
        <v>19</v>
      </c>
      <c r="G515" s="7" t="s">
        <v>31</v>
      </c>
      <c r="H515" s="7" t="s">
        <v>17</v>
      </c>
      <c r="I515" s="7" t="s">
        <v>17</v>
      </c>
      <c r="J515" s="7" t="s">
        <v>1191</v>
      </c>
    </row>
    <row r="516" spans="1:10" x14ac:dyDescent="0.25" outlineLevel="3" collapsed="1">
      <c r="A516" s="7" t="s">
        <v>15</v>
      </c>
      <c r="B516" s="7" t="s">
        <v>284</v>
      </c>
      <c r="C516" s="11" t="s">
        <v>1611</v>
      </c>
      <c r="D516" s="7"/>
      <c r="E516" s="7" t="s">
        <v>1612</v>
      </c>
      <c r="F516" s="7" t="s">
        <v>19</v>
      </c>
      <c r="G516" s="7" t="s">
        <v>1613</v>
      </c>
      <c r="H516" s="7" t="s">
        <v>17</v>
      </c>
      <c r="I516" s="7" t="s">
        <v>17</v>
      </c>
      <c r="J516" s="7" t="s">
        <v>1614</v>
      </c>
    </row>
    <row r="517" spans="1:10" x14ac:dyDescent="0.25" outlineLevel="3" collapsed="1">
      <c r="A517" s="7" t="s">
        <v>19</v>
      </c>
      <c r="B517" s="7" t="s">
        <v>16</v>
      </c>
      <c r="C517" s="7" t="s">
        <v>17</v>
      </c>
      <c r="D517" s="7"/>
      <c r="E517" s="7" t="s">
        <v>1615</v>
      </c>
      <c r="F517" s="7" t="s">
        <v>19</v>
      </c>
      <c r="G517" s="7" t="s">
        <v>31</v>
      </c>
      <c r="H517" s="7" t="s">
        <v>17</v>
      </c>
      <c r="I517" s="7" t="s">
        <v>17</v>
      </c>
      <c r="J517" s="7" t="s">
        <v>1616</v>
      </c>
    </row>
    <row r="518" spans="1:10" x14ac:dyDescent="0.25" outlineLevel="1" collapsed="1">
      <c r="A518" s="8" t="s">
        <v>19</v>
      </c>
      <c r="B518" s="9" t="s">
        <v>1652</v>
      </c>
      <c r="C518" s="8" t="s">
        <v>17</v>
      </c>
      <c r="D518" s="8"/>
      <c r="E518" s="8" t="s">
        <v>1653</v>
      </c>
      <c r="F518" s="8" t="s">
        <v>19</v>
      </c>
      <c r="G518" s="8" t="s">
        <v>17</v>
      </c>
      <c r="H518" s="8" t="s">
        <v>17</v>
      </c>
      <c r="I518" s="8" t="s">
        <v>17</v>
      </c>
      <c r="J518" s="8" t="s">
        <v>1654</v>
      </c>
    </row>
    <row r="519" spans="1:10" x14ac:dyDescent="0.25" outlineLevel="2" collapsed="1">
      <c r="A519" s="8" t="s">
        <v>19</v>
      </c>
      <c r="B519" s="9" t="s">
        <v>1597</v>
      </c>
      <c r="C519" s="8" t="s">
        <v>17</v>
      </c>
      <c r="D519" s="8"/>
      <c r="E519" s="8" t="s">
        <v>1655</v>
      </c>
      <c r="F519" s="8" t="s">
        <v>19</v>
      </c>
      <c r="G519" s="8" t="s">
        <v>17</v>
      </c>
      <c r="H519" s="8" t="s">
        <v>17</v>
      </c>
      <c r="I519" s="8" t="s">
        <v>17</v>
      </c>
      <c r="J519" s="8" t="s">
        <v>1656</v>
      </c>
    </row>
    <row r="520" spans="1:10" x14ac:dyDescent="0.25" outlineLevel="3" collapsed="1">
      <c r="A520" s="7" t="s">
        <v>15</v>
      </c>
      <c r="B520" s="7" t="s">
        <v>16</v>
      </c>
      <c r="C520" s="7" t="s">
        <v>17</v>
      </c>
      <c r="D520" s="7"/>
      <c r="E520" s="7" t="s">
        <v>1431</v>
      </c>
      <c r="F520" s="7" t="s">
        <v>19</v>
      </c>
      <c r="G520" s="7" t="s">
        <v>31</v>
      </c>
      <c r="H520" s="7" t="s">
        <v>17</v>
      </c>
      <c r="I520" s="7" t="s">
        <v>17</v>
      </c>
      <c r="J520" s="7" t="s">
        <v>637</v>
      </c>
    </row>
    <row r="521" spans="1:10" x14ac:dyDescent="0.25" outlineLevel="3" collapsed="1">
      <c r="A521" s="7" t="s">
        <v>15</v>
      </c>
      <c r="B521" s="7" t="s">
        <v>16</v>
      </c>
      <c r="C521" s="7" t="s">
        <v>17</v>
      </c>
      <c r="D521" s="7"/>
      <c r="E521" s="7" t="s">
        <v>638</v>
      </c>
      <c r="F521" s="7" t="s">
        <v>19</v>
      </c>
      <c r="G521" s="7" t="s">
        <v>31</v>
      </c>
      <c r="H521" s="7" t="s">
        <v>17</v>
      </c>
      <c r="I521" s="7" t="s">
        <v>17</v>
      </c>
      <c r="J521" s="7" t="s">
        <v>640</v>
      </c>
    </row>
    <row r="522" spans="1:10" x14ac:dyDescent="0.25" outlineLevel="3" collapsed="1">
      <c r="A522" s="7" t="s">
        <v>15</v>
      </c>
      <c r="B522" s="7" t="s">
        <v>16</v>
      </c>
      <c r="C522" s="7" t="s">
        <v>17</v>
      </c>
      <c r="D522" s="7"/>
      <c r="E522" s="7" t="s">
        <v>9</v>
      </c>
      <c r="F522" s="7" t="s">
        <v>19</v>
      </c>
      <c r="G522" s="7" t="s">
        <v>31</v>
      </c>
      <c r="H522" s="7" t="s">
        <v>17</v>
      </c>
      <c r="I522" s="7" t="s">
        <v>17</v>
      </c>
      <c r="J522" s="7" t="s">
        <v>843</v>
      </c>
    </row>
    <row r="523" spans="1:10" x14ac:dyDescent="0.25" outlineLevel="3" collapsed="1">
      <c r="A523" s="7" t="s">
        <v>19</v>
      </c>
      <c r="B523" s="7" t="s">
        <v>16</v>
      </c>
      <c r="C523" s="7" t="s">
        <v>17</v>
      </c>
      <c r="D523" s="7"/>
      <c r="E523" s="7" t="s">
        <v>1600</v>
      </c>
      <c r="F523" s="7" t="s">
        <v>19</v>
      </c>
      <c r="G523" s="7" t="s">
        <v>31</v>
      </c>
      <c r="H523" s="7" t="s">
        <v>17</v>
      </c>
      <c r="I523" s="7" t="s">
        <v>17</v>
      </c>
      <c r="J523" s="7" t="s">
        <v>1424</v>
      </c>
    </row>
    <row r="524" spans="1:10" x14ac:dyDescent="0.25" outlineLevel="3" collapsed="1">
      <c r="A524" s="7" t="s">
        <v>15</v>
      </c>
      <c r="B524" s="7" t="s">
        <v>16</v>
      </c>
      <c r="C524" s="7" t="s">
        <v>17</v>
      </c>
      <c r="D524" s="7"/>
      <c r="E524" s="7" t="s">
        <v>1601</v>
      </c>
      <c r="F524" s="7" t="s">
        <v>19</v>
      </c>
      <c r="G524" s="7" t="s">
        <v>31</v>
      </c>
      <c r="H524" s="7" t="s">
        <v>17</v>
      </c>
      <c r="I524" s="7" t="s">
        <v>17</v>
      </c>
      <c r="J524" s="7" t="s">
        <v>1602</v>
      </c>
    </row>
    <row r="525" spans="1:10" x14ac:dyDescent="0.25" outlineLevel="3" collapsed="1">
      <c r="A525" s="7" t="s">
        <v>15</v>
      </c>
      <c r="B525" s="7" t="s">
        <v>16</v>
      </c>
      <c r="C525" s="7" t="s">
        <v>17</v>
      </c>
      <c r="D525" s="7"/>
      <c r="E525" s="7" t="s">
        <v>1603</v>
      </c>
      <c r="F525" s="7" t="s">
        <v>19</v>
      </c>
      <c r="G525" s="7" t="s">
        <v>31</v>
      </c>
      <c r="H525" s="7" t="s">
        <v>17</v>
      </c>
      <c r="I525" s="7" t="s">
        <v>17</v>
      </c>
      <c r="J525" s="7" t="s">
        <v>1422</v>
      </c>
    </row>
    <row r="526" spans="1:10" x14ac:dyDescent="0.25" outlineLevel="3" collapsed="1">
      <c r="A526" s="7" t="s">
        <v>15</v>
      </c>
      <c r="B526" s="7" t="s">
        <v>284</v>
      </c>
      <c r="C526" s="11" t="s">
        <v>1604</v>
      </c>
      <c r="D526" s="7"/>
      <c r="E526" s="7" t="s">
        <v>1605</v>
      </c>
      <c r="F526" s="7" t="s">
        <v>19</v>
      </c>
      <c r="G526" s="7" t="s">
        <v>1606</v>
      </c>
      <c r="H526" s="7" t="s">
        <v>17</v>
      </c>
      <c r="I526" s="7" t="s">
        <v>17</v>
      </c>
      <c r="J526" s="7" t="s">
        <v>1607</v>
      </c>
    </row>
    <row r="527" spans="1:10" x14ac:dyDescent="0.25" outlineLevel="3" collapsed="1">
      <c r="A527" s="7" t="s">
        <v>19</v>
      </c>
      <c r="B527" s="7" t="s">
        <v>63</v>
      </c>
      <c r="C527" s="7" t="s">
        <v>17</v>
      </c>
      <c r="D527" s="7">
        <f>EXACT(G526,"Single value")</f>
      </c>
      <c r="E527" s="7" t="s">
        <v>1608</v>
      </c>
      <c r="F527" s="7" t="s">
        <v>19</v>
      </c>
      <c r="G527" s="7">
        <v>1</v>
      </c>
      <c r="H527" s="7" t="s">
        <v>17</v>
      </c>
      <c r="I527" s="7" t="s">
        <v>17</v>
      </c>
      <c r="J527" s="7" t="s">
        <v>1609</v>
      </c>
    </row>
    <row r="528" spans="1:10" x14ac:dyDescent="0.25" outlineLevel="3" collapsed="1">
      <c r="A528" s="7" t="s">
        <v>15</v>
      </c>
      <c r="B528" s="7" t="s">
        <v>16</v>
      </c>
      <c r="C528" s="7" t="s">
        <v>17</v>
      </c>
      <c r="D528" s="7"/>
      <c r="E528" s="7" t="s">
        <v>1610</v>
      </c>
      <c r="F528" s="7" t="s">
        <v>19</v>
      </c>
      <c r="G528" s="7" t="s">
        <v>31</v>
      </c>
      <c r="H528" s="7" t="s">
        <v>17</v>
      </c>
      <c r="I528" s="7" t="s">
        <v>17</v>
      </c>
      <c r="J528" s="7" t="s">
        <v>1191</v>
      </c>
    </row>
    <row r="529" spans="1:10" x14ac:dyDescent="0.25" outlineLevel="3" collapsed="1">
      <c r="A529" s="7" t="s">
        <v>15</v>
      </c>
      <c r="B529" s="7" t="s">
        <v>284</v>
      </c>
      <c r="C529" s="11" t="s">
        <v>1611</v>
      </c>
      <c r="D529" s="7"/>
      <c r="E529" s="7" t="s">
        <v>1612</v>
      </c>
      <c r="F529" s="7" t="s">
        <v>19</v>
      </c>
      <c r="G529" s="7" t="s">
        <v>1613</v>
      </c>
      <c r="H529" s="7" t="s">
        <v>17</v>
      </c>
      <c r="I529" s="7" t="s">
        <v>17</v>
      </c>
      <c r="J529" s="7" t="s">
        <v>1614</v>
      </c>
    </row>
    <row r="530" spans="1:10" x14ac:dyDescent="0.25" outlineLevel="3" collapsed="1">
      <c r="A530" s="7" t="s">
        <v>19</v>
      </c>
      <c r="B530" s="7" t="s">
        <v>16</v>
      </c>
      <c r="C530" s="7" t="s">
        <v>17</v>
      </c>
      <c r="D530" s="7"/>
      <c r="E530" s="7" t="s">
        <v>1615</v>
      </c>
      <c r="F530" s="7" t="s">
        <v>19</v>
      </c>
      <c r="G530" s="7" t="s">
        <v>31</v>
      </c>
      <c r="H530" s="7" t="s">
        <v>17</v>
      </c>
      <c r="I530" s="7" t="s">
        <v>17</v>
      </c>
      <c r="J530" s="7" t="s">
        <v>1616</v>
      </c>
    </row>
    <row r="531" spans="1:10" x14ac:dyDescent="0.25" outlineLevel="2" collapsed="1">
      <c r="A531" s="8" t="s">
        <v>19</v>
      </c>
      <c r="B531" s="9" t="s">
        <v>1597</v>
      </c>
      <c r="C531" s="8" t="s">
        <v>17</v>
      </c>
      <c r="D531" s="8"/>
      <c r="E531" s="8" t="s">
        <v>1657</v>
      </c>
      <c r="F531" s="8" t="s">
        <v>19</v>
      </c>
      <c r="G531" s="8" t="s">
        <v>17</v>
      </c>
      <c r="H531" s="8" t="s">
        <v>17</v>
      </c>
      <c r="I531" s="8" t="s">
        <v>17</v>
      </c>
      <c r="J531" s="8" t="s">
        <v>1658</v>
      </c>
    </row>
    <row r="532" spans="1:10" x14ac:dyDescent="0.25" outlineLevel="3" collapsed="1">
      <c r="A532" s="7" t="s">
        <v>15</v>
      </c>
      <c r="B532" s="7" t="s">
        <v>16</v>
      </c>
      <c r="C532" s="7" t="s">
        <v>17</v>
      </c>
      <c r="D532" s="7"/>
      <c r="E532" s="7" t="s">
        <v>1431</v>
      </c>
      <c r="F532" s="7" t="s">
        <v>19</v>
      </c>
      <c r="G532" s="7" t="s">
        <v>31</v>
      </c>
      <c r="H532" s="7" t="s">
        <v>17</v>
      </c>
      <c r="I532" s="7" t="s">
        <v>17</v>
      </c>
      <c r="J532" s="7" t="s">
        <v>637</v>
      </c>
    </row>
    <row r="533" spans="1:10" x14ac:dyDescent="0.25" outlineLevel="3" collapsed="1">
      <c r="A533" s="7" t="s">
        <v>15</v>
      </c>
      <c r="B533" s="7" t="s">
        <v>16</v>
      </c>
      <c r="C533" s="7" t="s">
        <v>17</v>
      </c>
      <c r="D533" s="7"/>
      <c r="E533" s="7" t="s">
        <v>638</v>
      </c>
      <c r="F533" s="7" t="s">
        <v>19</v>
      </c>
      <c r="G533" s="7" t="s">
        <v>31</v>
      </c>
      <c r="H533" s="7" t="s">
        <v>17</v>
      </c>
      <c r="I533" s="7" t="s">
        <v>17</v>
      </c>
      <c r="J533" s="7" t="s">
        <v>640</v>
      </c>
    </row>
    <row r="534" spans="1:10" x14ac:dyDescent="0.25" outlineLevel="3" collapsed="1">
      <c r="A534" s="7" t="s">
        <v>15</v>
      </c>
      <c r="B534" s="7" t="s">
        <v>16</v>
      </c>
      <c r="C534" s="7" t="s">
        <v>17</v>
      </c>
      <c r="D534" s="7"/>
      <c r="E534" s="7" t="s">
        <v>9</v>
      </c>
      <c r="F534" s="7" t="s">
        <v>19</v>
      </c>
      <c r="G534" s="7" t="s">
        <v>31</v>
      </c>
      <c r="H534" s="7" t="s">
        <v>17</v>
      </c>
      <c r="I534" s="7" t="s">
        <v>17</v>
      </c>
      <c r="J534" s="7" t="s">
        <v>843</v>
      </c>
    </row>
    <row r="535" spans="1:10" x14ac:dyDescent="0.25" outlineLevel="3" collapsed="1">
      <c r="A535" s="7" t="s">
        <v>19</v>
      </c>
      <c r="B535" s="7" t="s">
        <v>16</v>
      </c>
      <c r="C535" s="7" t="s">
        <v>17</v>
      </c>
      <c r="D535" s="7"/>
      <c r="E535" s="7" t="s">
        <v>1600</v>
      </c>
      <c r="F535" s="7" t="s">
        <v>19</v>
      </c>
      <c r="G535" s="7" t="s">
        <v>31</v>
      </c>
      <c r="H535" s="7" t="s">
        <v>17</v>
      </c>
      <c r="I535" s="7" t="s">
        <v>17</v>
      </c>
      <c r="J535" s="7" t="s">
        <v>1424</v>
      </c>
    </row>
    <row r="536" spans="1:10" x14ac:dyDescent="0.25" outlineLevel="3" collapsed="1">
      <c r="A536" s="7" t="s">
        <v>15</v>
      </c>
      <c r="B536" s="7" t="s">
        <v>16</v>
      </c>
      <c r="C536" s="7" t="s">
        <v>17</v>
      </c>
      <c r="D536" s="7"/>
      <c r="E536" s="7" t="s">
        <v>1601</v>
      </c>
      <c r="F536" s="7" t="s">
        <v>19</v>
      </c>
      <c r="G536" s="7" t="s">
        <v>31</v>
      </c>
      <c r="H536" s="7" t="s">
        <v>17</v>
      </c>
      <c r="I536" s="7" t="s">
        <v>17</v>
      </c>
      <c r="J536" s="7" t="s">
        <v>1602</v>
      </c>
    </row>
    <row r="537" spans="1:10" x14ac:dyDescent="0.25" outlineLevel="3" collapsed="1">
      <c r="A537" s="7" t="s">
        <v>15</v>
      </c>
      <c r="B537" s="7" t="s">
        <v>16</v>
      </c>
      <c r="C537" s="7" t="s">
        <v>17</v>
      </c>
      <c r="D537" s="7"/>
      <c r="E537" s="7" t="s">
        <v>1603</v>
      </c>
      <c r="F537" s="7" t="s">
        <v>19</v>
      </c>
      <c r="G537" s="7" t="s">
        <v>31</v>
      </c>
      <c r="H537" s="7" t="s">
        <v>17</v>
      </c>
      <c r="I537" s="7" t="s">
        <v>17</v>
      </c>
      <c r="J537" s="7" t="s">
        <v>1422</v>
      </c>
    </row>
    <row r="538" spans="1:10" x14ac:dyDescent="0.25" outlineLevel="3" collapsed="1">
      <c r="A538" s="7" t="s">
        <v>15</v>
      </c>
      <c r="B538" s="7" t="s">
        <v>284</v>
      </c>
      <c r="C538" s="11" t="s">
        <v>1604</v>
      </c>
      <c r="D538" s="7"/>
      <c r="E538" s="7" t="s">
        <v>1605</v>
      </c>
      <c r="F538" s="7" t="s">
        <v>19</v>
      </c>
      <c r="G538" s="7" t="s">
        <v>1606</v>
      </c>
      <c r="H538" s="7" t="s">
        <v>17</v>
      </c>
      <c r="I538" s="7" t="s">
        <v>17</v>
      </c>
      <c r="J538" s="7" t="s">
        <v>1607</v>
      </c>
    </row>
    <row r="539" spans="1:10" x14ac:dyDescent="0.25" outlineLevel="3" collapsed="1">
      <c r="A539" s="7" t="s">
        <v>19</v>
      </c>
      <c r="B539" s="7" t="s">
        <v>63</v>
      </c>
      <c r="C539" s="7" t="s">
        <v>17</v>
      </c>
      <c r="D539" s="7">
        <f>EXACT(G538,"Single value")</f>
      </c>
      <c r="E539" s="7" t="s">
        <v>1608</v>
      </c>
      <c r="F539" s="7" t="s">
        <v>19</v>
      </c>
      <c r="G539" s="7">
        <v>1</v>
      </c>
      <c r="H539" s="7" t="s">
        <v>17</v>
      </c>
      <c r="I539" s="7" t="s">
        <v>17</v>
      </c>
      <c r="J539" s="7" t="s">
        <v>1609</v>
      </c>
    </row>
    <row r="540" spans="1:10" x14ac:dyDescent="0.25" outlineLevel="3" collapsed="1">
      <c r="A540" s="7" t="s">
        <v>15</v>
      </c>
      <c r="B540" s="7" t="s">
        <v>16</v>
      </c>
      <c r="C540" s="7" t="s">
        <v>17</v>
      </c>
      <c r="D540" s="7"/>
      <c r="E540" s="7" t="s">
        <v>1610</v>
      </c>
      <c r="F540" s="7" t="s">
        <v>19</v>
      </c>
      <c r="G540" s="7" t="s">
        <v>31</v>
      </c>
      <c r="H540" s="7" t="s">
        <v>17</v>
      </c>
      <c r="I540" s="7" t="s">
        <v>17</v>
      </c>
      <c r="J540" s="7" t="s">
        <v>1191</v>
      </c>
    </row>
    <row r="541" spans="1:10" x14ac:dyDescent="0.25" outlineLevel="3" collapsed="1">
      <c r="A541" s="7" t="s">
        <v>15</v>
      </c>
      <c r="B541" s="7" t="s">
        <v>284</v>
      </c>
      <c r="C541" s="11" t="s">
        <v>1611</v>
      </c>
      <c r="D541" s="7"/>
      <c r="E541" s="7" t="s">
        <v>1612</v>
      </c>
      <c r="F541" s="7" t="s">
        <v>19</v>
      </c>
      <c r="G541" s="7" t="s">
        <v>1613</v>
      </c>
      <c r="H541" s="7" t="s">
        <v>17</v>
      </c>
      <c r="I541" s="7" t="s">
        <v>17</v>
      </c>
      <c r="J541" s="7" t="s">
        <v>1614</v>
      </c>
    </row>
    <row r="542" spans="1:10" x14ac:dyDescent="0.25" outlineLevel="3" collapsed="1">
      <c r="A542" s="7" t="s">
        <v>19</v>
      </c>
      <c r="B542" s="7" t="s">
        <v>16</v>
      </c>
      <c r="C542" s="7" t="s">
        <v>17</v>
      </c>
      <c r="D542" s="7"/>
      <c r="E542" s="7" t="s">
        <v>1615</v>
      </c>
      <c r="F542" s="7" t="s">
        <v>19</v>
      </c>
      <c r="G542" s="7" t="s">
        <v>31</v>
      </c>
      <c r="H542" s="7" t="s">
        <v>17</v>
      </c>
      <c r="I542" s="7" t="s">
        <v>17</v>
      </c>
      <c r="J542" s="7" t="s">
        <v>1616</v>
      </c>
    </row>
    <row r="543" spans="1:10" x14ac:dyDescent="0.25" outlineLevel="1" collapsed="1">
      <c r="A543" s="8" t="s">
        <v>19</v>
      </c>
      <c r="B543" s="9" t="s">
        <v>1659</v>
      </c>
      <c r="C543" s="8" t="s">
        <v>17</v>
      </c>
      <c r="D543" s="8"/>
      <c r="E543" s="8" t="s">
        <v>1660</v>
      </c>
      <c r="F543" s="8" t="s">
        <v>19</v>
      </c>
      <c r="G543" s="8" t="s">
        <v>17</v>
      </c>
      <c r="H543" s="8" t="s">
        <v>17</v>
      </c>
      <c r="I543" s="8" t="s">
        <v>17</v>
      </c>
      <c r="J543" s="8" t="s">
        <v>1661</v>
      </c>
    </row>
    <row r="544" spans="1:10" x14ac:dyDescent="0.25" outlineLevel="2" collapsed="1">
      <c r="A544" s="8" t="s">
        <v>15</v>
      </c>
      <c r="B544" s="9" t="s">
        <v>1597</v>
      </c>
      <c r="C544" s="8" t="s">
        <v>17</v>
      </c>
      <c r="D544" s="8"/>
      <c r="E544" s="8" t="s">
        <v>1662</v>
      </c>
      <c r="F544" s="8" t="s">
        <v>19</v>
      </c>
      <c r="G544" s="8" t="s">
        <v>17</v>
      </c>
      <c r="H544" s="8" t="s">
        <v>17</v>
      </c>
      <c r="I544" s="8" t="s">
        <v>17</v>
      </c>
      <c r="J544" s="8" t="s">
        <v>1663</v>
      </c>
    </row>
    <row r="545" spans="1:10" x14ac:dyDescent="0.25" outlineLevel="3" collapsed="1">
      <c r="A545" s="7" t="s">
        <v>15</v>
      </c>
      <c r="B545" s="7" t="s">
        <v>16</v>
      </c>
      <c r="C545" s="7" t="s">
        <v>17</v>
      </c>
      <c r="D545" s="7"/>
      <c r="E545" s="7" t="s">
        <v>1431</v>
      </c>
      <c r="F545" s="7" t="s">
        <v>19</v>
      </c>
      <c r="G545" s="7" t="s">
        <v>31</v>
      </c>
      <c r="H545" s="7" t="s">
        <v>17</v>
      </c>
      <c r="I545" s="7" t="s">
        <v>17</v>
      </c>
      <c r="J545" s="7" t="s">
        <v>637</v>
      </c>
    </row>
    <row r="546" spans="1:10" x14ac:dyDescent="0.25" outlineLevel="3" collapsed="1">
      <c r="A546" s="7" t="s">
        <v>15</v>
      </c>
      <c r="B546" s="7" t="s">
        <v>16</v>
      </c>
      <c r="C546" s="7" t="s">
        <v>17</v>
      </c>
      <c r="D546" s="7"/>
      <c r="E546" s="7" t="s">
        <v>638</v>
      </c>
      <c r="F546" s="7" t="s">
        <v>19</v>
      </c>
      <c r="G546" s="7" t="s">
        <v>31</v>
      </c>
      <c r="H546" s="7" t="s">
        <v>17</v>
      </c>
      <c r="I546" s="7" t="s">
        <v>17</v>
      </c>
      <c r="J546" s="7" t="s">
        <v>640</v>
      </c>
    </row>
    <row r="547" spans="1:10" x14ac:dyDescent="0.25" outlineLevel="3" collapsed="1">
      <c r="A547" s="7" t="s">
        <v>15</v>
      </c>
      <c r="B547" s="7" t="s">
        <v>16</v>
      </c>
      <c r="C547" s="7" t="s">
        <v>17</v>
      </c>
      <c r="D547" s="7"/>
      <c r="E547" s="7" t="s">
        <v>9</v>
      </c>
      <c r="F547" s="7" t="s">
        <v>19</v>
      </c>
      <c r="G547" s="7" t="s">
        <v>31</v>
      </c>
      <c r="H547" s="7" t="s">
        <v>17</v>
      </c>
      <c r="I547" s="7" t="s">
        <v>17</v>
      </c>
      <c r="J547" s="7" t="s">
        <v>843</v>
      </c>
    </row>
    <row r="548" spans="1:10" x14ac:dyDescent="0.25" outlineLevel="3" collapsed="1">
      <c r="A548" s="7" t="s">
        <v>19</v>
      </c>
      <c r="B548" s="7" t="s">
        <v>16</v>
      </c>
      <c r="C548" s="7" t="s">
        <v>17</v>
      </c>
      <c r="D548" s="7"/>
      <c r="E548" s="7" t="s">
        <v>1600</v>
      </c>
      <c r="F548" s="7" t="s">
        <v>19</v>
      </c>
      <c r="G548" s="7" t="s">
        <v>31</v>
      </c>
      <c r="H548" s="7" t="s">
        <v>17</v>
      </c>
      <c r="I548" s="7" t="s">
        <v>17</v>
      </c>
      <c r="J548" s="7" t="s">
        <v>1424</v>
      </c>
    </row>
    <row r="549" spans="1:10" x14ac:dyDescent="0.25" outlineLevel="3" collapsed="1">
      <c r="A549" s="7" t="s">
        <v>15</v>
      </c>
      <c r="B549" s="7" t="s">
        <v>16</v>
      </c>
      <c r="C549" s="7" t="s">
        <v>17</v>
      </c>
      <c r="D549" s="7"/>
      <c r="E549" s="7" t="s">
        <v>1601</v>
      </c>
      <c r="F549" s="7" t="s">
        <v>19</v>
      </c>
      <c r="G549" s="7" t="s">
        <v>31</v>
      </c>
      <c r="H549" s="7" t="s">
        <v>17</v>
      </c>
      <c r="I549" s="7" t="s">
        <v>17</v>
      </c>
      <c r="J549" s="7" t="s">
        <v>1602</v>
      </c>
    </row>
    <row r="550" spans="1:10" x14ac:dyDescent="0.25" outlineLevel="3" collapsed="1">
      <c r="A550" s="7" t="s">
        <v>15</v>
      </c>
      <c r="B550" s="7" t="s">
        <v>16</v>
      </c>
      <c r="C550" s="7" t="s">
        <v>17</v>
      </c>
      <c r="D550" s="7"/>
      <c r="E550" s="7" t="s">
        <v>1603</v>
      </c>
      <c r="F550" s="7" t="s">
        <v>19</v>
      </c>
      <c r="G550" s="7" t="s">
        <v>31</v>
      </c>
      <c r="H550" s="7" t="s">
        <v>17</v>
      </c>
      <c r="I550" s="7" t="s">
        <v>17</v>
      </c>
      <c r="J550" s="7" t="s">
        <v>1422</v>
      </c>
    </row>
    <row r="551" spans="1:10" x14ac:dyDescent="0.25" outlineLevel="3" collapsed="1">
      <c r="A551" s="7" t="s">
        <v>15</v>
      </c>
      <c r="B551" s="7" t="s">
        <v>284</v>
      </c>
      <c r="C551" s="11" t="s">
        <v>1604</v>
      </c>
      <c r="D551" s="7"/>
      <c r="E551" s="7" t="s">
        <v>1605</v>
      </c>
      <c r="F551" s="7" t="s">
        <v>19</v>
      </c>
      <c r="G551" s="7" t="s">
        <v>1606</v>
      </c>
      <c r="H551" s="7" t="s">
        <v>17</v>
      </c>
      <c r="I551" s="7" t="s">
        <v>17</v>
      </c>
      <c r="J551" s="7" t="s">
        <v>1607</v>
      </c>
    </row>
    <row r="552" spans="1:10" x14ac:dyDescent="0.25" outlineLevel="3" collapsed="1">
      <c r="A552" s="7" t="s">
        <v>19</v>
      </c>
      <c r="B552" s="7" t="s">
        <v>63</v>
      </c>
      <c r="C552" s="7" t="s">
        <v>17</v>
      </c>
      <c r="D552" s="7">
        <f>EXACT(G551,"Single value")</f>
      </c>
      <c r="E552" s="7" t="s">
        <v>1608</v>
      </c>
      <c r="F552" s="7" t="s">
        <v>19</v>
      </c>
      <c r="G552" s="7">
        <v>1</v>
      </c>
      <c r="H552" s="7" t="s">
        <v>17</v>
      </c>
      <c r="I552" s="7" t="s">
        <v>17</v>
      </c>
      <c r="J552" s="7" t="s">
        <v>1609</v>
      </c>
    </row>
    <row r="553" spans="1:10" x14ac:dyDescent="0.25" outlineLevel="3" collapsed="1">
      <c r="A553" s="7" t="s">
        <v>15</v>
      </c>
      <c r="B553" s="7" t="s">
        <v>16</v>
      </c>
      <c r="C553" s="7" t="s">
        <v>17</v>
      </c>
      <c r="D553" s="7"/>
      <c r="E553" s="7" t="s">
        <v>1610</v>
      </c>
      <c r="F553" s="7" t="s">
        <v>19</v>
      </c>
      <c r="G553" s="7" t="s">
        <v>31</v>
      </c>
      <c r="H553" s="7" t="s">
        <v>17</v>
      </c>
      <c r="I553" s="7" t="s">
        <v>17</v>
      </c>
      <c r="J553" s="7" t="s">
        <v>1191</v>
      </c>
    </row>
    <row r="554" spans="1:10" x14ac:dyDescent="0.25" outlineLevel="3" collapsed="1">
      <c r="A554" s="7" t="s">
        <v>15</v>
      </c>
      <c r="B554" s="7" t="s">
        <v>284</v>
      </c>
      <c r="C554" s="11" t="s">
        <v>1611</v>
      </c>
      <c r="D554" s="7"/>
      <c r="E554" s="7" t="s">
        <v>1612</v>
      </c>
      <c r="F554" s="7" t="s">
        <v>19</v>
      </c>
      <c r="G554" s="7" t="s">
        <v>1613</v>
      </c>
      <c r="H554" s="7" t="s">
        <v>17</v>
      </c>
      <c r="I554" s="7" t="s">
        <v>17</v>
      </c>
      <c r="J554" s="7" t="s">
        <v>1614</v>
      </c>
    </row>
    <row r="555" spans="1:10" x14ac:dyDescent="0.25" outlineLevel="3" collapsed="1">
      <c r="A555" s="7" t="s">
        <v>19</v>
      </c>
      <c r="B555" s="7" t="s">
        <v>16</v>
      </c>
      <c r="C555" s="7" t="s">
        <v>17</v>
      </c>
      <c r="D555" s="7"/>
      <c r="E555" s="7" t="s">
        <v>1615</v>
      </c>
      <c r="F555" s="7" t="s">
        <v>19</v>
      </c>
      <c r="G555" s="7" t="s">
        <v>31</v>
      </c>
      <c r="H555" s="7" t="s">
        <v>17</v>
      </c>
      <c r="I555" s="7" t="s">
        <v>17</v>
      </c>
      <c r="J555" s="7" t="s">
        <v>1616</v>
      </c>
    </row>
    <row r="556" spans="1:10" x14ac:dyDescent="0.25" outlineLevel="1" collapsed="1">
      <c r="A556" s="8" t="s">
        <v>15</v>
      </c>
      <c r="B556" s="9" t="s">
        <v>1664</v>
      </c>
      <c r="C556" s="8" t="s">
        <v>17</v>
      </c>
      <c r="D556" s="8"/>
      <c r="E556" s="8" t="s">
        <v>1665</v>
      </c>
      <c r="F556" s="8" t="s">
        <v>19</v>
      </c>
      <c r="G556" s="8" t="s">
        <v>17</v>
      </c>
      <c r="H556" s="8" t="s">
        <v>17</v>
      </c>
      <c r="I556" s="8" t="s">
        <v>17</v>
      </c>
      <c r="J556" s="8" t="s">
        <v>1666</v>
      </c>
    </row>
    <row r="557" spans="1:10" x14ac:dyDescent="0.25" outlineLevel="2" collapsed="1">
      <c r="A557" s="8" t="s">
        <v>15</v>
      </c>
      <c r="B557" s="9" t="s">
        <v>1667</v>
      </c>
      <c r="C557" s="8" t="s">
        <v>17</v>
      </c>
      <c r="D557" s="8"/>
      <c r="E557" s="8" t="s">
        <v>1668</v>
      </c>
      <c r="F557" s="8" t="s">
        <v>19</v>
      </c>
      <c r="G557" s="8" t="s">
        <v>17</v>
      </c>
      <c r="H557" s="8" t="s">
        <v>17</v>
      </c>
      <c r="I557" s="8" t="s">
        <v>17</v>
      </c>
      <c r="J557" s="8" t="s">
        <v>1669</v>
      </c>
    </row>
    <row r="558" spans="1:10" x14ac:dyDescent="0.25" outlineLevel="3" collapsed="1">
      <c r="A558" s="7" t="s">
        <v>15</v>
      </c>
      <c r="B558" s="7" t="s">
        <v>16</v>
      </c>
      <c r="C558" s="7" t="s">
        <v>17</v>
      </c>
      <c r="D558" s="7"/>
      <c r="E558" s="7" t="s">
        <v>1670</v>
      </c>
      <c r="F558" s="7" t="s">
        <v>19</v>
      </c>
      <c r="G558" s="7" t="s">
        <v>31</v>
      </c>
      <c r="H558" s="7" t="s">
        <v>17</v>
      </c>
      <c r="I558" s="7" t="s">
        <v>17</v>
      </c>
      <c r="J558" s="7" t="s">
        <v>637</v>
      </c>
    </row>
    <row r="559" spans="1:10" x14ac:dyDescent="0.25" outlineLevel="3" collapsed="1">
      <c r="A559" s="7" t="s">
        <v>15</v>
      </c>
      <c r="B559" s="7" t="s">
        <v>16</v>
      </c>
      <c r="C559" s="7" t="s">
        <v>17</v>
      </c>
      <c r="D559" s="7"/>
      <c r="E559" s="7" t="s">
        <v>638</v>
      </c>
      <c r="F559" s="7" t="s">
        <v>19</v>
      </c>
      <c r="G559" s="7" t="s">
        <v>31</v>
      </c>
      <c r="H559" s="7" t="s">
        <v>17</v>
      </c>
      <c r="I559" s="7" t="s">
        <v>17</v>
      </c>
      <c r="J559" s="7" t="s">
        <v>640</v>
      </c>
    </row>
    <row r="560" spans="1:10" x14ac:dyDescent="0.25" outlineLevel="3" collapsed="1">
      <c r="A560" s="7" t="s">
        <v>15</v>
      </c>
      <c r="B560" s="7" t="s">
        <v>16</v>
      </c>
      <c r="C560" s="7" t="s">
        <v>17</v>
      </c>
      <c r="D560" s="7"/>
      <c r="E560" s="7" t="s">
        <v>9</v>
      </c>
      <c r="F560" s="7" t="s">
        <v>19</v>
      </c>
      <c r="G560" s="7" t="s">
        <v>31</v>
      </c>
      <c r="H560" s="7" t="s">
        <v>17</v>
      </c>
      <c r="I560" s="7" t="s">
        <v>17</v>
      </c>
      <c r="J560" s="7" t="s">
        <v>843</v>
      </c>
    </row>
    <row r="561" spans="1:10" x14ac:dyDescent="0.25" outlineLevel="3" collapsed="1">
      <c r="A561" s="7" t="s">
        <v>19</v>
      </c>
      <c r="B561" s="7" t="s">
        <v>16</v>
      </c>
      <c r="C561" s="7" t="s">
        <v>17</v>
      </c>
      <c r="D561" s="7"/>
      <c r="E561" s="7" t="s">
        <v>1600</v>
      </c>
      <c r="F561" s="7" t="s">
        <v>19</v>
      </c>
      <c r="G561" s="7" t="s">
        <v>31</v>
      </c>
      <c r="H561" s="7" t="s">
        <v>17</v>
      </c>
      <c r="I561" s="7" t="s">
        <v>17</v>
      </c>
      <c r="J561" s="7" t="s">
        <v>1424</v>
      </c>
    </row>
    <row r="562" spans="1:10" x14ac:dyDescent="0.25" outlineLevel="3" collapsed="1">
      <c r="A562" s="7" t="s">
        <v>15</v>
      </c>
      <c r="B562" s="7" t="s">
        <v>16</v>
      </c>
      <c r="C562" s="7" t="s">
        <v>17</v>
      </c>
      <c r="D562" s="7"/>
      <c r="E562" s="7" t="s">
        <v>1601</v>
      </c>
      <c r="F562" s="7" t="s">
        <v>19</v>
      </c>
      <c r="G562" s="7" t="s">
        <v>31</v>
      </c>
      <c r="H562" s="7" t="s">
        <v>17</v>
      </c>
      <c r="I562" s="7" t="s">
        <v>17</v>
      </c>
      <c r="J562" s="7" t="s">
        <v>1602</v>
      </c>
    </row>
    <row r="563" spans="1:10" x14ac:dyDescent="0.25" outlineLevel="3" collapsed="1">
      <c r="A563" s="7" t="s">
        <v>15</v>
      </c>
      <c r="B563" s="7" t="s">
        <v>16</v>
      </c>
      <c r="C563" s="7" t="s">
        <v>17</v>
      </c>
      <c r="D563" s="7"/>
      <c r="E563" s="7" t="s">
        <v>1671</v>
      </c>
      <c r="F563" s="7" t="s">
        <v>19</v>
      </c>
      <c r="G563" s="7" t="s">
        <v>31</v>
      </c>
      <c r="H563" s="7" t="s">
        <v>17</v>
      </c>
      <c r="I563" s="7" t="s">
        <v>17</v>
      </c>
      <c r="J563" s="7" t="s">
        <v>1672</v>
      </c>
    </row>
    <row r="564" spans="1:10" x14ac:dyDescent="0.25" outlineLevel="3" collapsed="1">
      <c r="A564" s="7" t="s">
        <v>15</v>
      </c>
      <c r="B564" s="7" t="s">
        <v>16</v>
      </c>
      <c r="C564" s="7" t="s">
        <v>17</v>
      </c>
      <c r="D564" s="7"/>
      <c r="E564" s="7" t="s">
        <v>1673</v>
      </c>
      <c r="F564" s="7" t="s">
        <v>19</v>
      </c>
      <c r="G564" s="7" t="s">
        <v>31</v>
      </c>
      <c r="H564" s="7" t="s">
        <v>17</v>
      </c>
      <c r="I564" s="7" t="s">
        <v>17</v>
      </c>
      <c r="J564" s="7" t="s">
        <v>1674</v>
      </c>
    </row>
    <row r="565" spans="1:10" x14ac:dyDescent="0.25" outlineLevel="3" collapsed="1">
      <c r="A565" s="7" t="s">
        <v>15</v>
      </c>
      <c r="B565" s="7" t="s">
        <v>16</v>
      </c>
      <c r="C565" s="7" t="s">
        <v>17</v>
      </c>
      <c r="D565" s="7"/>
      <c r="E565" s="7" t="s">
        <v>1675</v>
      </c>
      <c r="F565" s="7" t="s">
        <v>19</v>
      </c>
      <c r="G565" s="7" t="s">
        <v>31</v>
      </c>
      <c r="H565" s="7" t="s">
        <v>17</v>
      </c>
      <c r="I565" s="7" t="s">
        <v>17</v>
      </c>
      <c r="J565" s="7" t="s">
        <v>1422</v>
      </c>
    </row>
    <row r="566" spans="1:10" x14ac:dyDescent="0.25" outlineLevel="3" collapsed="1">
      <c r="A566" s="7" t="s">
        <v>15</v>
      </c>
      <c r="B566" s="7" t="s">
        <v>284</v>
      </c>
      <c r="C566" s="11" t="s">
        <v>1604</v>
      </c>
      <c r="D566" s="7"/>
      <c r="E566" s="7" t="s">
        <v>1605</v>
      </c>
      <c r="F566" s="7" t="s">
        <v>19</v>
      </c>
      <c r="G566" s="7" t="s">
        <v>1606</v>
      </c>
      <c r="H566" s="7" t="s">
        <v>17</v>
      </c>
      <c r="I566" s="7" t="s">
        <v>17</v>
      </c>
      <c r="J566" s="7" t="s">
        <v>1607</v>
      </c>
    </row>
    <row r="567" spans="1:10" x14ac:dyDescent="0.25" outlineLevel="3" collapsed="1">
      <c r="A567" s="7" t="s">
        <v>19</v>
      </c>
      <c r="B567" s="7" t="s">
        <v>63</v>
      </c>
      <c r="C567" s="7" t="s">
        <v>17</v>
      </c>
      <c r="D567" s="7">
        <f>EXACT(G566,"Single value")</f>
      </c>
      <c r="E567" s="7" t="s">
        <v>1676</v>
      </c>
      <c r="F567" s="7" t="s">
        <v>19</v>
      </c>
      <c r="G567" s="7">
        <v>1</v>
      </c>
      <c r="H567" s="7" t="s">
        <v>17</v>
      </c>
      <c r="I567" s="7" t="s">
        <v>17</v>
      </c>
      <c r="J567" s="7" t="s">
        <v>1609</v>
      </c>
    </row>
    <row r="568" spans="1:10" x14ac:dyDescent="0.25" outlineLevel="3" collapsed="1">
      <c r="A568" s="7" t="s">
        <v>19</v>
      </c>
      <c r="B568" s="7" t="s">
        <v>16</v>
      </c>
      <c r="C568" s="7" t="s">
        <v>17</v>
      </c>
      <c r="D568" s="7"/>
      <c r="E568" s="7" t="s">
        <v>1677</v>
      </c>
      <c r="F568" s="7" t="s">
        <v>19</v>
      </c>
      <c r="G568" s="7" t="s">
        <v>31</v>
      </c>
      <c r="H568" s="7" t="s">
        <v>17</v>
      </c>
      <c r="I568" s="7" t="s">
        <v>17</v>
      </c>
      <c r="J568" s="7" t="s">
        <v>1678</v>
      </c>
    </row>
    <row r="569" spans="1:10" x14ac:dyDescent="0.25" outlineLevel="3" collapsed="1">
      <c r="A569" s="7" t="s">
        <v>15</v>
      </c>
      <c r="B569" s="7" t="s">
        <v>16</v>
      </c>
      <c r="C569" s="7" t="s">
        <v>17</v>
      </c>
      <c r="D569" s="7"/>
      <c r="E569" s="7" t="s">
        <v>1679</v>
      </c>
      <c r="F569" s="7" t="s">
        <v>19</v>
      </c>
      <c r="G569" s="7" t="s">
        <v>31</v>
      </c>
      <c r="H569" s="7" t="s">
        <v>17</v>
      </c>
      <c r="I569" s="7" t="s">
        <v>17</v>
      </c>
      <c r="J569" s="7" t="s">
        <v>1680</v>
      </c>
    </row>
    <row r="570" spans="1:10" x14ac:dyDescent="0.25" outlineLevel="3" collapsed="1">
      <c r="A570" s="7" t="s">
        <v>15</v>
      </c>
      <c r="B570" s="7" t="s">
        <v>284</v>
      </c>
      <c r="C570" s="11" t="s">
        <v>1611</v>
      </c>
      <c r="D570" s="7"/>
      <c r="E570" s="7" t="s">
        <v>1612</v>
      </c>
      <c r="F570" s="7" t="s">
        <v>19</v>
      </c>
      <c r="G570" s="7" t="s">
        <v>1613</v>
      </c>
      <c r="H570" s="7" t="s">
        <v>17</v>
      </c>
      <c r="I570" s="7" t="s">
        <v>17</v>
      </c>
      <c r="J570" s="7" t="s">
        <v>1614</v>
      </c>
    </row>
    <row r="571" spans="1:10" x14ac:dyDescent="0.25" outlineLevel="3" collapsed="1">
      <c r="A571" s="7" t="s">
        <v>19</v>
      </c>
      <c r="B571" s="7" t="s">
        <v>16</v>
      </c>
      <c r="C571" s="7" t="s">
        <v>17</v>
      </c>
      <c r="D571" s="7"/>
      <c r="E571" s="7" t="s">
        <v>1681</v>
      </c>
      <c r="F571" s="7" t="s">
        <v>19</v>
      </c>
      <c r="G571" s="7" t="s">
        <v>31</v>
      </c>
      <c r="H571" s="7" t="s">
        <v>17</v>
      </c>
      <c r="I571" s="7" t="s">
        <v>17</v>
      </c>
      <c r="J571" s="7" t="s">
        <v>1682</v>
      </c>
    </row>
    <row r="572" spans="1:10" x14ac:dyDescent="0.25" outlineLevel="3" collapsed="1">
      <c r="A572" s="7" t="s">
        <v>19</v>
      </c>
      <c r="B572" s="7" t="s">
        <v>16</v>
      </c>
      <c r="C572" s="7" t="s">
        <v>17</v>
      </c>
      <c r="D572" s="7"/>
      <c r="E572" s="7" t="s">
        <v>1615</v>
      </c>
      <c r="F572" s="7" t="s">
        <v>19</v>
      </c>
      <c r="G572" s="7" t="s">
        <v>31</v>
      </c>
      <c r="H572" s="7" t="s">
        <v>17</v>
      </c>
      <c r="I572" s="7" t="s">
        <v>17</v>
      </c>
      <c r="J572" s="7" t="s">
        <v>1616</v>
      </c>
    </row>
    <row r="573" spans="1:10" x14ac:dyDescent="0.25" outlineLevel="2" collapsed="1">
      <c r="A573" s="8" t="s">
        <v>15</v>
      </c>
      <c r="B573" s="9" t="s">
        <v>1667</v>
      </c>
      <c r="C573" s="8" t="s">
        <v>17</v>
      </c>
      <c r="D573" s="8"/>
      <c r="E573" s="8" t="s">
        <v>1683</v>
      </c>
      <c r="F573" s="8" t="s">
        <v>19</v>
      </c>
      <c r="G573" s="8" t="s">
        <v>17</v>
      </c>
      <c r="H573" s="8" t="s">
        <v>17</v>
      </c>
      <c r="I573" s="8" t="s">
        <v>17</v>
      </c>
      <c r="J573" s="8" t="s">
        <v>1684</v>
      </c>
    </row>
    <row r="574" spans="1:10" x14ac:dyDescent="0.25" outlineLevel="3" collapsed="1">
      <c r="A574" s="7" t="s">
        <v>15</v>
      </c>
      <c r="B574" s="7" t="s">
        <v>16</v>
      </c>
      <c r="C574" s="7" t="s">
        <v>17</v>
      </c>
      <c r="D574" s="7"/>
      <c r="E574" s="7" t="s">
        <v>1670</v>
      </c>
      <c r="F574" s="7" t="s">
        <v>19</v>
      </c>
      <c r="G574" s="7" t="s">
        <v>31</v>
      </c>
      <c r="H574" s="7" t="s">
        <v>17</v>
      </c>
      <c r="I574" s="7" t="s">
        <v>17</v>
      </c>
      <c r="J574" s="7" t="s">
        <v>637</v>
      </c>
    </row>
    <row r="575" spans="1:10" x14ac:dyDescent="0.25" outlineLevel="3" collapsed="1">
      <c r="A575" s="7" t="s">
        <v>15</v>
      </c>
      <c r="B575" s="7" t="s">
        <v>16</v>
      </c>
      <c r="C575" s="7" t="s">
        <v>17</v>
      </c>
      <c r="D575" s="7"/>
      <c r="E575" s="7" t="s">
        <v>638</v>
      </c>
      <c r="F575" s="7" t="s">
        <v>19</v>
      </c>
      <c r="G575" s="7" t="s">
        <v>31</v>
      </c>
      <c r="H575" s="7" t="s">
        <v>17</v>
      </c>
      <c r="I575" s="7" t="s">
        <v>17</v>
      </c>
      <c r="J575" s="7" t="s">
        <v>640</v>
      </c>
    </row>
    <row r="576" spans="1:10" x14ac:dyDescent="0.25" outlineLevel="3" collapsed="1">
      <c r="A576" s="7" t="s">
        <v>15</v>
      </c>
      <c r="B576" s="7" t="s">
        <v>16</v>
      </c>
      <c r="C576" s="7" t="s">
        <v>17</v>
      </c>
      <c r="D576" s="7"/>
      <c r="E576" s="7" t="s">
        <v>9</v>
      </c>
      <c r="F576" s="7" t="s">
        <v>19</v>
      </c>
      <c r="G576" s="7" t="s">
        <v>31</v>
      </c>
      <c r="H576" s="7" t="s">
        <v>17</v>
      </c>
      <c r="I576" s="7" t="s">
        <v>17</v>
      </c>
      <c r="J576" s="7" t="s">
        <v>843</v>
      </c>
    </row>
    <row r="577" spans="1:10" x14ac:dyDescent="0.25" outlineLevel="3" collapsed="1">
      <c r="A577" s="7" t="s">
        <v>19</v>
      </c>
      <c r="B577" s="7" t="s">
        <v>16</v>
      </c>
      <c r="C577" s="7" t="s">
        <v>17</v>
      </c>
      <c r="D577" s="7"/>
      <c r="E577" s="7" t="s">
        <v>1600</v>
      </c>
      <c r="F577" s="7" t="s">
        <v>19</v>
      </c>
      <c r="G577" s="7" t="s">
        <v>31</v>
      </c>
      <c r="H577" s="7" t="s">
        <v>17</v>
      </c>
      <c r="I577" s="7" t="s">
        <v>17</v>
      </c>
      <c r="J577" s="7" t="s">
        <v>1424</v>
      </c>
    </row>
    <row r="578" spans="1:10" x14ac:dyDescent="0.25" outlineLevel="3" collapsed="1">
      <c r="A578" s="7" t="s">
        <v>15</v>
      </c>
      <c r="B578" s="7" t="s">
        <v>16</v>
      </c>
      <c r="C578" s="7" t="s">
        <v>17</v>
      </c>
      <c r="D578" s="7"/>
      <c r="E578" s="7" t="s">
        <v>1601</v>
      </c>
      <c r="F578" s="7" t="s">
        <v>19</v>
      </c>
      <c r="G578" s="7" t="s">
        <v>31</v>
      </c>
      <c r="H578" s="7" t="s">
        <v>17</v>
      </c>
      <c r="I578" s="7" t="s">
        <v>17</v>
      </c>
      <c r="J578" s="7" t="s">
        <v>1602</v>
      </c>
    </row>
    <row r="579" spans="1:10" x14ac:dyDescent="0.25" outlineLevel="3" collapsed="1">
      <c r="A579" s="7" t="s">
        <v>15</v>
      </c>
      <c r="B579" s="7" t="s">
        <v>16</v>
      </c>
      <c r="C579" s="7" t="s">
        <v>17</v>
      </c>
      <c r="D579" s="7"/>
      <c r="E579" s="7" t="s">
        <v>1671</v>
      </c>
      <c r="F579" s="7" t="s">
        <v>19</v>
      </c>
      <c r="G579" s="7" t="s">
        <v>31</v>
      </c>
      <c r="H579" s="7" t="s">
        <v>17</v>
      </c>
      <c r="I579" s="7" t="s">
        <v>17</v>
      </c>
      <c r="J579" s="7" t="s">
        <v>1672</v>
      </c>
    </row>
    <row r="580" spans="1:10" x14ac:dyDescent="0.25" outlineLevel="3" collapsed="1">
      <c r="A580" s="7" t="s">
        <v>15</v>
      </c>
      <c r="B580" s="7" t="s">
        <v>16</v>
      </c>
      <c r="C580" s="7" t="s">
        <v>17</v>
      </c>
      <c r="D580" s="7"/>
      <c r="E580" s="7" t="s">
        <v>1673</v>
      </c>
      <c r="F580" s="7" t="s">
        <v>19</v>
      </c>
      <c r="G580" s="7" t="s">
        <v>31</v>
      </c>
      <c r="H580" s="7" t="s">
        <v>17</v>
      </c>
      <c r="I580" s="7" t="s">
        <v>17</v>
      </c>
      <c r="J580" s="7" t="s">
        <v>1674</v>
      </c>
    </row>
    <row r="581" spans="1:10" x14ac:dyDescent="0.25" outlineLevel="3" collapsed="1">
      <c r="A581" s="7" t="s">
        <v>15</v>
      </c>
      <c r="B581" s="7" t="s">
        <v>16</v>
      </c>
      <c r="C581" s="7" t="s">
        <v>17</v>
      </c>
      <c r="D581" s="7"/>
      <c r="E581" s="7" t="s">
        <v>1675</v>
      </c>
      <c r="F581" s="7" t="s">
        <v>19</v>
      </c>
      <c r="G581" s="7" t="s">
        <v>31</v>
      </c>
      <c r="H581" s="7" t="s">
        <v>17</v>
      </c>
      <c r="I581" s="7" t="s">
        <v>17</v>
      </c>
      <c r="J581" s="7" t="s">
        <v>1422</v>
      </c>
    </row>
    <row r="582" spans="1:10" x14ac:dyDescent="0.25" outlineLevel="3" collapsed="1">
      <c r="A582" s="7" t="s">
        <v>15</v>
      </c>
      <c r="B582" s="7" t="s">
        <v>284</v>
      </c>
      <c r="C582" s="11" t="s">
        <v>1604</v>
      </c>
      <c r="D582" s="7"/>
      <c r="E582" s="7" t="s">
        <v>1605</v>
      </c>
      <c r="F582" s="7" t="s">
        <v>19</v>
      </c>
      <c r="G582" s="7" t="s">
        <v>1606</v>
      </c>
      <c r="H582" s="7" t="s">
        <v>17</v>
      </c>
      <c r="I582" s="7" t="s">
        <v>17</v>
      </c>
      <c r="J582" s="7" t="s">
        <v>1607</v>
      </c>
    </row>
    <row r="583" spans="1:10" x14ac:dyDescent="0.25" outlineLevel="3" collapsed="1">
      <c r="A583" s="7" t="s">
        <v>19</v>
      </c>
      <c r="B583" s="7" t="s">
        <v>63</v>
      </c>
      <c r="C583" s="7" t="s">
        <v>17</v>
      </c>
      <c r="D583" s="7">
        <f>EXACT(G582,"Single value")</f>
      </c>
      <c r="E583" s="7" t="s">
        <v>1676</v>
      </c>
      <c r="F583" s="7" t="s">
        <v>19</v>
      </c>
      <c r="G583" s="7">
        <v>1</v>
      </c>
      <c r="H583" s="7" t="s">
        <v>17</v>
      </c>
      <c r="I583" s="7" t="s">
        <v>17</v>
      </c>
      <c r="J583" s="7" t="s">
        <v>1609</v>
      </c>
    </row>
    <row r="584" spans="1:10" x14ac:dyDescent="0.25" outlineLevel="3" collapsed="1">
      <c r="A584" s="7" t="s">
        <v>19</v>
      </c>
      <c r="B584" s="7" t="s">
        <v>16</v>
      </c>
      <c r="C584" s="7" t="s">
        <v>17</v>
      </c>
      <c r="D584" s="7"/>
      <c r="E584" s="7" t="s">
        <v>1677</v>
      </c>
      <c r="F584" s="7" t="s">
        <v>19</v>
      </c>
      <c r="G584" s="7" t="s">
        <v>31</v>
      </c>
      <c r="H584" s="7" t="s">
        <v>17</v>
      </c>
      <c r="I584" s="7" t="s">
        <v>17</v>
      </c>
      <c r="J584" s="7" t="s">
        <v>1678</v>
      </c>
    </row>
    <row r="585" spans="1:10" x14ac:dyDescent="0.25" outlineLevel="3" collapsed="1">
      <c r="A585" s="7" t="s">
        <v>15</v>
      </c>
      <c r="B585" s="7" t="s">
        <v>16</v>
      </c>
      <c r="C585" s="7" t="s">
        <v>17</v>
      </c>
      <c r="D585" s="7"/>
      <c r="E585" s="7" t="s">
        <v>1679</v>
      </c>
      <c r="F585" s="7" t="s">
        <v>19</v>
      </c>
      <c r="G585" s="7" t="s">
        <v>31</v>
      </c>
      <c r="H585" s="7" t="s">
        <v>17</v>
      </c>
      <c r="I585" s="7" t="s">
        <v>17</v>
      </c>
      <c r="J585" s="7" t="s">
        <v>1680</v>
      </c>
    </row>
    <row r="586" spans="1:10" x14ac:dyDescent="0.25" outlineLevel="3" collapsed="1">
      <c r="A586" s="7" t="s">
        <v>15</v>
      </c>
      <c r="B586" s="7" t="s">
        <v>284</v>
      </c>
      <c r="C586" s="11" t="s">
        <v>1611</v>
      </c>
      <c r="D586" s="7"/>
      <c r="E586" s="7" t="s">
        <v>1612</v>
      </c>
      <c r="F586" s="7" t="s">
        <v>19</v>
      </c>
      <c r="G586" s="7" t="s">
        <v>1613</v>
      </c>
      <c r="H586" s="7" t="s">
        <v>17</v>
      </c>
      <c r="I586" s="7" t="s">
        <v>17</v>
      </c>
      <c r="J586" s="7" t="s">
        <v>1614</v>
      </c>
    </row>
    <row r="587" spans="1:10" x14ac:dyDescent="0.25" outlineLevel="3" collapsed="1">
      <c r="A587" s="7" t="s">
        <v>19</v>
      </c>
      <c r="B587" s="7" t="s">
        <v>16</v>
      </c>
      <c r="C587" s="7" t="s">
        <v>17</v>
      </c>
      <c r="D587" s="7"/>
      <c r="E587" s="7" t="s">
        <v>1681</v>
      </c>
      <c r="F587" s="7" t="s">
        <v>19</v>
      </c>
      <c r="G587" s="7" t="s">
        <v>31</v>
      </c>
      <c r="H587" s="7" t="s">
        <v>17</v>
      </c>
      <c r="I587" s="7" t="s">
        <v>17</v>
      </c>
      <c r="J587" s="7" t="s">
        <v>1682</v>
      </c>
    </row>
    <row r="588" spans="1:10" x14ac:dyDescent="0.25" outlineLevel="3" collapsed="1">
      <c r="A588" s="7" t="s">
        <v>19</v>
      </c>
      <c r="B588" s="7" t="s">
        <v>16</v>
      </c>
      <c r="C588" s="7" t="s">
        <v>17</v>
      </c>
      <c r="D588" s="7"/>
      <c r="E588" s="7" t="s">
        <v>1615</v>
      </c>
      <c r="F588" s="7" t="s">
        <v>19</v>
      </c>
      <c r="G588" s="7" t="s">
        <v>31</v>
      </c>
      <c r="H588" s="7" t="s">
        <v>17</v>
      </c>
      <c r="I588" s="7" t="s">
        <v>17</v>
      </c>
      <c r="J588" s="7" t="s">
        <v>1616</v>
      </c>
    </row>
    <row r="589" spans="1:10" x14ac:dyDescent="0.25" outlineLevel="2" collapsed="1">
      <c r="A589" s="8" t="s">
        <v>15</v>
      </c>
      <c r="B589" s="9" t="s">
        <v>1667</v>
      </c>
      <c r="C589" s="8" t="s">
        <v>17</v>
      </c>
      <c r="D589" s="8"/>
      <c r="E589" s="8" t="s">
        <v>1685</v>
      </c>
      <c r="F589" s="8" t="s">
        <v>19</v>
      </c>
      <c r="G589" s="8" t="s">
        <v>17</v>
      </c>
      <c r="H589" s="8" t="s">
        <v>17</v>
      </c>
      <c r="I589" s="8" t="s">
        <v>17</v>
      </c>
      <c r="J589" s="8" t="s">
        <v>636</v>
      </c>
    </row>
    <row r="590" spans="1:10" x14ac:dyDescent="0.25" outlineLevel="3" collapsed="1">
      <c r="A590" s="7" t="s">
        <v>15</v>
      </c>
      <c r="B590" s="7" t="s">
        <v>16</v>
      </c>
      <c r="C590" s="7" t="s">
        <v>17</v>
      </c>
      <c r="D590" s="7"/>
      <c r="E590" s="7" t="s">
        <v>1670</v>
      </c>
      <c r="F590" s="7" t="s">
        <v>19</v>
      </c>
      <c r="G590" s="7" t="s">
        <v>31</v>
      </c>
      <c r="H590" s="7" t="s">
        <v>17</v>
      </c>
      <c r="I590" s="7" t="s">
        <v>17</v>
      </c>
      <c r="J590" s="7" t="s">
        <v>637</v>
      </c>
    </row>
    <row r="591" spans="1:10" x14ac:dyDescent="0.25" outlineLevel="3" collapsed="1">
      <c r="A591" s="7" t="s">
        <v>15</v>
      </c>
      <c r="B591" s="7" t="s">
        <v>16</v>
      </c>
      <c r="C591" s="7" t="s">
        <v>17</v>
      </c>
      <c r="D591" s="7"/>
      <c r="E591" s="7" t="s">
        <v>638</v>
      </c>
      <c r="F591" s="7" t="s">
        <v>19</v>
      </c>
      <c r="G591" s="7" t="s">
        <v>31</v>
      </c>
      <c r="H591" s="7" t="s">
        <v>17</v>
      </c>
      <c r="I591" s="7" t="s">
        <v>17</v>
      </c>
      <c r="J591" s="7" t="s">
        <v>640</v>
      </c>
    </row>
    <row r="592" spans="1:10" x14ac:dyDescent="0.25" outlineLevel="3" collapsed="1">
      <c r="A592" s="7" t="s">
        <v>15</v>
      </c>
      <c r="B592" s="7" t="s">
        <v>16</v>
      </c>
      <c r="C592" s="7" t="s">
        <v>17</v>
      </c>
      <c r="D592" s="7"/>
      <c r="E592" s="7" t="s">
        <v>9</v>
      </c>
      <c r="F592" s="7" t="s">
        <v>19</v>
      </c>
      <c r="G592" s="7" t="s">
        <v>31</v>
      </c>
      <c r="H592" s="7" t="s">
        <v>17</v>
      </c>
      <c r="I592" s="7" t="s">
        <v>17</v>
      </c>
      <c r="J592" s="7" t="s">
        <v>843</v>
      </c>
    </row>
    <row r="593" spans="1:10" x14ac:dyDescent="0.25" outlineLevel="3" collapsed="1">
      <c r="A593" s="7" t="s">
        <v>19</v>
      </c>
      <c r="B593" s="7" t="s">
        <v>16</v>
      </c>
      <c r="C593" s="7" t="s">
        <v>17</v>
      </c>
      <c r="D593" s="7"/>
      <c r="E593" s="7" t="s">
        <v>1600</v>
      </c>
      <c r="F593" s="7" t="s">
        <v>19</v>
      </c>
      <c r="G593" s="7" t="s">
        <v>31</v>
      </c>
      <c r="H593" s="7" t="s">
        <v>17</v>
      </c>
      <c r="I593" s="7" t="s">
        <v>17</v>
      </c>
      <c r="J593" s="7" t="s">
        <v>1424</v>
      </c>
    </row>
    <row r="594" spans="1:10" x14ac:dyDescent="0.25" outlineLevel="3" collapsed="1">
      <c r="A594" s="7" t="s">
        <v>15</v>
      </c>
      <c r="B594" s="7" t="s">
        <v>16</v>
      </c>
      <c r="C594" s="7" t="s">
        <v>17</v>
      </c>
      <c r="D594" s="7"/>
      <c r="E594" s="7" t="s">
        <v>1601</v>
      </c>
      <c r="F594" s="7" t="s">
        <v>19</v>
      </c>
      <c r="G594" s="7" t="s">
        <v>31</v>
      </c>
      <c r="H594" s="7" t="s">
        <v>17</v>
      </c>
      <c r="I594" s="7" t="s">
        <v>17</v>
      </c>
      <c r="J594" s="7" t="s">
        <v>1602</v>
      </c>
    </row>
    <row r="595" spans="1:10" x14ac:dyDescent="0.25" outlineLevel="3" collapsed="1">
      <c r="A595" s="7" t="s">
        <v>15</v>
      </c>
      <c r="B595" s="7" t="s">
        <v>16</v>
      </c>
      <c r="C595" s="7" t="s">
        <v>17</v>
      </c>
      <c r="D595" s="7"/>
      <c r="E595" s="7" t="s">
        <v>1671</v>
      </c>
      <c r="F595" s="7" t="s">
        <v>19</v>
      </c>
      <c r="G595" s="7" t="s">
        <v>31</v>
      </c>
      <c r="H595" s="7" t="s">
        <v>17</v>
      </c>
      <c r="I595" s="7" t="s">
        <v>17</v>
      </c>
      <c r="J595" s="7" t="s">
        <v>1672</v>
      </c>
    </row>
    <row r="596" spans="1:10" x14ac:dyDescent="0.25" outlineLevel="3" collapsed="1">
      <c r="A596" s="7" t="s">
        <v>15</v>
      </c>
      <c r="B596" s="7" t="s">
        <v>16</v>
      </c>
      <c r="C596" s="7" t="s">
        <v>17</v>
      </c>
      <c r="D596" s="7"/>
      <c r="E596" s="7" t="s">
        <v>1673</v>
      </c>
      <c r="F596" s="7" t="s">
        <v>19</v>
      </c>
      <c r="G596" s="7" t="s">
        <v>31</v>
      </c>
      <c r="H596" s="7" t="s">
        <v>17</v>
      </c>
      <c r="I596" s="7" t="s">
        <v>17</v>
      </c>
      <c r="J596" s="7" t="s">
        <v>1674</v>
      </c>
    </row>
    <row r="597" spans="1:10" x14ac:dyDescent="0.25" outlineLevel="3" collapsed="1">
      <c r="A597" s="7" t="s">
        <v>15</v>
      </c>
      <c r="B597" s="7" t="s">
        <v>16</v>
      </c>
      <c r="C597" s="7" t="s">
        <v>17</v>
      </c>
      <c r="D597" s="7"/>
      <c r="E597" s="7" t="s">
        <v>1675</v>
      </c>
      <c r="F597" s="7" t="s">
        <v>19</v>
      </c>
      <c r="G597" s="7" t="s">
        <v>31</v>
      </c>
      <c r="H597" s="7" t="s">
        <v>17</v>
      </c>
      <c r="I597" s="7" t="s">
        <v>17</v>
      </c>
      <c r="J597" s="7" t="s">
        <v>1422</v>
      </c>
    </row>
    <row r="598" spans="1:10" x14ac:dyDescent="0.25" outlineLevel="3" collapsed="1">
      <c r="A598" s="7" t="s">
        <v>15</v>
      </c>
      <c r="B598" s="7" t="s">
        <v>284</v>
      </c>
      <c r="C598" s="11" t="s">
        <v>1604</v>
      </c>
      <c r="D598" s="7"/>
      <c r="E598" s="7" t="s">
        <v>1605</v>
      </c>
      <c r="F598" s="7" t="s">
        <v>19</v>
      </c>
      <c r="G598" s="7" t="s">
        <v>1606</v>
      </c>
      <c r="H598" s="7" t="s">
        <v>17</v>
      </c>
      <c r="I598" s="7" t="s">
        <v>17</v>
      </c>
      <c r="J598" s="7" t="s">
        <v>1607</v>
      </c>
    </row>
    <row r="599" spans="1:10" x14ac:dyDescent="0.25" outlineLevel="3" collapsed="1">
      <c r="A599" s="7" t="s">
        <v>19</v>
      </c>
      <c r="B599" s="7" t="s">
        <v>63</v>
      </c>
      <c r="C599" s="7" t="s">
        <v>17</v>
      </c>
      <c r="D599" s="7">
        <f>EXACT(G598,"Single value")</f>
      </c>
      <c r="E599" s="7" t="s">
        <v>1676</v>
      </c>
      <c r="F599" s="7" t="s">
        <v>19</v>
      </c>
      <c r="G599" s="7">
        <v>1</v>
      </c>
      <c r="H599" s="7" t="s">
        <v>17</v>
      </c>
      <c r="I599" s="7" t="s">
        <v>17</v>
      </c>
      <c r="J599" s="7" t="s">
        <v>1609</v>
      </c>
    </row>
    <row r="600" spans="1:10" x14ac:dyDescent="0.25" outlineLevel="3" collapsed="1">
      <c r="A600" s="7" t="s">
        <v>19</v>
      </c>
      <c r="B600" s="7" t="s">
        <v>16</v>
      </c>
      <c r="C600" s="7" t="s">
        <v>17</v>
      </c>
      <c r="D600" s="7"/>
      <c r="E600" s="7" t="s">
        <v>1677</v>
      </c>
      <c r="F600" s="7" t="s">
        <v>19</v>
      </c>
      <c r="G600" s="7" t="s">
        <v>31</v>
      </c>
      <c r="H600" s="7" t="s">
        <v>17</v>
      </c>
      <c r="I600" s="7" t="s">
        <v>17</v>
      </c>
      <c r="J600" s="7" t="s">
        <v>1678</v>
      </c>
    </row>
    <row r="601" spans="1:10" x14ac:dyDescent="0.25" outlineLevel="3" collapsed="1">
      <c r="A601" s="7" t="s">
        <v>15</v>
      </c>
      <c r="B601" s="7" t="s">
        <v>16</v>
      </c>
      <c r="C601" s="7" t="s">
        <v>17</v>
      </c>
      <c r="D601" s="7"/>
      <c r="E601" s="7" t="s">
        <v>1679</v>
      </c>
      <c r="F601" s="7" t="s">
        <v>19</v>
      </c>
      <c r="G601" s="7" t="s">
        <v>31</v>
      </c>
      <c r="H601" s="7" t="s">
        <v>17</v>
      </c>
      <c r="I601" s="7" t="s">
        <v>17</v>
      </c>
      <c r="J601" s="7" t="s">
        <v>1680</v>
      </c>
    </row>
    <row r="602" spans="1:10" x14ac:dyDescent="0.25" outlineLevel="3" collapsed="1">
      <c r="A602" s="7" t="s">
        <v>15</v>
      </c>
      <c r="B602" s="7" t="s">
        <v>284</v>
      </c>
      <c r="C602" s="11" t="s">
        <v>1611</v>
      </c>
      <c r="D602" s="7"/>
      <c r="E602" s="7" t="s">
        <v>1612</v>
      </c>
      <c r="F602" s="7" t="s">
        <v>19</v>
      </c>
      <c r="G602" s="7" t="s">
        <v>1613</v>
      </c>
      <c r="H602" s="7" t="s">
        <v>17</v>
      </c>
      <c r="I602" s="7" t="s">
        <v>17</v>
      </c>
      <c r="J602" s="7" t="s">
        <v>1614</v>
      </c>
    </row>
    <row r="603" spans="1:10" x14ac:dyDescent="0.25" outlineLevel="3" collapsed="1">
      <c r="A603" s="7" t="s">
        <v>19</v>
      </c>
      <c r="B603" s="7" t="s">
        <v>16</v>
      </c>
      <c r="C603" s="7" t="s">
        <v>17</v>
      </c>
      <c r="D603" s="7"/>
      <c r="E603" s="7" t="s">
        <v>1681</v>
      </c>
      <c r="F603" s="7" t="s">
        <v>19</v>
      </c>
      <c r="G603" s="7" t="s">
        <v>31</v>
      </c>
      <c r="H603" s="7" t="s">
        <v>17</v>
      </c>
      <c r="I603" s="7" t="s">
        <v>17</v>
      </c>
      <c r="J603" s="7" t="s">
        <v>1682</v>
      </c>
    </row>
    <row r="604" spans="1:10" x14ac:dyDescent="0.25" outlineLevel="3" collapsed="1">
      <c r="A604" s="7" t="s">
        <v>19</v>
      </c>
      <c r="B604" s="7" t="s">
        <v>16</v>
      </c>
      <c r="C604" s="7" t="s">
        <v>17</v>
      </c>
      <c r="D604" s="7"/>
      <c r="E604" s="7" t="s">
        <v>1615</v>
      </c>
      <c r="F604" s="7" t="s">
        <v>19</v>
      </c>
      <c r="G604" s="7" t="s">
        <v>31</v>
      </c>
      <c r="H604" s="7" t="s">
        <v>17</v>
      </c>
      <c r="I604" s="7" t="s">
        <v>17</v>
      </c>
      <c r="J604" s="7" t="s">
        <v>1616</v>
      </c>
    </row>
    <row r="605" spans="1:10" x14ac:dyDescent="0.25" outlineLevel="2" collapsed="1">
      <c r="A605" s="8" t="s">
        <v>15</v>
      </c>
      <c r="B605" s="9" t="s">
        <v>1667</v>
      </c>
      <c r="C605" s="8" t="s">
        <v>17</v>
      </c>
      <c r="D605" s="8"/>
      <c r="E605" s="8" t="s">
        <v>1686</v>
      </c>
      <c r="F605" s="8" t="s">
        <v>19</v>
      </c>
      <c r="G605" s="8" t="s">
        <v>17</v>
      </c>
      <c r="H605" s="8" t="s">
        <v>17</v>
      </c>
      <c r="I605" s="8" t="s">
        <v>17</v>
      </c>
      <c r="J605" s="8" t="s">
        <v>1687</v>
      </c>
    </row>
    <row r="606" spans="1:10" x14ac:dyDescent="0.25" outlineLevel="3" collapsed="1">
      <c r="A606" s="7" t="s">
        <v>15</v>
      </c>
      <c r="B606" s="7" t="s">
        <v>16</v>
      </c>
      <c r="C606" s="7" t="s">
        <v>17</v>
      </c>
      <c r="D606" s="7"/>
      <c r="E606" s="7" t="s">
        <v>1670</v>
      </c>
      <c r="F606" s="7" t="s">
        <v>19</v>
      </c>
      <c r="G606" s="7" t="s">
        <v>31</v>
      </c>
      <c r="H606" s="7" t="s">
        <v>17</v>
      </c>
      <c r="I606" s="7" t="s">
        <v>17</v>
      </c>
      <c r="J606" s="7" t="s">
        <v>637</v>
      </c>
    </row>
    <row r="607" spans="1:10" x14ac:dyDescent="0.25" outlineLevel="3" collapsed="1">
      <c r="A607" s="7" t="s">
        <v>15</v>
      </c>
      <c r="B607" s="7" t="s">
        <v>16</v>
      </c>
      <c r="C607" s="7" t="s">
        <v>17</v>
      </c>
      <c r="D607" s="7"/>
      <c r="E607" s="7" t="s">
        <v>638</v>
      </c>
      <c r="F607" s="7" t="s">
        <v>19</v>
      </c>
      <c r="G607" s="7" t="s">
        <v>31</v>
      </c>
      <c r="H607" s="7" t="s">
        <v>17</v>
      </c>
      <c r="I607" s="7" t="s">
        <v>17</v>
      </c>
      <c r="J607" s="7" t="s">
        <v>640</v>
      </c>
    </row>
    <row r="608" spans="1:10" x14ac:dyDescent="0.25" outlineLevel="3" collapsed="1">
      <c r="A608" s="7" t="s">
        <v>15</v>
      </c>
      <c r="B608" s="7" t="s">
        <v>16</v>
      </c>
      <c r="C608" s="7" t="s">
        <v>17</v>
      </c>
      <c r="D608" s="7"/>
      <c r="E608" s="7" t="s">
        <v>9</v>
      </c>
      <c r="F608" s="7" t="s">
        <v>19</v>
      </c>
      <c r="G608" s="7" t="s">
        <v>31</v>
      </c>
      <c r="H608" s="7" t="s">
        <v>17</v>
      </c>
      <c r="I608" s="7" t="s">
        <v>17</v>
      </c>
      <c r="J608" s="7" t="s">
        <v>843</v>
      </c>
    </row>
    <row r="609" spans="1:10" x14ac:dyDescent="0.25" outlineLevel="3" collapsed="1">
      <c r="A609" s="7" t="s">
        <v>19</v>
      </c>
      <c r="B609" s="7" t="s">
        <v>16</v>
      </c>
      <c r="C609" s="7" t="s">
        <v>17</v>
      </c>
      <c r="D609" s="7"/>
      <c r="E609" s="7" t="s">
        <v>1600</v>
      </c>
      <c r="F609" s="7" t="s">
        <v>19</v>
      </c>
      <c r="G609" s="7" t="s">
        <v>31</v>
      </c>
      <c r="H609" s="7" t="s">
        <v>17</v>
      </c>
      <c r="I609" s="7" t="s">
        <v>17</v>
      </c>
      <c r="J609" s="7" t="s">
        <v>1424</v>
      </c>
    </row>
    <row r="610" spans="1:10" x14ac:dyDescent="0.25" outlineLevel="3" collapsed="1">
      <c r="A610" s="7" t="s">
        <v>15</v>
      </c>
      <c r="B610" s="7" t="s">
        <v>16</v>
      </c>
      <c r="C610" s="7" t="s">
        <v>17</v>
      </c>
      <c r="D610" s="7"/>
      <c r="E610" s="7" t="s">
        <v>1601</v>
      </c>
      <c r="F610" s="7" t="s">
        <v>19</v>
      </c>
      <c r="G610" s="7" t="s">
        <v>31</v>
      </c>
      <c r="H610" s="7" t="s">
        <v>17</v>
      </c>
      <c r="I610" s="7" t="s">
        <v>17</v>
      </c>
      <c r="J610" s="7" t="s">
        <v>1602</v>
      </c>
    </row>
    <row r="611" spans="1:10" x14ac:dyDescent="0.25" outlineLevel="3" collapsed="1">
      <c r="A611" s="7" t="s">
        <v>15</v>
      </c>
      <c r="B611" s="7" t="s">
        <v>16</v>
      </c>
      <c r="C611" s="7" t="s">
        <v>17</v>
      </c>
      <c r="D611" s="7"/>
      <c r="E611" s="7" t="s">
        <v>1671</v>
      </c>
      <c r="F611" s="7" t="s">
        <v>19</v>
      </c>
      <c r="G611" s="7" t="s">
        <v>31</v>
      </c>
      <c r="H611" s="7" t="s">
        <v>17</v>
      </c>
      <c r="I611" s="7" t="s">
        <v>17</v>
      </c>
      <c r="J611" s="7" t="s">
        <v>1672</v>
      </c>
    </row>
    <row r="612" spans="1:10" x14ac:dyDescent="0.25" outlineLevel="3" collapsed="1">
      <c r="A612" s="7" t="s">
        <v>15</v>
      </c>
      <c r="B612" s="7" t="s">
        <v>16</v>
      </c>
      <c r="C612" s="7" t="s">
        <v>17</v>
      </c>
      <c r="D612" s="7"/>
      <c r="E612" s="7" t="s">
        <v>1673</v>
      </c>
      <c r="F612" s="7" t="s">
        <v>19</v>
      </c>
      <c r="G612" s="7" t="s">
        <v>31</v>
      </c>
      <c r="H612" s="7" t="s">
        <v>17</v>
      </c>
      <c r="I612" s="7" t="s">
        <v>17</v>
      </c>
      <c r="J612" s="7" t="s">
        <v>1674</v>
      </c>
    </row>
    <row r="613" spans="1:10" x14ac:dyDescent="0.25" outlineLevel="3" collapsed="1">
      <c r="A613" s="7" t="s">
        <v>15</v>
      </c>
      <c r="B613" s="7" t="s">
        <v>16</v>
      </c>
      <c r="C613" s="7" t="s">
        <v>17</v>
      </c>
      <c r="D613" s="7"/>
      <c r="E613" s="7" t="s">
        <v>1675</v>
      </c>
      <c r="F613" s="7" t="s">
        <v>19</v>
      </c>
      <c r="G613" s="7" t="s">
        <v>31</v>
      </c>
      <c r="H613" s="7" t="s">
        <v>17</v>
      </c>
      <c r="I613" s="7" t="s">
        <v>17</v>
      </c>
      <c r="J613" s="7" t="s">
        <v>1422</v>
      </c>
    </row>
    <row r="614" spans="1:10" x14ac:dyDescent="0.25" outlineLevel="3" collapsed="1">
      <c r="A614" s="7" t="s">
        <v>15</v>
      </c>
      <c r="B614" s="7" t="s">
        <v>284</v>
      </c>
      <c r="C614" s="11" t="s">
        <v>1604</v>
      </c>
      <c r="D614" s="7"/>
      <c r="E614" s="7" t="s">
        <v>1605</v>
      </c>
      <c r="F614" s="7" t="s">
        <v>19</v>
      </c>
      <c r="G614" s="7" t="s">
        <v>1606</v>
      </c>
      <c r="H614" s="7" t="s">
        <v>17</v>
      </c>
      <c r="I614" s="7" t="s">
        <v>17</v>
      </c>
      <c r="J614" s="7" t="s">
        <v>1607</v>
      </c>
    </row>
    <row r="615" spans="1:10" x14ac:dyDescent="0.25" outlineLevel="3" collapsed="1">
      <c r="A615" s="7" t="s">
        <v>19</v>
      </c>
      <c r="B615" s="7" t="s">
        <v>63</v>
      </c>
      <c r="C615" s="7" t="s">
        <v>17</v>
      </c>
      <c r="D615" s="7">
        <f>EXACT(G614,"Single value")</f>
      </c>
      <c r="E615" s="7" t="s">
        <v>1676</v>
      </c>
      <c r="F615" s="7" t="s">
        <v>19</v>
      </c>
      <c r="G615" s="7">
        <v>1</v>
      </c>
      <c r="H615" s="7" t="s">
        <v>17</v>
      </c>
      <c r="I615" s="7" t="s">
        <v>17</v>
      </c>
      <c r="J615" s="7" t="s">
        <v>1609</v>
      </c>
    </row>
    <row r="616" spans="1:10" x14ac:dyDescent="0.25" outlineLevel="3" collapsed="1">
      <c r="A616" s="7" t="s">
        <v>19</v>
      </c>
      <c r="B616" s="7" t="s">
        <v>16</v>
      </c>
      <c r="C616" s="7" t="s">
        <v>17</v>
      </c>
      <c r="D616" s="7"/>
      <c r="E616" s="7" t="s">
        <v>1677</v>
      </c>
      <c r="F616" s="7" t="s">
        <v>19</v>
      </c>
      <c r="G616" s="7" t="s">
        <v>31</v>
      </c>
      <c r="H616" s="7" t="s">
        <v>17</v>
      </c>
      <c r="I616" s="7" t="s">
        <v>17</v>
      </c>
      <c r="J616" s="7" t="s">
        <v>1678</v>
      </c>
    </row>
    <row r="617" spans="1:10" x14ac:dyDescent="0.25" outlineLevel="3" collapsed="1">
      <c r="A617" s="7" t="s">
        <v>15</v>
      </c>
      <c r="B617" s="7" t="s">
        <v>16</v>
      </c>
      <c r="C617" s="7" t="s">
        <v>17</v>
      </c>
      <c r="D617" s="7"/>
      <c r="E617" s="7" t="s">
        <v>1679</v>
      </c>
      <c r="F617" s="7" t="s">
        <v>19</v>
      </c>
      <c r="G617" s="7" t="s">
        <v>31</v>
      </c>
      <c r="H617" s="7" t="s">
        <v>17</v>
      </c>
      <c r="I617" s="7" t="s">
        <v>17</v>
      </c>
      <c r="J617" s="7" t="s">
        <v>1680</v>
      </c>
    </row>
    <row r="618" spans="1:10" x14ac:dyDescent="0.25" outlineLevel="3" collapsed="1">
      <c r="A618" s="7" t="s">
        <v>15</v>
      </c>
      <c r="B618" s="7" t="s">
        <v>284</v>
      </c>
      <c r="C618" s="11" t="s">
        <v>1611</v>
      </c>
      <c r="D618" s="7"/>
      <c r="E618" s="7" t="s">
        <v>1612</v>
      </c>
      <c r="F618" s="7" t="s">
        <v>19</v>
      </c>
      <c r="G618" s="7" t="s">
        <v>1613</v>
      </c>
      <c r="H618" s="7" t="s">
        <v>17</v>
      </c>
      <c r="I618" s="7" t="s">
        <v>17</v>
      </c>
      <c r="J618" s="7" t="s">
        <v>1614</v>
      </c>
    </row>
    <row r="619" spans="1:10" x14ac:dyDescent="0.25" outlineLevel="3" collapsed="1">
      <c r="A619" s="7" t="s">
        <v>19</v>
      </c>
      <c r="B619" s="7" t="s">
        <v>16</v>
      </c>
      <c r="C619" s="7" t="s">
        <v>17</v>
      </c>
      <c r="D619" s="7"/>
      <c r="E619" s="7" t="s">
        <v>1681</v>
      </c>
      <c r="F619" s="7" t="s">
        <v>19</v>
      </c>
      <c r="G619" s="7" t="s">
        <v>31</v>
      </c>
      <c r="H619" s="7" t="s">
        <v>17</v>
      </c>
      <c r="I619" s="7" t="s">
        <v>17</v>
      </c>
      <c r="J619" s="7" t="s">
        <v>1682</v>
      </c>
    </row>
    <row r="620" spans="1:10" x14ac:dyDescent="0.25" outlineLevel="3" collapsed="1">
      <c r="A620" s="7" t="s">
        <v>19</v>
      </c>
      <c r="B620" s="7" t="s">
        <v>16</v>
      </c>
      <c r="C620" s="7" t="s">
        <v>17</v>
      </c>
      <c r="D620" s="7"/>
      <c r="E620" s="7" t="s">
        <v>1615</v>
      </c>
      <c r="F620" s="7" t="s">
        <v>19</v>
      </c>
      <c r="G620" s="7" t="s">
        <v>31</v>
      </c>
      <c r="H620" s="7" t="s">
        <v>17</v>
      </c>
      <c r="I620" s="7" t="s">
        <v>17</v>
      </c>
      <c r="J620" s="7" t="s">
        <v>1616</v>
      </c>
    </row>
    <row r="621" spans="1:10" x14ac:dyDescent="0.25" outlineLevel="2" collapsed="1">
      <c r="A621" s="8" t="s">
        <v>15</v>
      </c>
      <c r="B621" s="9" t="s">
        <v>1667</v>
      </c>
      <c r="C621" s="8" t="s">
        <v>17</v>
      </c>
      <c r="D621" s="8"/>
      <c r="E621" s="8" t="s">
        <v>1688</v>
      </c>
      <c r="F621" s="8" t="s">
        <v>19</v>
      </c>
      <c r="G621" s="8" t="s">
        <v>17</v>
      </c>
      <c r="H621" s="8" t="s">
        <v>17</v>
      </c>
      <c r="I621" s="8" t="s">
        <v>17</v>
      </c>
      <c r="J621" s="8" t="s">
        <v>1689</v>
      </c>
    </row>
    <row r="622" spans="1:10" x14ac:dyDescent="0.25" outlineLevel="3" collapsed="1">
      <c r="A622" s="7" t="s">
        <v>15</v>
      </c>
      <c r="B622" s="7" t="s">
        <v>16</v>
      </c>
      <c r="C622" s="7" t="s">
        <v>17</v>
      </c>
      <c r="D622" s="7"/>
      <c r="E622" s="7" t="s">
        <v>1670</v>
      </c>
      <c r="F622" s="7" t="s">
        <v>19</v>
      </c>
      <c r="G622" s="7" t="s">
        <v>31</v>
      </c>
      <c r="H622" s="7" t="s">
        <v>17</v>
      </c>
      <c r="I622" s="7" t="s">
        <v>17</v>
      </c>
      <c r="J622" s="7" t="s">
        <v>637</v>
      </c>
    </row>
    <row r="623" spans="1:10" x14ac:dyDescent="0.25" outlineLevel="3" collapsed="1">
      <c r="A623" s="7" t="s">
        <v>15</v>
      </c>
      <c r="B623" s="7" t="s">
        <v>16</v>
      </c>
      <c r="C623" s="7" t="s">
        <v>17</v>
      </c>
      <c r="D623" s="7"/>
      <c r="E623" s="7" t="s">
        <v>638</v>
      </c>
      <c r="F623" s="7" t="s">
        <v>19</v>
      </c>
      <c r="G623" s="7" t="s">
        <v>31</v>
      </c>
      <c r="H623" s="7" t="s">
        <v>17</v>
      </c>
      <c r="I623" s="7" t="s">
        <v>17</v>
      </c>
      <c r="J623" s="7" t="s">
        <v>640</v>
      </c>
    </row>
    <row r="624" spans="1:10" x14ac:dyDescent="0.25" outlineLevel="3" collapsed="1">
      <c r="A624" s="7" t="s">
        <v>15</v>
      </c>
      <c r="B624" s="7" t="s">
        <v>16</v>
      </c>
      <c r="C624" s="7" t="s">
        <v>17</v>
      </c>
      <c r="D624" s="7"/>
      <c r="E624" s="7" t="s">
        <v>9</v>
      </c>
      <c r="F624" s="7" t="s">
        <v>19</v>
      </c>
      <c r="G624" s="7" t="s">
        <v>31</v>
      </c>
      <c r="H624" s="7" t="s">
        <v>17</v>
      </c>
      <c r="I624" s="7" t="s">
        <v>17</v>
      </c>
      <c r="J624" s="7" t="s">
        <v>843</v>
      </c>
    </row>
    <row r="625" spans="1:10" x14ac:dyDescent="0.25" outlineLevel="3" collapsed="1">
      <c r="A625" s="7" t="s">
        <v>19</v>
      </c>
      <c r="B625" s="7" t="s">
        <v>16</v>
      </c>
      <c r="C625" s="7" t="s">
        <v>17</v>
      </c>
      <c r="D625" s="7"/>
      <c r="E625" s="7" t="s">
        <v>1600</v>
      </c>
      <c r="F625" s="7" t="s">
        <v>19</v>
      </c>
      <c r="G625" s="7" t="s">
        <v>31</v>
      </c>
      <c r="H625" s="7" t="s">
        <v>17</v>
      </c>
      <c r="I625" s="7" t="s">
        <v>17</v>
      </c>
      <c r="J625" s="7" t="s">
        <v>1424</v>
      </c>
    </row>
    <row r="626" spans="1:10" x14ac:dyDescent="0.25" outlineLevel="3" collapsed="1">
      <c r="A626" s="7" t="s">
        <v>15</v>
      </c>
      <c r="B626" s="7" t="s">
        <v>16</v>
      </c>
      <c r="C626" s="7" t="s">
        <v>17</v>
      </c>
      <c r="D626" s="7"/>
      <c r="E626" s="7" t="s">
        <v>1601</v>
      </c>
      <c r="F626" s="7" t="s">
        <v>19</v>
      </c>
      <c r="G626" s="7" t="s">
        <v>31</v>
      </c>
      <c r="H626" s="7" t="s">
        <v>17</v>
      </c>
      <c r="I626" s="7" t="s">
        <v>17</v>
      </c>
      <c r="J626" s="7" t="s">
        <v>1602</v>
      </c>
    </row>
    <row r="627" spans="1:10" x14ac:dyDescent="0.25" outlineLevel="3" collapsed="1">
      <c r="A627" s="7" t="s">
        <v>15</v>
      </c>
      <c r="B627" s="7" t="s">
        <v>16</v>
      </c>
      <c r="C627" s="7" t="s">
        <v>17</v>
      </c>
      <c r="D627" s="7"/>
      <c r="E627" s="7" t="s">
        <v>1671</v>
      </c>
      <c r="F627" s="7" t="s">
        <v>19</v>
      </c>
      <c r="G627" s="7" t="s">
        <v>31</v>
      </c>
      <c r="H627" s="7" t="s">
        <v>17</v>
      </c>
      <c r="I627" s="7" t="s">
        <v>17</v>
      </c>
      <c r="J627" s="7" t="s">
        <v>1672</v>
      </c>
    </row>
    <row r="628" spans="1:10" x14ac:dyDescent="0.25" outlineLevel="3" collapsed="1">
      <c r="A628" s="7" t="s">
        <v>15</v>
      </c>
      <c r="B628" s="7" t="s">
        <v>16</v>
      </c>
      <c r="C628" s="7" t="s">
        <v>17</v>
      </c>
      <c r="D628" s="7"/>
      <c r="E628" s="7" t="s">
        <v>1673</v>
      </c>
      <c r="F628" s="7" t="s">
        <v>19</v>
      </c>
      <c r="G628" s="7" t="s">
        <v>31</v>
      </c>
      <c r="H628" s="7" t="s">
        <v>17</v>
      </c>
      <c r="I628" s="7" t="s">
        <v>17</v>
      </c>
      <c r="J628" s="7" t="s">
        <v>1674</v>
      </c>
    </row>
    <row r="629" spans="1:10" x14ac:dyDescent="0.25" outlineLevel="3" collapsed="1">
      <c r="A629" s="7" t="s">
        <v>15</v>
      </c>
      <c r="B629" s="7" t="s">
        <v>16</v>
      </c>
      <c r="C629" s="7" t="s">
        <v>17</v>
      </c>
      <c r="D629" s="7"/>
      <c r="E629" s="7" t="s">
        <v>1675</v>
      </c>
      <c r="F629" s="7" t="s">
        <v>19</v>
      </c>
      <c r="G629" s="7" t="s">
        <v>31</v>
      </c>
      <c r="H629" s="7" t="s">
        <v>17</v>
      </c>
      <c r="I629" s="7" t="s">
        <v>17</v>
      </c>
      <c r="J629" s="7" t="s">
        <v>1422</v>
      </c>
    </row>
    <row r="630" spans="1:10" x14ac:dyDescent="0.25" outlineLevel="3" collapsed="1">
      <c r="A630" s="7" t="s">
        <v>15</v>
      </c>
      <c r="B630" s="7" t="s">
        <v>284</v>
      </c>
      <c r="C630" s="11" t="s">
        <v>1604</v>
      </c>
      <c r="D630" s="7"/>
      <c r="E630" s="7" t="s">
        <v>1605</v>
      </c>
      <c r="F630" s="7" t="s">
        <v>19</v>
      </c>
      <c r="G630" s="7" t="s">
        <v>1606</v>
      </c>
      <c r="H630" s="7" t="s">
        <v>17</v>
      </c>
      <c r="I630" s="7" t="s">
        <v>17</v>
      </c>
      <c r="J630" s="7" t="s">
        <v>1607</v>
      </c>
    </row>
    <row r="631" spans="1:10" x14ac:dyDescent="0.25" outlineLevel="3" collapsed="1">
      <c r="A631" s="7" t="s">
        <v>19</v>
      </c>
      <c r="B631" s="7" t="s">
        <v>63</v>
      </c>
      <c r="C631" s="7" t="s">
        <v>17</v>
      </c>
      <c r="D631" s="7">
        <f>EXACT(G630,"Single value")</f>
      </c>
      <c r="E631" s="7" t="s">
        <v>1676</v>
      </c>
      <c r="F631" s="7" t="s">
        <v>19</v>
      </c>
      <c r="G631" s="7">
        <v>1</v>
      </c>
      <c r="H631" s="7" t="s">
        <v>17</v>
      </c>
      <c r="I631" s="7" t="s">
        <v>17</v>
      </c>
      <c r="J631" s="7" t="s">
        <v>1609</v>
      </c>
    </row>
    <row r="632" spans="1:10" x14ac:dyDescent="0.25" outlineLevel="3" collapsed="1">
      <c r="A632" s="7" t="s">
        <v>19</v>
      </c>
      <c r="B632" s="7" t="s">
        <v>16</v>
      </c>
      <c r="C632" s="7" t="s">
        <v>17</v>
      </c>
      <c r="D632" s="7"/>
      <c r="E632" s="7" t="s">
        <v>1677</v>
      </c>
      <c r="F632" s="7" t="s">
        <v>19</v>
      </c>
      <c r="G632" s="7" t="s">
        <v>31</v>
      </c>
      <c r="H632" s="7" t="s">
        <v>17</v>
      </c>
      <c r="I632" s="7" t="s">
        <v>17</v>
      </c>
      <c r="J632" s="7" t="s">
        <v>1678</v>
      </c>
    </row>
    <row r="633" spans="1:10" x14ac:dyDescent="0.25" outlineLevel="3" collapsed="1">
      <c r="A633" s="7" t="s">
        <v>15</v>
      </c>
      <c r="B633" s="7" t="s">
        <v>16</v>
      </c>
      <c r="C633" s="7" t="s">
        <v>17</v>
      </c>
      <c r="D633" s="7"/>
      <c r="E633" s="7" t="s">
        <v>1679</v>
      </c>
      <c r="F633" s="7" t="s">
        <v>19</v>
      </c>
      <c r="G633" s="7" t="s">
        <v>31</v>
      </c>
      <c r="H633" s="7" t="s">
        <v>17</v>
      </c>
      <c r="I633" s="7" t="s">
        <v>17</v>
      </c>
      <c r="J633" s="7" t="s">
        <v>1680</v>
      </c>
    </row>
    <row r="634" spans="1:10" x14ac:dyDescent="0.25" outlineLevel="3" collapsed="1">
      <c r="A634" s="7" t="s">
        <v>15</v>
      </c>
      <c r="B634" s="7" t="s">
        <v>284</v>
      </c>
      <c r="C634" s="11" t="s">
        <v>1611</v>
      </c>
      <c r="D634" s="7"/>
      <c r="E634" s="7" t="s">
        <v>1612</v>
      </c>
      <c r="F634" s="7" t="s">
        <v>19</v>
      </c>
      <c r="G634" s="7" t="s">
        <v>1613</v>
      </c>
      <c r="H634" s="7" t="s">
        <v>17</v>
      </c>
      <c r="I634" s="7" t="s">
        <v>17</v>
      </c>
      <c r="J634" s="7" t="s">
        <v>1614</v>
      </c>
    </row>
    <row r="635" spans="1:10" x14ac:dyDescent="0.25" outlineLevel="3" collapsed="1">
      <c r="A635" s="7" t="s">
        <v>19</v>
      </c>
      <c r="B635" s="7" t="s">
        <v>16</v>
      </c>
      <c r="C635" s="7" t="s">
        <v>17</v>
      </c>
      <c r="D635" s="7"/>
      <c r="E635" s="7" t="s">
        <v>1681</v>
      </c>
      <c r="F635" s="7" t="s">
        <v>19</v>
      </c>
      <c r="G635" s="7" t="s">
        <v>31</v>
      </c>
      <c r="H635" s="7" t="s">
        <v>17</v>
      </c>
      <c r="I635" s="7" t="s">
        <v>17</v>
      </c>
      <c r="J635" s="7" t="s">
        <v>1682</v>
      </c>
    </row>
    <row r="636" spans="1:10" x14ac:dyDescent="0.25" outlineLevel="3" collapsed="1">
      <c r="A636" s="7" t="s">
        <v>19</v>
      </c>
      <c r="B636" s="7" t="s">
        <v>16</v>
      </c>
      <c r="C636" s="7" t="s">
        <v>17</v>
      </c>
      <c r="D636" s="7"/>
      <c r="E636" s="7" t="s">
        <v>1615</v>
      </c>
      <c r="F636" s="7" t="s">
        <v>19</v>
      </c>
      <c r="G636" s="7" t="s">
        <v>31</v>
      </c>
      <c r="H636" s="7" t="s">
        <v>17</v>
      </c>
      <c r="I636" s="7" t="s">
        <v>17</v>
      </c>
      <c r="J636" s="7" t="s">
        <v>1616</v>
      </c>
    </row>
    <row r="637" spans="1:10" x14ac:dyDescent="0.25" outlineLevel="2" collapsed="1">
      <c r="A637" s="8" t="s">
        <v>19</v>
      </c>
      <c r="B637" s="9" t="s">
        <v>1667</v>
      </c>
      <c r="C637" s="8" t="s">
        <v>17</v>
      </c>
      <c r="D637" s="8"/>
      <c r="E637" s="8" t="s">
        <v>1690</v>
      </c>
      <c r="F637" s="8" t="s">
        <v>19</v>
      </c>
      <c r="G637" s="8" t="s">
        <v>17</v>
      </c>
      <c r="H637" s="8" t="s">
        <v>17</v>
      </c>
      <c r="I637" s="8" t="s">
        <v>17</v>
      </c>
      <c r="J637" s="8" t="s">
        <v>1691</v>
      </c>
    </row>
    <row r="638" spans="1:10" x14ac:dyDescent="0.25" outlineLevel="3" collapsed="1">
      <c r="A638" s="7" t="s">
        <v>15</v>
      </c>
      <c r="B638" s="7" t="s">
        <v>16</v>
      </c>
      <c r="C638" s="7" t="s">
        <v>17</v>
      </c>
      <c r="D638" s="7"/>
      <c r="E638" s="7" t="s">
        <v>1670</v>
      </c>
      <c r="F638" s="7" t="s">
        <v>19</v>
      </c>
      <c r="G638" s="7" t="s">
        <v>31</v>
      </c>
      <c r="H638" s="7" t="s">
        <v>17</v>
      </c>
      <c r="I638" s="7" t="s">
        <v>17</v>
      </c>
      <c r="J638" s="7" t="s">
        <v>637</v>
      </c>
    </row>
    <row r="639" spans="1:10" x14ac:dyDescent="0.25" outlineLevel="3" collapsed="1">
      <c r="A639" s="7" t="s">
        <v>15</v>
      </c>
      <c r="B639" s="7" t="s">
        <v>16</v>
      </c>
      <c r="C639" s="7" t="s">
        <v>17</v>
      </c>
      <c r="D639" s="7"/>
      <c r="E639" s="7" t="s">
        <v>638</v>
      </c>
      <c r="F639" s="7" t="s">
        <v>19</v>
      </c>
      <c r="G639" s="7" t="s">
        <v>31</v>
      </c>
      <c r="H639" s="7" t="s">
        <v>17</v>
      </c>
      <c r="I639" s="7" t="s">
        <v>17</v>
      </c>
      <c r="J639" s="7" t="s">
        <v>640</v>
      </c>
    </row>
    <row r="640" spans="1:10" x14ac:dyDescent="0.25" outlineLevel="3" collapsed="1">
      <c r="A640" s="7" t="s">
        <v>15</v>
      </c>
      <c r="B640" s="7" t="s">
        <v>16</v>
      </c>
      <c r="C640" s="7" t="s">
        <v>17</v>
      </c>
      <c r="D640" s="7"/>
      <c r="E640" s="7" t="s">
        <v>9</v>
      </c>
      <c r="F640" s="7" t="s">
        <v>19</v>
      </c>
      <c r="G640" s="7" t="s">
        <v>31</v>
      </c>
      <c r="H640" s="7" t="s">
        <v>17</v>
      </c>
      <c r="I640" s="7" t="s">
        <v>17</v>
      </c>
      <c r="J640" s="7" t="s">
        <v>843</v>
      </c>
    </row>
    <row r="641" spans="1:10" x14ac:dyDescent="0.25" outlineLevel="3" collapsed="1">
      <c r="A641" s="7" t="s">
        <v>19</v>
      </c>
      <c r="B641" s="7" t="s">
        <v>16</v>
      </c>
      <c r="C641" s="7" t="s">
        <v>17</v>
      </c>
      <c r="D641" s="7"/>
      <c r="E641" s="7" t="s">
        <v>1600</v>
      </c>
      <c r="F641" s="7" t="s">
        <v>19</v>
      </c>
      <c r="G641" s="7" t="s">
        <v>31</v>
      </c>
      <c r="H641" s="7" t="s">
        <v>17</v>
      </c>
      <c r="I641" s="7" t="s">
        <v>17</v>
      </c>
      <c r="J641" s="7" t="s">
        <v>1424</v>
      </c>
    </row>
    <row r="642" spans="1:10" x14ac:dyDescent="0.25" outlineLevel="3" collapsed="1">
      <c r="A642" s="7" t="s">
        <v>15</v>
      </c>
      <c r="B642" s="7" t="s">
        <v>16</v>
      </c>
      <c r="C642" s="7" t="s">
        <v>17</v>
      </c>
      <c r="D642" s="7"/>
      <c r="E642" s="7" t="s">
        <v>1601</v>
      </c>
      <c r="F642" s="7" t="s">
        <v>19</v>
      </c>
      <c r="G642" s="7" t="s">
        <v>31</v>
      </c>
      <c r="H642" s="7" t="s">
        <v>17</v>
      </c>
      <c r="I642" s="7" t="s">
        <v>17</v>
      </c>
      <c r="J642" s="7" t="s">
        <v>1602</v>
      </c>
    </row>
    <row r="643" spans="1:10" x14ac:dyDescent="0.25" outlineLevel="3" collapsed="1">
      <c r="A643" s="7" t="s">
        <v>15</v>
      </c>
      <c r="B643" s="7" t="s">
        <v>16</v>
      </c>
      <c r="C643" s="7" t="s">
        <v>17</v>
      </c>
      <c r="D643" s="7"/>
      <c r="E643" s="7" t="s">
        <v>1671</v>
      </c>
      <c r="F643" s="7" t="s">
        <v>19</v>
      </c>
      <c r="G643" s="7" t="s">
        <v>31</v>
      </c>
      <c r="H643" s="7" t="s">
        <v>17</v>
      </c>
      <c r="I643" s="7" t="s">
        <v>17</v>
      </c>
      <c r="J643" s="7" t="s">
        <v>1672</v>
      </c>
    </row>
    <row r="644" spans="1:10" x14ac:dyDescent="0.25" outlineLevel="3" collapsed="1">
      <c r="A644" s="7" t="s">
        <v>15</v>
      </c>
      <c r="B644" s="7" t="s">
        <v>16</v>
      </c>
      <c r="C644" s="7" t="s">
        <v>17</v>
      </c>
      <c r="D644" s="7"/>
      <c r="E644" s="7" t="s">
        <v>1673</v>
      </c>
      <c r="F644" s="7" t="s">
        <v>19</v>
      </c>
      <c r="G644" s="7" t="s">
        <v>31</v>
      </c>
      <c r="H644" s="7" t="s">
        <v>17</v>
      </c>
      <c r="I644" s="7" t="s">
        <v>17</v>
      </c>
      <c r="J644" s="7" t="s">
        <v>1674</v>
      </c>
    </row>
    <row r="645" spans="1:10" x14ac:dyDescent="0.25" outlineLevel="3" collapsed="1">
      <c r="A645" s="7" t="s">
        <v>15</v>
      </c>
      <c r="B645" s="7" t="s">
        <v>16</v>
      </c>
      <c r="C645" s="7" t="s">
        <v>17</v>
      </c>
      <c r="D645" s="7"/>
      <c r="E645" s="7" t="s">
        <v>1675</v>
      </c>
      <c r="F645" s="7" t="s">
        <v>19</v>
      </c>
      <c r="G645" s="7" t="s">
        <v>31</v>
      </c>
      <c r="H645" s="7" t="s">
        <v>17</v>
      </c>
      <c r="I645" s="7" t="s">
        <v>17</v>
      </c>
      <c r="J645" s="7" t="s">
        <v>1422</v>
      </c>
    </row>
    <row r="646" spans="1:10" x14ac:dyDescent="0.25" outlineLevel="3" collapsed="1">
      <c r="A646" s="7" t="s">
        <v>15</v>
      </c>
      <c r="B646" s="7" t="s">
        <v>284</v>
      </c>
      <c r="C646" s="11" t="s">
        <v>1604</v>
      </c>
      <c r="D646" s="7"/>
      <c r="E646" s="7" t="s">
        <v>1605</v>
      </c>
      <c r="F646" s="7" t="s">
        <v>19</v>
      </c>
      <c r="G646" s="7" t="s">
        <v>1606</v>
      </c>
      <c r="H646" s="7" t="s">
        <v>17</v>
      </c>
      <c r="I646" s="7" t="s">
        <v>17</v>
      </c>
      <c r="J646" s="7" t="s">
        <v>1607</v>
      </c>
    </row>
    <row r="647" spans="1:10" x14ac:dyDescent="0.25" outlineLevel="3" collapsed="1">
      <c r="A647" s="7" t="s">
        <v>19</v>
      </c>
      <c r="B647" s="7" t="s">
        <v>63</v>
      </c>
      <c r="C647" s="7" t="s">
        <v>17</v>
      </c>
      <c r="D647" s="7">
        <f>EXACT(G646,"Single value")</f>
      </c>
      <c r="E647" s="7" t="s">
        <v>1676</v>
      </c>
      <c r="F647" s="7" t="s">
        <v>19</v>
      </c>
      <c r="G647" s="7">
        <v>1</v>
      </c>
      <c r="H647" s="7" t="s">
        <v>17</v>
      </c>
      <c r="I647" s="7" t="s">
        <v>17</v>
      </c>
      <c r="J647" s="7" t="s">
        <v>1609</v>
      </c>
    </row>
    <row r="648" spans="1:10" x14ac:dyDescent="0.25" outlineLevel="3" collapsed="1">
      <c r="A648" s="7" t="s">
        <v>19</v>
      </c>
      <c r="B648" s="7" t="s">
        <v>16</v>
      </c>
      <c r="C648" s="7" t="s">
        <v>17</v>
      </c>
      <c r="D648" s="7"/>
      <c r="E648" s="7" t="s">
        <v>1677</v>
      </c>
      <c r="F648" s="7" t="s">
        <v>19</v>
      </c>
      <c r="G648" s="7" t="s">
        <v>31</v>
      </c>
      <c r="H648" s="7" t="s">
        <v>17</v>
      </c>
      <c r="I648" s="7" t="s">
        <v>17</v>
      </c>
      <c r="J648" s="7" t="s">
        <v>1678</v>
      </c>
    </row>
    <row r="649" spans="1:10" x14ac:dyDescent="0.25" outlineLevel="3" collapsed="1">
      <c r="A649" s="7" t="s">
        <v>15</v>
      </c>
      <c r="B649" s="7" t="s">
        <v>16</v>
      </c>
      <c r="C649" s="7" t="s">
        <v>17</v>
      </c>
      <c r="D649" s="7"/>
      <c r="E649" s="7" t="s">
        <v>1679</v>
      </c>
      <c r="F649" s="7" t="s">
        <v>19</v>
      </c>
      <c r="G649" s="7" t="s">
        <v>31</v>
      </c>
      <c r="H649" s="7" t="s">
        <v>17</v>
      </c>
      <c r="I649" s="7" t="s">
        <v>17</v>
      </c>
      <c r="J649" s="7" t="s">
        <v>1680</v>
      </c>
    </row>
    <row r="650" spans="1:10" x14ac:dyDescent="0.25" outlineLevel="3" collapsed="1">
      <c r="A650" s="7" t="s">
        <v>15</v>
      </c>
      <c r="B650" s="7" t="s">
        <v>284</v>
      </c>
      <c r="C650" s="11" t="s">
        <v>1611</v>
      </c>
      <c r="D650" s="7"/>
      <c r="E650" s="7" t="s">
        <v>1612</v>
      </c>
      <c r="F650" s="7" t="s">
        <v>19</v>
      </c>
      <c r="G650" s="7" t="s">
        <v>1613</v>
      </c>
      <c r="H650" s="7" t="s">
        <v>17</v>
      </c>
      <c r="I650" s="7" t="s">
        <v>17</v>
      </c>
      <c r="J650" s="7" t="s">
        <v>1614</v>
      </c>
    </row>
    <row r="651" spans="1:10" x14ac:dyDescent="0.25" outlineLevel="3" collapsed="1">
      <c r="A651" s="7" t="s">
        <v>19</v>
      </c>
      <c r="B651" s="7" t="s">
        <v>16</v>
      </c>
      <c r="C651" s="7" t="s">
        <v>17</v>
      </c>
      <c r="D651" s="7"/>
      <c r="E651" s="7" t="s">
        <v>1681</v>
      </c>
      <c r="F651" s="7" t="s">
        <v>19</v>
      </c>
      <c r="G651" s="7" t="s">
        <v>31</v>
      </c>
      <c r="H651" s="7" t="s">
        <v>17</v>
      </c>
      <c r="I651" s="7" t="s">
        <v>17</v>
      </c>
      <c r="J651" s="7" t="s">
        <v>1682</v>
      </c>
    </row>
    <row r="652" spans="1:10" x14ac:dyDescent="0.25" outlineLevel="3" collapsed="1">
      <c r="A652" s="7" t="s">
        <v>19</v>
      </c>
      <c r="B652" s="7" t="s">
        <v>16</v>
      </c>
      <c r="C652" s="7" t="s">
        <v>17</v>
      </c>
      <c r="D652" s="7"/>
      <c r="E652" s="7" t="s">
        <v>1615</v>
      </c>
      <c r="F652" s="7" t="s">
        <v>19</v>
      </c>
      <c r="G652" s="7" t="s">
        <v>31</v>
      </c>
      <c r="H652" s="7" t="s">
        <v>17</v>
      </c>
      <c r="I652" s="7" t="s">
        <v>17</v>
      </c>
      <c r="J652" s="7" t="s">
        <v>1616</v>
      </c>
    </row>
    <row r="653" spans="1:10" x14ac:dyDescent="0.25" outlineLevel="2" collapsed="1">
      <c r="A653" s="8" t="s">
        <v>19</v>
      </c>
      <c r="B653" s="9" t="s">
        <v>1667</v>
      </c>
      <c r="C653" s="8" t="s">
        <v>17</v>
      </c>
      <c r="D653" s="8"/>
      <c r="E653" s="8" t="s">
        <v>1692</v>
      </c>
      <c r="F653" s="8" t="s">
        <v>19</v>
      </c>
      <c r="G653" s="8" t="s">
        <v>17</v>
      </c>
      <c r="H653" s="8" t="s">
        <v>17</v>
      </c>
      <c r="I653" s="8" t="s">
        <v>17</v>
      </c>
      <c r="J653" s="8" t="s">
        <v>1693</v>
      </c>
    </row>
    <row r="654" spans="1:10" x14ac:dyDescent="0.25" outlineLevel="3" collapsed="1">
      <c r="A654" s="7" t="s">
        <v>15</v>
      </c>
      <c r="B654" s="7" t="s">
        <v>16</v>
      </c>
      <c r="C654" s="7" t="s">
        <v>17</v>
      </c>
      <c r="D654" s="7"/>
      <c r="E654" s="7" t="s">
        <v>1670</v>
      </c>
      <c r="F654" s="7" t="s">
        <v>19</v>
      </c>
      <c r="G654" s="7" t="s">
        <v>31</v>
      </c>
      <c r="H654" s="7" t="s">
        <v>17</v>
      </c>
      <c r="I654" s="7" t="s">
        <v>17</v>
      </c>
      <c r="J654" s="7" t="s">
        <v>637</v>
      </c>
    </row>
    <row r="655" spans="1:10" x14ac:dyDescent="0.25" outlineLevel="3" collapsed="1">
      <c r="A655" s="7" t="s">
        <v>15</v>
      </c>
      <c r="B655" s="7" t="s">
        <v>16</v>
      </c>
      <c r="C655" s="7" t="s">
        <v>17</v>
      </c>
      <c r="D655" s="7"/>
      <c r="E655" s="7" t="s">
        <v>638</v>
      </c>
      <c r="F655" s="7" t="s">
        <v>19</v>
      </c>
      <c r="G655" s="7" t="s">
        <v>31</v>
      </c>
      <c r="H655" s="7" t="s">
        <v>17</v>
      </c>
      <c r="I655" s="7" t="s">
        <v>17</v>
      </c>
      <c r="J655" s="7" t="s">
        <v>640</v>
      </c>
    </row>
    <row r="656" spans="1:10" x14ac:dyDescent="0.25" outlineLevel="3" collapsed="1">
      <c r="A656" s="7" t="s">
        <v>15</v>
      </c>
      <c r="B656" s="7" t="s">
        <v>16</v>
      </c>
      <c r="C656" s="7" t="s">
        <v>17</v>
      </c>
      <c r="D656" s="7"/>
      <c r="E656" s="7" t="s">
        <v>9</v>
      </c>
      <c r="F656" s="7" t="s">
        <v>19</v>
      </c>
      <c r="G656" s="7" t="s">
        <v>31</v>
      </c>
      <c r="H656" s="7" t="s">
        <v>17</v>
      </c>
      <c r="I656" s="7" t="s">
        <v>17</v>
      </c>
      <c r="J656" s="7" t="s">
        <v>843</v>
      </c>
    </row>
    <row r="657" spans="1:10" x14ac:dyDescent="0.25" outlineLevel="3" collapsed="1">
      <c r="A657" s="7" t="s">
        <v>19</v>
      </c>
      <c r="B657" s="7" t="s">
        <v>16</v>
      </c>
      <c r="C657" s="7" t="s">
        <v>17</v>
      </c>
      <c r="D657" s="7"/>
      <c r="E657" s="7" t="s">
        <v>1600</v>
      </c>
      <c r="F657" s="7" t="s">
        <v>19</v>
      </c>
      <c r="G657" s="7" t="s">
        <v>31</v>
      </c>
      <c r="H657" s="7" t="s">
        <v>17</v>
      </c>
      <c r="I657" s="7" t="s">
        <v>17</v>
      </c>
      <c r="J657" s="7" t="s">
        <v>1424</v>
      </c>
    </row>
    <row r="658" spans="1:10" x14ac:dyDescent="0.25" outlineLevel="3" collapsed="1">
      <c r="A658" s="7" t="s">
        <v>15</v>
      </c>
      <c r="B658" s="7" t="s">
        <v>16</v>
      </c>
      <c r="C658" s="7" t="s">
        <v>17</v>
      </c>
      <c r="D658" s="7"/>
      <c r="E658" s="7" t="s">
        <v>1601</v>
      </c>
      <c r="F658" s="7" t="s">
        <v>19</v>
      </c>
      <c r="G658" s="7" t="s">
        <v>31</v>
      </c>
      <c r="H658" s="7" t="s">
        <v>17</v>
      </c>
      <c r="I658" s="7" t="s">
        <v>17</v>
      </c>
      <c r="J658" s="7" t="s">
        <v>1602</v>
      </c>
    </row>
    <row r="659" spans="1:10" x14ac:dyDescent="0.25" outlineLevel="3" collapsed="1">
      <c r="A659" s="7" t="s">
        <v>15</v>
      </c>
      <c r="B659" s="7" t="s">
        <v>16</v>
      </c>
      <c r="C659" s="7" t="s">
        <v>17</v>
      </c>
      <c r="D659" s="7"/>
      <c r="E659" s="7" t="s">
        <v>1671</v>
      </c>
      <c r="F659" s="7" t="s">
        <v>19</v>
      </c>
      <c r="G659" s="7" t="s">
        <v>31</v>
      </c>
      <c r="H659" s="7" t="s">
        <v>17</v>
      </c>
      <c r="I659" s="7" t="s">
        <v>17</v>
      </c>
      <c r="J659" s="7" t="s">
        <v>1672</v>
      </c>
    </row>
    <row r="660" spans="1:10" x14ac:dyDescent="0.25" outlineLevel="3" collapsed="1">
      <c r="A660" s="7" t="s">
        <v>15</v>
      </c>
      <c r="B660" s="7" t="s">
        <v>16</v>
      </c>
      <c r="C660" s="7" t="s">
        <v>17</v>
      </c>
      <c r="D660" s="7"/>
      <c r="E660" s="7" t="s">
        <v>1673</v>
      </c>
      <c r="F660" s="7" t="s">
        <v>19</v>
      </c>
      <c r="G660" s="7" t="s">
        <v>31</v>
      </c>
      <c r="H660" s="7" t="s">
        <v>17</v>
      </c>
      <c r="I660" s="7" t="s">
        <v>17</v>
      </c>
      <c r="J660" s="7" t="s">
        <v>1674</v>
      </c>
    </row>
    <row r="661" spans="1:10" x14ac:dyDescent="0.25" outlineLevel="3" collapsed="1">
      <c r="A661" s="7" t="s">
        <v>15</v>
      </c>
      <c r="B661" s="7" t="s">
        <v>16</v>
      </c>
      <c r="C661" s="7" t="s">
        <v>17</v>
      </c>
      <c r="D661" s="7"/>
      <c r="E661" s="7" t="s">
        <v>1675</v>
      </c>
      <c r="F661" s="7" t="s">
        <v>19</v>
      </c>
      <c r="G661" s="7" t="s">
        <v>31</v>
      </c>
      <c r="H661" s="7" t="s">
        <v>17</v>
      </c>
      <c r="I661" s="7" t="s">
        <v>17</v>
      </c>
      <c r="J661" s="7" t="s">
        <v>1422</v>
      </c>
    </row>
    <row r="662" spans="1:10" x14ac:dyDescent="0.25" outlineLevel="3" collapsed="1">
      <c r="A662" s="7" t="s">
        <v>15</v>
      </c>
      <c r="B662" s="7" t="s">
        <v>284</v>
      </c>
      <c r="C662" s="11" t="s">
        <v>1604</v>
      </c>
      <c r="D662" s="7"/>
      <c r="E662" s="7" t="s">
        <v>1605</v>
      </c>
      <c r="F662" s="7" t="s">
        <v>19</v>
      </c>
      <c r="G662" s="7" t="s">
        <v>1606</v>
      </c>
      <c r="H662" s="7" t="s">
        <v>17</v>
      </c>
      <c r="I662" s="7" t="s">
        <v>17</v>
      </c>
      <c r="J662" s="7" t="s">
        <v>1607</v>
      </c>
    </row>
    <row r="663" spans="1:10" x14ac:dyDescent="0.25" outlineLevel="3" collapsed="1">
      <c r="A663" s="7" t="s">
        <v>19</v>
      </c>
      <c r="B663" s="7" t="s">
        <v>63</v>
      </c>
      <c r="C663" s="7" t="s">
        <v>17</v>
      </c>
      <c r="D663" s="7">
        <f>EXACT(G662,"Single value")</f>
      </c>
      <c r="E663" s="7" t="s">
        <v>1676</v>
      </c>
      <c r="F663" s="7" t="s">
        <v>19</v>
      </c>
      <c r="G663" s="7">
        <v>1</v>
      </c>
      <c r="H663" s="7" t="s">
        <v>17</v>
      </c>
      <c r="I663" s="7" t="s">
        <v>17</v>
      </c>
      <c r="J663" s="7" t="s">
        <v>1609</v>
      </c>
    </row>
    <row r="664" spans="1:10" x14ac:dyDescent="0.25" outlineLevel="3" collapsed="1">
      <c r="A664" s="7" t="s">
        <v>19</v>
      </c>
      <c r="B664" s="7" t="s">
        <v>16</v>
      </c>
      <c r="C664" s="7" t="s">
        <v>17</v>
      </c>
      <c r="D664" s="7"/>
      <c r="E664" s="7" t="s">
        <v>1677</v>
      </c>
      <c r="F664" s="7" t="s">
        <v>19</v>
      </c>
      <c r="G664" s="7" t="s">
        <v>31</v>
      </c>
      <c r="H664" s="7" t="s">
        <v>17</v>
      </c>
      <c r="I664" s="7" t="s">
        <v>17</v>
      </c>
      <c r="J664" s="7" t="s">
        <v>1678</v>
      </c>
    </row>
    <row r="665" spans="1:10" x14ac:dyDescent="0.25" outlineLevel="3" collapsed="1">
      <c r="A665" s="7" t="s">
        <v>15</v>
      </c>
      <c r="B665" s="7" t="s">
        <v>16</v>
      </c>
      <c r="C665" s="7" t="s">
        <v>17</v>
      </c>
      <c r="D665" s="7"/>
      <c r="E665" s="7" t="s">
        <v>1679</v>
      </c>
      <c r="F665" s="7" t="s">
        <v>19</v>
      </c>
      <c r="G665" s="7" t="s">
        <v>31</v>
      </c>
      <c r="H665" s="7" t="s">
        <v>17</v>
      </c>
      <c r="I665" s="7" t="s">
        <v>17</v>
      </c>
      <c r="J665" s="7" t="s">
        <v>1680</v>
      </c>
    </row>
    <row r="666" spans="1:10" x14ac:dyDescent="0.25" outlineLevel="3" collapsed="1">
      <c r="A666" s="7" t="s">
        <v>15</v>
      </c>
      <c r="B666" s="7" t="s">
        <v>284</v>
      </c>
      <c r="C666" s="11" t="s">
        <v>1611</v>
      </c>
      <c r="D666" s="7"/>
      <c r="E666" s="7" t="s">
        <v>1612</v>
      </c>
      <c r="F666" s="7" t="s">
        <v>19</v>
      </c>
      <c r="G666" s="7" t="s">
        <v>1613</v>
      </c>
      <c r="H666" s="7" t="s">
        <v>17</v>
      </c>
      <c r="I666" s="7" t="s">
        <v>17</v>
      </c>
      <c r="J666" s="7" t="s">
        <v>1614</v>
      </c>
    </row>
    <row r="667" spans="1:10" x14ac:dyDescent="0.25" outlineLevel="3" collapsed="1">
      <c r="A667" s="7" t="s">
        <v>19</v>
      </c>
      <c r="B667" s="7" t="s">
        <v>16</v>
      </c>
      <c r="C667" s="7" t="s">
        <v>17</v>
      </c>
      <c r="D667" s="7"/>
      <c r="E667" s="7" t="s">
        <v>1681</v>
      </c>
      <c r="F667" s="7" t="s">
        <v>19</v>
      </c>
      <c r="G667" s="7" t="s">
        <v>31</v>
      </c>
      <c r="H667" s="7" t="s">
        <v>17</v>
      </c>
      <c r="I667" s="7" t="s">
        <v>17</v>
      </c>
      <c r="J667" s="7" t="s">
        <v>1682</v>
      </c>
    </row>
    <row r="668" spans="1:10" x14ac:dyDescent="0.25" outlineLevel="3" collapsed="1">
      <c r="A668" s="7" t="s">
        <v>19</v>
      </c>
      <c r="B668" s="7" t="s">
        <v>16</v>
      </c>
      <c r="C668" s="7" t="s">
        <v>17</v>
      </c>
      <c r="D668" s="7"/>
      <c r="E668" s="7" t="s">
        <v>1615</v>
      </c>
      <c r="F668" s="7" t="s">
        <v>19</v>
      </c>
      <c r="G668" s="7" t="s">
        <v>31</v>
      </c>
      <c r="H668" s="7" t="s">
        <v>17</v>
      </c>
      <c r="I668" s="7" t="s">
        <v>17</v>
      </c>
      <c r="J668" s="7" t="s">
        <v>1616</v>
      </c>
    </row>
    <row r="669" spans="1:10" x14ac:dyDescent="0.25" outlineLevel="1" collapsed="1">
      <c r="A669" s="8" t="s">
        <v>19</v>
      </c>
      <c r="B669" s="9" t="s">
        <v>1694</v>
      </c>
      <c r="C669" s="8" t="s">
        <v>17</v>
      </c>
      <c r="D669" s="8"/>
      <c r="E669" s="8" t="s">
        <v>1695</v>
      </c>
      <c r="F669" s="8" t="s">
        <v>19</v>
      </c>
      <c r="G669" s="8" t="s">
        <v>17</v>
      </c>
      <c r="H669" s="8" t="s">
        <v>17</v>
      </c>
      <c r="I669" s="8" t="s">
        <v>17</v>
      </c>
      <c r="J669" s="8" t="s">
        <v>1696</v>
      </c>
    </row>
    <row r="670" spans="1:10" x14ac:dyDescent="0.25" outlineLevel="2" collapsed="1">
      <c r="A670" s="8" t="s">
        <v>19</v>
      </c>
      <c r="B670" s="9" t="s">
        <v>1667</v>
      </c>
      <c r="C670" s="8" t="s">
        <v>17</v>
      </c>
      <c r="D670" s="8"/>
      <c r="E670" s="8" t="s">
        <v>1697</v>
      </c>
      <c r="F670" s="8" t="s">
        <v>19</v>
      </c>
      <c r="G670" s="8" t="s">
        <v>17</v>
      </c>
      <c r="H670" s="8" t="s">
        <v>17</v>
      </c>
      <c r="I670" s="8" t="s">
        <v>17</v>
      </c>
      <c r="J670" s="8" t="s">
        <v>1698</v>
      </c>
    </row>
    <row r="671" spans="1:10" x14ac:dyDescent="0.25" outlineLevel="3" collapsed="1">
      <c r="A671" s="7" t="s">
        <v>15</v>
      </c>
      <c r="B671" s="7" t="s">
        <v>16</v>
      </c>
      <c r="C671" s="7" t="s">
        <v>17</v>
      </c>
      <c r="D671" s="7"/>
      <c r="E671" s="7" t="s">
        <v>1670</v>
      </c>
      <c r="F671" s="7" t="s">
        <v>19</v>
      </c>
      <c r="G671" s="7" t="s">
        <v>31</v>
      </c>
      <c r="H671" s="7" t="s">
        <v>17</v>
      </c>
      <c r="I671" s="7" t="s">
        <v>17</v>
      </c>
      <c r="J671" s="7" t="s">
        <v>637</v>
      </c>
    </row>
    <row r="672" spans="1:10" x14ac:dyDescent="0.25" outlineLevel="3" collapsed="1">
      <c r="A672" s="7" t="s">
        <v>15</v>
      </c>
      <c r="B672" s="7" t="s">
        <v>16</v>
      </c>
      <c r="C672" s="7" t="s">
        <v>17</v>
      </c>
      <c r="D672" s="7"/>
      <c r="E672" s="7" t="s">
        <v>638</v>
      </c>
      <c r="F672" s="7" t="s">
        <v>19</v>
      </c>
      <c r="G672" s="7" t="s">
        <v>31</v>
      </c>
      <c r="H672" s="7" t="s">
        <v>17</v>
      </c>
      <c r="I672" s="7" t="s">
        <v>17</v>
      </c>
      <c r="J672" s="7" t="s">
        <v>640</v>
      </c>
    </row>
    <row r="673" spans="1:10" x14ac:dyDescent="0.25" outlineLevel="3" collapsed="1">
      <c r="A673" s="7" t="s">
        <v>15</v>
      </c>
      <c r="B673" s="7" t="s">
        <v>16</v>
      </c>
      <c r="C673" s="7" t="s">
        <v>17</v>
      </c>
      <c r="D673" s="7"/>
      <c r="E673" s="7" t="s">
        <v>9</v>
      </c>
      <c r="F673" s="7" t="s">
        <v>19</v>
      </c>
      <c r="G673" s="7" t="s">
        <v>31</v>
      </c>
      <c r="H673" s="7" t="s">
        <v>17</v>
      </c>
      <c r="I673" s="7" t="s">
        <v>17</v>
      </c>
      <c r="J673" s="7" t="s">
        <v>843</v>
      </c>
    </row>
    <row r="674" spans="1:10" x14ac:dyDescent="0.25" outlineLevel="3" collapsed="1">
      <c r="A674" s="7" t="s">
        <v>19</v>
      </c>
      <c r="B674" s="7" t="s">
        <v>16</v>
      </c>
      <c r="C674" s="7" t="s">
        <v>17</v>
      </c>
      <c r="D674" s="7"/>
      <c r="E674" s="7" t="s">
        <v>1600</v>
      </c>
      <c r="F674" s="7" t="s">
        <v>19</v>
      </c>
      <c r="G674" s="7" t="s">
        <v>31</v>
      </c>
      <c r="H674" s="7" t="s">
        <v>17</v>
      </c>
      <c r="I674" s="7" t="s">
        <v>17</v>
      </c>
      <c r="J674" s="7" t="s">
        <v>1424</v>
      </c>
    </row>
    <row r="675" spans="1:10" x14ac:dyDescent="0.25" outlineLevel="3" collapsed="1">
      <c r="A675" s="7" t="s">
        <v>15</v>
      </c>
      <c r="B675" s="7" t="s">
        <v>16</v>
      </c>
      <c r="C675" s="7" t="s">
        <v>17</v>
      </c>
      <c r="D675" s="7"/>
      <c r="E675" s="7" t="s">
        <v>1601</v>
      </c>
      <c r="F675" s="7" t="s">
        <v>19</v>
      </c>
      <c r="G675" s="7" t="s">
        <v>31</v>
      </c>
      <c r="H675" s="7" t="s">
        <v>17</v>
      </c>
      <c r="I675" s="7" t="s">
        <v>17</v>
      </c>
      <c r="J675" s="7" t="s">
        <v>1602</v>
      </c>
    </row>
    <row r="676" spans="1:10" x14ac:dyDescent="0.25" outlineLevel="3" collapsed="1">
      <c r="A676" s="7" t="s">
        <v>15</v>
      </c>
      <c r="B676" s="7" t="s">
        <v>16</v>
      </c>
      <c r="C676" s="7" t="s">
        <v>17</v>
      </c>
      <c r="D676" s="7"/>
      <c r="E676" s="7" t="s">
        <v>1671</v>
      </c>
      <c r="F676" s="7" t="s">
        <v>19</v>
      </c>
      <c r="G676" s="7" t="s">
        <v>31</v>
      </c>
      <c r="H676" s="7" t="s">
        <v>17</v>
      </c>
      <c r="I676" s="7" t="s">
        <v>17</v>
      </c>
      <c r="J676" s="7" t="s">
        <v>1672</v>
      </c>
    </row>
    <row r="677" spans="1:10" x14ac:dyDescent="0.25" outlineLevel="3" collapsed="1">
      <c r="A677" s="7" t="s">
        <v>15</v>
      </c>
      <c r="B677" s="7" t="s">
        <v>16</v>
      </c>
      <c r="C677" s="7" t="s">
        <v>17</v>
      </c>
      <c r="D677" s="7"/>
      <c r="E677" s="7" t="s">
        <v>1673</v>
      </c>
      <c r="F677" s="7" t="s">
        <v>19</v>
      </c>
      <c r="G677" s="7" t="s">
        <v>31</v>
      </c>
      <c r="H677" s="7" t="s">
        <v>17</v>
      </c>
      <c r="I677" s="7" t="s">
        <v>17</v>
      </c>
      <c r="J677" s="7" t="s">
        <v>1674</v>
      </c>
    </row>
    <row r="678" spans="1:10" x14ac:dyDescent="0.25" outlineLevel="3" collapsed="1">
      <c r="A678" s="7" t="s">
        <v>15</v>
      </c>
      <c r="B678" s="7" t="s">
        <v>16</v>
      </c>
      <c r="C678" s="7" t="s">
        <v>17</v>
      </c>
      <c r="D678" s="7"/>
      <c r="E678" s="7" t="s">
        <v>1675</v>
      </c>
      <c r="F678" s="7" t="s">
        <v>19</v>
      </c>
      <c r="G678" s="7" t="s">
        <v>31</v>
      </c>
      <c r="H678" s="7" t="s">
        <v>17</v>
      </c>
      <c r="I678" s="7" t="s">
        <v>17</v>
      </c>
      <c r="J678" s="7" t="s">
        <v>1422</v>
      </c>
    </row>
    <row r="679" spans="1:10" x14ac:dyDescent="0.25" outlineLevel="3" collapsed="1">
      <c r="A679" s="7" t="s">
        <v>15</v>
      </c>
      <c r="B679" s="7" t="s">
        <v>284</v>
      </c>
      <c r="C679" s="11" t="s">
        <v>1604</v>
      </c>
      <c r="D679" s="7"/>
      <c r="E679" s="7" t="s">
        <v>1605</v>
      </c>
      <c r="F679" s="7" t="s">
        <v>19</v>
      </c>
      <c r="G679" s="7" t="s">
        <v>1606</v>
      </c>
      <c r="H679" s="7" t="s">
        <v>17</v>
      </c>
      <c r="I679" s="7" t="s">
        <v>17</v>
      </c>
      <c r="J679" s="7" t="s">
        <v>1607</v>
      </c>
    </row>
    <row r="680" spans="1:10" x14ac:dyDescent="0.25" outlineLevel="3" collapsed="1">
      <c r="A680" s="7" t="s">
        <v>19</v>
      </c>
      <c r="B680" s="7" t="s">
        <v>63</v>
      </c>
      <c r="C680" s="7" t="s">
        <v>17</v>
      </c>
      <c r="D680" s="7">
        <f>EXACT(G679,"Single value")</f>
      </c>
      <c r="E680" s="7" t="s">
        <v>1676</v>
      </c>
      <c r="F680" s="7" t="s">
        <v>19</v>
      </c>
      <c r="G680" s="7">
        <v>1</v>
      </c>
      <c r="H680" s="7" t="s">
        <v>17</v>
      </c>
      <c r="I680" s="7" t="s">
        <v>17</v>
      </c>
      <c r="J680" s="7" t="s">
        <v>1609</v>
      </c>
    </row>
    <row r="681" spans="1:10" x14ac:dyDescent="0.25" outlineLevel="3" collapsed="1">
      <c r="A681" s="7" t="s">
        <v>19</v>
      </c>
      <c r="B681" s="7" t="s">
        <v>16</v>
      </c>
      <c r="C681" s="7" t="s">
        <v>17</v>
      </c>
      <c r="D681" s="7"/>
      <c r="E681" s="7" t="s">
        <v>1677</v>
      </c>
      <c r="F681" s="7" t="s">
        <v>19</v>
      </c>
      <c r="G681" s="7" t="s">
        <v>31</v>
      </c>
      <c r="H681" s="7" t="s">
        <v>17</v>
      </c>
      <c r="I681" s="7" t="s">
        <v>17</v>
      </c>
      <c r="J681" s="7" t="s">
        <v>1678</v>
      </c>
    </row>
    <row r="682" spans="1:10" x14ac:dyDescent="0.25" outlineLevel="3" collapsed="1">
      <c r="A682" s="7" t="s">
        <v>15</v>
      </c>
      <c r="B682" s="7" t="s">
        <v>16</v>
      </c>
      <c r="C682" s="7" t="s">
        <v>17</v>
      </c>
      <c r="D682" s="7"/>
      <c r="E682" s="7" t="s">
        <v>1679</v>
      </c>
      <c r="F682" s="7" t="s">
        <v>19</v>
      </c>
      <c r="G682" s="7" t="s">
        <v>31</v>
      </c>
      <c r="H682" s="7" t="s">
        <v>17</v>
      </c>
      <c r="I682" s="7" t="s">
        <v>17</v>
      </c>
      <c r="J682" s="7" t="s">
        <v>1680</v>
      </c>
    </row>
    <row r="683" spans="1:10" x14ac:dyDescent="0.25" outlineLevel="3" collapsed="1">
      <c r="A683" s="7" t="s">
        <v>15</v>
      </c>
      <c r="B683" s="7" t="s">
        <v>284</v>
      </c>
      <c r="C683" s="11" t="s">
        <v>1611</v>
      </c>
      <c r="D683" s="7"/>
      <c r="E683" s="7" t="s">
        <v>1612</v>
      </c>
      <c r="F683" s="7" t="s">
        <v>19</v>
      </c>
      <c r="G683" s="7" t="s">
        <v>1613</v>
      </c>
      <c r="H683" s="7" t="s">
        <v>17</v>
      </c>
      <c r="I683" s="7" t="s">
        <v>17</v>
      </c>
      <c r="J683" s="7" t="s">
        <v>1614</v>
      </c>
    </row>
    <row r="684" spans="1:10" x14ac:dyDescent="0.25" outlineLevel="3" collapsed="1">
      <c r="A684" s="7" t="s">
        <v>19</v>
      </c>
      <c r="B684" s="7" t="s">
        <v>16</v>
      </c>
      <c r="C684" s="7" t="s">
        <v>17</v>
      </c>
      <c r="D684" s="7"/>
      <c r="E684" s="7" t="s">
        <v>1681</v>
      </c>
      <c r="F684" s="7" t="s">
        <v>19</v>
      </c>
      <c r="G684" s="7" t="s">
        <v>31</v>
      </c>
      <c r="H684" s="7" t="s">
        <v>17</v>
      </c>
      <c r="I684" s="7" t="s">
        <v>17</v>
      </c>
      <c r="J684" s="7" t="s">
        <v>1682</v>
      </c>
    </row>
    <row r="685" spans="1:10" x14ac:dyDescent="0.25" outlineLevel="3" collapsed="1">
      <c r="A685" s="7" t="s">
        <v>19</v>
      </c>
      <c r="B685" s="7" t="s">
        <v>16</v>
      </c>
      <c r="C685" s="7" t="s">
        <v>17</v>
      </c>
      <c r="D685" s="7"/>
      <c r="E685" s="7" t="s">
        <v>1615</v>
      </c>
      <c r="F685" s="7" t="s">
        <v>19</v>
      </c>
      <c r="G685" s="7" t="s">
        <v>31</v>
      </c>
      <c r="H685" s="7" t="s">
        <v>17</v>
      </c>
      <c r="I685" s="7" t="s">
        <v>17</v>
      </c>
      <c r="J685" s="7" t="s">
        <v>1616</v>
      </c>
    </row>
    <row r="686" spans="1:10" x14ac:dyDescent="0.25" outlineLevel="2" collapsed="1">
      <c r="A686" s="8" t="s">
        <v>19</v>
      </c>
      <c r="B686" s="9" t="s">
        <v>1667</v>
      </c>
      <c r="C686" s="8" t="s">
        <v>17</v>
      </c>
      <c r="D686" s="8"/>
      <c r="E686" s="8" t="s">
        <v>1699</v>
      </c>
      <c r="F686" s="8" t="s">
        <v>19</v>
      </c>
      <c r="G686" s="8" t="s">
        <v>17</v>
      </c>
      <c r="H686" s="8" t="s">
        <v>17</v>
      </c>
      <c r="I686" s="8" t="s">
        <v>17</v>
      </c>
      <c r="J686" s="8" t="s">
        <v>1700</v>
      </c>
    </row>
    <row r="687" spans="1:10" x14ac:dyDescent="0.25" outlineLevel="3" collapsed="1">
      <c r="A687" s="7" t="s">
        <v>15</v>
      </c>
      <c r="B687" s="7" t="s">
        <v>16</v>
      </c>
      <c r="C687" s="7" t="s">
        <v>17</v>
      </c>
      <c r="D687" s="7"/>
      <c r="E687" s="7" t="s">
        <v>1670</v>
      </c>
      <c r="F687" s="7" t="s">
        <v>19</v>
      </c>
      <c r="G687" s="7" t="s">
        <v>31</v>
      </c>
      <c r="H687" s="7" t="s">
        <v>17</v>
      </c>
      <c r="I687" s="7" t="s">
        <v>17</v>
      </c>
      <c r="J687" s="7" t="s">
        <v>637</v>
      </c>
    </row>
    <row r="688" spans="1:10" x14ac:dyDescent="0.25" outlineLevel="3" collapsed="1">
      <c r="A688" s="7" t="s">
        <v>15</v>
      </c>
      <c r="B688" s="7" t="s">
        <v>16</v>
      </c>
      <c r="C688" s="7" t="s">
        <v>17</v>
      </c>
      <c r="D688" s="7"/>
      <c r="E688" s="7" t="s">
        <v>638</v>
      </c>
      <c r="F688" s="7" t="s">
        <v>19</v>
      </c>
      <c r="G688" s="7" t="s">
        <v>31</v>
      </c>
      <c r="H688" s="7" t="s">
        <v>17</v>
      </c>
      <c r="I688" s="7" t="s">
        <v>17</v>
      </c>
      <c r="J688" s="7" t="s">
        <v>640</v>
      </c>
    </row>
    <row r="689" spans="1:10" x14ac:dyDescent="0.25" outlineLevel="3" collapsed="1">
      <c r="A689" s="7" t="s">
        <v>15</v>
      </c>
      <c r="B689" s="7" t="s">
        <v>16</v>
      </c>
      <c r="C689" s="7" t="s">
        <v>17</v>
      </c>
      <c r="D689" s="7"/>
      <c r="E689" s="7" t="s">
        <v>9</v>
      </c>
      <c r="F689" s="7" t="s">
        <v>19</v>
      </c>
      <c r="G689" s="7" t="s">
        <v>31</v>
      </c>
      <c r="H689" s="7" t="s">
        <v>17</v>
      </c>
      <c r="I689" s="7" t="s">
        <v>17</v>
      </c>
      <c r="J689" s="7" t="s">
        <v>843</v>
      </c>
    </row>
    <row r="690" spans="1:10" x14ac:dyDescent="0.25" outlineLevel="3" collapsed="1">
      <c r="A690" s="7" t="s">
        <v>19</v>
      </c>
      <c r="B690" s="7" t="s">
        <v>16</v>
      </c>
      <c r="C690" s="7" t="s">
        <v>17</v>
      </c>
      <c r="D690" s="7"/>
      <c r="E690" s="7" t="s">
        <v>1600</v>
      </c>
      <c r="F690" s="7" t="s">
        <v>19</v>
      </c>
      <c r="G690" s="7" t="s">
        <v>31</v>
      </c>
      <c r="H690" s="7" t="s">
        <v>17</v>
      </c>
      <c r="I690" s="7" t="s">
        <v>17</v>
      </c>
      <c r="J690" s="7" t="s">
        <v>1424</v>
      </c>
    </row>
    <row r="691" spans="1:10" x14ac:dyDescent="0.25" outlineLevel="3" collapsed="1">
      <c r="A691" s="7" t="s">
        <v>15</v>
      </c>
      <c r="B691" s="7" t="s">
        <v>16</v>
      </c>
      <c r="C691" s="7" t="s">
        <v>17</v>
      </c>
      <c r="D691" s="7"/>
      <c r="E691" s="7" t="s">
        <v>1601</v>
      </c>
      <c r="F691" s="7" t="s">
        <v>19</v>
      </c>
      <c r="G691" s="7" t="s">
        <v>31</v>
      </c>
      <c r="H691" s="7" t="s">
        <v>17</v>
      </c>
      <c r="I691" s="7" t="s">
        <v>17</v>
      </c>
      <c r="J691" s="7" t="s">
        <v>1602</v>
      </c>
    </row>
    <row r="692" spans="1:10" x14ac:dyDescent="0.25" outlineLevel="3" collapsed="1">
      <c r="A692" s="7" t="s">
        <v>15</v>
      </c>
      <c r="B692" s="7" t="s">
        <v>16</v>
      </c>
      <c r="C692" s="7" t="s">
        <v>17</v>
      </c>
      <c r="D692" s="7"/>
      <c r="E692" s="7" t="s">
        <v>1671</v>
      </c>
      <c r="F692" s="7" t="s">
        <v>19</v>
      </c>
      <c r="G692" s="7" t="s">
        <v>31</v>
      </c>
      <c r="H692" s="7" t="s">
        <v>17</v>
      </c>
      <c r="I692" s="7" t="s">
        <v>17</v>
      </c>
      <c r="J692" s="7" t="s">
        <v>1672</v>
      </c>
    </row>
    <row r="693" spans="1:10" x14ac:dyDescent="0.25" outlineLevel="3" collapsed="1">
      <c r="A693" s="7" t="s">
        <v>15</v>
      </c>
      <c r="B693" s="7" t="s">
        <v>16</v>
      </c>
      <c r="C693" s="7" t="s">
        <v>17</v>
      </c>
      <c r="D693" s="7"/>
      <c r="E693" s="7" t="s">
        <v>1673</v>
      </c>
      <c r="F693" s="7" t="s">
        <v>19</v>
      </c>
      <c r="G693" s="7" t="s">
        <v>31</v>
      </c>
      <c r="H693" s="7" t="s">
        <v>17</v>
      </c>
      <c r="I693" s="7" t="s">
        <v>17</v>
      </c>
      <c r="J693" s="7" t="s">
        <v>1674</v>
      </c>
    </row>
    <row r="694" spans="1:10" x14ac:dyDescent="0.25" outlineLevel="3" collapsed="1">
      <c r="A694" s="7" t="s">
        <v>15</v>
      </c>
      <c r="B694" s="7" t="s">
        <v>16</v>
      </c>
      <c r="C694" s="7" t="s">
        <v>17</v>
      </c>
      <c r="D694" s="7"/>
      <c r="E694" s="7" t="s">
        <v>1675</v>
      </c>
      <c r="F694" s="7" t="s">
        <v>19</v>
      </c>
      <c r="G694" s="7" t="s">
        <v>31</v>
      </c>
      <c r="H694" s="7" t="s">
        <v>17</v>
      </c>
      <c r="I694" s="7" t="s">
        <v>17</v>
      </c>
      <c r="J694" s="7" t="s">
        <v>1422</v>
      </c>
    </row>
    <row r="695" spans="1:10" x14ac:dyDescent="0.25" outlineLevel="3" collapsed="1">
      <c r="A695" s="7" t="s">
        <v>15</v>
      </c>
      <c r="B695" s="7" t="s">
        <v>284</v>
      </c>
      <c r="C695" s="11" t="s">
        <v>1604</v>
      </c>
      <c r="D695" s="7"/>
      <c r="E695" s="7" t="s">
        <v>1605</v>
      </c>
      <c r="F695" s="7" t="s">
        <v>19</v>
      </c>
      <c r="G695" s="7" t="s">
        <v>1606</v>
      </c>
      <c r="H695" s="7" t="s">
        <v>17</v>
      </c>
      <c r="I695" s="7" t="s">
        <v>17</v>
      </c>
      <c r="J695" s="7" t="s">
        <v>1607</v>
      </c>
    </row>
    <row r="696" spans="1:10" x14ac:dyDescent="0.25" outlineLevel="3" collapsed="1">
      <c r="A696" s="7" t="s">
        <v>19</v>
      </c>
      <c r="B696" s="7" t="s">
        <v>63</v>
      </c>
      <c r="C696" s="7" t="s">
        <v>17</v>
      </c>
      <c r="D696" s="7">
        <f>EXACT(G695,"Single value")</f>
      </c>
      <c r="E696" s="7" t="s">
        <v>1676</v>
      </c>
      <c r="F696" s="7" t="s">
        <v>19</v>
      </c>
      <c r="G696" s="7">
        <v>1</v>
      </c>
      <c r="H696" s="7" t="s">
        <v>17</v>
      </c>
      <c r="I696" s="7" t="s">
        <v>17</v>
      </c>
      <c r="J696" s="7" t="s">
        <v>1609</v>
      </c>
    </row>
    <row r="697" spans="1:10" x14ac:dyDescent="0.25" outlineLevel="3" collapsed="1">
      <c r="A697" s="7" t="s">
        <v>19</v>
      </c>
      <c r="B697" s="7" t="s">
        <v>16</v>
      </c>
      <c r="C697" s="7" t="s">
        <v>17</v>
      </c>
      <c r="D697" s="7"/>
      <c r="E697" s="7" t="s">
        <v>1677</v>
      </c>
      <c r="F697" s="7" t="s">
        <v>19</v>
      </c>
      <c r="G697" s="7" t="s">
        <v>31</v>
      </c>
      <c r="H697" s="7" t="s">
        <v>17</v>
      </c>
      <c r="I697" s="7" t="s">
        <v>17</v>
      </c>
      <c r="J697" s="7" t="s">
        <v>1678</v>
      </c>
    </row>
    <row r="698" spans="1:10" x14ac:dyDescent="0.25" outlineLevel="3" collapsed="1">
      <c r="A698" s="7" t="s">
        <v>15</v>
      </c>
      <c r="B698" s="7" t="s">
        <v>16</v>
      </c>
      <c r="C698" s="7" t="s">
        <v>17</v>
      </c>
      <c r="D698" s="7"/>
      <c r="E698" s="7" t="s">
        <v>1679</v>
      </c>
      <c r="F698" s="7" t="s">
        <v>19</v>
      </c>
      <c r="G698" s="7" t="s">
        <v>31</v>
      </c>
      <c r="H698" s="7" t="s">
        <v>17</v>
      </c>
      <c r="I698" s="7" t="s">
        <v>17</v>
      </c>
      <c r="J698" s="7" t="s">
        <v>1680</v>
      </c>
    </row>
    <row r="699" spans="1:10" x14ac:dyDescent="0.25" outlineLevel="3" collapsed="1">
      <c r="A699" s="7" t="s">
        <v>15</v>
      </c>
      <c r="B699" s="7" t="s">
        <v>284</v>
      </c>
      <c r="C699" s="11" t="s">
        <v>1611</v>
      </c>
      <c r="D699" s="7"/>
      <c r="E699" s="7" t="s">
        <v>1612</v>
      </c>
      <c r="F699" s="7" t="s">
        <v>19</v>
      </c>
      <c r="G699" s="7" t="s">
        <v>1613</v>
      </c>
      <c r="H699" s="7" t="s">
        <v>17</v>
      </c>
      <c r="I699" s="7" t="s">
        <v>17</v>
      </c>
      <c r="J699" s="7" t="s">
        <v>1614</v>
      </c>
    </row>
    <row r="700" spans="1:10" x14ac:dyDescent="0.25" outlineLevel="3" collapsed="1">
      <c r="A700" s="7" t="s">
        <v>19</v>
      </c>
      <c r="B700" s="7" t="s">
        <v>16</v>
      </c>
      <c r="C700" s="7" t="s">
        <v>17</v>
      </c>
      <c r="D700" s="7"/>
      <c r="E700" s="7" t="s">
        <v>1681</v>
      </c>
      <c r="F700" s="7" t="s">
        <v>19</v>
      </c>
      <c r="G700" s="7" t="s">
        <v>31</v>
      </c>
      <c r="H700" s="7" t="s">
        <v>17</v>
      </c>
      <c r="I700" s="7" t="s">
        <v>17</v>
      </c>
      <c r="J700" s="7" t="s">
        <v>1682</v>
      </c>
    </row>
    <row r="701" spans="1:10" x14ac:dyDescent="0.25" outlineLevel="3" collapsed="1">
      <c r="A701" s="7" t="s">
        <v>19</v>
      </c>
      <c r="B701" s="7" t="s">
        <v>16</v>
      </c>
      <c r="C701" s="7" t="s">
        <v>17</v>
      </c>
      <c r="D701" s="7"/>
      <c r="E701" s="7" t="s">
        <v>1615</v>
      </c>
      <c r="F701" s="7" t="s">
        <v>19</v>
      </c>
      <c r="G701" s="7" t="s">
        <v>31</v>
      </c>
      <c r="H701" s="7" t="s">
        <v>17</v>
      </c>
      <c r="I701" s="7" t="s">
        <v>17</v>
      </c>
      <c r="J701" s="7" t="s">
        <v>1616</v>
      </c>
    </row>
    <row r="702" spans="1:10" x14ac:dyDescent="0.25" outlineLevel="2" collapsed="1">
      <c r="A702" s="8" t="s">
        <v>19</v>
      </c>
      <c r="B702" s="9" t="s">
        <v>1667</v>
      </c>
      <c r="C702" s="8" t="s">
        <v>17</v>
      </c>
      <c r="D702" s="8"/>
      <c r="E702" s="8" t="s">
        <v>1701</v>
      </c>
      <c r="F702" s="8" t="s">
        <v>19</v>
      </c>
      <c r="G702" s="8" t="s">
        <v>17</v>
      </c>
      <c r="H702" s="8" t="s">
        <v>17</v>
      </c>
      <c r="I702" s="8" t="s">
        <v>17</v>
      </c>
      <c r="J702" s="8" t="s">
        <v>1702</v>
      </c>
    </row>
    <row r="703" spans="1:10" x14ac:dyDescent="0.25" outlineLevel="3" collapsed="1">
      <c r="A703" s="7" t="s">
        <v>15</v>
      </c>
      <c r="B703" s="7" t="s">
        <v>16</v>
      </c>
      <c r="C703" s="7" t="s">
        <v>17</v>
      </c>
      <c r="D703" s="7"/>
      <c r="E703" s="7" t="s">
        <v>1670</v>
      </c>
      <c r="F703" s="7" t="s">
        <v>19</v>
      </c>
      <c r="G703" s="7" t="s">
        <v>31</v>
      </c>
      <c r="H703" s="7" t="s">
        <v>17</v>
      </c>
      <c r="I703" s="7" t="s">
        <v>17</v>
      </c>
      <c r="J703" s="7" t="s">
        <v>637</v>
      </c>
    </row>
    <row r="704" spans="1:10" x14ac:dyDescent="0.25" outlineLevel="3" collapsed="1">
      <c r="A704" s="7" t="s">
        <v>15</v>
      </c>
      <c r="B704" s="7" t="s">
        <v>16</v>
      </c>
      <c r="C704" s="7" t="s">
        <v>17</v>
      </c>
      <c r="D704" s="7"/>
      <c r="E704" s="7" t="s">
        <v>638</v>
      </c>
      <c r="F704" s="7" t="s">
        <v>19</v>
      </c>
      <c r="G704" s="7" t="s">
        <v>31</v>
      </c>
      <c r="H704" s="7" t="s">
        <v>17</v>
      </c>
      <c r="I704" s="7" t="s">
        <v>17</v>
      </c>
      <c r="J704" s="7" t="s">
        <v>640</v>
      </c>
    </row>
    <row r="705" spans="1:10" x14ac:dyDescent="0.25" outlineLevel="3" collapsed="1">
      <c r="A705" s="7" t="s">
        <v>15</v>
      </c>
      <c r="B705" s="7" t="s">
        <v>16</v>
      </c>
      <c r="C705" s="7" t="s">
        <v>17</v>
      </c>
      <c r="D705" s="7"/>
      <c r="E705" s="7" t="s">
        <v>9</v>
      </c>
      <c r="F705" s="7" t="s">
        <v>19</v>
      </c>
      <c r="G705" s="7" t="s">
        <v>31</v>
      </c>
      <c r="H705" s="7" t="s">
        <v>17</v>
      </c>
      <c r="I705" s="7" t="s">
        <v>17</v>
      </c>
      <c r="J705" s="7" t="s">
        <v>843</v>
      </c>
    </row>
    <row r="706" spans="1:10" x14ac:dyDescent="0.25" outlineLevel="3" collapsed="1">
      <c r="A706" s="7" t="s">
        <v>19</v>
      </c>
      <c r="B706" s="7" t="s">
        <v>16</v>
      </c>
      <c r="C706" s="7" t="s">
        <v>17</v>
      </c>
      <c r="D706" s="7"/>
      <c r="E706" s="7" t="s">
        <v>1600</v>
      </c>
      <c r="F706" s="7" t="s">
        <v>19</v>
      </c>
      <c r="G706" s="7" t="s">
        <v>31</v>
      </c>
      <c r="H706" s="7" t="s">
        <v>17</v>
      </c>
      <c r="I706" s="7" t="s">
        <v>17</v>
      </c>
      <c r="J706" s="7" t="s">
        <v>1424</v>
      </c>
    </row>
    <row r="707" spans="1:10" x14ac:dyDescent="0.25" outlineLevel="3" collapsed="1">
      <c r="A707" s="7" t="s">
        <v>15</v>
      </c>
      <c r="B707" s="7" t="s">
        <v>16</v>
      </c>
      <c r="C707" s="7" t="s">
        <v>17</v>
      </c>
      <c r="D707" s="7"/>
      <c r="E707" s="7" t="s">
        <v>1601</v>
      </c>
      <c r="F707" s="7" t="s">
        <v>19</v>
      </c>
      <c r="G707" s="7" t="s">
        <v>31</v>
      </c>
      <c r="H707" s="7" t="s">
        <v>17</v>
      </c>
      <c r="I707" s="7" t="s">
        <v>17</v>
      </c>
      <c r="J707" s="7" t="s">
        <v>1602</v>
      </c>
    </row>
    <row r="708" spans="1:10" x14ac:dyDescent="0.25" outlineLevel="3" collapsed="1">
      <c r="A708" s="7" t="s">
        <v>15</v>
      </c>
      <c r="B708" s="7" t="s">
        <v>16</v>
      </c>
      <c r="C708" s="7" t="s">
        <v>17</v>
      </c>
      <c r="D708" s="7"/>
      <c r="E708" s="7" t="s">
        <v>1671</v>
      </c>
      <c r="F708" s="7" t="s">
        <v>19</v>
      </c>
      <c r="G708" s="7" t="s">
        <v>31</v>
      </c>
      <c r="H708" s="7" t="s">
        <v>17</v>
      </c>
      <c r="I708" s="7" t="s">
        <v>17</v>
      </c>
      <c r="J708" s="7" t="s">
        <v>1672</v>
      </c>
    </row>
    <row r="709" spans="1:10" x14ac:dyDescent="0.25" outlineLevel="3" collapsed="1">
      <c r="A709" s="7" t="s">
        <v>15</v>
      </c>
      <c r="B709" s="7" t="s">
        <v>16</v>
      </c>
      <c r="C709" s="7" t="s">
        <v>17</v>
      </c>
      <c r="D709" s="7"/>
      <c r="E709" s="7" t="s">
        <v>1673</v>
      </c>
      <c r="F709" s="7" t="s">
        <v>19</v>
      </c>
      <c r="G709" s="7" t="s">
        <v>31</v>
      </c>
      <c r="H709" s="7" t="s">
        <v>17</v>
      </c>
      <c r="I709" s="7" t="s">
        <v>17</v>
      </c>
      <c r="J709" s="7" t="s">
        <v>1674</v>
      </c>
    </row>
    <row r="710" spans="1:10" x14ac:dyDescent="0.25" outlineLevel="3" collapsed="1">
      <c r="A710" s="7" t="s">
        <v>15</v>
      </c>
      <c r="B710" s="7" t="s">
        <v>16</v>
      </c>
      <c r="C710" s="7" t="s">
        <v>17</v>
      </c>
      <c r="D710" s="7"/>
      <c r="E710" s="7" t="s">
        <v>1675</v>
      </c>
      <c r="F710" s="7" t="s">
        <v>19</v>
      </c>
      <c r="G710" s="7" t="s">
        <v>31</v>
      </c>
      <c r="H710" s="7" t="s">
        <v>17</v>
      </c>
      <c r="I710" s="7" t="s">
        <v>17</v>
      </c>
      <c r="J710" s="7" t="s">
        <v>1422</v>
      </c>
    </row>
    <row r="711" spans="1:10" x14ac:dyDescent="0.25" outlineLevel="3" collapsed="1">
      <c r="A711" s="7" t="s">
        <v>15</v>
      </c>
      <c r="B711" s="7" t="s">
        <v>284</v>
      </c>
      <c r="C711" s="11" t="s">
        <v>1604</v>
      </c>
      <c r="D711" s="7"/>
      <c r="E711" s="7" t="s">
        <v>1605</v>
      </c>
      <c r="F711" s="7" t="s">
        <v>19</v>
      </c>
      <c r="G711" s="7" t="s">
        <v>1606</v>
      </c>
      <c r="H711" s="7" t="s">
        <v>17</v>
      </c>
      <c r="I711" s="7" t="s">
        <v>17</v>
      </c>
      <c r="J711" s="7" t="s">
        <v>1607</v>
      </c>
    </row>
    <row r="712" spans="1:10" x14ac:dyDescent="0.25" outlineLevel="3" collapsed="1">
      <c r="A712" s="7" t="s">
        <v>19</v>
      </c>
      <c r="B712" s="7" t="s">
        <v>63</v>
      </c>
      <c r="C712" s="7" t="s">
        <v>17</v>
      </c>
      <c r="D712" s="7">
        <f>EXACT(G711,"Single value")</f>
      </c>
      <c r="E712" s="7" t="s">
        <v>1676</v>
      </c>
      <c r="F712" s="7" t="s">
        <v>19</v>
      </c>
      <c r="G712" s="7">
        <v>1</v>
      </c>
      <c r="H712" s="7" t="s">
        <v>17</v>
      </c>
      <c r="I712" s="7" t="s">
        <v>17</v>
      </c>
      <c r="J712" s="7" t="s">
        <v>1609</v>
      </c>
    </row>
    <row r="713" spans="1:10" x14ac:dyDescent="0.25" outlineLevel="3" collapsed="1">
      <c r="A713" s="7" t="s">
        <v>19</v>
      </c>
      <c r="B713" s="7" t="s">
        <v>16</v>
      </c>
      <c r="C713" s="7" t="s">
        <v>17</v>
      </c>
      <c r="D713" s="7"/>
      <c r="E713" s="7" t="s">
        <v>1677</v>
      </c>
      <c r="F713" s="7" t="s">
        <v>19</v>
      </c>
      <c r="G713" s="7" t="s">
        <v>31</v>
      </c>
      <c r="H713" s="7" t="s">
        <v>17</v>
      </c>
      <c r="I713" s="7" t="s">
        <v>17</v>
      </c>
      <c r="J713" s="7" t="s">
        <v>1678</v>
      </c>
    </row>
    <row r="714" spans="1:10" x14ac:dyDescent="0.25" outlineLevel="3" collapsed="1">
      <c r="A714" s="7" t="s">
        <v>15</v>
      </c>
      <c r="B714" s="7" t="s">
        <v>16</v>
      </c>
      <c r="C714" s="7" t="s">
        <v>17</v>
      </c>
      <c r="D714" s="7"/>
      <c r="E714" s="7" t="s">
        <v>1679</v>
      </c>
      <c r="F714" s="7" t="s">
        <v>19</v>
      </c>
      <c r="G714" s="7" t="s">
        <v>31</v>
      </c>
      <c r="H714" s="7" t="s">
        <v>17</v>
      </c>
      <c r="I714" s="7" t="s">
        <v>17</v>
      </c>
      <c r="J714" s="7" t="s">
        <v>1680</v>
      </c>
    </row>
    <row r="715" spans="1:10" x14ac:dyDescent="0.25" outlineLevel="3" collapsed="1">
      <c r="A715" s="7" t="s">
        <v>15</v>
      </c>
      <c r="B715" s="7" t="s">
        <v>284</v>
      </c>
      <c r="C715" s="11" t="s">
        <v>1611</v>
      </c>
      <c r="D715" s="7"/>
      <c r="E715" s="7" t="s">
        <v>1612</v>
      </c>
      <c r="F715" s="7" t="s">
        <v>19</v>
      </c>
      <c r="G715" s="7" t="s">
        <v>1613</v>
      </c>
      <c r="H715" s="7" t="s">
        <v>17</v>
      </c>
      <c r="I715" s="7" t="s">
        <v>17</v>
      </c>
      <c r="J715" s="7" t="s">
        <v>1614</v>
      </c>
    </row>
    <row r="716" spans="1:10" x14ac:dyDescent="0.25" outlineLevel="3" collapsed="1">
      <c r="A716" s="7" t="s">
        <v>19</v>
      </c>
      <c r="B716" s="7" t="s">
        <v>16</v>
      </c>
      <c r="C716" s="7" t="s">
        <v>17</v>
      </c>
      <c r="D716" s="7"/>
      <c r="E716" s="7" t="s">
        <v>1681</v>
      </c>
      <c r="F716" s="7" t="s">
        <v>19</v>
      </c>
      <c r="G716" s="7" t="s">
        <v>31</v>
      </c>
      <c r="H716" s="7" t="s">
        <v>17</v>
      </c>
      <c r="I716" s="7" t="s">
        <v>17</v>
      </c>
      <c r="J716" s="7" t="s">
        <v>1682</v>
      </c>
    </row>
    <row r="717" spans="1:10" x14ac:dyDescent="0.25" outlineLevel="3" collapsed="1">
      <c r="A717" s="7" t="s">
        <v>19</v>
      </c>
      <c r="B717" s="7" t="s">
        <v>16</v>
      </c>
      <c r="C717" s="7" t="s">
        <v>17</v>
      </c>
      <c r="D717" s="7"/>
      <c r="E717" s="7" t="s">
        <v>1615</v>
      </c>
      <c r="F717" s="7" t="s">
        <v>19</v>
      </c>
      <c r="G717" s="7" t="s">
        <v>31</v>
      </c>
      <c r="H717" s="7" t="s">
        <v>17</v>
      </c>
      <c r="I717" s="7" t="s">
        <v>17</v>
      </c>
      <c r="J717" s="7" t="s">
        <v>1616</v>
      </c>
    </row>
    <row r="718" spans="1:10" x14ac:dyDescent="0.25" outlineLevel="2" collapsed="1">
      <c r="A718" s="8" t="s">
        <v>19</v>
      </c>
      <c r="B718" s="9" t="s">
        <v>1667</v>
      </c>
      <c r="C718" s="8" t="s">
        <v>17</v>
      </c>
      <c r="D718" s="8"/>
      <c r="E718" s="8" t="s">
        <v>1703</v>
      </c>
      <c r="F718" s="8" t="s">
        <v>19</v>
      </c>
      <c r="G718" s="8" t="s">
        <v>17</v>
      </c>
      <c r="H718" s="8" t="s">
        <v>17</v>
      </c>
      <c r="I718" s="8" t="s">
        <v>17</v>
      </c>
      <c r="J718" s="8" t="s">
        <v>1704</v>
      </c>
    </row>
    <row r="719" spans="1:10" x14ac:dyDescent="0.25" outlineLevel="3" collapsed="1">
      <c r="A719" s="7" t="s">
        <v>15</v>
      </c>
      <c r="B719" s="7" t="s">
        <v>16</v>
      </c>
      <c r="C719" s="7" t="s">
        <v>17</v>
      </c>
      <c r="D719" s="7"/>
      <c r="E719" s="7" t="s">
        <v>1670</v>
      </c>
      <c r="F719" s="7" t="s">
        <v>19</v>
      </c>
      <c r="G719" s="7" t="s">
        <v>31</v>
      </c>
      <c r="H719" s="7" t="s">
        <v>17</v>
      </c>
      <c r="I719" s="7" t="s">
        <v>17</v>
      </c>
      <c r="J719" s="7" t="s">
        <v>637</v>
      </c>
    </row>
    <row r="720" spans="1:10" x14ac:dyDescent="0.25" outlineLevel="3" collapsed="1">
      <c r="A720" s="7" t="s">
        <v>15</v>
      </c>
      <c r="B720" s="7" t="s">
        <v>16</v>
      </c>
      <c r="C720" s="7" t="s">
        <v>17</v>
      </c>
      <c r="D720" s="7"/>
      <c r="E720" s="7" t="s">
        <v>638</v>
      </c>
      <c r="F720" s="7" t="s">
        <v>19</v>
      </c>
      <c r="G720" s="7" t="s">
        <v>31</v>
      </c>
      <c r="H720" s="7" t="s">
        <v>17</v>
      </c>
      <c r="I720" s="7" t="s">
        <v>17</v>
      </c>
      <c r="J720" s="7" t="s">
        <v>640</v>
      </c>
    </row>
    <row r="721" spans="1:10" x14ac:dyDescent="0.25" outlineLevel="3" collapsed="1">
      <c r="A721" s="7" t="s">
        <v>15</v>
      </c>
      <c r="B721" s="7" t="s">
        <v>16</v>
      </c>
      <c r="C721" s="7" t="s">
        <v>17</v>
      </c>
      <c r="D721" s="7"/>
      <c r="E721" s="7" t="s">
        <v>9</v>
      </c>
      <c r="F721" s="7" t="s">
        <v>19</v>
      </c>
      <c r="G721" s="7" t="s">
        <v>31</v>
      </c>
      <c r="H721" s="7" t="s">
        <v>17</v>
      </c>
      <c r="I721" s="7" t="s">
        <v>17</v>
      </c>
      <c r="J721" s="7" t="s">
        <v>843</v>
      </c>
    </row>
    <row r="722" spans="1:10" x14ac:dyDescent="0.25" outlineLevel="3" collapsed="1">
      <c r="A722" s="7" t="s">
        <v>19</v>
      </c>
      <c r="B722" s="7" t="s">
        <v>16</v>
      </c>
      <c r="C722" s="7" t="s">
        <v>17</v>
      </c>
      <c r="D722" s="7"/>
      <c r="E722" s="7" t="s">
        <v>1600</v>
      </c>
      <c r="F722" s="7" t="s">
        <v>19</v>
      </c>
      <c r="G722" s="7" t="s">
        <v>31</v>
      </c>
      <c r="H722" s="7" t="s">
        <v>17</v>
      </c>
      <c r="I722" s="7" t="s">
        <v>17</v>
      </c>
      <c r="J722" s="7" t="s">
        <v>1424</v>
      </c>
    </row>
    <row r="723" spans="1:10" x14ac:dyDescent="0.25" outlineLevel="3" collapsed="1">
      <c r="A723" s="7" t="s">
        <v>15</v>
      </c>
      <c r="B723" s="7" t="s">
        <v>16</v>
      </c>
      <c r="C723" s="7" t="s">
        <v>17</v>
      </c>
      <c r="D723" s="7"/>
      <c r="E723" s="7" t="s">
        <v>1601</v>
      </c>
      <c r="F723" s="7" t="s">
        <v>19</v>
      </c>
      <c r="G723" s="7" t="s">
        <v>31</v>
      </c>
      <c r="H723" s="7" t="s">
        <v>17</v>
      </c>
      <c r="I723" s="7" t="s">
        <v>17</v>
      </c>
      <c r="J723" s="7" t="s">
        <v>1602</v>
      </c>
    </row>
    <row r="724" spans="1:10" x14ac:dyDescent="0.25" outlineLevel="3" collapsed="1">
      <c r="A724" s="7" t="s">
        <v>15</v>
      </c>
      <c r="B724" s="7" t="s">
        <v>16</v>
      </c>
      <c r="C724" s="7" t="s">
        <v>17</v>
      </c>
      <c r="D724" s="7"/>
      <c r="E724" s="7" t="s">
        <v>1671</v>
      </c>
      <c r="F724" s="7" t="s">
        <v>19</v>
      </c>
      <c r="G724" s="7" t="s">
        <v>31</v>
      </c>
      <c r="H724" s="7" t="s">
        <v>17</v>
      </c>
      <c r="I724" s="7" t="s">
        <v>17</v>
      </c>
      <c r="J724" s="7" t="s">
        <v>1672</v>
      </c>
    </row>
    <row r="725" spans="1:10" x14ac:dyDescent="0.25" outlineLevel="3" collapsed="1">
      <c r="A725" s="7" t="s">
        <v>15</v>
      </c>
      <c r="B725" s="7" t="s">
        <v>16</v>
      </c>
      <c r="C725" s="7" t="s">
        <v>17</v>
      </c>
      <c r="D725" s="7"/>
      <c r="E725" s="7" t="s">
        <v>1673</v>
      </c>
      <c r="F725" s="7" t="s">
        <v>19</v>
      </c>
      <c r="G725" s="7" t="s">
        <v>31</v>
      </c>
      <c r="H725" s="7" t="s">
        <v>17</v>
      </c>
      <c r="I725" s="7" t="s">
        <v>17</v>
      </c>
      <c r="J725" s="7" t="s">
        <v>1674</v>
      </c>
    </row>
    <row r="726" spans="1:10" x14ac:dyDescent="0.25" outlineLevel="3" collapsed="1">
      <c r="A726" s="7" t="s">
        <v>15</v>
      </c>
      <c r="B726" s="7" t="s">
        <v>16</v>
      </c>
      <c r="C726" s="7" t="s">
        <v>17</v>
      </c>
      <c r="D726" s="7"/>
      <c r="E726" s="7" t="s">
        <v>1675</v>
      </c>
      <c r="F726" s="7" t="s">
        <v>19</v>
      </c>
      <c r="G726" s="7" t="s">
        <v>31</v>
      </c>
      <c r="H726" s="7" t="s">
        <v>17</v>
      </c>
      <c r="I726" s="7" t="s">
        <v>17</v>
      </c>
      <c r="J726" s="7" t="s">
        <v>1422</v>
      </c>
    </row>
    <row r="727" spans="1:10" x14ac:dyDescent="0.25" outlineLevel="3" collapsed="1">
      <c r="A727" s="7" t="s">
        <v>15</v>
      </c>
      <c r="B727" s="7" t="s">
        <v>284</v>
      </c>
      <c r="C727" s="11" t="s">
        <v>1604</v>
      </c>
      <c r="D727" s="7"/>
      <c r="E727" s="7" t="s">
        <v>1605</v>
      </c>
      <c r="F727" s="7" t="s">
        <v>19</v>
      </c>
      <c r="G727" s="7" t="s">
        <v>1606</v>
      </c>
      <c r="H727" s="7" t="s">
        <v>17</v>
      </c>
      <c r="I727" s="7" t="s">
        <v>17</v>
      </c>
      <c r="J727" s="7" t="s">
        <v>1607</v>
      </c>
    </row>
    <row r="728" spans="1:10" x14ac:dyDescent="0.25" outlineLevel="3" collapsed="1">
      <c r="A728" s="7" t="s">
        <v>19</v>
      </c>
      <c r="B728" s="7" t="s">
        <v>63</v>
      </c>
      <c r="C728" s="7" t="s">
        <v>17</v>
      </c>
      <c r="D728" s="7">
        <f>EXACT(G727,"Single value")</f>
      </c>
      <c r="E728" s="7" t="s">
        <v>1676</v>
      </c>
      <c r="F728" s="7" t="s">
        <v>19</v>
      </c>
      <c r="G728" s="7">
        <v>1</v>
      </c>
      <c r="H728" s="7" t="s">
        <v>17</v>
      </c>
      <c r="I728" s="7" t="s">
        <v>17</v>
      </c>
      <c r="J728" s="7" t="s">
        <v>1609</v>
      </c>
    </row>
    <row r="729" spans="1:10" x14ac:dyDescent="0.25" outlineLevel="3" collapsed="1">
      <c r="A729" s="7" t="s">
        <v>19</v>
      </c>
      <c r="B729" s="7" t="s">
        <v>16</v>
      </c>
      <c r="C729" s="7" t="s">
        <v>17</v>
      </c>
      <c r="D729" s="7"/>
      <c r="E729" s="7" t="s">
        <v>1677</v>
      </c>
      <c r="F729" s="7" t="s">
        <v>19</v>
      </c>
      <c r="G729" s="7" t="s">
        <v>31</v>
      </c>
      <c r="H729" s="7" t="s">
        <v>17</v>
      </c>
      <c r="I729" s="7" t="s">
        <v>17</v>
      </c>
      <c r="J729" s="7" t="s">
        <v>1678</v>
      </c>
    </row>
    <row r="730" spans="1:10" x14ac:dyDescent="0.25" outlineLevel="3" collapsed="1">
      <c r="A730" s="7" t="s">
        <v>15</v>
      </c>
      <c r="B730" s="7" t="s">
        <v>16</v>
      </c>
      <c r="C730" s="7" t="s">
        <v>17</v>
      </c>
      <c r="D730" s="7"/>
      <c r="E730" s="7" t="s">
        <v>1679</v>
      </c>
      <c r="F730" s="7" t="s">
        <v>19</v>
      </c>
      <c r="G730" s="7" t="s">
        <v>31</v>
      </c>
      <c r="H730" s="7" t="s">
        <v>17</v>
      </c>
      <c r="I730" s="7" t="s">
        <v>17</v>
      </c>
      <c r="J730" s="7" t="s">
        <v>1680</v>
      </c>
    </row>
    <row r="731" spans="1:10" x14ac:dyDescent="0.25" outlineLevel="3" collapsed="1">
      <c r="A731" s="7" t="s">
        <v>15</v>
      </c>
      <c r="B731" s="7" t="s">
        <v>284</v>
      </c>
      <c r="C731" s="11" t="s">
        <v>1611</v>
      </c>
      <c r="D731" s="7"/>
      <c r="E731" s="7" t="s">
        <v>1612</v>
      </c>
      <c r="F731" s="7" t="s">
        <v>19</v>
      </c>
      <c r="G731" s="7" t="s">
        <v>1613</v>
      </c>
      <c r="H731" s="7" t="s">
        <v>17</v>
      </c>
      <c r="I731" s="7" t="s">
        <v>17</v>
      </c>
      <c r="J731" s="7" t="s">
        <v>1614</v>
      </c>
    </row>
    <row r="732" spans="1:10" x14ac:dyDescent="0.25" outlineLevel="3" collapsed="1">
      <c r="A732" s="7" t="s">
        <v>19</v>
      </c>
      <c r="B732" s="7" t="s">
        <v>16</v>
      </c>
      <c r="C732" s="7" t="s">
        <v>17</v>
      </c>
      <c r="D732" s="7"/>
      <c r="E732" s="7" t="s">
        <v>1681</v>
      </c>
      <c r="F732" s="7" t="s">
        <v>19</v>
      </c>
      <c r="G732" s="7" t="s">
        <v>31</v>
      </c>
      <c r="H732" s="7" t="s">
        <v>17</v>
      </c>
      <c r="I732" s="7" t="s">
        <v>17</v>
      </c>
      <c r="J732" s="7" t="s">
        <v>1682</v>
      </c>
    </row>
    <row r="733" spans="1:10" x14ac:dyDescent="0.25" outlineLevel="3" collapsed="1">
      <c r="A733" s="7" t="s">
        <v>19</v>
      </c>
      <c r="B733" s="7" t="s">
        <v>16</v>
      </c>
      <c r="C733" s="7" t="s">
        <v>17</v>
      </c>
      <c r="D733" s="7"/>
      <c r="E733" s="7" t="s">
        <v>1615</v>
      </c>
      <c r="F733" s="7" t="s">
        <v>19</v>
      </c>
      <c r="G733" s="7" t="s">
        <v>31</v>
      </c>
      <c r="H733" s="7" t="s">
        <v>17</v>
      </c>
      <c r="I733" s="7" t="s">
        <v>17</v>
      </c>
      <c r="J733" s="7" t="s">
        <v>1616</v>
      </c>
    </row>
    <row r="734" spans="1:10" x14ac:dyDescent="0.25" outlineLevel="2" collapsed="1">
      <c r="A734" s="8" t="s">
        <v>19</v>
      </c>
      <c r="B734" s="9" t="s">
        <v>1667</v>
      </c>
      <c r="C734" s="8" t="s">
        <v>17</v>
      </c>
      <c r="D734" s="8"/>
      <c r="E734" s="8" t="s">
        <v>1705</v>
      </c>
      <c r="F734" s="8" t="s">
        <v>19</v>
      </c>
      <c r="G734" s="8" t="s">
        <v>17</v>
      </c>
      <c r="H734" s="8" t="s">
        <v>17</v>
      </c>
      <c r="I734" s="8" t="s">
        <v>17</v>
      </c>
      <c r="J734" s="8" t="s">
        <v>1706</v>
      </c>
    </row>
    <row r="735" spans="1:10" x14ac:dyDescent="0.25" outlineLevel="3" collapsed="1">
      <c r="A735" s="7" t="s">
        <v>15</v>
      </c>
      <c r="B735" s="7" t="s">
        <v>16</v>
      </c>
      <c r="C735" s="7" t="s">
        <v>17</v>
      </c>
      <c r="D735" s="7"/>
      <c r="E735" s="7" t="s">
        <v>1670</v>
      </c>
      <c r="F735" s="7" t="s">
        <v>19</v>
      </c>
      <c r="G735" s="7" t="s">
        <v>31</v>
      </c>
      <c r="H735" s="7" t="s">
        <v>17</v>
      </c>
      <c r="I735" s="7" t="s">
        <v>17</v>
      </c>
      <c r="J735" s="7" t="s">
        <v>637</v>
      </c>
    </row>
    <row r="736" spans="1:10" x14ac:dyDescent="0.25" outlineLevel="3" collapsed="1">
      <c r="A736" s="7" t="s">
        <v>15</v>
      </c>
      <c r="B736" s="7" t="s">
        <v>16</v>
      </c>
      <c r="C736" s="7" t="s">
        <v>17</v>
      </c>
      <c r="D736" s="7"/>
      <c r="E736" s="7" t="s">
        <v>638</v>
      </c>
      <c r="F736" s="7" t="s">
        <v>19</v>
      </c>
      <c r="G736" s="7" t="s">
        <v>31</v>
      </c>
      <c r="H736" s="7" t="s">
        <v>17</v>
      </c>
      <c r="I736" s="7" t="s">
        <v>17</v>
      </c>
      <c r="J736" s="7" t="s">
        <v>640</v>
      </c>
    </row>
    <row r="737" spans="1:10" x14ac:dyDescent="0.25" outlineLevel="3" collapsed="1">
      <c r="A737" s="7" t="s">
        <v>15</v>
      </c>
      <c r="B737" s="7" t="s">
        <v>16</v>
      </c>
      <c r="C737" s="7" t="s">
        <v>17</v>
      </c>
      <c r="D737" s="7"/>
      <c r="E737" s="7" t="s">
        <v>9</v>
      </c>
      <c r="F737" s="7" t="s">
        <v>19</v>
      </c>
      <c r="G737" s="7" t="s">
        <v>31</v>
      </c>
      <c r="H737" s="7" t="s">
        <v>17</v>
      </c>
      <c r="I737" s="7" t="s">
        <v>17</v>
      </c>
      <c r="J737" s="7" t="s">
        <v>843</v>
      </c>
    </row>
    <row r="738" spans="1:10" x14ac:dyDescent="0.25" outlineLevel="3" collapsed="1">
      <c r="A738" s="7" t="s">
        <v>19</v>
      </c>
      <c r="B738" s="7" t="s">
        <v>16</v>
      </c>
      <c r="C738" s="7" t="s">
        <v>17</v>
      </c>
      <c r="D738" s="7"/>
      <c r="E738" s="7" t="s">
        <v>1600</v>
      </c>
      <c r="F738" s="7" t="s">
        <v>19</v>
      </c>
      <c r="G738" s="7" t="s">
        <v>31</v>
      </c>
      <c r="H738" s="7" t="s">
        <v>17</v>
      </c>
      <c r="I738" s="7" t="s">
        <v>17</v>
      </c>
      <c r="J738" s="7" t="s">
        <v>1424</v>
      </c>
    </row>
    <row r="739" spans="1:10" x14ac:dyDescent="0.25" outlineLevel="3" collapsed="1">
      <c r="A739" s="7" t="s">
        <v>15</v>
      </c>
      <c r="B739" s="7" t="s">
        <v>16</v>
      </c>
      <c r="C739" s="7" t="s">
        <v>17</v>
      </c>
      <c r="D739" s="7"/>
      <c r="E739" s="7" t="s">
        <v>1601</v>
      </c>
      <c r="F739" s="7" t="s">
        <v>19</v>
      </c>
      <c r="G739" s="7" t="s">
        <v>31</v>
      </c>
      <c r="H739" s="7" t="s">
        <v>17</v>
      </c>
      <c r="I739" s="7" t="s">
        <v>17</v>
      </c>
      <c r="J739" s="7" t="s">
        <v>1602</v>
      </c>
    </row>
    <row r="740" spans="1:10" x14ac:dyDescent="0.25" outlineLevel="3" collapsed="1">
      <c r="A740" s="7" t="s">
        <v>15</v>
      </c>
      <c r="B740" s="7" t="s">
        <v>16</v>
      </c>
      <c r="C740" s="7" t="s">
        <v>17</v>
      </c>
      <c r="D740" s="7"/>
      <c r="E740" s="7" t="s">
        <v>1671</v>
      </c>
      <c r="F740" s="7" t="s">
        <v>19</v>
      </c>
      <c r="G740" s="7" t="s">
        <v>31</v>
      </c>
      <c r="H740" s="7" t="s">
        <v>17</v>
      </c>
      <c r="I740" s="7" t="s">
        <v>17</v>
      </c>
      <c r="J740" s="7" t="s">
        <v>1672</v>
      </c>
    </row>
    <row r="741" spans="1:10" x14ac:dyDescent="0.25" outlineLevel="3" collapsed="1">
      <c r="A741" s="7" t="s">
        <v>15</v>
      </c>
      <c r="B741" s="7" t="s">
        <v>16</v>
      </c>
      <c r="C741" s="7" t="s">
        <v>17</v>
      </c>
      <c r="D741" s="7"/>
      <c r="E741" s="7" t="s">
        <v>1673</v>
      </c>
      <c r="F741" s="7" t="s">
        <v>19</v>
      </c>
      <c r="G741" s="7" t="s">
        <v>31</v>
      </c>
      <c r="H741" s="7" t="s">
        <v>17</v>
      </c>
      <c r="I741" s="7" t="s">
        <v>17</v>
      </c>
      <c r="J741" s="7" t="s">
        <v>1674</v>
      </c>
    </row>
    <row r="742" spans="1:10" x14ac:dyDescent="0.25" outlineLevel="3" collapsed="1">
      <c r="A742" s="7" t="s">
        <v>15</v>
      </c>
      <c r="B742" s="7" t="s">
        <v>16</v>
      </c>
      <c r="C742" s="7" t="s">
        <v>17</v>
      </c>
      <c r="D742" s="7"/>
      <c r="E742" s="7" t="s">
        <v>1675</v>
      </c>
      <c r="F742" s="7" t="s">
        <v>19</v>
      </c>
      <c r="G742" s="7" t="s">
        <v>31</v>
      </c>
      <c r="H742" s="7" t="s">
        <v>17</v>
      </c>
      <c r="I742" s="7" t="s">
        <v>17</v>
      </c>
      <c r="J742" s="7" t="s">
        <v>1422</v>
      </c>
    </row>
    <row r="743" spans="1:10" x14ac:dyDescent="0.25" outlineLevel="3" collapsed="1">
      <c r="A743" s="7" t="s">
        <v>15</v>
      </c>
      <c r="B743" s="7" t="s">
        <v>284</v>
      </c>
      <c r="C743" s="11" t="s">
        <v>1604</v>
      </c>
      <c r="D743" s="7"/>
      <c r="E743" s="7" t="s">
        <v>1605</v>
      </c>
      <c r="F743" s="7" t="s">
        <v>19</v>
      </c>
      <c r="G743" s="7" t="s">
        <v>1606</v>
      </c>
      <c r="H743" s="7" t="s">
        <v>17</v>
      </c>
      <c r="I743" s="7" t="s">
        <v>17</v>
      </c>
      <c r="J743" s="7" t="s">
        <v>1607</v>
      </c>
    </row>
    <row r="744" spans="1:10" x14ac:dyDescent="0.25" outlineLevel="3" collapsed="1">
      <c r="A744" s="7" t="s">
        <v>19</v>
      </c>
      <c r="B744" s="7" t="s">
        <v>63</v>
      </c>
      <c r="C744" s="7" t="s">
        <v>17</v>
      </c>
      <c r="D744" s="7">
        <f>EXACT(G743,"Single value")</f>
      </c>
      <c r="E744" s="7" t="s">
        <v>1676</v>
      </c>
      <c r="F744" s="7" t="s">
        <v>19</v>
      </c>
      <c r="G744" s="7">
        <v>1</v>
      </c>
      <c r="H744" s="7" t="s">
        <v>17</v>
      </c>
      <c r="I744" s="7" t="s">
        <v>17</v>
      </c>
      <c r="J744" s="7" t="s">
        <v>1609</v>
      </c>
    </row>
    <row r="745" spans="1:10" x14ac:dyDescent="0.25" outlineLevel="3" collapsed="1">
      <c r="A745" s="7" t="s">
        <v>19</v>
      </c>
      <c r="B745" s="7" t="s">
        <v>16</v>
      </c>
      <c r="C745" s="7" t="s">
        <v>17</v>
      </c>
      <c r="D745" s="7"/>
      <c r="E745" s="7" t="s">
        <v>1677</v>
      </c>
      <c r="F745" s="7" t="s">
        <v>19</v>
      </c>
      <c r="G745" s="7" t="s">
        <v>31</v>
      </c>
      <c r="H745" s="7" t="s">
        <v>17</v>
      </c>
      <c r="I745" s="7" t="s">
        <v>17</v>
      </c>
      <c r="J745" s="7" t="s">
        <v>1678</v>
      </c>
    </row>
    <row r="746" spans="1:10" x14ac:dyDescent="0.25" outlineLevel="3" collapsed="1">
      <c r="A746" s="7" t="s">
        <v>15</v>
      </c>
      <c r="B746" s="7" t="s">
        <v>16</v>
      </c>
      <c r="C746" s="7" t="s">
        <v>17</v>
      </c>
      <c r="D746" s="7"/>
      <c r="E746" s="7" t="s">
        <v>1679</v>
      </c>
      <c r="F746" s="7" t="s">
        <v>19</v>
      </c>
      <c r="G746" s="7" t="s">
        <v>31</v>
      </c>
      <c r="H746" s="7" t="s">
        <v>17</v>
      </c>
      <c r="I746" s="7" t="s">
        <v>17</v>
      </c>
      <c r="J746" s="7" t="s">
        <v>1680</v>
      </c>
    </row>
    <row r="747" spans="1:10" x14ac:dyDescent="0.25" outlineLevel="3" collapsed="1">
      <c r="A747" s="7" t="s">
        <v>15</v>
      </c>
      <c r="B747" s="7" t="s">
        <v>284</v>
      </c>
      <c r="C747" s="11" t="s">
        <v>1611</v>
      </c>
      <c r="D747" s="7"/>
      <c r="E747" s="7" t="s">
        <v>1612</v>
      </c>
      <c r="F747" s="7" t="s">
        <v>19</v>
      </c>
      <c r="G747" s="7" t="s">
        <v>1613</v>
      </c>
      <c r="H747" s="7" t="s">
        <v>17</v>
      </c>
      <c r="I747" s="7" t="s">
        <v>17</v>
      </c>
      <c r="J747" s="7" t="s">
        <v>1614</v>
      </c>
    </row>
    <row r="748" spans="1:10" x14ac:dyDescent="0.25" outlineLevel="3" collapsed="1">
      <c r="A748" s="7" t="s">
        <v>19</v>
      </c>
      <c r="B748" s="7" t="s">
        <v>16</v>
      </c>
      <c r="C748" s="7" t="s">
        <v>17</v>
      </c>
      <c r="D748" s="7"/>
      <c r="E748" s="7" t="s">
        <v>1681</v>
      </c>
      <c r="F748" s="7" t="s">
        <v>19</v>
      </c>
      <c r="G748" s="7" t="s">
        <v>31</v>
      </c>
      <c r="H748" s="7" t="s">
        <v>17</v>
      </c>
      <c r="I748" s="7" t="s">
        <v>17</v>
      </c>
      <c r="J748" s="7" t="s">
        <v>1682</v>
      </c>
    </row>
    <row r="749" spans="1:10" x14ac:dyDescent="0.25" outlineLevel="3" collapsed="1">
      <c r="A749" s="7" t="s">
        <v>19</v>
      </c>
      <c r="B749" s="7" t="s">
        <v>16</v>
      </c>
      <c r="C749" s="7" t="s">
        <v>17</v>
      </c>
      <c r="D749" s="7"/>
      <c r="E749" s="7" t="s">
        <v>1615</v>
      </c>
      <c r="F749" s="7" t="s">
        <v>19</v>
      </c>
      <c r="G749" s="7" t="s">
        <v>31</v>
      </c>
      <c r="H749" s="7" t="s">
        <v>17</v>
      </c>
      <c r="I749" s="7" t="s">
        <v>17</v>
      </c>
      <c r="J749" s="7" t="s">
        <v>1616</v>
      </c>
    </row>
    <row r="750" spans="1:10" x14ac:dyDescent="0.25" outlineLevel="2" collapsed="1">
      <c r="A750" s="7" t="s">
        <v>19</v>
      </c>
      <c r="B750" s="7" t="s">
        <v>284</v>
      </c>
      <c r="C750" s="11" t="s">
        <v>1707</v>
      </c>
      <c r="D750" s="7"/>
      <c r="E750" s="7" t="s">
        <v>1708</v>
      </c>
      <c r="F750" s="7" t="s">
        <v>19</v>
      </c>
      <c r="G750" s="7" t="s">
        <v>1709</v>
      </c>
      <c r="H750" s="7" t="s">
        <v>17</v>
      </c>
      <c r="I750" s="7" t="s">
        <v>17</v>
      </c>
      <c r="J750" s="7" t="s">
        <v>1710</v>
      </c>
    </row>
    <row r="751" spans="1:10" x14ac:dyDescent="0.25" outlineLevel="2" collapsed="1">
      <c r="A751" s="7" t="s">
        <v>19</v>
      </c>
      <c r="B751" s="7" t="s">
        <v>284</v>
      </c>
      <c r="C751" s="11" t="s">
        <v>1711</v>
      </c>
      <c r="D751" s="7"/>
      <c r="E751" s="7" t="s">
        <v>1712</v>
      </c>
      <c r="F751" s="7" t="s">
        <v>19</v>
      </c>
      <c r="G751" s="7" t="s">
        <v>1713</v>
      </c>
      <c r="H751" s="7" t="s">
        <v>17</v>
      </c>
      <c r="I751" s="7" t="s">
        <v>17</v>
      </c>
      <c r="J751" s="7" t="s">
        <v>1714</v>
      </c>
    </row>
    <row r="752" spans="1:10" x14ac:dyDescent="0.25" outlineLevel="2" collapsed="1">
      <c r="A752" s="8" t="s">
        <v>19</v>
      </c>
      <c r="B752" s="9" t="s">
        <v>1715</v>
      </c>
      <c r="C752" s="8" t="s">
        <v>17</v>
      </c>
      <c r="D752" s="8"/>
      <c r="E752" s="8" t="s">
        <v>1716</v>
      </c>
      <c r="F752" s="8" t="s">
        <v>15</v>
      </c>
      <c r="G752" s="8" t="s">
        <v>17</v>
      </c>
      <c r="H752" s="8" t="s">
        <v>17</v>
      </c>
      <c r="I752" s="8" t="s">
        <v>17</v>
      </c>
      <c r="J752" s="8" t="s">
        <v>1717</v>
      </c>
    </row>
    <row r="753" spans="1:10" x14ac:dyDescent="0.25" outlineLevel="3" collapsed="1">
      <c r="A753" s="7" t="s">
        <v>15</v>
      </c>
      <c r="B753" s="7" t="s">
        <v>16</v>
      </c>
      <c r="C753" s="7" t="s">
        <v>17</v>
      </c>
      <c r="D753" s="7"/>
      <c r="E753" s="7" t="s">
        <v>1718</v>
      </c>
      <c r="F753" s="7" t="s">
        <v>19</v>
      </c>
      <c r="G753" s="7" t="s">
        <v>31</v>
      </c>
      <c r="H753" s="7" t="s">
        <v>17</v>
      </c>
      <c r="I753" s="7" t="s">
        <v>17</v>
      </c>
      <c r="J753" s="7" t="s">
        <v>1719</v>
      </c>
    </row>
    <row r="754" spans="1:10" x14ac:dyDescent="0.25" outlineLevel="3" collapsed="1">
      <c r="A754" s="7" t="s">
        <v>15</v>
      </c>
      <c r="B754" s="7" t="s">
        <v>284</v>
      </c>
      <c r="C754" s="11" t="s">
        <v>1720</v>
      </c>
      <c r="D754" s="7"/>
      <c r="E754" s="7" t="s">
        <v>1721</v>
      </c>
      <c r="F754" s="7" t="s">
        <v>19</v>
      </c>
      <c r="G754" s="7" t="s">
        <v>1722</v>
      </c>
      <c r="H754" s="7" t="s">
        <v>17</v>
      </c>
      <c r="I754" s="7" t="s">
        <v>17</v>
      </c>
      <c r="J754" s="7" t="s">
        <v>1723</v>
      </c>
    </row>
    <row r="755" spans="1:10" x14ac:dyDescent="0.25" outlineLevel="3" collapsed="1">
      <c r="A755" s="7" t="s">
        <v>15</v>
      </c>
      <c r="B755" s="7" t="s">
        <v>16</v>
      </c>
      <c r="C755" s="7" t="s">
        <v>17</v>
      </c>
      <c r="D755" s="7"/>
      <c r="E755" s="7" t="s">
        <v>1724</v>
      </c>
      <c r="F755" s="7" t="s">
        <v>19</v>
      </c>
      <c r="G755" s="7" t="s">
        <v>31</v>
      </c>
      <c r="H755" s="7" t="s">
        <v>17</v>
      </c>
      <c r="I755" s="7" t="s">
        <v>17</v>
      </c>
      <c r="J755" s="7" t="s">
        <v>1725</v>
      </c>
    </row>
    <row r="756" spans="1:10" x14ac:dyDescent="0.25" outlineLevel="3" collapsed="1">
      <c r="A756" s="7" t="s">
        <v>15</v>
      </c>
      <c r="B756" s="7" t="s">
        <v>284</v>
      </c>
      <c r="C756" s="11" t="s">
        <v>1726</v>
      </c>
      <c r="D756" s="7"/>
      <c r="E756" s="7" t="s">
        <v>1727</v>
      </c>
      <c r="F756" s="7" t="s">
        <v>19</v>
      </c>
      <c r="G756" s="7" t="s">
        <v>1709</v>
      </c>
      <c r="H756" s="7" t="s">
        <v>17</v>
      </c>
      <c r="I756" s="7" t="s">
        <v>17</v>
      </c>
      <c r="J756" s="7" t="s">
        <v>1710</v>
      </c>
    </row>
    <row r="757" spans="1:10" x14ac:dyDescent="0.25" outlineLevel="3" collapsed="1">
      <c r="A757" s="7" t="s">
        <v>15</v>
      </c>
      <c r="B757" s="7" t="s">
        <v>284</v>
      </c>
      <c r="C757" s="11" t="s">
        <v>1728</v>
      </c>
      <c r="D757" s="7"/>
      <c r="E757" s="7" t="s">
        <v>1729</v>
      </c>
      <c r="F757" s="7" t="s">
        <v>19</v>
      </c>
      <c r="G757" s="7" t="s">
        <v>1713</v>
      </c>
      <c r="H757" s="7" t="s">
        <v>17</v>
      </c>
      <c r="I757" s="7" t="s">
        <v>17</v>
      </c>
      <c r="J757" s="7" t="s">
        <v>1714</v>
      </c>
    </row>
    <row r="758" spans="1:10" x14ac:dyDescent="0.25" outlineLevel="3" collapsed="1">
      <c r="A758" s="7" t="s">
        <v>15</v>
      </c>
      <c r="B758" s="7" t="s">
        <v>63</v>
      </c>
      <c r="C758" s="7" t="s">
        <v>17</v>
      </c>
      <c r="D758" s="7"/>
      <c r="E758" s="7" t="s">
        <v>1730</v>
      </c>
      <c r="F758" s="7" t="s">
        <v>19</v>
      </c>
      <c r="G758" s="7">
        <v>1</v>
      </c>
      <c r="H758" s="7" t="s">
        <v>17</v>
      </c>
      <c r="I758" s="7" t="s">
        <v>17</v>
      </c>
      <c r="J758" s="7" t="s">
        <v>1698</v>
      </c>
    </row>
    <row r="759" spans="1:10" x14ac:dyDescent="0.25" outlineLevel="3" collapsed="1">
      <c r="A759" s="7" t="s">
        <v>19</v>
      </c>
      <c r="B759" s="7" t="s">
        <v>63</v>
      </c>
      <c r="C759" s="7" t="s">
        <v>17</v>
      </c>
      <c r="D759" s="7"/>
      <c r="E759" s="7" t="s">
        <v>1731</v>
      </c>
      <c r="F759" s="7" t="s">
        <v>19</v>
      </c>
      <c r="G759" s="7">
        <v>1</v>
      </c>
      <c r="H759" s="7" t="s">
        <v>17</v>
      </c>
      <c r="I759" s="7" t="s">
        <v>17</v>
      </c>
      <c r="J759" s="7" t="s">
        <v>1700</v>
      </c>
    </row>
    <row r="760" spans="1:10" x14ac:dyDescent="0.25" outlineLevel="3" collapsed="1">
      <c r="A760" s="7" t="s">
        <v>19</v>
      </c>
      <c r="B760" s="7" t="s">
        <v>63</v>
      </c>
      <c r="C760" s="7" t="s">
        <v>17</v>
      </c>
      <c r="D760" s="7"/>
      <c r="E760" s="7" t="s">
        <v>1732</v>
      </c>
      <c r="F760" s="7" t="s">
        <v>19</v>
      </c>
      <c r="G760" s="7">
        <v>1</v>
      </c>
      <c r="H760" s="7" t="s">
        <v>17</v>
      </c>
      <c r="I760" s="7" t="s">
        <v>17</v>
      </c>
      <c r="J760" s="7" t="s">
        <v>1702</v>
      </c>
    </row>
    <row r="761" spans="1:10" x14ac:dyDescent="0.25" outlineLevel="3" collapsed="1">
      <c r="A761" s="7" t="s">
        <v>19</v>
      </c>
      <c r="B761" s="7" t="s">
        <v>63</v>
      </c>
      <c r="C761" s="7" t="s">
        <v>17</v>
      </c>
      <c r="D761" s="7"/>
      <c r="E761" s="7" t="s">
        <v>1733</v>
      </c>
      <c r="F761" s="7" t="s">
        <v>19</v>
      </c>
      <c r="G761" s="7">
        <v>1</v>
      </c>
      <c r="H761" s="7" t="s">
        <v>17</v>
      </c>
      <c r="I761" s="7" t="s">
        <v>17</v>
      </c>
      <c r="J761" s="7" t="s">
        <v>1704</v>
      </c>
    </row>
    <row r="762" spans="1:10" x14ac:dyDescent="0.25" outlineLevel="3" collapsed="1">
      <c r="A762" s="7" t="s">
        <v>19</v>
      </c>
      <c r="B762" s="7" t="s">
        <v>63</v>
      </c>
      <c r="C762" s="7" t="s">
        <v>17</v>
      </c>
      <c r="D762" s="7"/>
      <c r="E762" s="7" t="s">
        <v>1734</v>
      </c>
      <c r="F762" s="7" t="s">
        <v>19</v>
      </c>
      <c r="G762" s="7">
        <v>1</v>
      </c>
      <c r="H762" s="7" t="s">
        <v>17</v>
      </c>
      <c r="I762" s="7" t="s">
        <v>17</v>
      </c>
      <c r="J762" s="7" t="s">
        <v>1706</v>
      </c>
    </row>
    <row r="763" spans="1:10" x14ac:dyDescent="0.25" outlineLevel="1" collapsed="1">
      <c r="A763" s="8" t="s">
        <v>19</v>
      </c>
      <c r="B763" s="9" t="s">
        <v>1735</v>
      </c>
      <c r="C763" s="8" t="s">
        <v>17</v>
      </c>
      <c r="D763" s="8"/>
      <c r="E763" s="8" t="s">
        <v>1736</v>
      </c>
      <c r="F763" s="8" t="s">
        <v>19</v>
      </c>
      <c r="G763" s="8" t="s">
        <v>17</v>
      </c>
      <c r="H763" s="8" t="s">
        <v>17</v>
      </c>
      <c r="I763" s="8" t="s">
        <v>17</v>
      </c>
      <c r="J763" s="8" t="s">
        <v>1737</v>
      </c>
    </row>
    <row r="764" spans="1:10" x14ac:dyDescent="0.25" outlineLevel="2" collapsed="1">
      <c r="A764" s="8" t="s">
        <v>19</v>
      </c>
      <c r="B764" s="9" t="s">
        <v>1667</v>
      </c>
      <c r="C764" s="8" t="s">
        <v>17</v>
      </c>
      <c r="D764" s="8"/>
      <c r="E764" s="8" t="s">
        <v>1738</v>
      </c>
      <c r="F764" s="8" t="s">
        <v>19</v>
      </c>
      <c r="G764" s="8" t="s">
        <v>17</v>
      </c>
      <c r="H764" s="8" t="s">
        <v>17</v>
      </c>
      <c r="I764" s="8" t="s">
        <v>17</v>
      </c>
      <c r="J764" s="8" t="s">
        <v>1739</v>
      </c>
    </row>
    <row r="765" spans="1:10" x14ac:dyDescent="0.25" outlineLevel="3" collapsed="1">
      <c r="A765" s="7" t="s">
        <v>15</v>
      </c>
      <c r="B765" s="7" t="s">
        <v>16</v>
      </c>
      <c r="C765" s="7" t="s">
        <v>17</v>
      </c>
      <c r="D765" s="7"/>
      <c r="E765" s="7" t="s">
        <v>1670</v>
      </c>
      <c r="F765" s="7" t="s">
        <v>19</v>
      </c>
      <c r="G765" s="7" t="s">
        <v>31</v>
      </c>
      <c r="H765" s="7" t="s">
        <v>17</v>
      </c>
      <c r="I765" s="7" t="s">
        <v>17</v>
      </c>
      <c r="J765" s="7" t="s">
        <v>637</v>
      </c>
    </row>
    <row r="766" spans="1:10" x14ac:dyDescent="0.25" outlineLevel="3" collapsed="1">
      <c r="A766" s="7" t="s">
        <v>15</v>
      </c>
      <c r="B766" s="7" t="s">
        <v>16</v>
      </c>
      <c r="C766" s="7" t="s">
        <v>17</v>
      </c>
      <c r="D766" s="7"/>
      <c r="E766" s="7" t="s">
        <v>638</v>
      </c>
      <c r="F766" s="7" t="s">
        <v>19</v>
      </c>
      <c r="G766" s="7" t="s">
        <v>31</v>
      </c>
      <c r="H766" s="7" t="s">
        <v>17</v>
      </c>
      <c r="I766" s="7" t="s">
        <v>17</v>
      </c>
      <c r="J766" s="7" t="s">
        <v>640</v>
      </c>
    </row>
    <row r="767" spans="1:10" x14ac:dyDescent="0.25" outlineLevel="3" collapsed="1">
      <c r="A767" s="7" t="s">
        <v>15</v>
      </c>
      <c r="B767" s="7" t="s">
        <v>16</v>
      </c>
      <c r="C767" s="7" t="s">
        <v>17</v>
      </c>
      <c r="D767" s="7"/>
      <c r="E767" s="7" t="s">
        <v>9</v>
      </c>
      <c r="F767" s="7" t="s">
        <v>19</v>
      </c>
      <c r="G767" s="7" t="s">
        <v>31</v>
      </c>
      <c r="H767" s="7" t="s">
        <v>17</v>
      </c>
      <c r="I767" s="7" t="s">
        <v>17</v>
      </c>
      <c r="J767" s="7" t="s">
        <v>843</v>
      </c>
    </row>
    <row r="768" spans="1:10" x14ac:dyDescent="0.25" outlineLevel="3" collapsed="1">
      <c r="A768" s="7" t="s">
        <v>19</v>
      </c>
      <c r="B768" s="7" t="s">
        <v>16</v>
      </c>
      <c r="C768" s="7" t="s">
        <v>17</v>
      </c>
      <c r="D768" s="7"/>
      <c r="E768" s="7" t="s">
        <v>1600</v>
      </c>
      <c r="F768" s="7" t="s">
        <v>19</v>
      </c>
      <c r="G768" s="7" t="s">
        <v>31</v>
      </c>
      <c r="H768" s="7" t="s">
        <v>17</v>
      </c>
      <c r="I768" s="7" t="s">
        <v>17</v>
      </c>
      <c r="J768" s="7" t="s">
        <v>1424</v>
      </c>
    </row>
    <row r="769" spans="1:10" x14ac:dyDescent="0.25" outlineLevel="3" collapsed="1">
      <c r="A769" s="7" t="s">
        <v>15</v>
      </c>
      <c r="B769" s="7" t="s">
        <v>16</v>
      </c>
      <c r="C769" s="7" t="s">
        <v>17</v>
      </c>
      <c r="D769" s="7"/>
      <c r="E769" s="7" t="s">
        <v>1601</v>
      </c>
      <c r="F769" s="7" t="s">
        <v>19</v>
      </c>
      <c r="G769" s="7" t="s">
        <v>31</v>
      </c>
      <c r="H769" s="7" t="s">
        <v>17</v>
      </c>
      <c r="I769" s="7" t="s">
        <v>17</v>
      </c>
      <c r="J769" s="7" t="s">
        <v>1602</v>
      </c>
    </row>
    <row r="770" spans="1:10" x14ac:dyDescent="0.25" outlineLevel="3" collapsed="1">
      <c r="A770" s="7" t="s">
        <v>15</v>
      </c>
      <c r="B770" s="7" t="s">
        <v>16</v>
      </c>
      <c r="C770" s="7" t="s">
        <v>17</v>
      </c>
      <c r="D770" s="7"/>
      <c r="E770" s="7" t="s">
        <v>1671</v>
      </c>
      <c r="F770" s="7" t="s">
        <v>19</v>
      </c>
      <c r="G770" s="7" t="s">
        <v>31</v>
      </c>
      <c r="H770" s="7" t="s">
        <v>17</v>
      </c>
      <c r="I770" s="7" t="s">
        <v>17</v>
      </c>
      <c r="J770" s="7" t="s">
        <v>1672</v>
      </c>
    </row>
    <row r="771" spans="1:10" x14ac:dyDescent="0.25" outlineLevel="3" collapsed="1">
      <c r="A771" s="7" t="s">
        <v>15</v>
      </c>
      <c r="B771" s="7" t="s">
        <v>16</v>
      </c>
      <c r="C771" s="7" t="s">
        <v>17</v>
      </c>
      <c r="D771" s="7"/>
      <c r="E771" s="7" t="s">
        <v>1673</v>
      </c>
      <c r="F771" s="7" t="s">
        <v>19</v>
      </c>
      <c r="G771" s="7" t="s">
        <v>31</v>
      </c>
      <c r="H771" s="7" t="s">
        <v>17</v>
      </c>
      <c r="I771" s="7" t="s">
        <v>17</v>
      </c>
      <c r="J771" s="7" t="s">
        <v>1674</v>
      </c>
    </row>
    <row r="772" spans="1:10" x14ac:dyDescent="0.25" outlineLevel="3" collapsed="1">
      <c r="A772" s="7" t="s">
        <v>15</v>
      </c>
      <c r="B772" s="7" t="s">
        <v>16</v>
      </c>
      <c r="C772" s="7" t="s">
        <v>17</v>
      </c>
      <c r="D772" s="7"/>
      <c r="E772" s="7" t="s">
        <v>1675</v>
      </c>
      <c r="F772" s="7" t="s">
        <v>19</v>
      </c>
      <c r="G772" s="7" t="s">
        <v>31</v>
      </c>
      <c r="H772" s="7" t="s">
        <v>17</v>
      </c>
      <c r="I772" s="7" t="s">
        <v>17</v>
      </c>
      <c r="J772" s="7" t="s">
        <v>1422</v>
      </c>
    </row>
    <row r="773" spans="1:10" x14ac:dyDescent="0.25" outlineLevel="3" collapsed="1">
      <c r="A773" s="7" t="s">
        <v>15</v>
      </c>
      <c r="B773" s="7" t="s">
        <v>284</v>
      </c>
      <c r="C773" s="11" t="s">
        <v>1604</v>
      </c>
      <c r="D773" s="7"/>
      <c r="E773" s="7" t="s">
        <v>1605</v>
      </c>
      <c r="F773" s="7" t="s">
        <v>19</v>
      </c>
      <c r="G773" s="7" t="s">
        <v>1606</v>
      </c>
      <c r="H773" s="7" t="s">
        <v>17</v>
      </c>
      <c r="I773" s="7" t="s">
        <v>17</v>
      </c>
      <c r="J773" s="7" t="s">
        <v>1607</v>
      </c>
    </row>
    <row r="774" spans="1:10" x14ac:dyDescent="0.25" outlineLevel="3" collapsed="1">
      <c r="A774" s="7" t="s">
        <v>19</v>
      </c>
      <c r="B774" s="7" t="s">
        <v>63</v>
      </c>
      <c r="C774" s="7" t="s">
        <v>17</v>
      </c>
      <c r="D774" s="7">
        <f>EXACT(G773,"Single value")</f>
      </c>
      <c r="E774" s="7" t="s">
        <v>1676</v>
      </c>
      <c r="F774" s="7" t="s">
        <v>19</v>
      </c>
      <c r="G774" s="7">
        <v>1</v>
      </c>
      <c r="H774" s="7" t="s">
        <v>17</v>
      </c>
      <c r="I774" s="7" t="s">
        <v>17</v>
      </c>
      <c r="J774" s="7" t="s">
        <v>1609</v>
      </c>
    </row>
    <row r="775" spans="1:10" x14ac:dyDescent="0.25" outlineLevel="3" collapsed="1">
      <c r="A775" s="7" t="s">
        <v>19</v>
      </c>
      <c r="B775" s="7" t="s">
        <v>16</v>
      </c>
      <c r="C775" s="7" t="s">
        <v>17</v>
      </c>
      <c r="D775" s="7"/>
      <c r="E775" s="7" t="s">
        <v>1677</v>
      </c>
      <c r="F775" s="7" t="s">
        <v>19</v>
      </c>
      <c r="G775" s="7" t="s">
        <v>31</v>
      </c>
      <c r="H775" s="7" t="s">
        <v>17</v>
      </c>
      <c r="I775" s="7" t="s">
        <v>17</v>
      </c>
      <c r="J775" s="7" t="s">
        <v>1678</v>
      </c>
    </row>
    <row r="776" spans="1:10" x14ac:dyDescent="0.25" outlineLevel="3" collapsed="1">
      <c r="A776" s="7" t="s">
        <v>15</v>
      </c>
      <c r="B776" s="7" t="s">
        <v>16</v>
      </c>
      <c r="C776" s="7" t="s">
        <v>17</v>
      </c>
      <c r="D776" s="7"/>
      <c r="E776" s="7" t="s">
        <v>1679</v>
      </c>
      <c r="F776" s="7" t="s">
        <v>19</v>
      </c>
      <c r="G776" s="7" t="s">
        <v>31</v>
      </c>
      <c r="H776" s="7" t="s">
        <v>17</v>
      </c>
      <c r="I776" s="7" t="s">
        <v>17</v>
      </c>
      <c r="J776" s="7" t="s">
        <v>1680</v>
      </c>
    </row>
    <row r="777" spans="1:10" x14ac:dyDescent="0.25" outlineLevel="3" collapsed="1">
      <c r="A777" s="7" t="s">
        <v>15</v>
      </c>
      <c r="B777" s="7" t="s">
        <v>284</v>
      </c>
      <c r="C777" s="11" t="s">
        <v>1611</v>
      </c>
      <c r="D777" s="7"/>
      <c r="E777" s="7" t="s">
        <v>1612</v>
      </c>
      <c r="F777" s="7" t="s">
        <v>19</v>
      </c>
      <c r="G777" s="7" t="s">
        <v>1613</v>
      </c>
      <c r="H777" s="7" t="s">
        <v>17</v>
      </c>
      <c r="I777" s="7" t="s">
        <v>17</v>
      </c>
      <c r="J777" s="7" t="s">
        <v>1614</v>
      </c>
    </row>
    <row r="778" spans="1:10" x14ac:dyDescent="0.25" outlineLevel="3" collapsed="1">
      <c r="A778" s="7" t="s">
        <v>19</v>
      </c>
      <c r="B778" s="7" t="s">
        <v>16</v>
      </c>
      <c r="C778" s="7" t="s">
        <v>17</v>
      </c>
      <c r="D778" s="7"/>
      <c r="E778" s="7" t="s">
        <v>1681</v>
      </c>
      <c r="F778" s="7" t="s">
        <v>19</v>
      </c>
      <c r="G778" s="7" t="s">
        <v>31</v>
      </c>
      <c r="H778" s="7" t="s">
        <v>17</v>
      </c>
      <c r="I778" s="7" t="s">
        <v>17</v>
      </c>
      <c r="J778" s="7" t="s">
        <v>1682</v>
      </c>
    </row>
    <row r="779" spans="1:10" x14ac:dyDescent="0.25" outlineLevel="3" collapsed="1">
      <c r="A779" s="7" t="s">
        <v>19</v>
      </c>
      <c r="B779" s="7" t="s">
        <v>16</v>
      </c>
      <c r="C779" s="7" t="s">
        <v>17</v>
      </c>
      <c r="D779" s="7"/>
      <c r="E779" s="7" t="s">
        <v>1615</v>
      </c>
      <c r="F779" s="7" t="s">
        <v>19</v>
      </c>
      <c r="G779" s="7" t="s">
        <v>31</v>
      </c>
      <c r="H779" s="7" t="s">
        <v>17</v>
      </c>
      <c r="I779" s="7" t="s">
        <v>17</v>
      </c>
      <c r="J779" s="7" t="s">
        <v>1616</v>
      </c>
    </row>
    <row r="780" spans="1:10" x14ac:dyDescent="0.25" outlineLevel="2" collapsed="1">
      <c r="A780" s="8" t="s">
        <v>19</v>
      </c>
      <c r="B780" s="9" t="s">
        <v>1667</v>
      </c>
      <c r="C780" s="8" t="s">
        <v>17</v>
      </c>
      <c r="D780" s="8"/>
      <c r="E780" s="8" t="s">
        <v>1740</v>
      </c>
      <c r="F780" s="8" t="s">
        <v>19</v>
      </c>
      <c r="G780" s="8" t="s">
        <v>17</v>
      </c>
      <c r="H780" s="8" t="s">
        <v>17</v>
      </c>
      <c r="I780" s="8" t="s">
        <v>17</v>
      </c>
      <c r="J780" s="8" t="s">
        <v>1741</v>
      </c>
    </row>
    <row r="781" spans="1:10" x14ac:dyDescent="0.25" outlineLevel="3" collapsed="1">
      <c r="A781" s="7" t="s">
        <v>15</v>
      </c>
      <c r="B781" s="7" t="s">
        <v>16</v>
      </c>
      <c r="C781" s="7" t="s">
        <v>17</v>
      </c>
      <c r="D781" s="7"/>
      <c r="E781" s="7" t="s">
        <v>1670</v>
      </c>
      <c r="F781" s="7" t="s">
        <v>19</v>
      </c>
      <c r="G781" s="7" t="s">
        <v>31</v>
      </c>
      <c r="H781" s="7" t="s">
        <v>17</v>
      </c>
      <c r="I781" s="7" t="s">
        <v>17</v>
      </c>
      <c r="J781" s="7" t="s">
        <v>637</v>
      </c>
    </row>
    <row r="782" spans="1:10" x14ac:dyDescent="0.25" outlineLevel="3" collapsed="1">
      <c r="A782" s="7" t="s">
        <v>15</v>
      </c>
      <c r="B782" s="7" t="s">
        <v>16</v>
      </c>
      <c r="C782" s="7" t="s">
        <v>17</v>
      </c>
      <c r="D782" s="7"/>
      <c r="E782" s="7" t="s">
        <v>638</v>
      </c>
      <c r="F782" s="7" t="s">
        <v>19</v>
      </c>
      <c r="G782" s="7" t="s">
        <v>31</v>
      </c>
      <c r="H782" s="7" t="s">
        <v>17</v>
      </c>
      <c r="I782" s="7" t="s">
        <v>17</v>
      </c>
      <c r="J782" s="7" t="s">
        <v>640</v>
      </c>
    </row>
    <row r="783" spans="1:10" x14ac:dyDescent="0.25" outlineLevel="3" collapsed="1">
      <c r="A783" s="7" t="s">
        <v>15</v>
      </c>
      <c r="B783" s="7" t="s">
        <v>16</v>
      </c>
      <c r="C783" s="7" t="s">
        <v>17</v>
      </c>
      <c r="D783" s="7"/>
      <c r="E783" s="7" t="s">
        <v>9</v>
      </c>
      <c r="F783" s="7" t="s">
        <v>19</v>
      </c>
      <c r="G783" s="7" t="s">
        <v>31</v>
      </c>
      <c r="H783" s="7" t="s">
        <v>17</v>
      </c>
      <c r="I783" s="7" t="s">
        <v>17</v>
      </c>
      <c r="J783" s="7" t="s">
        <v>843</v>
      </c>
    </row>
    <row r="784" spans="1:10" x14ac:dyDescent="0.25" outlineLevel="3" collapsed="1">
      <c r="A784" s="7" t="s">
        <v>19</v>
      </c>
      <c r="B784" s="7" t="s">
        <v>16</v>
      </c>
      <c r="C784" s="7" t="s">
        <v>17</v>
      </c>
      <c r="D784" s="7"/>
      <c r="E784" s="7" t="s">
        <v>1600</v>
      </c>
      <c r="F784" s="7" t="s">
        <v>19</v>
      </c>
      <c r="G784" s="7" t="s">
        <v>31</v>
      </c>
      <c r="H784" s="7" t="s">
        <v>17</v>
      </c>
      <c r="I784" s="7" t="s">
        <v>17</v>
      </c>
      <c r="J784" s="7" t="s">
        <v>1424</v>
      </c>
    </row>
    <row r="785" spans="1:10" x14ac:dyDescent="0.25" outlineLevel="3" collapsed="1">
      <c r="A785" s="7" t="s">
        <v>15</v>
      </c>
      <c r="B785" s="7" t="s">
        <v>16</v>
      </c>
      <c r="C785" s="7" t="s">
        <v>17</v>
      </c>
      <c r="D785" s="7"/>
      <c r="E785" s="7" t="s">
        <v>1601</v>
      </c>
      <c r="F785" s="7" t="s">
        <v>19</v>
      </c>
      <c r="G785" s="7" t="s">
        <v>31</v>
      </c>
      <c r="H785" s="7" t="s">
        <v>17</v>
      </c>
      <c r="I785" s="7" t="s">
        <v>17</v>
      </c>
      <c r="J785" s="7" t="s">
        <v>1602</v>
      </c>
    </row>
    <row r="786" spans="1:10" x14ac:dyDescent="0.25" outlineLevel="3" collapsed="1">
      <c r="A786" s="7" t="s">
        <v>15</v>
      </c>
      <c r="B786" s="7" t="s">
        <v>16</v>
      </c>
      <c r="C786" s="7" t="s">
        <v>17</v>
      </c>
      <c r="D786" s="7"/>
      <c r="E786" s="7" t="s">
        <v>1671</v>
      </c>
      <c r="F786" s="7" t="s">
        <v>19</v>
      </c>
      <c r="G786" s="7" t="s">
        <v>31</v>
      </c>
      <c r="H786" s="7" t="s">
        <v>17</v>
      </c>
      <c r="I786" s="7" t="s">
        <v>17</v>
      </c>
      <c r="J786" s="7" t="s">
        <v>1672</v>
      </c>
    </row>
    <row r="787" spans="1:10" x14ac:dyDescent="0.25" outlineLevel="3" collapsed="1">
      <c r="A787" s="7" t="s">
        <v>15</v>
      </c>
      <c r="B787" s="7" t="s">
        <v>16</v>
      </c>
      <c r="C787" s="7" t="s">
        <v>17</v>
      </c>
      <c r="D787" s="7"/>
      <c r="E787" s="7" t="s">
        <v>1673</v>
      </c>
      <c r="F787" s="7" t="s">
        <v>19</v>
      </c>
      <c r="G787" s="7" t="s">
        <v>31</v>
      </c>
      <c r="H787" s="7" t="s">
        <v>17</v>
      </c>
      <c r="I787" s="7" t="s">
        <v>17</v>
      </c>
      <c r="J787" s="7" t="s">
        <v>1674</v>
      </c>
    </row>
    <row r="788" spans="1:10" x14ac:dyDescent="0.25" outlineLevel="3" collapsed="1">
      <c r="A788" s="7" t="s">
        <v>15</v>
      </c>
      <c r="B788" s="7" t="s">
        <v>16</v>
      </c>
      <c r="C788" s="7" t="s">
        <v>17</v>
      </c>
      <c r="D788" s="7"/>
      <c r="E788" s="7" t="s">
        <v>1675</v>
      </c>
      <c r="F788" s="7" t="s">
        <v>19</v>
      </c>
      <c r="G788" s="7" t="s">
        <v>31</v>
      </c>
      <c r="H788" s="7" t="s">
        <v>17</v>
      </c>
      <c r="I788" s="7" t="s">
        <v>17</v>
      </c>
      <c r="J788" s="7" t="s">
        <v>1422</v>
      </c>
    </row>
    <row r="789" spans="1:10" x14ac:dyDescent="0.25" outlineLevel="3" collapsed="1">
      <c r="A789" s="7" t="s">
        <v>15</v>
      </c>
      <c r="B789" s="7" t="s">
        <v>284</v>
      </c>
      <c r="C789" s="11" t="s">
        <v>1604</v>
      </c>
      <c r="D789" s="7"/>
      <c r="E789" s="7" t="s">
        <v>1605</v>
      </c>
      <c r="F789" s="7" t="s">
        <v>19</v>
      </c>
      <c r="G789" s="7" t="s">
        <v>1606</v>
      </c>
      <c r="H789" s="7" t="s">
        <v>17</v>
      </c>
      <c r="I789" s="7" t="s">
        <v>17</v>
      </c>
      <c r="J789" s="7" t="s">
        <v>1607</v>
      </c>
    </row>
    <row r="790" spans="1:10" x14ac:dyDescent="0.25" outlineLevel="3" collapsed="1">
      <c r="A790" s="7" t="s">
        <v>19</v>
      </c>
      <c r="B790" s="7" t="s">
        <v>63</v>
      </c>
      <c r="C790" s="7" t="s">
        <v>17</v>
      </c>
      <c r="D790" s="7">
        <f>EXACT(G789,"Single value")</f>
      </c>
      <c r="E790" s="7" t="s">
        <v>1676</v>
      </c>
      <c r="F790" s="7" t="s">
        <v>19</v>
      </c>
      <c r="G790" s="7">
        <v>1</v>
      </c>
      <c r="H790" s="7" t="s">
        <v>17</v>
      </c>
      <c r="I790" s="7" t="s">
        <v>17</v>
      </c>
      <c r="J790" s="7" t="s">
        <v>1609</v>
      </c>
    </row>
    <row r="791" spans="1:10" x14ac:dyDescent="0.25" outlineLevel="3" collapsed="1">
      <c r="A791" s="7" t="s">
        <v>19</v>
      </c>
      <c r="B791" s="7" t="s">
        <v>16</v>
      </c>
      <c r="C791" s="7" t="s">
        <v>17</v>
      </c>
      <c r="D791" s="7"/>
      <c r="E791" s="7" t="s">
        <v>1677</v>
      </c>
      <c r="F791" s="7" t="s">
        <v>19</v>
      </c>
      <c r="G791" s="7" t="s">
        <v>31</v>
      </c>
      <c r="H791" s="7" t="s">
        <v>17</v>
      </c>
      <c r="I791" s="7" t="s">
        <v>17</v>
      </c>
      <c r="J791" s="7" t="s">
        <v>1678</v>
      </c>
    </row>
    <row r="792" spans="1:10" x14ac:dyDescent="0.25" outlineLevel="3" collapsed="1">
      <c r="A792" s="7" t="s">
        <v>15</v>
      </c>
      <c r="B792" s="7" t="s">
        <v>16</v>
      </c>
      <c r="C792" s="7" t="s">
        <v>17</v>
      </c>
      <c r="D792" s="7"/>
      <c r="E792" s="7" t="s">
        <v>1679</v>
      </c>
      <c r="F792" s="7" t="s">
        <v>19</v>
      </c>
      <c r="G792" s="7" t="s">
        <v>31</v>
      </c>
      <c r="H792" s="7" t="s">
        <v>17</v>
      </c>
      <c r="I792" s="7" t="s">
        <v>17</v>
      </c>
      <c r="J792" s="7" t="s">
        <v>1680</v>
      </c>
    </row>
    <row r="793" spans="1:10" x14ac:dyDescent="0.25" outlineLevel="3" collapsed="1">
      <c r="A793" s="7" t="s">
        <v>15</v>
      </c>
      <c r="B793" s="7" t="s">
        <v>284</v>
      </c>
      <c r="C793" s="11" t="s">
        <v>1611</v>
      </c>
      <c r="D793" s="7"/>
      <c r="E793" s="7" t="s">
        <v>1612</v>
      </c>
      <c r="F793" s="7" t="s">
        <v>19</v>
      </c>
      <c r="G793" s="7" t="s">
        <v>1613</v>
      </c>
      <c r="H793" s="7" t="s">
        <v>17</v>
      </c>
      <c r="I793" s="7" t="s">
        <v>17</v>
      </c>
      <c r="J793" s="7" t="s">
        <v>1614</v>
      </c>
    </row>
    <row r="794" spans="1:10" x14ac:dyDescent="0.25" outlineLevel="3" collapsed="1">
      <c r="A794" s="7" t="s">
        <v>19</v>
      </c>
      <c r="B794" s="7" t="s">
        <v>16</v>
      </c>
      <c r="C794" s="7" t="s">
        <v>17</v>
      </c>
      <c r="D794" s="7"/>
      <c r="E794" s="7" t="s">
        <v>1681</v>
      </c>
      <c r="F794" s="7" t="s">
        <v>19</v>
      </c>
      <c r="G794" s="7" t="s">
        <v>31</v>
      </c>
      <c r="H794" s="7" t="s">
        <v>17</v>
      </c>
      <c r="I794" s="7" t="s">
        <v>17</v>
      </c>
      <c r="J794" s="7" t="s">
        <v>1682</v>
      </c>
    </row>
    <row r="795" spans="1:10" x14ac:dyDescent="0.25" outlineLevel="3" collapsed="1">
      <c r="A795" s="7" t="s">
        <v>19</v>
      </c>
      <c r="B795" s="7" t="s">
        <v>16</v>
      </c>
      <c r="C795" s="7" t="s">
        <v>17</v>
      </c>
      <c r="D795" s="7"/>
      <c r="E795" s="7" t="s">
        <v>1615</v>
      </c>
      <c r="F795" s="7" t="s">
        <v>19</v>
      </c>
      <c r="G795" s="7" t="s">
        <v>31</v>
      </c>
      <c r="H795" s="7" t="s">
        <v>17</v>
      </c>
      <c r="I795" s="7" t="s">
        <v>17</v>
      </c>
      <c r="J795" s="7" t="s">
        <v>1616</v>
      </c>
    </row>
    <row r="796" spans="1:10" x14ac:dyDescent="0.25" outlineLevel="2" collapsed="1">
      <c r="A796" s="8" t="s">
        <v>19</v>
      </c>
      <c r="B796" s="9" t="s">
        <v>1667</v>
      </c>
      <c r="C796" s="8" t="s">
        <v>17</v>
      </c>
      <c r="D796" s="8"/>
      <c r="E796" s="8" t="s">
        <v>1742</v>
      </c>
      <c r="F796" s="8" t="s">
        <v>19</v>
      </c>
      <c r="G796" s="8" t="s">
        <v>17</v>
      </c>
      <c r="H796" s="8" t="s">
        <v>17</v>
      </c>
      <c r="I796" s="8" t="s">
        <v>17</v>
      </c>
      <c r="J796" s="8" t="s">
        <v>1743</v>
      </c>
    </row>
    <row r="797" spans="1:10" x14ac:dyDescent="0.25" outlineLevel="3" collapsed="1">
      <c r="A797" s="7" t="s">
        <v>15</v>
      </c>
      <c r="B797" s="7" t="s">
        <v>16</v>
      </c>
      <c r="C797" s="7" t="s">
        <v>17</v>
      </c>
      <c r="D797" s="7"/>
      <c r="E797" s="7" t="s">
        <v>1670</v>
      </c>
      <c r="F797" s="7" t="s">
        <v>19</v>
      </c>
      <c r="G797" s="7" t="s">
        <v>31</v>
      </c>
      <c r="H797" s="7" t="s">
        <v>17</v>
      </c>
      <c r="I797" s="7" t="s">
        <v>17</v>
      </c>
      <c r="J797" s="7" t="s">
        <v>637</v>
      </c>
    </row>
    <row r="798" spans="1:10" x14ac:dyDescent="0.25" outlineLevel="3" collapsed="1">
      <c r="A798" s="7" t="s">
        <v>15</v>
      </c>
      <c r="B798" s="7" t="s">
        <v>16</v>
      </c>
      <c r="C798" s="7" t="s">
        <v>17</v>
      </c>
      <c r="D798" s="7"/>
      <c r="E798" s="7" t="s">
        <v>638</v>
      </c>
      <c r="F798" s="7" t="s">
        <v>19</v>
      </c>
      <c r="G798" s="7" t="s">
        <v>31</v>
      </c>
      <c r="H798" s="7" t="s">
        <v>17</v>
      </c>
      <c r="I798" s="7" t="s">
        <v>17</v>
      </c>
      <c r="J798" s="7" t="s">
        <v>640</v>
      </c>
    </row>
    <row r="799" spans="1:10" x14ac:dyDescent="0.25" outlineLevel="3" collapsed="1">
      <c r="A799" s="7" t="s">
        <v>15</v>
      </c>
      <c r="B799" s="7" t="s">
        <v>16</v>
      </c>
      <c r="C799" s="7" t="s">
        <v>17</v>
      </c>
      <c r="D799" s="7"/>
      <c r="E799" s="7" t="s">
        <v>9</v>
      </c>
      <c r="F799" s="7" t="s">
        <v>19</v>
      </c>
      <c r="G799" s="7" t="s">
        <v>31</v>
      </c>
      <c r="H799" s="7" t="s">
        <v>17</v>
      </c>
      <c r="I799" s="7" t="s">
        <v>17</v>
      </c>
      <c r="J799" s="7" t="s">
        <v>843</v>
      </c>
    </row>
    <row r="800" spans="1:10" x14ac:dyDescent="0.25" outlineLevel="3" collapsed="1">
      <c r="A800" s="7" t="s">
        <v>19</v>
      </c>
      <c r="B800" s="7" t="s">
        <v>16</v>
      </c>
      <c r="C800" s="7" t="s">
        <v>17</v>
      </c>
      <c r="D800" s="7"/>
      <c r="E800" s="7" t="s">
        <v>1600</v>
      </c>
      <c r="F800" s="7" t="s">
        <v>19</v>
      </c>
      <c r="G800" s="7" t="s">
        <v>31</v>
      </c>
      <c r="H800" s="7" t="s">
        <v>17</v>
      </c>
      <c r="I800" s="7" t="s">
        <v>17</v>
      </c>
      <c r="J800" s="7" t="s">
        <v>1424</v>
      </c>
    </row>
    <row r="801" spans="1:10" x14ac:dyDescent="0.25" outlineLevel="3" collapsed="1">
      <c r="A801" s="7" t="s">
        <v>15</v>
      </c>
      <c r="B801" s="7" t="s">
        <v>16</v>
      </c>
      <c r="C801" s="7" t="s">
        <v>17</v>
      </c>
      <c r="D801" s="7"/>
      <c r="E801" s="7" t="s">
        <v>1601</v>
      </c>
      <c r="F801" s="7" t="s">
        <v>19</v>
      </c>
      <c r="G801" s="7" t="s">
        <v>31</v>
      </c>
      <c r="H801" s="7" t="s">
        <v>17</v>
      </c>
      <c r="I801" s="7" t="s">
        <v>17</v>
      </c>
      <c r="J801" s="7" t="s">
        <v>1602</v>
      </c>
    </row>
    <row r="802" spans="1:10" x14ac:dyDescent="0.25" outlineLevel="3" collapsed="1">
      <c r="A802" s="7" t="s">
        <v>15</v>
      </c>
      <c r="B802" s="7" t="s">
        <v>16</v>
      </c>
      <c r="C802" s="7" t="s">
        <v>17</v>
      </c>
      <c r="D802" s="7"/>
      <c r="E802" s="7" t="s">
        <v>1671</v>
      </c>
      <c r="F802" s="7" t="s">
        <v>19</v>
      </c>
      <c r="G802" s="7" t="s">
        <v>31</v>
      </c>
      <c r="H802" s="7" t="s">
        <v>17</v>
      </c>
      <c r="I802" s="7" t="s">
        <v>17</v>
      </c>
      <c r="J802" s="7" t="s">
        <v>1672</v>
      </c>
    </row>
    <row r="803" spans="1:10" x14ac:dyDescent="0.25" outlineLevel="3" collapsed="1">
      <c r="A803" s="7" t="s">
        <v>15</v>
      </c>
      <c r="B803" s="7" t="s">
        <v>16</v>
      </c>
      <c r="C803" s="7" t="s">
        <v>17</v>
      </c>
      <c r="D803" s="7"/>
      <c r="E803" s="7" t="s">
        <v>1673</v>
      </c>
      <c r="F803" s="7" t="s">
        <v>19</v>
      </c>
      <c r="G803" s="7" t="s">
        <v>31</v>
      </c>
      <c r="H803" s="7" t="s">
        <v>17</v>
      </c>
      <c r="I803" s="7" t="s">
        <v>17</v>
      </c>
      <c r="J803" s="7" t="s">
        <v>1674</v>
      </c>
    </row>
    <row r="804" spans="1:10" x14ac:dyDescent="0.25" outlineLevel="3" collapsed="1">
      <c r="A804" s="7" t="s">
        <v>15</v>
      </c>
      <c r="B804" s="7" t="s">
        <v>16</v>
      </c>
      <c r="C804" s="7" t="s">
        <v>17</v>
      </c>
      <c r="D804" s="7"/>
      <c r="E804" s="7" t="s">
        <v>1675</v>
      </c>
      <c r="F804" s="7" t="s">
        <v>19</v>
      </c>
      <c r="G804" s="7" t="s">
        <v>31</v>
      </c>
      <c r="H804" s="7" t="s">
        <v>17</v>
      </c>
      <c r="I804" s="7" t="s">
        <v>17</v>
      </c>
      <c r="J804" s="7" t="s">
        <v>1422</v>
      </c>
    </row>
    <row r="805" spans="1:10" x14ac:dyDescent="0.25" outlineLevel="3" collapsed="1">
      <c r="A805" s="7" t="s">
        <v>15</v>
      </c>
      <c r="B805" s="7" t="s">
        <v>284</v>
      </c>
      <c r="C805" s="11" t="s">
        <v>1604</v>
      </c>
      <c r="D805" s="7"/>
      <c r="E805" s="7" t="s">
        <v>1605</v>
      </c>
      <c r="F805" s="7" t="s">
        <v>19</v>
      </c>
      <c r="G805" s="7" t="s">
        <v>1606</v>
      </c>
      <c r="H805" s="7" t="s">
        <v>17</v>
      </c>
      <c r="I805" s="7" t="s">
        <v>17</v>
      </c>
      <c r="J805" s="7" t="s">
        <v>1607</v>
      </c>
    </row>
    <row r="806" spans="1:10" x14ac:dyDescent="0.25" outlineLevel="3" collapsed="1">
      <c r="A806" s="7" t="s">
        <v>19</v>
      </c>
      <c r="B806" s="7" t="s">
        <v>63</v>
      </c>
      <c r="C806" s="7" t="s">
        <v>17</v>
      </c>
      <c r="D806" s="7">
        <f>EXACT(G805,"Single value")</f>
      </c>
      <c r="E806" s="7" t="s">
        <v>1676</v>
      </c>
      <c r="F806" s="7" t="s">
        <v>19</v>
      </c>
      <c r="G806" s="7">
        <v>1</v>
      </c>
      <c r="H806" s="7" t="s">
        <v>17</v>
      </c>
      <c r="I806" s="7" t="s">
        <v>17</v>
      </c>
      <c r="J806" s="7" t="s">
        <v>1609</v>
      </c>
    </row>
    <row r="807" spans="1:10" x14ac:dyDescent="0.25" outlineLevel="3" collapsed="1">
      <c r="A807" s="7" t="s">
        <v>19</v>
      </c>
      <c r="B807" s="7" t="s">
        <v>16</v>
      </c>
      <c r="C807" s="7" t="s">
        <v>17</v>
      </c>
      <c r="D807" s="7"/>
      <c r="E807" s="7" t="s">
        <v>1677</v>
      </c>
      <c r="F807" s="7" t="s">
        <v>19</v>
      </c>
      <c r="G807" s="7" t="s">
        <v>31</v>
      </c>
      <c r="H807" s="7" t="s">
        <v>17</v>
      </c>
      <c r="I807" s="7" t="s">
        <v>17</v>
      </c>
      <c r="J807" s="7" t="s">
        <v>1678</v>
      </c>
    </row>
    <row r="808" spans="1:10" x14ac:dyDescent="0.25" outlineLevel="3" collapsed="1">
      <c r="A808" s="7" t="s">
        <v>15</v>
      </c>
      <c r="B808" s="7" t="s">
        <v>16</v>
      </c>
      <c r="C808" s="7" t="s">
        <v>17</v>
      </c>
      <c r="D808" s="7"/>
      <c r="E808" s="7" t="s">
        <v>1679</v>
      </c>
      <c r="F808" s="7" t="s">
        <v>19</v>
      </c>
      <c r="G808" s="7" t="s">
        <v>31</v>
      </c>
      <c r="H808" s="7" t="s">
        <v>17</v>
      </c>
      <c r="I808" s="7" t="s">
        <v>17</v>
      </c>
      <c r="J808" s="7" t="s">
        <v>1680</v>
      </c>
    </row>
    <row r="809" spans="1:10" x14ac:dyDescent="0.25" outlineLevel="3" collapsed="1">
      <c r="A809" s="7" t="s">
        <v>15</v>
      </c>
      <c r="B809" s="7" t="s">
        <v>284</v>
      </c>
      <c r="C809" s="11" t="s">
        <v>1611</v>
      </c>
      <c r="D809" s="7"/>
      <c r="E809" s="7" t="s">
        <v>1612</v>
      </c>
      <c r="F809" s="7" t="s">
        <v>19</v>
      </c>
      <c r="G809" s="7" t="s">
        <v>1613</v>
      </c>
      <c r="H809" s="7" t="s">
        <v>17</v>
      </c>
      <c r="I809" s="7" t="s">
        <v>17</v>
      </c>
      <c r="J809" s="7" t="s">
        <v>1614</v>
      </c>
    </row>
    <row r="810" spans="1:10" x14ac:dyDescent="0.25" outlineLevel="3" collapsed="1">
      <c r="A810" s="7" t="s">
        <v>19</v>
      </c>
      <c r="B810" s="7" t="s">
        <v>16</v>
      </c>
      <c r="C810" s="7" t="s">
        <v>17</v>
      </c>
      <c r="D810" s="7"/>
      <c r="E810" s="7" t="s">
        <v>1681</v>
      </c>
      <c r="F810" s="7" t="s">
        <v>19</v>
      </c>
      <c r="G810" s="7" t="s">
        <v>31</v>
      </c>
      <c r="H810" s="7" t="s">
        <v>17</v>
      </c>
      <c r="I810" s="7" t="s">
        <v>17</v>
      </c>
      <c r="J810" s="7" t="s">
        <v>1682</v>
      </c>
    </row>
    <row r="811" spans="1:10" x14ac:dyDescent="0.25" outlineLevel="3" collapsed="1">
      <c r="A811" s="7" t="s">
        <v>19</v>
      </c>
      <c r="B811" s="7" t="s">
        <v>16</v>
      </c>
      <c r="C811" s="7" t="s">
        <v>17</v>
      </c>
      <c r="D811" s="7"/>
      <c r="E811" s="7" t="s">
        <v>1615</v>
      </c>
      <c r="F811" s="7" t="s">
        <v>19</v>
      </c>
      <c r="G811" s="7" t="s">
        <v>31</v>
      </c>
      <c r="H811" s="7" t="s">
        <v>17</v>
      </c>
      <c r="I811" s="7" t="s">
        <v>17</v>
      </c>
      <c r="J811" s="7" t="s">
        <v>1616</v>
      </c>
    </row>
    <row r="812" spans="1:10" x14ac:dyDescent="0.25" outlineLevel="2" collapsed="1">
      <c r="A812" s="8" t="s">
        <v>19</v>
      </c>
      <c r="B812" s="9" t="s">
        <v>1667</v>
      </c>
      <c r="C812" s="8" t="s">
        <v>17</v>
      </c>
      <c r="D812" s="8"/>
      <c r="E812" s="8" t="s">
        <v>1744</v>
      </c>
      <c r="F812" s="8" t="s">
        <v>19</v>
      </c>
      <c r="G812" s="8" t="s">
        <v>17</v>
      </c>
      <c r="H812" s="8" t="s">
        <v>17</v>
      </c>
      <c r="I812" s="8" t="s">
        <v>17</v>
      </c>
      <c r="J812" s="8" t="s">
        <v>1745</v>
      </c>
    </row>
    <row r="813" spans="1:10" x14ac:dyDescent="0.25" outlineLevel="3" collapsed="1">
      <c r="A813" s="7" t="s">
        <v>15</v>
      </c>
      <c r="B813" s="7" t="s">
        <v>16</v>
      </c>
      <c r="C813" s="7" t="s">
        <v>17</v>
      </c>
      <c r="D813" s="7"/>
      <c r="E813" s="7" t="s">
        <v>1670</v>
      </c>
      <c r="F813" s="7" t="s">
        <v>19</v>
      </c>
      <c r="G813" s="7" t="s">
        <v>31</v>
      </c>
      <c r="H813" s="7" t="s">
        <v>17</v>
      </c>
      <c r="I813" s="7" t="s">
        <v>17</v>
      </c>
      <c r="J813" s="7" t="s">
        <v>637</v>
      </c>
    </row>
    <row r="814" spans="1:10" x14ac:dyDescent="0.25" outlineLevel="3" collapsed="1">
      <c r="A814" s="7" t="s">
        <v>15</v>
      </c>
      <c r="B814" s="7" t="s">
        <v>16</v>
      </c>
      <c r="C814" s="7" t="s">
        <v>17</v>
      </c>
      <c r="D814" s="7"/>
      <c r="E814" s="7" t="s">
        <v>638</v>
      </c>
      <c r="F814" s="7" t="s">
        <v>19</v>
      </c>
      <c r="G814" s="7" t="s">
        <v>31</v>
      </c>
      <c r="H814" s="7" t="s">
        <v>17</v>
      </c>
      <c r="I814" s="7" t="s">
        <v>17</v>
      </c>
      <c r="J814" s="7" t="s">
        <v>640</v>
      </c>
    </row>
    <row r="815" spans="1:10" x14ac:dyDescent="0.25" outlineLevel="3" collapsed="1">
      <c r="A815" s="7" t="s">
        <v>15</v>
      </c>
      <c r="B815" s="7" t="s">
        <v>16</v>
      </c>
      <c r="C815" s="7" t="s">
        <v>17</v>
      </c>
      <c r="D815" s="7"/>
      <c r="E815" s="7" t="s">
        <v>9</v>
      </c>
      <c r="F815" s="7" t="s">
        <v>19</v>
      </c>
      <c r="G815" s="7" t="s">
        <v>31</v>
      </c>
      <c r="H815" s="7" t="s">
        <v>17</v>
      </c>
      <c r="I815" s="7" t="s">
        <v>17</v>
      </c>
      <c r="J815" s="7" t="s">
        <v>843</v>
      </c>
    </row>
    <row r="816" spans="1:10" x14ac:dyDescent="0.25" outlineLevel="3" collapsed="1">
      <c r="A816" s="7" t="s">
        <v>19</v>
      </c>
      <c r="B816" s="7" t="s">
        <v>16</v>
      </c>
      <c r="C816" s="7" t="s">
        <v>17</v>
      </c>
      <c r="D816" s="7"/>
      <c r="E816" s="7" t="s">
        <v>1600</v>
      </c>
      <c r="F816" s="7" t="s">
        <v>19</v>
      </c>
      <c r="G816" s="7" t="s">
        <v>31</v>
      </c>
      <c r="H816" s="7" t="s">
        <v>17</v>
      </c>
      <c r="I816" s="7" t="s">
        <v>17</v>
      </c>
      <c r="J816" s="7" t="s">
        <v>1424</v>
      </c>
    </row>
    <row r="817" spans="1:10" x14ac:dyDescent="0.25" outlineLevel="3" collapsed="1">
      <c r="A817" s="7" t="s">
        <v>15</v>
      </c>
      <c r="B817" s="7" t="s">
        <v>16</v>
      </c>
      <c r="C817" s="7" t="s">
        <v>17</v>
      </c>
      <c r="D817" s="7"/>
      <c r="E817" s="7" t="s">
        <v>1601</v>
      </c>
      <c r="F817" s="7" t="s">
        <v>19</v>
      </c>
      <c r="G817" s="7" t="s">
        <v>31</v>
      </c>
      <c r="H817" s="7" t="s">
        <v>17</v>
      </c>
      <c r="I817" s="7" t="s">
        <v>17</v>
      </c>
      <c r="J817" s="7" t="s">
        <v>1602</v>
      </c>
    </row>
    <row r="818" spans="1:10" x14ac:dyDescent="0.25" outlineLevel="3" collapsed="1">
      <c r="A818" s="7" t="s">
        <v>15</v>
      </c>
      <c r="B818" s="7" t="s">
        <v>16</v>
      </c>
      <c r="C818" s="7" t="s">
        <v>17</v>
      </c>
      <c r="D818" s="7"/>
      <c r="E818" s="7" t="s">
        <v>1671</v>
      </c>
      <c r="F818" s="7" t="s">
        <v>19</v>
      </c>
      <c r="G818" s="7" t="s">
        <v>31</v>
      </c>
      <c r="H818" s="7" t="s">
        <v>17</v>
      </c>
      <c r="I818" s="7" t="s">
        <v>17</v>
      </c>
      <c r="J818" s="7" t="s">
        <v>1672</v>
      </c>
    </row>
    <row r="819" spans="1:10" x14ac:dyDescent="0.25" outlineLevel="3" collapsed="1">
      <c r="A819" s="7" t="s">
        <v>15</v>
      </c>
      <c r="B819" s="7" t="s">
        <v>16</v>
      </c>
      <c r="C819" s="7" t="s">
        <v>17</v>
      </c>
      <c r="D819" s="7"/>
      <c r="E819" s="7" t="s">
        <v>1673</v>
      </c>
      <c r="F819" s="7" t="s">
        <v>19</v>
      </c>
      <c r="G819" s="7" t="s">
        <v>31</v>
      </c>
      <c r="H819" s="7" t="s">
        <v>17</v>
      </c>
      <c r="I819" s="7" t="s">
        <v>17</v>
      </c>
      <c r="J819" s="7" t="s">
        <v>1674</v>
      </c>
    </row>
    <row r="820" spans="1:10" x14ac:dyDescent="0.25" outlineLevel="3" collapsed="1">
      <c r="A820" s="7" t="s">
        <v>15</v>
      </c>
      <c r="B820" s="7" t="s">
        <v>16</v>
      </c>
      <c r="C820" s="7" t="s">
        <v>17</v>
      </c>
      <c r="D820" s="7"/>
      <c r="E820" s="7" t="s">
        <v>1675</v>
      </c>
      <c r="F820" s="7" t="s">
        <v>19</v>
      </c>
      <c r="G820" s="7" t="s">
        <v>31</v>
      </c>
      <c r="H820" s="7" t="s">
        <v>17</v>
      </c>
      <c r="I820" s="7" t="s">
        <v>17</v>
      </c>
      <c r="J820" s="7" t="s">
        <v>1422</v>
      </c>
    </row>
    <row r="821" spans="1:10" x14ac:dyDescent="0.25" outlineLevel="3" collapsed="1">
      <c r="A821" s="7" t="s">
        <v>15</v>
      </c>
      <c r="B821" s="7" t="s">
        <v>284</v>
      </c>
      <c r="C821" s="11" t="s">
        <v>1604</v>
      </c>
      <c r="D821" s="7"/>
      <c r="E821" s="7" t="s">
        <v>1605</v>
      </c>
      <c r="F821" s="7" t="s">
        <v>19</v>
      </c>
      <c r="G821" s="7" t="s">
        <v>1606</v>
      </c>
      <c r="H821" s="7" t="s">
        <v>17</v>
      </c>
      <c r="I821" s="7" t="s">
        <v>17</v>
      </c>
      <c r="J821" s="7" t="s">
        <v>1607</v>
      </c>
    </row>
    <row r="822" spans="1:10" x14ac:dyDescent="0.25" outlineLevel="3" collapsed="1">
      <c r="A822" s="7" t="s">
        <v>19</v>
      </c>
      <c r="B822" s="7" t="s">
        <v>63</v>
      </c>
      <c r="C822" s="7" t="s">
        <v>17</v>
      </c>
      <c r="D822" s="7">
        <f>EXACT(G821,"Single value")</f>
      </c>
      <c r="E822" s="7" t="s">
        <v>1676</v>
      </c>
      <c r="F822" s="7" t="s">
        <v>19</v>
      </c>
      <c r="G822" s="7">
        <v>1</v>
      </c>
      <c r="H822" s="7" t="s">
        <v>17</v>
      </c>
      <c r="I822" s="7" t="s">
        <v>17</v>
      </c>
      <c r="J822" s="7" t="s">
        <v>1609</v>
      </c>
    </row>
    <row r="823" spans="1:10" x14ac:dyDescent="0.25" outlineLevel="3" collapsed="1">
      <c r="A823" s="7" t="s">
        <v>19</v>
      </c>
      <c r="B823" s="7" t="s">
        <v>16</v>
      </c>
      <c r="C823" s="7" t="s">
        <v>17</v>
      </c>
      <c r="D823" s="7"/>
      <c r="E823" s="7" t="s">
        <v>1677</v>
      </c>
      <c r="F823" s="7" t="s">
        <v>19</v>
      </c>
      <c r="G823" s="7" t="s">
        <v>31</v>
      </c>
      <c r="H823" s="7" t="s">
        <v>17</v>
      </c>
      <c r="I823" s="7" t="s">
        <v>17</v>
      </c>
      <c r="J823" s="7" t="s">
        <v>1678</v>
      </c>
    </row>
    <row r="824" spans="1:10" x14ac:dyDescent="0.25" outlineLevel="3" collapsed="1">
      <c r="A824" s="7" t="s">
        <v>15</v>
      </c>
      <c r="B824" s="7" t="s">
        <v>16</v>
      </c>
      <c r="C824" s="7" t="s">
        <v>17</v>
      </c>
      <c r="D824" s="7"/>
      <c r="E824" s="7" t="s">
        <v>1679</v>
      </c>
      <c r="F824" s="7" t="s">
        <v>19</v>
      </c>
      <c r="G824" s="7" t="s">
        <v>31</v>
      </c>
      <c r="H824" s="7" t="s">
        <v>17</v>
      </c>
      <c r="I824" s="7" t="s">
        <v>17</v>
      </c>
      <c r="J824" s="7" t="s">
        <v>1680</v>
      </c>
    </row>
    <row r="825" spans="1:10" x14ac:dyDescent="0.25" outlineLevel="3" collapsed="1">
      <c r="A825" s="7" t="s">
        <v>15</v>
      </c>
      <c r="B825" s="7" t="s">
        <v>284</v>
      </c>
      <c r="C825" s="11" t="s">
        <v>1611</v>
      </c>
      <c r="D825" s="7"/>
      <c r="E825" s="7" t="s">
        <v>1612</v>
      </c>
      <c r="F825" s="7" t="s">
        <v>19</v>
      </c>
      <c r="G825" s="7" t="s">
        <v>1613</v>
      </c>
      <c r="H825" s="7" t="s">
        <v>17</v>
      </c>
      <c r="I825" s="7" t="s">
        <v>17</v>
      </c>
      <c r="J825" s="7" t="s">
        <v>1614</v>
      </c>
    </row>
    <row r="826" spans="1:10" x14ac:dyDescent="0.25" outlineLevel="3" collapsed="1">
      <c r="A826" s="7" t="s">
        <v>19</v>
      </c>
      <c r="B826" s="7" t="s">
        <v>16</v>
      </c>
      <c r="C826" s="7" t="s">
        <v>17</v>
      </c>
      <c r="D826" s="7"/>
      <c r="E826" s="7" t="s">
        <v>1681</v>
      </c>
      <c r="F826" s="7" t="s">
        <v>19</v>
      </c>
      <c r="G826" s="7" t="s">
        <v>31</v>
      </c>
      <c r="H826" s="7" t="s">
        <v>17</v>
      </c>
      <c r="I826" s="7" t="s">
        <v>17</v>
      </c>
      <c r="J826" s="7" t="s">
        <v>1682</v>
      </c>
    </row>
    <row r="827" spans="1:10" x14ac:dyDescent="0.25" outlineLevel="3" collapsed="1">
      <c r="A827" s="7" t="s">
        <v>19</v>
      </c>
      <c r="B827" s="7" t="s">
        <v>16</v>
      </c>
      <c r="C827" s="7" t="s">
        <v>17</v>
      </c>
      <c r="D827" s="7"/>
      <c r="E827" s="7" t="s">
        <v>1615</v>
      </c>
      <c r="F827" s="7" t="s">
        <v>19</v>
      </c>
      <c r="G827" s="7" t="s">
        <v>31</v>
      </c>
      <c r="H827" s="7" t="s">
        <v>17</v>
      </c>
      <c r="I827" s="7" t="s">
        <v>17</v>
      </c>
      <c r="J827" s="7" t="s">
        <v>1616</v>
      </c>
    </row>
    <row r="828" spans="1:10" x14ac:dyDescent="0.25" outlineLevel="2" collapsed="1">
      <c r="A828" s="8" t="s">
        <v>19</v>
      </c>
      <c r="B828" s="9" t="s">
        <v>1667</v>
      </c>
      <c r="C828" s="8" t="s">
        <v>17</v>
      </c>
      <c r="D828" s="8"/>
      <c r="E828" s="8" t="s">
        <v>1746</v>
      </c>
      <c r="F828" s="8" t="s">
        <v>19</v>
      </c>
      <c r="G828" s="8" t="s">
        <v>17</v>
      </c>
      <c r="H828" s="8" t="s">
        <v>17</v>
      </c>
      <c r="I828" s="8" t="s">
        <v>17</v>
      </c>
      <c r="J828" s="8" t="s">
        <v>1747</v>
      </c>
    </row>
    <row r="829" spans="1:10" x14ac:dyDescent="0.25" outlineLevel="3" collapsed="1">
      <c r="A829" s="7" t="s">
        <v>15</v>
      </c>
      <c r="B829" s="7" t="s">
        <v>16</v>
      </c>
      <c r="C829" s="7" t="s">
        <v>17</v>
      </c>
      <c r="D829" s="7"/>
      <c r="E829" s="7" t="s">
        <v>1670</v>
      </c>
      <c r="F829" s="7" t="s">
        <v>19</v>
      </c>
      <c r="G829" s="7" t="s">
        <v>31</v>
      </c>
      <c r="H829" s="7" t="s">
        <v>17</v>
      </c>
      <c r="I829" s="7" t="s">
        <v>17</v>
      </c>
      <c r="J829" s="7" t="s">
        <v>637</v>
      </c>
    </row>
    <row r="830" spans="1:10" x14ac:dyDescent="0.25" outlineLevel="3" collapsed="1">
      <c r="A830" s="7" t="s">
        <v>15</v>
      </c>
      <c r="B830" s="7" t="s">
        <v>16</v>
      </c>
      <c r="C830" s="7" t="s">
        <v>17</v>
      </c>
      <c r="D830" s="7"/>
      <c r="E830" s="7" t="s">
        <v>638</v>
      </c>
      <c r="F830" s="7" t="s">
        <v>19</v>
      </c>
      <c r="G830" s="7" t="s">
        <v>31</v>
      </c>
      <c r="H830" s="7" t="s">
        <v>17</v>
      </c>
      <c r="I830" s="7" t="s">
        <v>17</v>
      </c>
      <c r="J830" s="7" t="s">
        <v>640</v>
      </c>
    </row>
    <row r="831" spans="1:10" x14ac:dyDescent="0.25" outlineLevel="3" collapsed="1">
      <c r="A831" s="7" t="s">
        <v>15</v>
      </c>
      <c r="B831" s="7" t="s">
        <v>16</v>
      </c>
      <c r="C831" s="7" t="s">
        <v>17</v>
      </c>
      <c r="D831" s="7"/>
      <c r="E831" s="7" t="s">
        <v>9</v>
      </c>
      <c r="F831" s="7" t="s">
        <v>19</v>
      </c>
      <c r="G831" s="7" t="s">
        <v>31</v>
      </c>
      <c r="H831" s="7" t="s">
        <v>17</v>
      </c>
      <c r="I831" s="7" t="s">
        <v>17</v>
      </c>
      <c r="J831" s="7" t="s">
        <v>843</v>
      </c>
    </row>
    <row r="832" spans="1:10" x14ac:dyDescent="0.25" outlineLevel="3" collapsed="1">
      <c r="A832" s="7" t="s">
        <v>19</v>
      </c>
      <c r="B832" s="7" t="s">
        <v>16</v>
      </c>
      <c r="C832" s="7" t="s">
        <v>17</v>
      </c>
      <c r="D832" s="7"/>
      <c r="E832" s="7" t="s">
        <v>1600</v>
      </c>
      <c r="F832" s="7" t="s">
        <v>19</v>
      </c>
      <c r="G832" s="7" t="s">
        <v>31</v>
      </c>
      <c r="H832" s="7" t="s">
        <v>17</v>
      </c>
      <c r="I832" s="7" t="s">
        <v>17</v>
      </c>
      <c r="J832" s="7" t="s">
        <v>1424</v>
      </c>
    </row>
    <row r="833" spans="1:10" x14ac:dyDescent="0.25" outlineLevel="3" collapsed="1">
      <c r="A833" s="7" t="s">
        <v>15</v>
      </c>
      <c r="B833" s="7" t="s">
        <v>16</v>
      </c>
      <c r="C833" s="7" t="s">
        <v>17</v>
      </c>
      <c r="D833" s="7"/>
      <c r="E833" s="7" t="s">
        <v>1601</v>
      </c>
      <c r="F833" s="7" t="s">
        <v>19</v>
      </c>
      <c r="G833" s="7" t="s">
        <v>31</v>
      </c>
      <c r="H833" s="7" t="s">
        <v>17</v>
      </c>
      <c r="I833" s="7" t="s">
        <v>17</v>
      </c>
      <c r="J833" s="7" t="s">
        <v>1602</v>
      </c>
    </row>
    <row r="834" spans="1:10" x14ac:dyDescent="0.25" outlineLevel="3" collapsed="1">
      <c r="A834" s="7" t="s">
        <v>15</v>
      </c>
      <c r="B834" s="7" t="s">
        <v>16</v>
      </c>
      <c r="C834" s="7" t="s">
        <v>17</v>
      </c>
      <c r="D834" s="7"/>
      <c r="E834" s="7" t="s">
        <v>1671</v>
      </c>
      <c r="F834" s="7" t="s">
        <v>19</v>
      </c>
      <c r="G834" s="7" t="s">
        <v>31</v>
      </c>
      <c r="H834" s="7" t="s">
        <v>17</v>
      </c>
      <c r="I834" s="7" t="s">
        <v>17</v>
      </c>
      <c r="J834" s="7" t="s">
        <v>1672</v>
      </c>
    </row>
    <row r="835" spans="1:10" x14ac:dyDescent="0.25" outlineLevel="3" collapsed="1">
      <c r="A835" s="7" t="s">
        <v>15</v>
      </c>
      <c r="B835" s="7" t="s">
        <v>16</v>
      </c>
      <c r="C835" s="7" t="s">
        <v>17</v>
      </c>
      <c r="D835" s="7"/>
      <c r="E835" s="7" t="s">
        <v>1673</v>
      </c>
      <c r="F835" s="7" t="s">
        <v>19</v>
      </c>
      <c r="G835" s="7" t="s">
        <v>31</v>
      </c>
      <c r="H835" s="7" t="s">
        <v>17</v>
      </c>
      <c r="I835" s="7" t="s">
        <v>17</v>
      </c>
      <c r="J835" s="7" t="s">
        <v>1674</v>
      </c>
    </row>
    <row r="836" spans="1:10" x14ac:dyDescent="0.25" outlineLevel="3" collapsed="1">
      <c r="A836" s="7" t="s">
        <v>15</v>
      </c>
      <c r="B836" s="7" t="s">
        <v>16</v>
      </c>
      <c r="C836" s="7" t="s">
        <v>17</v>
      </c>
      <c r="D836" s="7"/>
      <c r="E836" s="7" t="s">
        <v>1675</v>
      </c>
      <c r="F836" s="7" t="s">
        <v>19</v>
      </c>
      <c r="G836" s="7" t="s">
        <v>31</v>
      </c>
      <c r="H836" s="7" t="s">
        <v>17</v>
      </c>
      <c r="I836" s="7" t="s">
        <v>17</v>
      </c>
      <c r="J836" s="7" t="s">
        <v>1422</v>
      </c>
    </row>
    <row r="837" spans="1:10" x14ac:dyDescent="0.25" outlineLevel="3" collapsed="1">
      <c r="A837" s="7" t="s">
        <v>15</v>
      </c>
      <c r="B837" s="7" t="s">
        <v>284</v>
      </c>
      <c r="C837" s="11" t="s">
        <v>1604</v>
      </c>
      <c r="D837" s="7"/>
      <c r="E837" s="7" t="s">
        <v>1605</v>
      </c>
      <c r="F837" s="7" t="s">
        <v>19</v>
      </c>
      <c r="G837" s="7" t="s">
        <v>1606</v>
      </c>
      <c r="H837" s="7" t="s">
        <v>17</v>
      </c>
      <c r="I837" s="7" t="s">
        <v>17</v>
      </c>
      <c r="J837" s="7" t="s">
        <v>1607</v>
      </c>
    </row>
    <row r="838" spans="1:10" x14ac:dyDescent="0.25" outlineLevel="3" collapsed="1">
      <c r="A838" s="7" t="s">
        <v>19</v>
      </c>
      <c r="B838" s="7" t="s">
        <v>63</v>
      </c>
      <c r="C838" s="7" t="s">
        <v>17</v>
      </c>
      <c r="D838" s="7">
        <f>EXACT(G837,"Single value")</f>
      </c>
      <c r="E838" s="7" t="s">
        <v>1676</v>
      </c>
      <c r="F838" s="7" t="s">
        <v>19</v>
      </c>
      <c r="G838" s="7">
        <v>1</v>
      </c>
      <c r="H838" s="7" t="s">
        <v>17</v>
      </c>
      <c r="I838" s="7" t="s">
        <v>17</v>
      </c>
      <c r="J838" s="7" t="s">
        <v>1609</v>
      </c>
    </row>
    <row r="839" spans="1:10" x14ac:dyDescent="0.25" outlineLevel="3" collapsed="1">
      <c r="A839" s="7" t="s">
        <v>19</v>
      </c>
      <c r="B839" s="7" t="s">
        <v>16</v>
      </c>
      <c r="C839" s="7" t="s">
        <v>17</v>
      </c>
      <c r="D839" s="7"/>
      <c r="E839" s="7" t="s">
        <v>1677</v>
      </c>
      <c r="F839" s="7" t="s">
        <v>19</v>
      </c>
      <c r="G839" s="7" t="s">
        <v>31</v>
      </c>
      <c r="H839" s="7" t="s">
        <v>17</v>
      </c>
      <c r="I839" s="7" t="s">
        <v>17</v>
      </c>
      <c r="J839" s="7" t="s">
        <v>1678</v>
      </c>
    </row>
    <row r="840" spans="1:10" x14ac:dyDescent="0.25" outlineLevel="3" collapsed="1">
      <c r="A840" s="7" t="s">
        <v>15</v>
      </c>
      <c r="B840" s="7" t="s">
        <v>16</v>
      </c>
      <c r="C840" s="7" t="s">
        <v>17</v>
      </c>
      <c r="D840" s="7"/>
      <c r="E840" s="7" t="s">
        <v>1679</v>
      </c>
      <c r="F840" s="7" t="s">
        <v>19</v>
      </c>
      <c r="G840" s="7" t="s">
        <v>31</v>
      </c>
      <c r="H840" s="7" t="s">
        <v>17</v>
      </c>
      <c r="I840" s="7" t="s">
        <v>17</v>
      </c>
      <c r="J840" s="7" t="s">
        <v>1680</v>
      </c>
    </row>
    <row r="841" spans="1:10" x14ac:dyDescent="0.25" outlineLevel="3" collapsed="1">
      <c r="A841" s="7" t="s">
        <v>15</v>
      </c>
      <c r="B841" s="7" t="s">
        <v>284</v>
      </c>
      <c r="C841" s="11" t="s">
        <v>1611</v>
      </c>
      <c r="D841" s="7"/>
      <c r="E841" s="7" t="s">
        <v>1612</v>
      </c>
      <c r="F841" s="7" t="s">
        <v>19</v>
      </c>
      <c r="G841" s="7" t="s">
        <v>1613</v>
      </c>
      <c r="H841" s="7" t="s">
        <v>17</v>
      </c>
      <c r="I841" s="7" t="s">
        <v>17</v>
      </c>
      <c r="J841" s="7" t="s">
        <v>1614</v>
      </c>
    </row>
    <row r="842" spans="1:10" x14ac:dyDescent="0.25" outlineLevel="3" collapsed="1">
      <c r="A842" s="7" t="s">
        <v>19</v>
      </c>
      <c r="B842" s="7" t="s">
        <v>16</v>
      </c>
      <c r="C842" s="7" t="s">
        <v>17</v>
      </c>
      <c r="D842" s="7"/>
      <c r="E842" s="7" t="s">
        <v>1681</v>
      </c>
      <c r="F842" s="7" t="s">
        <v>19</v>
      </c>
      <c r="G842" s="7" t="s">
        <v>31</v>
      </c>
      <c r="H842" s="7" t="s">
        <v>17</v>
      </c>
      <c r="I842" s="7" t="s">
        <v>17</v>
      </c>
      <c r="J842" s="7" t="s">
        <v>1682</v>
      </c>
    </row>
    <row r="843" spans="1:10" x14ac:dyDescent="0.25" outlineLevel="3" collapsed="1">
      <c r="A843" s="7" t="s">
        <v>19</v>
      </c>
      <c r="B843" s="7" t="s">
        <v>16</v>
      </c>
      <c r="C843" s="7" t="s">
        <v>17</v>
      </c>
      <c r="D843" s="7"/>
      <c r="E843" s="7" t="s">
        <v>1615</v>
      </c>
      <c r="F843" s="7" t="s">
        <v>19</v>
      </c>
      <c r="G843" s="7" t="s">
        <v>31</v>
      </c>
      <c r="H843" s="7" t="s">
        <v>17</v>
      </c>
      <c r="I843" s="7" t="s">
        <v>17</v>
      </c>
      <c r="J843" s="7" t="s">
        <v>1616</v>
      </c>
    </row>
    <row r="844" spans="1:10" x14ac:dyDescent="0.25" outlineLevel="2" collapsed="1">
      <c r="A844" s="8" t="s">
        <v>19</v>
      </c>
      <c r="B844" s="9" t="s">
        <v>1667</v>
      </c>
      <c r="C844" s="8" t="s">
        <v>17</v>
      </c>
      <c r="D844" s="8"/>
      <c r="E844" s="8" t="s">
        <v>1748</v>
      </c>
      <c r="F844" s="8" t="s">
        <v>19</v>
      </c>
      <c r="G844" s="8" t="s">
        <v>17</v>
      </c>
      <c r="H844" s="8" t="s">
        <v>17</v>
      </c>
      <c r="I844" s="8" t="s">
        <v>17</v>
      </c>
      <c r="J844" s="8" t="s">
        <v>1749</v>
      </c>
    </row>
    <row r="845" spans="1:10" x14ac:dyDescent="0.25" outlineLevel="3" collapsed="1">
      <c r="A845" s="7" t="s">
        <v>15</v>
      </c>
      <c r="B845" s="7" t="s">
        <v>16</v>
      </c>
      <c r="C845" s="7" t="s">
        <v>17</v>
      </c>
      <c r="D845" s="7"/>
      <c r="E845" s="7" t="s">
        <v>1670</v>
      </c>
      <c r="F845" s="7" t="s">
        <v>19</v>
      </c>
      <c r="G845" s="7" t="s">
        <v>31</v>
      </c>
      <c r="H845" s="7" t="s">
        <v>17</v>
      </c>
      <c r="I845" s="7" t="s">
        <v>17</v>
      </c>
      <c r="J845" s="7" t="s">
        <v>637</v>
      </c>
    </row>
    <row r="846" spans="1:10" x14ac:dyDescent="0.25" outlineLevel="3" collapsed="1">
      <c r="A846" s="7" t="s">
        <v>15</v>
      </c>
      <c r="B846" s="7" t="s">
        <v>16</v>
      </c>
      <c r="C846" s="7" t="s">
        <v>17</v>
      </c>
      <c r="D846" s="7"/>
      <c r="E846" s="7" t="s">
        <v>638</v>
      </c>
      <c r="F846" s="7" t="s">
        <v>19</v>
      </c>
      <c r="G846" s="7" t="s">
        <v>31</v>
      </c>
      <c r="H846" s="7" t="s">
        <v>17</v>
      </c>
      <c r="I846" s="7" t="s">
        <v>17</v>
      </c>
      <c r="J846" s="7" t="s">
        <v>640</v>
      </c>
    </row>
    <row r="847" spans="1:10" x14ac:dyDescent="0.25" outlineLevel="3" collapsed="1">
      <c r="A847" s="7" t="s">
        <v>15</v>
      </c>
      <c r="B847" s="7" t="s">
        <v>16</v>
      </c>
      <c r="C847" s="7" t="s">
        <v>17</v>
      </c>
      <c r="D847" s="7"/>
      <c r="E847" s="7" t="s">
        <v>9</v>
      </c>
      <c r="F847" s="7" t="s">
        <v>19</v>
      </c>
      <c r="G847" s="7" t="s">
        <v>31</v>
      </c>
      <c r="H847" s="7" t="s">
        <v>17</v>
      </c>
      <c r="I847" s="7" t="s">
        <v>17</v>
      </c>
      <c r="J847" s="7" t="s">
        <v>843</v>
      </c>
    </row>
    <row r="848" spans="1:10" x14ac:dyDescent="0.25" outlineLevel="3" collapsed="1">
      <c r="A848" s="7" t="s">
        <v>19</v>
      </c>
      <c r="B848" s="7" t="s">
        <v>16</v>
      </c>
      <c r="C848" s="7" t="s">
        <v>17</v>
      </c>
      <c r="D848" s="7"/>
      <c r="E848" s="7" t="s">
        <v>1600</v>
      </c>
      <c r="F848" s="7" t="s">
        <v>19</v>
      </c>
      <c r="G848" s="7" t="s">
        <v>31</v>
      </c>
      <c r="H848" s="7" t="s">
        <v>17</v>
      </c>
      <c r="I848" s="7" t="s">
        <v>17</v>
      </c>
      <c r="J848" s="7" t="s">
        <v>1424</v>
      </c>
    </row>
    <row r="849" spans="1:10" x14ac:dyDescent="0.25" outlineLevel="3" collapsed="1">
      <c r="A849" s="7" t="s">
        <v>15</v>
      </c>
      <c r="B849" s="7" t="s">
        <v>16</v>
      </c>
      <c r="C849" s="7" t="s">
        <v>17</v>
      </c>
      <c r="D849" s="7"/>
      <c r="E849" s="7" t="s">
        <v>1601</v>
      </c>
      <c r="F849" s="7" t="s">
        <v>19</v>
      </c>
      <c r="G849" s="7" t="s">
        <v>31</v>
      </c>
      <c r="H849" s="7" t="s">
        <v>17</v>
      </c>
      <c r="I849" s="7" t="s">
        <v>17</v>
      </c>
      <c r="J849" s="7" t="s">
        <v>1602</v>
      </c>
    </row>
    <row r="850" spans="1:10" x14ac:dyDescent="0.25" outlineLevel="3" collapsed="1">
      <c r="A850" s="7" t="s">
        <v>15</v>
      </c>
      <c r="B850" s="7" t="s">
        <v>16</v>
      </c>
      <c r="C850" s="7" t="s">
        <v>17</v>
      </c>
      <c r="D850" s="7"/>
      <c r="E850" s="7" t="s">
        <v>1671</v>
      </c>
      <c r="F850" s="7" t="s">
        <v>19</v>
      </c>
      <c r="G850" s="7" t="s">
        <v>31</v>
      </c>
      <c r="H850" s="7" t="s">
        <v>17</v>
      </c>
      <c r="I850" s="7" t="s">
        <v>17</v>
      </c>
      <c r="J850" s="7" t="s">
        <v>1672</v>
      </c>
    </row>
    <row r="851" spans="1:10" x14ac:dyDescent="0.25" outlineLevel="3" collapsed="1">
      <c r="A851" s="7" t="s">
        <v>15</v>
      </c>
      <c r="B851" s="7" t="s">
        <v>16</v>
      </c>
      <c r="C851" s="7" t="s">
        <v>17</v>
      </c>
      <c r="D851" s="7"/>
      <c r="E851" s="7" t="s">
        <v>1673</v>
      </c>
      <c r="F851" s="7" t="s">
        <v>19</v>
      </c>
      <c r="G851" s="7" t="s">
        <v>31</v>
      </c>
      <c r="H851" s="7" t="s">
        <v>17</v>
      </c>
      <c r="I851" s="7" t="s">
        <v>17</v>
      </c>
      <c r="J851" s="7" t="s">
        <v>1674</v>
      </c>
    </row>
    <row r="852" spans="1:10" x14ac:dyDescent="0.25" outlineLevel="3" collapsed="1">
      <c r="A852" s="7" t="s">
        <v>15</v>
      </c>
      <c r="B852" s="7" t="s">
        <v>16</v>
      </c>
      <c r="C852" s="7" t="s">
        <v>17</v>
      </c>
      <c r="D852" s="7"/>
      <c r="E852" s="7" t="s">
        <v>1675</v>
      </c>
      <c r="F852" s="7" t="s">
        <v>19</v>
      </c>
      <c r="G852" s="7" t="s">
        <v>31</v>
      </c>
      <c r="H852" s="7" t="s">
        <v>17</v>
      </c>
      <c r="I852" s="7" t="s">
        <v>17</v>
      </c>
      <c r="J852" s="7" t="s">
        <v>1422</v>
      </c>
    </row>
    <row r="853" spans="1:10" x14ac:dyDescent="0.25" outlineLevel="3" collapsed="1">
      <c r="A853" s="7" t="s">
        <v>15</v>
      </c>
      <c r="B853" s="7" t="s">
        <v>284</v>
      </c>
      <c r="C853" s="11" t="s">
        <v>1604</v>
      </c>
      <c r="D853" s="7"/>
      <c r="E853" s="7" t="s">
        <v>1605</v>
      </c>
      <c r="F853" s="7" t="s">
        <v>19</v>
      </c>
      <c r="G853" s="7" t="s">
        <v>1606</v>
      </c>
      <c r="H853" s="7" t="s">
        <v>17</v>
      </c>
      <c r="I853" s="7" t="s">
        <v>17</v>
      </c>
      <c r="J853" s="7" t="s">
        <v>1607</v>
      </c>
    </row>
    <row r="854" spans="1:10" x14ac:dyDescent="0.25" outlineLevel="3" collapsed="1">
      <c r="A854" s="7" t="s">
        <v>19</v>
      </c>
      <c r="B854" s="7" t="s">
        <v>63</v>
      </c>
      <c r="C854" s="7" t="s">
        <v>17</v>
      </c>
      <c r="D854" s="7">
        <f>EXACT(G853,"Single value")</f>
      </c>
      <c r="E854" s="7" t="s">
        <v>1676</v>
      </c>
      <c r="F854" s="7" t="s">
        <v>19</v>
      </c>
      <c r="G854" s="7">
        <v>1</v>
      </c>
      <c r="H854" s="7" t="s">
        <v>17</v>
      </c>
      <c r="I854" s="7" t="s">
        <v>17</v>
      </c>
      <c r="J854" s="7" t="s">
        <v>1609</v>
      </c>
    </row>
    <row r="855" spans="1:10" x14ac:dyDescent="0.25" outlineLevel="3" collapsed="1">
      <c r="A855" s="7" t="s">
        <v>19</v>
      </c>
      <c r="B855" s="7" t="s">
        <v>16</v>
      </c>
      <c r="C855" s="7" t="s">
        <v>17</v>
      </c>
      <c r="D855" s="7"/>
      <c r="E855" s="7" t="s">
        <v>1677</v>
      </c>
      <c r="F855" s="7" t="s">
        <v>19</v>
      </c>
      <c r="G855" s="7" t="s">
        <v>31</v>
      </c>
      <c r="H855" s="7" t="s">
        <v>17</v>
      </c>
      <c r="I855" s="7" t="s">
        <v>17</v>
      </c>
      <c r="J855" s="7" t="s">
        <v>1678</v>
      </c>
    </row>
    <row r="856" spans="1:10" x14ac:dyDescent="0.25" outlineLevel="3" collapsed="1">
      <c r="A856" s="7" t="s">
        <v>15</v>
      </c>
      <c r="B856" s="7" t="s">
        <v>16</v>
      </c>
      <c r="C856" s="7" t="s">
        <v>17</v>
      </c>
      <c r="D856" s="7"/>
      <c r="E856" s="7" t="s">
        <v>1679</v>
      </c>
      <c r="F856" s="7" t="s">
        <v>19</v>
      </c>
      <c r="G856" s="7" t="s">
        <v>31</v>
      </c>
      <c r="H856" s="7" t="s">
        <v>17</v>
      </c>
      <c r="I856" s="7" t="s">
        <v>17</v>
      </c>
      <c r="J856" s="7" t="s">
        <v>1680</v>
      </c>
    </row>
    <row r="857" spans="1:10" x14ac:dyDescent="0.25" outlineLevel="3" collapsed="1">
      <c r="A857" s="7" t="s">
        <v>15</v>
      </c>
      <c r="B857" s="7" t="s">
        <v>284</v>
      </c>
      <c r="C857" s="11" t="s">
        <v>1611</v>
      </c>
      <c r="D857" s="7"/>
      <c r="E857" s="7" t="s">
        <v>1612</v>
      </c>
      <c r="F857" s="7" t="s">
        <v>19</v>
      </c>
      <c r="G857" s="7" t="s">
        <v>1613</v>
      </c>
      <c r="H857" s="7" t="s">
        <v>17</v>
      </c>
      <c r="I857" s="7" t="s">
        <v>17</v>
      </c>
      <c r="J857" s="7" t="s">
        <v>1614</v>
      </c>
    </row>
    <row r="858" spans="1:10" x14ac:dyDescent="0.25" outlineLevel="3" collapsed="1">
      <c r="A858" s="7" t="s">
        <v>19</v>
      </c>
      <c r="B858" s="7" t="s">
        <v>16</v>
      </c>
      <c r="C858" s="7" t="s">
        <v>17</v>
      </c>
      <c r="D858" s="7"/>
      <c r="E858" s="7" t="s">
        <v>1681</v>
      </c>
      <c r="F858" s="7" t="s">
        <v>19</v>
      </c>
      <c r="G858" s="7" t="s">
        <v>31</v>
      </c>
      <c r="H858" s="7" t="s">
        <v>17</v>
      </c>
      <c r="I858" s="7" t="s">
        <v>17</v>
      </c>
      <c r="J858" s="7" t="s">
        <v>1682</v>
      </c>
    </row>
    <row r="859" spans="1:10" x14ac:dyDescent="0.25" outlineLevel="3" collapsed="1">
      <c r="A859" s="7" t="s">
        <v>19</v>
      </c>
      <c r="B859" s="7" t="s">
        <v>16</v>
      </c>
      <c r="C859" s="7" t="s">
        <v>17</v>
      </c>
      <c r="D859" s="7"/>
      <c r="E859" s="7" t="s">
        <v>1615</v>
      </c>
      <c r="F859" s="7" t="s">
        <v>19</v>
      </c>
      <c r="G859" s="7" t="s">
        <v>31</v>
      </c>
      <c r="H859" s="7" t="s">
        <v>17</v>
      </c>
      <c r="I859" s="7" t="s">
        <v>17</v>
      </c>
      <c r="J859" s="7" t="s">
        <v>1616</v>
      </c>
    </row>
    <row r="860" spans="1:10" x14ac:dyDescent="0.25" outlineLevel="2" collapsed="1">
      <c r="A860" s="8" t="s">
        <v>19</v>
      </c>
      <c r="B860" s="9" t="s">
        <v>1667</v>
      </c>
      <c r="C860" s="8" t="s">
        <v>17</v>
      </c>
      <c r="D860" s="8"/>
      <c r="E860" s="8" t="s">
        <v>1750</v>
      </c>
      <c r="F860" s="8" t="s">
        <v>19</v>
      </c>
      <c r="G860" s="8" t="s">
        <v>17</v>
      </c>
      <c r="H860" s="8" t="s">
        <v>17</v>
      </c>
      <c r="I860" s="8" t="s">
        <v>17</v>
      </c>
      <c r="J860" s="8" t="s">
        <v>1751</v>
      </c>
    </row>
    <row r="861" spans="1:10" x14ac:dyDescent="0.25" outlineLevel="3" collapsed="1">
      <c r="A861" s="7" t="s">
        <v>15</v>
      </c>
      <c r="B861" s="7" t="s">
        <v>16</v>
      </c>
      <c r="C861" s="7" t="s">
        <v>17</v>
      </c>
      <c r="D861" s="7"/>
      <c r="E861" s="7" t="s">
        <v>1670</v>
      </c>
      <c r="F861" s="7" t="s">
        <v>19</v>
      </c>
      <c r="G861" s="7" t="s">
        <v>31</v>
      </c>
      <c r="H861" s="7" t="s">
        <v>17</v>
      </c>
      <c r="I861" s="7" t="s">
        <v>17</v>
      </c>
      <c r="J861" s="7" t="s">
        <v>637</v>
      </c>
    </row>
    <row r="862" spans="1:10" x14ac:dyDescent="0.25" outlineLevel="3" collapsed="1">
      <c r="A862" s="7" t="s">
        <v>15</v>
      </c>
      <c r="B862" s="7" t="s">
        <v>16</v>
      </c>
      <c r="C862" s="7" t="s">
        <v>17</v>
      </c>
      <c r="D862" s="7"/>
      <c r="E862" s="7" t="s">
        <v>638</v>
      </c>
      <c r="F862" s="7" t="s">
        <v>19</v>
      </c>
      <c r="G862" s="7" t="s">
        <v>31</v>
      </c>
      <c r="H862" s="7" t="s">
        <v>17</v>
      </c>
      <c r="I862" s="7" t="s">
        <v>17</v>
      </c>
      <c r="J862" s="7" t="s">
        <v>640</v>
      </c>
    </row>
    <row r="863" spans="1:10" x14ac:dyDescent="0.25" outlineLevel="3" collapsed="1">
      <c r="A863" s="7" t="s">
        <v>15</v>
      </c>
      <c r="B863" s="7" t="s">
        <v>16</v>
      </c>
      <c r="C863" s="7" t="s">
        <v>17</v>
      </c>
      <c r="D863" s="7"/>
      <c r="E863" s="7" t="s">
        <v>9</v>
      </c>
      <c r="F863" s="7" t="s">
        <v>19</v>
      </c>
      <c r="G863" s="7" t="s">
        <v>31</v>
      </c>
      <c r="H863" s="7" t="s">
        <v>17</v>
      </c>
      <c r="I863" s="7" t="s">
        <v>17</v>
      </c>
      <c r="J863" s="7" t="s">
        <v>843</v>
      </c>
    </row>
    <row r="864" spans="1:10" x14ac:dyDescent="0.25" outlineLevel="3" collapsed="1">
      <c r="A864" s="7" t="s">
        <v>19</v>
      </c>
      <c r="B864" s="7" t="s">
        <v>16</v>
      </c>
      <c r="C864" s="7" t="s">
        <v>17</v>
      </c>
      <c r="D864" s="7"/>
      <c r="E864" s="7" t="s">
        <v>1600</v>
      </c>
      <c r="F864" s="7" t="s">
        <v>19</v>
      </c>
      <c r="G864" s="7" t="s">
        <v>31</v>
      </c>
      <c r="H864" s="7" t="s">
        <v>17</v>
      </c>
      <c r="I864" s="7" t="s">
        <v>17</v>
      </c>
      <c r="J864" s="7" t="s">
        <v>1424</v>
      </c>
    </row>
    <row r="865" spans="1:10" x14ac:dyDescent="0.25" outlineLevel="3" collapsed="1">
      <c r="A865" s="7" t="s">
        <v>15</v>
      </c>
      <c r="B865" s="7" t="s">
        <v>16</v>
      </c>
      <c r="C865" s="7" t="s">
        <v>17</v>
      </c>
      <c r="D865" s="7"/>
      <c r="E865" s="7" t="s">
        <v>1601</v>
      </c>
      <c r="F865" s="7" t="s">
        <v>19</v>
      </c>
      <c r="G865" s="7" t="s">
        <v>31</v>
      </c>
      <c r="H865" s="7" t="s">
        <v>17</v>
      </c>
      <c r="I865" s="7" t="s">
        <v>17</v>
      </c>
      <c r="J865" s="7" t="s">
        <v>1602</v>
      </c>
    </row>
    <row r="866" spans="1:10" x14ac:dyDescent="0.25" outlineLevel="3" collapsed="1">
      <c r="A866" s="7" t="s">
        <v>15</v>
      </c>
      <c r="B866" s="7" t="s">
        <v>16</v>
      </c>
      <c r="C866" s="7" t="s">
        <v>17</v>
      </c>
      <c r="D866" s="7"/>
      <c r="E866" s="7" t="s">
        <v>1671</v>
      </c>
      <c r="F866" s="7" t="s">
        <v>19</v>
      </c>
      <c r="G866" s="7" t="s">
        <v>31</v>
      </c>
      <c r="H866" s="7" t="s">
        <v>17</v>
      </c>
      <c r="I866" s="7" t="s">
        <v>17</v>
      </c>
      <c r="J866" s="7" t="s">
        <v>1672</v>
      </c>
    </row>
    <row r="867" spans="1:10" x14ac:dyDescent="0.25" outlineLevel="3" collapsed="1">
      <c r="A867" s="7" t="s">
        <v>15</v>
      </c>
      <c r="B867" s="7" t="s">
        <v>16</v>
      </c>
      <c r="C867" s="7" t="s">
        <v>17</v>
      </c>
      <c r="D867" s="7"/>
      <c r="E867" s="7" t="s">
        <v>1673</v>
      </c>
      <c r="F867" s="7" t="s">
        <v>19</v>
      </c>
      <c r="G867" s="7" t="s">
        <v>31</v>
      </c>
      <c r="H867" s="7" t="s">
        <v>17</v>
      </c>
      <c r="I867" s="7" t="s">
        <v>17</v>
      </c>
      <c r="J867" s="7" t="s">
        <v>1674</v>
      </c>
    </row>
    <row r="868" spans="1:10" x14ac:dyDescent="0.25" outlineLevel="3" collapsed="1">
      <c r="A868" s="7" t="s">
        <v>15</v>
      </c>
      <c r="B868" s="7" t="s">
        <v>16</v>
      </c>
      <c r="C868" s="7" t="s">
        <v>17</v>
      </c>
      <c r="D868" s="7"/>
      <c r="E868" s="7" t="s">
        <v>1675</v>
      </c>
      <c r="F868" s="7" t="s">
        <v>19</v>
      </c>
      <c r="G868" s="7" t="s">
        <v>31</v>
      </c>
      <c r="H868" s="7" t="s">
        <v>17</v>
      </c>
      <c r="I868" s="7" t="s">
        <v>17</v>
      </c>
      <c r="J868" s="7" t="s">
        <v>1422</v>
      </c>
    </row>
    <row r="869" spans="1:10" x14ac:dyDescent="0.25" outlineLevel="3" collapsed="1">
      <c r="A869" s="7" t="s">
        <v>15</v>
      </c>
      <c r="B869" s="7" t="s">
        <v>284</v>
      </c>
      <c r="C869" s="11" t="s">
        <v>1604</v>
      </c>
      <c r="D869" s="7"/>
      <c r="E869" s="7" t="s">
        <v>1605</v>
      </c>
      <c r="F869" s="7" t="s">
        <v>19</v>
      </c>
      <c r="G869" s="7" t="s">
        <v>1606</v>
      </c>
      <c r="H869" s="7" t="s">
        <v>17</v>
      </c>
      <c r="I869" s="7" t="s">
        <v>17</v>
      </c>
      <c r="J869" s="7" t="s">
        <v>1607</v>
      </c>
    </row>
    <row r="870" spans="1:10" x14ac:dyDescent="0.25" outlineLevel="3" collapsed="1">
      <c r="A870" s="7" t="s">
        <v>19</v>
      </c>
      <c r="B870" s="7" t="s">
        <v>63</v>
      </c>
      <c r="C870" s="7" t="s">
        <v>17</v>
      </c>
      <c r="D870" s="7">
        <f>EXACT(G869,"Single value")</f>
      </c>
      <c r="E870" s="7" t="s">
        <v>1676</v>
      </c>
      <c r="F870" s="7" t="s">
        <v>19</v>
      </c>
      <c r="G870" s="7">
        <v>1</v>
      </c>
      <c r="H870" s="7" t="s">
        <v>17</v>
      </c>
      <c r="I870" s="7" t="s">
        <v>17</v>
      </c>
      <c r="J870" s="7" t="s">
        <v>1609</v>
      </c>
    </row>
    <row r="871" spans="1:10" x14ac:dyDescent="0.25" outlineLevel="3" collapsed="1">
      <c r="A871" s="7" t="s">
        <v>19</v>
      </c>
      <c r="B871" s="7" t="s">
        <v>16</v>
      </c>
      <c r="C871" s="7" t="s">
        <v>17</v>
      </c>
      <c r="D871" s="7"/>
      <c r="E871" s="7" t="s">
        <v>1677</v>
      </c>
      <c r="F871" s="7" t="s">
        <v>19</v>
      </c>
      <c r="G871" s="7" t="s">
        <v>31</v>
      </c>
      <c r="H871" s="7" t="s">
        <v>17</v>
      </c>
      <c r="I871" s="7" t="s">
        <v>17</v>
      </c>
      <c r="J871" s="7" t="s">
        <v>1678</v>
      </c>
    </row>
    <row r="872" spans="1:10" x14ac:dyDescent="0.25" outlineLevel="3" collapsed="1">
      <c r="A872" s="7" t="s">
        <v>15</v>
      </c>
      <c r="B872" s="7" t="s">
        <v>16</v>
      </c>
      <c r="C872" s="7" t="s">
        <v>17</v>
      </c>
      <c r="D872" s="7"/>
      <c r="E872" s="7" t="s">
        <v>1679</v>
      </c>
      <c r="F872" s="7" t="s">
        <v>19</v>
      </c>
      <c r="G872" s="7" t="s">
        <v>31</v>
      </c>
      <c r="H872" s="7" t="s">
        <v>17</v>
      </c>
      <c r="I872" s="7" t="s">
        <v>17</v>
      </c>
      <c r="J872" s="7" t="s">
        <v>1680</v>
      </c>
    </row>
    <row r="873" spans="1:10" x14ac:dyDescent="0.25" outlineLevel="3" collapsed="1">
      <c r="A873" s="7" t="s">
        <v>15</v>
      </c>
      <c r="B873" s="7" t="s">
        <v>284</v>
      </c>
      <c r="C873" s="11" t="s">
        <v>1611</v>
      </c>
      <c r="D873" s="7"/>
      <c r="E873" s="7" t="s">
        <v>1612</v>
      </c>
      <c r="F873" s="7" t="s">
        <v>19</v>
      </c>
      <c r="G873" s="7" t="s">
        <v>1613</v>
      </c>
      <c r="H873" s="7" t="s">
        <v>17</v>
      </c>
      <c r="I873" s="7" t="s">
        <v>17</v>
      </c>
      <c r="J873" s="7" t="s">
        <v>1614</v>
      </c>
    </row>
    <row r="874" spans="1:10" x14ac:dyDescent="0.25" outlineLevel="3" collapsed="1">
      <c r="A874" s="7" t="s">
        <v>19</v>
      </c>
      <c r="B874" s="7" t="s">
        <v>16</v>
      </c>
      <c r="C874" s="7" t="s">
        <v>17</v>
      </c>
      <c r="D874" s="7"/>
      <c r="E874" s="7" t="s">
        <v>1681</v>
      </c>
      <c r="F874" s="7" t="s">
        <v>19</v>
      </c>
      <c r="G874" s="7" t="s">
        <v>31</v>
      </c>
      <c r="H874" s="7" t="s">
        <v>17</v>
      </c>
      <c r="I874" s="7" t="s">
        <v>17</v>
      </c>
      <c r="J874" s="7" t="s">
        <v>1682</v>
      </c>
    </row>
    <row r="875" spans="1:10" x14ac:dyDescent="0.25" outlineLevel="3" collapsed="1">
      <c r="A875" s="7" t="s">
        <v>19</v>
      </c>
      <c r="B875" s="7" t="s">
        <v>16</v>
      </c>
      <c r="C875" s="7" t="s">
        <v>17</v>
      </c>
      <c r="D875" s="7"/>
      <c r="E875" s="7" t="s">
        <v>1615</v>
      </c>
      <c r="F875" s="7" t="s">
        <v>19</v>
      </c>
      <c r="G875" s="7" t="s">
        <v>31</v>
      </c>
      <c r="H875" s="7" t="s">
        <v>17</v>
      </c>
      <c r="I875" s="7" t="s">
        <v>17</v>
      </c>
      <c r="J875" s="7" t="s">
        <v>1616</v>
      </c>
    </row>
    <row r="876" spans="1:10" x14ac:dyDescent="0.25" outlineLevel="2" collapsed="1">
      <c r="A876" s="8" t="s">
        <v>19</v>
      </c>
      <c r="B876" s="9" t="s">
        <v>1667</v>
      </c>
      <c r="C876" s="8" t="s">
        <v>17</v>
      </c>
      <c r="D876" s="8"/>
      <c r="E876" s="8" t="s">
        <v>1752</v>
      </c>
      <c r="F876" s="8" t="s">
        <v>19</v>
      </c>
      <c r="G876" s="8" t="s">
        <v>17</v>
      </c>
      <c r="H876" s="8" t="s">
        <v>17</v>
      </c>
      <c r="I876" s="8" t="s">
        <v>17</v>
      </c>
      <c r="J876" s="8" t="s">
        <v>1753</v>
      </c>
    </row>
    <row r="877" spans="1:10" x14ac:dyDescent="0.25" outlineLevel="3" collapsed="1">
      <c r="A877" s="7" t="s">
        <v>15</v>
      </c>
      <c r="B877" s="7" t="s">
        <v>16</v>
      </c>
      <c r="C877" s="7" t="s">
        <v>17</v>
      </c>
      <c r="D877" s="7"/>
      <c r="E877" s="7" t="s">
        <v>1670</v>
      </c>
      <c r="F877" s="7" t="s">
        <v>19</v>
      </c>
      <c r="G877" s="7" t="s">
        <v>31</v>
      </c>
      <c r="H877" s="7" t="s">
        <v>17</v>
      </c>
      <c r="I877" s="7" t="s">
        <v>17</v>
      </c>
      <c r="J877" s="7" t="s">
        <v>637</v>
      </c>
    </row>
    <row r="878" spans="1:10" x14ac:dyDescent="0.25" outlineLevel="3" collapsed="1">
      <c r="A878" s="7" t="s">
        <v>15</v>
      </c>
      <c r="B878" s="7" t="s">
        <v>16</v>
      </c>
      <c r="C878" s="7" t="s">
        <v>17</v>
      </c>
      <c r="D878" s="7"/>
      <c r="E878" s="7" t="s">
        <v>638</v>
      </c>
      <c r="F878" s="7" t="s">
        <v>19</v>
      </c>
      <c r="G878" s="7" t="s">
        <v>31</v>
      </c>
      <c r="H878" s="7" t="s">
        <v>17</v>
      </c>
      <c r="I878" s="7" t="s">
        <v>17</v>
      </c>
      <c r="J878" s="7" t="s">
        <v>640</v>
      </c>
    </row>
    <row r="879" spans="1:10" x14ac:dyDescent="0.25" outlineLevel="3" collapsed="1">
      <c r="A879" s="7" t="s">
        <v>15</v>
      </c>
      <c r="B879" s="7" t="s">
        <v>16</v>
      </c>
      <c r="C879" s="7" t="s">
        <v>17</v>
      </c>
      <c r="D879" s="7"/>
      <c r="E879" s="7" t="s">
        <v>9</v>
      </c>
      <c r="F879" s="7" t="s">
        <v>19</v>
      </c>
      <c r="G879" s="7" t="s">
        <v>31</v>
      </c>
      <c r="H879" s="7" t="s">
        <v>17</v>
      </c>
      <c r="I879" s="7" t="s">
        <v>17</v>
      </c>
      <c r="J879" s="7" t="s">
        <v>843</v>
      </c>
    </row>
    <row r="880" spans="1:10" x14ac:dyDescent="0.25" outlineLevel="3" collapsed="1">
      <c r="A880" s="7" t="s">
        <v>19</v>
      </c>
      <c r="B880" s="7" t="s">
        <v>16</v>
      </c>
      <c r="C880" s="7" t="s">
        <v>17</v>
      </c>
      <c r="D880" s="7"/>
      <c r="E880" s="7" t="s">
        <v>1600</v>
      </c>
      <c r="F880" s="7" t="s">
        <v>19</v>
      </c>
      <c r="G880" s="7" t="s">
        <v>31</v>
      </c>
      <c r="H880" s="7" t="s">
        <v>17</v>
      </c>
      <c r="I880" s="7" t="s">
        <v>17</v>
      </c>
      <c r="J880" s="7" t="s">
        <v>1424</v>
      </c>
    </row>
    <row r="881" spans="1:10" x14ac:dyDescent="0.25" outlineLevel="3" collapsed="1">
      <c r="A881" s="7" t="s">
        <v>15</v>
      </c>
      <c r="B881" s="7" t="s">
        <v>16</v>
      </c>
      <c r="C881" s="7" t="s">
        <v>17</v>
      </c>
      <c r="D881" s="7"/>
      <c r="E881" s="7" t="s">
        <v>1601</v>
      </c>
      <c r="F881" s="7" t="s">
        <v>19</v>
      </c>
      <c r="G881" s="7" t="s">
        <v>31</v>
      </c>
      <c r="H881" s="7" t="s">
        <v>17</v>
      </c>
      <c r="I881" s="7" t="s">
        <v>17</v>
      </c>
      <c r="J881" s="7" t="s">
        <v>1602</v>
      </c>
    </row>
    <row r="882" spans="1:10" x14ac:dyDescent="0.25" outlineLevel="3" collapsed="1">
      <c r="A882" s="7" t="s">
        <v>15</v>
      </c>
      <c r="B882" s="7" t="s">
        <v>16</v>
      </c>
      <c r="C882" s="7" t="s">
        <v>17</v>
      </c>
      <c r="D882" s="7"/>
      <c r="E882" s="7" t="s">
        <v>1671</v>
      </c>
      <c r="F882" s="7" t="s">
        <v>19</v>
      </c>
      <c r="G882" s="7" t="s">
        <v>31</v>
      </c>
      <c r="H882" s="7" t="s">
        <v>17</v>
      </c>
      <c r="I882" s="7" t="s">
        <v>17</v>
      </c>
      <c r="J882" s="7" t="s">
        <v>1672</v>
      </c>
    </row>
    <row r="883" spans="1:10" x14ac:dyDescent="0.25" outlineLevel="3" collapsed="1">
      <c r="A883" s="7" t="s">
        <v>15</v>
      </c>
      <c r="B883" s="7" t="s">
        <v>16</v>
      </c>
      <c r="C883" s="7" t="s">
        <v>17</v>
      </c>
      <c r="D883" s="7"/>
      <c r="E883" s="7" t="s">
        <v>1673</v>
      </c>
      <c r="F883" s="7" t="s">
        <v>19</v>
      </c>
      <c r="G883" s="7" t="s">
        <v>31</v>
      </c>
      <c r="H883" s="7" t="s">
        <v>17</v>
      </c>
      <c r="I883" s="7" t="s">
        <v>17</v>
      </c>
      <c r="J883" s="7" t="s">
        <v>1674</v>
      </c>
    </row>
    <row r="884" spans="1:10" x14ac:dyDescent="0.25" outlineLevel="3" collapsed="1">
      <c r="A884" s="7" t="s">
        <v>15</v>
      </c>
      <c r="B884" s="7" t="s">
        <v>16</v>
      </c>
      <c r="C884" s="7" t="s">
        <v>17</v>
      </c>
      <c r="D884" s="7"/>
      <c r="E884" s="7" t="s">
        <v>1675</v>
      </c>
      <c r="F884" s="7" t="s">
        <v>19</v>
      </c>
      <c r="G884" s="7" t="s">
        <v>31</v>
      </c>
      <c r="H884" s="7" t="s">
        <v>17</v>
      </c>
      <c r="I884" s="7" t="s">
        <v>17</v>
      </c>
      <c r="J884" s="7" t="s">
        <v>1422</v>
      </c>
    </row>
    <row r="885" spans="1:10" x14ac:dyDescent="0.25" outlineLevel="3" collapsed="1">
      <c r="A885" s="7" t="s">
        <v>15</v>
      </c>
      <c r="B885" s="7" t="s">
        <v>284</v>
      </c>
      <c r="C885" s="11" t="s">
        <v>1604</v>
      </c>
      <c r="D885" s="7"/>
      <c r="E885" s="7" t="s">
        <v>1605</v>
      </c>
      <c r="F885" s="7" t="s">
        <v>19</v>
      </c>
      <c r="G885" s="7" t="s">
        <v>1606</v>
      </c>
      <c r="H885" s="7" t="s">
        <v>17</v>
      </c>
      <c r="I885" s="7" t="s">
        <v>17</v>
      </c>
      <c r="J885" s="7" t="s">
        <v>1607</v>
      </c>
    </row>
    <row r="886" spans="1:10" x14ac:dyDescent="0.25" outlineLevel="3" collapsed="1">
      <c r="A886" s="7" t="s">
        <v>19</v>
      </c>
      <c r="B886" s="7" t="s">
        <v>63</v>
      </c>
      <c r="C886" s="7" t="s">
        <v>17</v>
      </c>
      <c r="D886" s="7">
        <f>EXACT(G885,"Single value")</f>
      </c>
      <c r="E886" s="7" t="s">
        <v>1676</v>
      </c>
      <c r="F886" s="7" t="s">
        <v>19</v>
      </c>
      <c r="G886" s="7">
        <v>1</v>
      </c>
      <c r="H886" s="7" t="s">
        <v>17</v>
      </c>
      <c r="I886" s="7" t="s">
        <v>17</v>
      </c>
      <c r="J886" s="7" t="s">
        <v>1609</v>
      </c>
    </row>
    <row r="887" spans="1:10" x14ac:dyDescent="0.25" outlineLevel="3" collapsed="1">
      <c r="A887" s="7" t="s">
        <v>19</v>
      </c>
      <c r="B887" s="7" t="s">
        <v>16</v>
      </c>
      <c r="C887" s="7" t="s">
        <v>17</v>
      </c>
      <c r="D887" s="7"/>
      <c r="E887" s="7" t="s">
        <v>1677</v>
      </c>
      <c r="F887" s="7" t="s">
        <v>19</v>
      </c>
      <c r="G887" s="7" t="s">
        <v>31</v>
      </c>
      <c r="H887" s="7" t="s">
        <v>17</v>
      </c>
      <c r="I887" s="7" t="s">
        <v>17</v>
      </c>
      <c r="J887" s="7" t="s">
        <v>1678</v>
      </c>
    </row>
    <row r="888" spans="1:10" x14ac:dyDescent="0.25" outlineLevel="3" collapsed="1">
      <c r="A888" s="7" t="s">
        <v>15</v>
      </c>
      <c r="B888" s="7" t="s">
        <v>16</v>
      </c>
      <c r="C888" s="7" t="s">
        <v>17</v>
      </c>
      <c r="D888" s="7"/>
      <c r="E888" s="7" t="s">
        <v>1679</v>
      </c>
      <c r="F888" s="7" t="s">
        <v>19</v>
      </c>
      <c r="G888" s="7" t="s">
        <v>31</v>
      </c>
      <c r="H888" s="7" t="s">
        <v>17</v>
      </c>
      <c r="I888" s="7" t="s">
        <v>17</v>
      </c>
      <c r="J888" s="7" t="s">
        <v>1680</v>
      </c>
    </row>
    <row r="889" spans="1:10" x14ac:dyDescent="0.25" outlineLevel="3" collapsed="1">
      <c r="A889" s="7" t="s">
        <v>15</v>
      </c>
      <c r="B889" s="7" t="s">
        <v>284</v>
      </c>
      <c r="C889" s="11" t="s">
        <v>1611</v>
      </c>
      <c r="D889" s="7"/>
      <c r="E889" s="7" t="s">
        <v>1612</v>
      </c>
      <c r="F889" s="7" t="s">
        <v>19</v>
      </c>
      <c r="G889" s="7" t="s">
        <v>1613</v>
      </c>
      <c r="H889" s="7" t="s">
        <v>17</v>
      </c>
      <c r="I889" s="7" t="s">
        <v>17</v>
      </c>
      <c r="J889" s="7" t="s">
        <v>1614</v>
      </c>
    </row>
    <row r="890" spans="1:10" x14ac:dyDescent="0.25" outlineLevel="3" collapsed="1">
      <c r="A890" s="7" t="s">
        <v>19</v>
      </c>
      <c r="B890" s="7" t="s">
        <v>16</v>
      </c>
      <c r="C890" s="7" t="s">
        <v>17</v>
      </c>
      <c r="D890" s="7"/>
      <c r="E890" s="7" t="s">
        <v>1681</v>
      </c>
      <c r="F890" s="7" t="s">
        <v>19</v>
      </c>
      <c r="G890" s="7" t="s">
        <v>31</v>
      </c>
      <c r="H890" s="7" t="s">
        <v>17</v>
      </c>
      <c r="I890" s="7" t="s">
        <v>17</v>
      </c>
      <c r="J890" s="7" t="s">
        <v>1682</v>
      </c>
    </row>
    <row r="891" spans="1:10" x14ac:dyDescent="0.25" outlineLevel="3" collapsed="1">
      <c r="A891" s="7" t="s">
        <v>19</v>
      </c>
      <c r="B891" s="7" t="s">
        <v>16</v>
      </c>
      <c r="C891" s="7" t="s">
        <v>17</v>
      </c>
      <c r="D891" s="7"/>
      <c r="E891" s="7" t="s">
        <v>1615</v>
      </c>
      <c r="F891" s="7" t="s">
        <v>19</v>
      </c>
      <c r="G891" s="7" t="s">
        <v>31</v>
      </c>
      <c r="H891" s="7" t="s">
        <v>17</v>
      </c>
      <c r="I891" s="7" t="s">
        <v>17</v>
      </c>
      <c r="J891" s="7" t="s">
        <v>1616</v>
      </c>
    </row>
    <row r="892" spans="1:10" x14ac:dyDescent="0.25" outlineLevel="2" collapsed="1">
      <c r="A892" s="8" t="s">
        <v>19</v>
      </c>
      <c r="B892" s="9" t="s">
        <v>1667</v>
      </c>
      <c r="C892" s="8" t="s">
        <v>17</v>
      </c>
      <c r="D892" s="8"/>
      <c r="E892" s="8" t="s">
        <v>1754</v>
      </c>
      <c r="F892" s="8" t="s">
        <v>19</v>
      </c>
      <c r="G892" s="8" t="s">
        <v>17</v>
      </c>
      <c r="H892" s="8" t="s">
        <v>17</v>
      </c>
      <c r="I892" s="8" t="s">
        <v>17</v>
      </c>
      <c r="J892" s="8" t="s">
        <v>1755</v>
      </c>
    </row>
    <row r="893" spans="1:10" x14ac:dyDescent="0.25" outlineLevel="3" collapsed="1">
      <c r="A893" s="7" t="s">
        <v>15</v>
      </c>
      <c r="B893" s="7" t="s">
        <v>16</v>
      </c>
      <c r="C893" s="7" t="s">
        <v>17</v>
      </c>
      <c r="D893" s="7"/>
      <c r="E893" s="7" t="s">
        <v>1670</v>
      </c>
      <c r="F893" s="7" t="s">
        <v>19</v>
      </c>
      <c r="G893" s="7" t="s">
        <v>31</v>
      </c>
      <c r="H893" s="7" t="s">
        <v>17</v>
      </c>
      <c r="I893" s="7" t="s">
        <v>17</v>
      </c>
      <c r="J893" s="7" t="s">
        <v>637</v>
      </c>
    </row>
    <row r="894" spans="1:10" x14ac:dyDescent="0.25" outlineLevel="3" collapsed="1">
      <c r="A894" s="7" t="s">
        <v>15</v>
      </c>
      <c r="B894" s="7" t="s">
        <v>16</v>
      </c>
      <c r="C894" s="7" t="s">
        <v>17</v>
      </c>
      <c r="D894" s="7"/>
      <c r="E894" s="7" t="s">
        <v>638</v>
      </c>
      <c r="F894" s="7" t="s">
        <v>19</v>
      </c>
      <c r="G894" s="7" t="s">
        <v>31</v>
      </c>
      <c r="H894" s="7" t="s">
        <v>17</v>
      </c>
      <c r="I894" s="7" t="s">
        <v>17</v>
      </c>
      <c r="J894" s="7" t="s">
        <v>640</v>
      </c>
    </row>
    <row r="895" spans="1:10" x14ac:dyDescent="0.25" outlineLevel="3" collapsed="1">
      <c r="A895" s="7" t="s">
        <v>15</v>
      </c>
      <c r="B895" s="7" t="s">
        <v>16</v>
      </c>
      <c r="C895" s="7" t="s">
        <v>17</v>
      </c>
      <c r="D895" s="7"/>
      <c r="E895" s="7" t="s">
        <v>9</v>
      </c>
      <c r="F895" s="7" t="s">
        <v>19</v>
      </c>
      <c r="G895" s="7" t="s">
        <v>31</v>
      </c>
      <c r="H895" s="7" t="s">
        <v>17</v>
      </c>
      <c r="I895" s="7" t="s">
        <v>17</v>
      </c>
      <c r="J895" s="7" t="s">
        <v>843</v>
      </c>
    </row>
    <row r="896" spans="1:10" x14ac:dyDescent="0.25" outlineLevel="3" collapsed="1">
      <c r="A896" s="7" t="s">
        <v>19</v>
      </c>
      <c r="B896" s="7" t="s">
        <v>16</v>
      </c>
      <c r="C896" s="7" t="s">
        <v>17</v>
      </c>
      <c r="D896" s="7"/>
      <c r="E896" s="7" t="s">
        <v>1600</v>
      </c>
      <c r="F896" s="7" t="s">
        <v>19</v>
      </c>
      <c r="G896" s="7" t="s">
        <v>31</v>
      </c>
      <c r="H896" s="7" t="s">
        <v>17</v>
      </c>
      <c r="I896" s="7" t="s">
        <v>17</v>
      </c>
      <c r="J896" s="7" t="s">
        <v>1424</v>
      </c>
    </row>
    <row r="897" spans="1:10" x14ac:dyDescent="0.25" outlineLevel="3" collapsed="1">
      <c r="A897" s="7" t="s">
        <v>15</v>
      </c>
      <c r="B897" s="7" t="s">
        <v>16</v>
      </c>
      <c r="C897" s="7" t="s">
        <v>17</v>
      </c>
      <c r="D897" s="7"/>
      <c r="E897" s="7" t="s">
        <v>1601</v>
      </c>
      <c r="F897" s="7" t="s">
        <v>19</v>
      </c>
      <c r="G897" s="7" t="s">
        <v>31</v>
      </c>
      <c r="H897" s="7" t="s">
        <v>17</v>
      </c>
      <c r="I897" s="7" t="s">
        <v>17</v>
      </c>
      <c r="J897" s="7" t="s">
        <v>1602</v>
      </c>
    </row>
    <row r="898" spans="1:10" x14ac:dyDescent="0.25" outlineLevel="3" collapsed="1">
      <c r="A898" s="7" t="s">
        <v>15</v>
      </c>
      <c r="B898" s="7" t="s">
        <v>16</v>
      </c>
      <c r="C898" s="7" t="s">
        <v>17</v>
      </c>
      <c r="D898" s="7"/>
      <c r="E898" s="7" t="s">
        <v>1671</v>
      </c>
      <c r="F898" s="7" t="s">
        <v>19</v>
      </c>
      <c r="G898" s="7" t="s">
        <v>31</v>
      </c>
      <c r="H898" s="7" t="s">
        <v>17</v>
      </c>
      <c r="I898" s="7" t="s">
        <v>17</v>
      </c>
      <c r="J898" s="7" t="s">
        <v>1672</v>
      </c>
    </row>
    <row r="899" spans="1:10" x14ac:dyDescent="0.25" outlineLevel="3" collapsed="1">
      <c r="A899" s="7" t="s">
        <v>15</v>
      </c>
      <c r="B899" s="7" t="s">
        <v>16</v>
      </c>
      <c r="C899" s="7" t="s">
        <v>17</v>
      </c>
      <c r="D899" s="7"/>
      <c r="E899" s="7" t="s">
        <v>1673</v>
      </c>
      <c r="F899" s="7" t="s">
        <v>19</v>
      </c>
      <c r="G899" s="7" t="s">
        <v>31</v>
      </c>
      <c r="H899" s="7" t="s">
        <v>17</v>
      </c>
      <c r="I899" s="7" t="s">
        <v>17</v>
      </c>
      <c r="J899" s="7" t="s">
        <v>1674</v>
      </c>
    </row>
    <row r="900" spans="1:10" x14ac:dyDescent="0.25" outlineLevel="3" collapsed="1">
      <c r="A900" s="7" t="s">
        <v>15</v>
      </c>
      <c r="B900" s="7" t="s">
        <v>16</v>
      </c>
      <c r="C900" s="7" t="s">
        <v>17</v>
      </c>
      <c r="D900" s="7"/>
      <c r="E900" s="7" t="s">
        <v>1675</v>
      </c>
      <c r="F900" s="7" t="s">
        <v>19</v>
      </c>
      <c r="G900" s="7" t="s">
        <v>31</v>
      </c>
      <c r="H900" s="7" t="s">
        <v>17</v>
      </c>
      <c r="I900" s="7" t="s">
        <v>17</v>
      </c>
      <c r="J900" s="7" t="s">
        <v>1422</v>
      </c>
    </row>
    <row r="901" spans="1:10" x14ac:dyDescent="0.25" outlineLevel="3" collapsed="1">
      <c r="A901" s="7" t="s">
        <v>15</v>
      </c>
      <c r="B901" s="7" t="s">
        <v>284</v>
      </c>
      <c r="C901" s="11" t="s">
        <v>1604</v>
      </c>
      <c r="D901" s="7"/>
      <c r="E901" s="7" t="s">
        <v>1605</v>
      </c>
      <c r="F901" s="7" t="s">
        <v>19</v>
      </c>
      <c r="G901" s="7" t="s">
        <v>1606</v>
      </c>
      <c r="H901" s="7" t="s">
        <v>17</v>
      </c>
      <c r="I901" s="7" t="s">
        <v>17</v>
      </c>
      <c r="J901" s="7" t="s">
        <v>1607</v>
      </c>
    </row>
    <row r="902" spans="1:10" x14ac:dyDescent="0.25" outlineLevel="3" collapsed="1">
      <c r="A902" s="7" t="s">
        <v>19</v>
      </c>
      <c r="B902" s="7" t="s">
        <v>63</v>
      </c>
      <c r="C902" s="7" t="s">
        <v>17</v>
      </c>
      <c r="D902" s="7">
        <f>EXACT(G901,"Single value")</f>
      </c>
      <c r="E902" s="7" t="s">
        <v>1676</v>
      </c>
      <c r="F902" s="7" t="s">
        <v>19</v>
      </c>
      <c r="G902" s="7">
        <v>1</v>
      </c>
      <c r="H902" s="7" t="s">
        <v>17</v>
      </c>
      <c r="I902" s="7" t="s">
        <v>17</v>
      </c>
      <c r="J902" s="7" t="s">
        <v>1609</v>
      </c>
    </row>
    <row r="903" spans="1:10" x14ac:dyDescent="0.25" outlineLevel="3" collapsed="1">
      <c r="A903" s="7" t="s">
        <v>19</v>
      </c>
      <c r="B903" s="7" t="s">
        <v>16</v>
      </c>
      <c r="C903" s="7" t="s">
        <v>17</v>
      </c>
      <c r="D903" s="7"/>
      <c r="E903" s="7" t="s">
        <v>1677</v>
      </c>
      <c r="F903" s="7" t="s">
        <v>19</v>
      </c>
      <c r="G903" s="7" t="s">
        <v>31</v>
      </c>
      <c r="H903" s="7" t="s">
        <v>17</v>
      </c>
      <c r="I903" s="7" t="s">
        <v>17</v>
      </c>
      <c r="J903" s="7" t="s">
        <v>1678</v>
      </c>
    </row>
    <row r="904" spans="1:10" x14ac:dyDescent="0.25" outlineLevel="3" collapsed="1">
      <c r="A904" s="7" t="s">
        <v>15</v>
      </c>
      <c r="B904" s="7" t="s">
        <v>16</v>
      </c>
      <c r="C904" s="7" t="s">
        <v>17</v>
      </c>
      <c r="D904" s="7"/>
      <c r="E904" s="7" t="s">
        <v>1679</v>
      </c>
      <c r="F904" s="7" t="s">
        <v>19</v>
      </c>
      <c r="G904" s="7" t="s">
        <v>31</v>
      </c>
      <c r="H904" s="7" t="s">
        <v>17</v>
      </c>
      <c r="I904" s="7" t="s">
        <v>17</v>
      </c>
      <c r="J904" s="7" t="s">
        <v>1680</v>
      </c>
    </row>
    <row r="905" spans="1:10" x14ac:dyDescent="0.25" outlineLevel="3" collapsed="1">
      <c r="A905" s="7" t="s">
        <v>15</v>
      </c>
      <c r="B905" s="7" t="s">
        <v>284</v>
      </c>
      <c r="C905" s="11" t="s">
        <v>1611</v>
      </c>
      <c r="D905" s="7"/>
      <c r="E905" s="7" t="s">
        <v>1612</v>
      </c>
      <c r="F905" s="7" t="s">
        <v>19</v>
      </c>
      <c r="G905" s="7" t="s">
        <v>1613</v>
      </c>
      <c r="H905" s="7" t="s">
        <v>17</v>
      </c>
      <c r="I905" s="7" t="s">
        <v>17</v>
      </c>
      <c r="J905" s="7" t="s">
        <v>1614</v>
      </c>
    </row>
    <row r="906" spans="1:10" x14ac:dyDescent="0.25" outlineLevel="3" collapsed="1">
      <c r="A906" s="7" t="s">
        <v>19</v>
      </c>
      <c r="B906" s="7" t="s">
        <v>16</v>
      </c>
      <c r="C906" s="7" t="s">
        <v>17</v>
      </c>
      <c r="D906" s="7"/>
      <c r="E906" s="7" t="s">
        <v>1681</v>
      </c>
      <c r="F906" s="7" t="s">
        <v>19</v>
      </c>
      <c r="G906" s="7" t="s">
        <v>31</v>
      </c>
      <c r="H906" s="7" t="s">
        <v>17</v>
      </c>
      <c r="I906" s="7" t="s">
        <v>17</v>
      </c>
      <c r="J906" s="7" t="s">
        <v>1682</v>
      </c>
    </row>
    <row r="907" spans="1:10" x14ac:dyDescent="0.25" outlineLevel="3" collapsed="1">
      <c r="A907" s="7" t="s">
        <v>19</v>
      </c>
      <c r="B907" s="7" t="s">
        <v>16</v>
      </c>
      <c r="C907" s="7" t="s">
        <v>17</v>
      </c>
      <c r="D907" s="7"/>
      <c r="E907" s="7" t="s">
        <v>1615</v>
      </c>
      <c r="F907" s="7" t="s">
        <v>19</v>
      </c>
      <c r="G907" s="7" t="s">
        <v>31</v>
      </c>
      <c r="H907" s="7" t="s">
        <v>17</v>
      </c>
      <c r="I907" s="7" t="s">
        <v>17</v>
      </c>
      <c r="J907" s="7" t="s">
        <v>1616</v>
      </c>
    </row>
    <row r="908" spans="1:10" x14ac:dyDescent="0.25" outlineLevel="2" collapsed="1">
      <c r="A908" s="8" t="s">
        <v>19</v>
      </c>
      <c r="B908" s="9" t="s">
        <v>1667</v>
      </c>
      <c r="C908" s="8" t="s">
        <v>17</v>
      </c>
      <c r="D908" s="8"/>
      <c r="E908" s="8" t="s">
        <v>1756</v>
      </c>
      <c r="F908" s="8" t="s">
        <v>19</v>
      </c>
      <c r="G908" s="8" t="s">
        <v>17</v>
      </c>
      <c r="H908" s="8" t="s">
        <v>17</v>
      </c>
      <c r="I908" s="8" t="s">
        <v>17</v>
      </c>
      <c r="J908" s="8" t="s">
        <v>1757</v>
      </c>
    </row>
    <row r="909" spans="1:10" x14ac:dyDescent="0.25" outlineLevel="3" collapsed="1">
      <c r="A909" s="7" t="s">
        <v>15</v>
      </c>
      <c r="B909" s="7" t="s">
        <v>16</v>
      </c>
      <c r="C909" s="7" t="s">
        <v>17</v>
      </c>
      <c r="D909" s="7"/>
      <c r="E909" s="7" t="s">
        <v>1670</v>
      </c>
      <c r="F909" s="7" t="s">
        <v>19</v>
      </c>
      <c r="G909" s="7" t="s">
        <v>31</v>
      </c>
      <c r="H909" s="7" t="s">
        <v>17</v>
      </c>
      <c r="I909" s="7" t="s">
        <v>17</v>
      </c>
      <c r="J909" s="7" t="s">
        <v>637</v>
      </c>
    </row>
    <row r="910" spans="1:10" x14ac:dyDescent="0.25" outlineLevel="3" collapsed="1">
      <c r="A910" s="7" t="s">
        <v>15</v>
      </c>
      <c r="B910" s="7" t="s">
        <v>16</v>
      </c>
      <c r="C910" s="7" t="s">
        <v>17</v>
      </c>
      <c r="D910" s="7"/>
      <c r="E910" s="7" t="s">
        <v>638</v>
      </c>
      <c r="F910" s="7" t="s">
        <v>19</v>
      </c>
      <c r="G910" s="7" t="s">
        <v>31</v>
      </c>
      <c r="H910" s="7" t="s">
        <v>17</v>
      </c>
      <c r="I910" s="7" t="s">
        <v>17</v>
      </c>
      <c r="J910" s="7" t="s">
        <v>640</v>
      </c>
    </row>
    <row r="911" spans="1:10" x14ac:dyDescent="0.25" outlineLevel="3" collapsed="1">
      <c r="A911" s="7" t="s">
        <v>15</v>
      </c>
      <c r="B911" s="7" t="s">
        <v>16</v>
      </c>
      <c r="C911" s="7" t="s">
        <v>17</v>
      </c>
      <c r="D911" s="7"/>
      <c r="E911" s="7" t="s">
        <v>9</v>
      </c>
      <c r="F911" s="7" t="s">
        <v>19</v>
      </c>
      <c r="G911" s="7" t="s">
        <v>31</v>
      </c>
      <c r="H911" s="7" t="s">
        <v>17</v>
      </c>
      <c r="I911" s="7" t="s">
        <v>17</v>
      </c>
      <c r="J911" s="7" t="s">
        <v>843</v>
      </c>
    </row>
    <row r="912" spans="1:10" x14ac:dyDescent="0.25" outlineLevel="3" collapsed="1">
      <c r="A912" s="7" t="s">
        <v>19</v>
      </c>
      <c r="B912" s="7" t="s">
        <v>16</v>
      </c>
      <c r="C912" s="7" t="s">
        <v>17</v>
      </c>
      <c r="D912" s="7"/>
      <c r="E912" s="7" t="s">
        <v>1600</v>
      </c>
      <c r="F912" s="7" t="s">
        <v>19</v>
      </c>
      <c r="G912" s="7" t="s">
        <v>31</v>
      </c>
      <c r="H912" s="7" t="s">
        <v>17</v>
      </c>
      <c r="I912" s="7" t="s">
        <v>17</v>
      </c>
      <c r="J912" s="7" t="s">
        <v>1424</v>
      </c>
    </row>
    <row r="913" spans="1:10" x14ac:dyDescent="0.25" outlineLevel="3" collapsed="1">
      <c r="A913" s="7" t="s">
        <v>15</v>
      </c>
      <c r="B913" s="7" t="s">
        <v>16</v>
      </c>
      <c r="C913" s="7" t="s">
        <v>17</v>
      </c>
      <c r="D913" s="7"/>
      <c r="E913" s="7" t="s">
        <v>1601</v>
      </c>
      <c r="F913" s="7" t="s">
        <v>19</v>
      </c>
      <c r="G913" s="7" t="s">
        <v>31</v>
      </c>
      <c r="H913" s="7" t="s">
        <v>17</v>
      </c>
      <c r="I913" s="7" t="s">
        <v>17</v>
      </c>
      <c r="J913" s="7" t="s">
        <v>1602</v>
      </c>
    </row>
    <row r="914" spans="1:10" x14ac:dyDescent="0.25" outlineLevel="3" collapsed="1">
      <c r="A914" s="7" t="s">
        <v>15</v>
      </c>
      <c r="B914" s="7" t="s">
        <v>16</v>
      </c>
      <c r="C914" s="7" t="s">
        <v>17</v>
      </c>
      <c r="D914" s="7"/>
      <c r="E914" s="7" t="s">
        <v>1671</v>
      </c>
      <c r="F914" s="7" t="s">
        <v>19</v>
      </c>
      <c r="G914" s="7" t="s">
        <v>31</v>
      </c>
      <c r="H914" s="7" t="s">
        <v>17</v>
      </c>
      <c r="I914" s="7" t="s">
        <v>17</v>
      </c>
      <c r="J914" s="7" t="s">
        <v>1672</v>
      </c>
    </row>
    <row r="915" spans="1:10" x14ac:dyDescent="0.25" outlineLevel="3" collapsed="1">
      <c r="A915" s="7" t="s">
        <v>15</v>
      </c>
      <c r="B915" s="7" t="s">
        <v>16</v>
      </c>
      <c r="C915" s="7" t="s">
        <v>17</v>
      </c>
      <c r="D915" s="7"/>
      <c r="E915" s="7" t="s">
        <v>1673</v>
      </c>
      <c r="F915" s="7" t="s">
        <v>19</v>
      </c>
      <c r="G915" s="7" t="s">
        <v>31</v>
      </c>
      <c r="H915" s="7" t="s">
        <v>17</v>
      </c>
      <c r="I915" s="7" t="s">
        <v>17</v>
      </c>
      <c r="J915" s="7" t="s">
        <v>1674</v>
      </c>
    </row>
    <row r="916" spans="1:10" x14ac:dyDescent="0.25" outlineLevel="3" collapsed="1">
      <c r="A916" s="7" t="s">
        <v>15</v>
      </c>
      <c r="B916" s="7" t="s">
        <v>16</v>
      </c>
      <c r="C916" s="7" t="s">
        <v>17</v>
      </c>
      <c r="D916" s="7"/>
      <c r="E916" s="7" t="s">
        <v>1675</v>
      </c>
      <c r="F916" s="7" t="s">
        <v>19</v>
      </c>
      <c r="G916" s="7" t="s">
        <v>31</v>
      </c>
      <c r="H916" s="7" t="s">
        <v>17</v>
      </c>
      <c r="I916" s="7" t="s">
        <v>17</v>
      </c>
      <c r="J916" s="7" t="s">
        <v>1422</v>
      </c>
    </row>
    <row r="917" spans="1:10" x14ac:dyDescent="0.25" outlineLevel="3" collapsed="1">
      <c r="A917" s="7" t="s">
        <v>15</v>
      </c>
      <c r="B917" s="7" t="s">
        <v>284</v>
      </c>
      <c r="C917" s="11" t="s">
        <v>1604</v>
      </c>
      <c r="D917" s="7"/>
      <c r="E917" s="7" t="s">
        <v>1605</v>
      </c>
      <c r="F917" s="7" t="s">
        <v>19</v>
      </c>
      <c r="G917" s="7" t="s">
        <v>1606</v>
      </c>
      <c r="H917" s="7" t="s">
        <v>17</v>
      </c>
      <c r="I917" s="7" t="s">
        <v>17</v>
      </c>
      <c r="J917" s="7" t="s">
        <v>1607</v>
      </c>
    </row>
    <row r="918" spans="1:10" x14ac:dyDescent="0.25" outlineLevel="3" collapsed="1">
      <c r="A918" s="7" t="s">
        <v>19</v>
      </c>
      <c r="B918" s="7" t="s">
        <v>63</v>
      </c>
      <c r="C918" s="7" t="s">
        <v>17</v>
      </c>
      <c r="D918" s="7">
        <f>EXACT(G917,"Single value")</f>
      </c>
      <c r="E918" s="7" t="s">
        <v>1676</v>
      </c>
      <c r="F918" s="7" t="s">
        <v>19</v>
      </c>
      <c r="G918" s="7">
        <v>1</v>
      </c>
      <c r="H918" s="7" t="s">
        <v>17</v>
      </c>
      <c r="I918" s="7" t="s">
        <v>17</v>
      </c>
      <c r="J918" s="7" t="s">
        <v>1609</v>
      </c>
    </row>
    <row r="919" spans="1:10" x14ac:dyDescent="0.25" outlineLevel="3" collapsed="1">
      <c r="A919" s="7" t="s">
        <v>19</v>
      </c>
      <c r="B919" s="7" t="s">
        <v>16</v>
      </c>
      <c r="C919" s="7" t="s">
        <v>17</v>
      </c>
      <c r="D919" s="7"/>
      <c r="E919" s="7" t="s">
        <v>1677</v>
      </c>
      <c r="F919" s="7" t="s">
        <v>19</v>
      </c>
      <c r="G919" s="7" t="s">
        <v>31</v>
      </c>
      <c r="H919" s="7" t="s">
        <v>17</v>
      </c>
      <c r="I919" s="7" t="s">
        <v>17</v>
      </c>
      <c r="J919" s="7" t="s">
        <v>1678</v>
      </c>
    </row>
    <row r="920" spans="1:10" x14ac:dyDescent="0.25" outlineLevel="3" collapsed="1">
      <c r="A920" s="7" t="s">
        <v>15</v>
      </c>
      <c r="B920" s="7" t="s">
        <v>16</v>
      </c>
      <c r="C920" s="7" t="s">
        <v>17</v>
      </c>
      <c r="D920" s="7"/>
      <c r="E920" s="7" t="s">
        <v>1679</v>
      </c>
      <c r="F920" s="7" t="s">
        <v>19</v>
      </c>
      <c r="G920" s="7" t="s">
        <v>31</v>
      </c>
      <c r="H920" s="7" t="s">
        <v>17</v>
      </c>
      <c r="I920" s="7" t="s">
        <v>17</v>
      </c>
      <c r="J920" s="7" t="s">
        <v>1680</v>
      </c>
    </row>
    <row r="921" spans="1:10" x14ac:dyDescent="0.25" outlineLevel="3" collapsed="1">
      <c r="A921" s="7" t="s">
        <v>15</v>
      </c>
      <c r="B921" s="7" t="s">
        <v>284</v>
      </c>
      <c r="C921" s="11" t="s">
        <v>1611</v>
      </c>
      <c r="D921" s="7"/>
      <c r="E921" s="7" t="s">
        <v>1612</v>
      </c>
      <c r="F921" s="7" t="s">
        <v>19</v>
      </c>
      <c r="G921" s="7" t="s">
        <v>1613</v>
      </c>
      <c r="H921" s="7" t="s">
        <v>17</v>
      </c>
      <c r="I921" s="7" t="s">
        <v>17</v>
      </c>
      <c r="J921" s="7" t="s">
        <v>1614</v>
      </c>
    </row>
    <row r="922" spans="1:10" x14ac:dyDescent="0.25" outlineLevel="3" collapsed="1">
      <c r="A922" s="7" t="s">
        <v>19</v>
      </c>
      <c r="B922" s="7" t="s">
        <v>16</v>
      </c>
      <c r="C922" s="7" t="s">
        <v>17</v>
      </c>
      <c r="D922" s="7"/>
      <c r="E922" s="7" t="s">
        <v>1681</v>
      </c>
      <c r="F922" s="7" t="s">
        <v>19</v>
      </c>
      <c r="G922" s="7" t="s">
        <v>31</v>
      </c>
      <c r="H922" s="7" t="s">
        <v>17</v>
      </c>
      <c r="I922" s="7" t="s">
        <v>17</v>
      </c>
      <c r="J922" s="7" t="s">
        <v>1682</v>
      </c>
    </row>
    <row r="923" spans="1:10" x14ac:dyDescent="0.25" outlineLevel="3" collapsed="1">
      <c r="A923" s="7" t="s">
        <v>19</v>
      </c>
      <c r="B923" s="7" t="s">
        <v>16</v>
      </c>
      <c r="C923" s="7" t="s">
        <v>17</v>
      </c>
      <c r="D923" s="7"/>
      <c r="E923" s="7" t="s">
        <v>1615</v>
      </c>
      <c r="F923" s="7" t="s">
        <v>19</v>
      </c>
      <c r="G923" s="7" t="s">
        <v>31</v>
      </c>
      <c r="H923" s="7" t="s">
        <v>17</v>
      </c>
      <c r="I923" s="7" t="s">
        <v>17</v>
      </c>
      <c r="J923" s="7" t="s">
        <v>1616</v>
      </c>
    </row>
    <row r="924" spans="1:10" x14ac:dyDescent="0.25" outlineLevel="2" collapsed="1">
      <c r="A924" s="8" t="s">
        <v>19</v>
      </c>
      <c r="B924" s="9" t="s">
        <v>1667</v>
      </c>
      <c r="C924" s="8" t="s">
        <v>17</v>
      </c>
      <c r="D924" s="8"/>
      <c r="E924" s="8" t="s">
        <v>1758</v>
      </c>
      <c r="F924" s="8" t="s">
        <v>19</v>
      </c>
      <c r="G924" s="8" t="s">
        <v>17</v>
      </c>
      <c r="H924" s="8" t="s">
        <v>17</v>
      </c>
      <c r="I924" s="8" t="s">
        <v>17</v>
      </c>
      <c r="J924" s="8" t="s">
        <v>1759</v>
      </c>
    </row>
    <row r="925" spans="1:10" x14ac:dyDescent="0.25" outlineLevel="3" collapsed="1">
      <c r="A925" s="7" t="s">
        <v>15</v>
      </c>
      <c r="B925" s="7" t="s">
        <v>16</v>
      </c>
      <c r="C925" s="7" t="s">
        <v>17</v>
      </c>
      <c r="D925" s="7"/>
      <c r="E925" s="7" t="s">
        <v>1670</v>
      </c>
      <c r="F925" s="7" t="s">
        <v>19</v>
      </c>
      <c r="G925" s="7" t="s">
        <v>31</v>
      </c>
      <c r="H925" s="7" t="s">
        <v>17</v>
      </c>
      <c r="I925" s="7" t="s">
        <v>17</v>
      </c>
      <c r="J925" s="7" t="s">
        <v>637</v>
      </c>
    </row>
    <row r="926" spans="1:10" x14ac:dyDescent="0.25" outlineLevel="3" collapsed="1">
      <c r="A926" s="7" t="s">
        <v>15</v>
      </c>
      <c r="B926" s="7" t="s">
        <v>16</v>
      </c>
      <c r="C926" s="7" t="s">
        <v>17</v>
      </c>
      <c r="D926" s="7"/>
      <c r="E926" s="7" t="s">
        <v>638</v>
      </c>
      <c r="F926" s="7" t="s">
        <v>19</v>
      </c>
      <c r="G926" s="7" t="s">
        <v>31</v>
      </c>
      <c r="H926" s="7" t="s">
        <v>17</v>
      </c>
      <c r="I926" s="7" t="s">
        <v>17</v>
      </c>
      <c r="J926" s="7" t="s">
        <v>640</v>
      </c>
    </row>
    <row r="927" spans="1:10" x14ac:dyDescent="0.25" outlineLevel="3" collapsed="1">
      <c r="A927" s="7" t="s">
        <v>15</v>
      </c>
      <c r="B927" s="7" t="s">
        <v>16</v>
      </c>
      <c r="C927" s="7" t="s">
        <v>17</v>
      </c>
      <c r="D927" s="7"/>
      <c r="E927" s="7" t="s">
        <v>9</v>
      </c>
      <c r="F927" s="7" t="s">
        <v>19</v>
      </c>
      <c r="G927" s="7" t="s">
        <v>31</v>
      </c>
      <c r="H927" s="7" t="s">
        <v>17</v>
      </c>
      <c r="I927" s="7" t="s">
        <v>17</v>
      </c>
      <c r="J927" s="7" t="s">
        <v>843</v>
      </c>
    </row>
    <row r="928" spans="1:10" x14ac:dyDescent="0.25" outlineLevel="3" collapsed="1">
      <c r="A928" s="7" t="s">
        <v>19</v>
      </c>
      <c r="B928" s="7" t="s">
        <v>16</v>
      </c>
      <c r="C928" s="7" t="s">
        <v>17</v>
      </c>
      <c r="D928" s="7"/>
      <c r="E928" s="7" t="s">
        <v>1600</v>
      </c>
      <c r="F928" s="7" t="s">
        <v>19</v>
      </c>
      <c r="G928" s="7" t="s">
        <v>31</v>
      </c>
      <c r="H928" s="7" t="s">
        <v>17</v>
      </c>
      <c r="I928" s="7" t="s">
        <v>17</v>
      </c>
      <c r="J928" s="7" t="s">
        <v>1424</v>
      </c>
    </row>
    <row r="929" spans="1:10" x14ac:dyDescent="0.25" outlineLevel="3" collapsed="1">
      <c r="A929" s="7" t="s">
        <v>15</v>
      </c>
      <c r="B929" s="7" t="s">
        <v>16</v>
      </c>
      <c r="C929" s="7" t="s">
        <v>17</v>
      </c>
      <c r="D929" s="7"/>
      <c r="E929" s="7" t="s">
        <v>1601</v>
      </c>
      <c r="F929" s="7" t="s">
        <v>19</v>
      </c>
      <c r="G929" s="7" t="s">
        <v>31</v>
      </c>
      <c r="H929" s="7" t="s">
        <v>17</v>
      </c>
      <c r="I929" s="7" t="s">
        <v>17</v>
      </c>
      <c r="J929" s="7" t="s">
        <v>1602</v>
      </c>
    </row>
    <row r="930" spans="1:10" x14ac:dyDescent="0.25" outlineLevel="3" collapsed="1">
      <c r="A930" s="7" t="s">
        <v>15</v>
      </c>
      <c r="B930" s="7" t="s">
        <v>16</v>
      </c>
      <c r="C930" s="7" t="s">
        <v>17</v>
      </c>
      <c r="D930" s="7"/>
      <c r="E930" s="7" t="s">
        <v>1671</v>
      </c>
      <c r="F930" s="7" t="s">
        <v>19</v>
      </c>
      <c r="G930" s="7" t="s">
        <v>31</v>
      </c>
      <c r="H930" s="7" t="s">
        <v>17</v>
      </c>
      <c r="I930" s="7" t="s">
        <v>17</v>
      </c>
      <c r="J930" s="7" t="s">
        <v>1672</v>
      </c>
    </row>
    <row r="931" spans="1:10" x14ac:dyDescent="0.25" outlineLevel="3" collapsed="1">
      <c r="A931" s="7" t="s">
        <v>15</v>
      </c>
      <c r="B931" s="7" t="s">
        <v>16</v>
      </c>
      <c r="C931" s="7" t="s">
        <v>17</v>
      </c>
      <c r="D931" s="7"/>
      <c r="E931" s="7" t="s">
        <v>1673</v>
      </c>
      <c r="F931" s="7" t="s">
        <v>19</v>
      </c>
      <c r="G931" s="7" t="s">
        <v>31</v>
      </c>
      <c r="H931" s="7" t="s">
        <v>17</v>
      </c>
      <c r="I931" s="7" t="s">
        <v>17</v>
      </c>
      <c r="J931" s="7" t="s">
        <v>1674</v>
      </c>
    </row>
    <row r="932" spans="1:10" x14ac:dyDescent="0.25" outlineLevel="3" collapsed="1">
      <c r="A932" s="7" t="s">
        <v>15</v>
      </c>
      <c r="B932" s="7" t="s">
        <v>16</v>
      </c>
      <c r="C932" s="7" t="s">
        <v>17</v>
      </c>
      <c r="D932" s="7"/>
      <c r="E932" s="7" t="s">
        <v>1675</v>
      </c>
      <c r="F932" s="7" t="s">
        <v>19</v>
      </c>
      <c r="G932" s="7" t="s">
        <v>31</v>
      </c>
      <c r="H932" s="7" t="s">
        <v>17</v>
      </c>
      <c r="I932" s="7" t="s">
        <v>17</v>
      </c>
      <c r="J932" s="7" t="s">
        <v>1422</v>
      </c>
    </row>
    <row r="933" spans="1:10" x14ac:dyDescent="0.25" outlineLevel="3" collapsed="1">
      <c r="A933" s="7" t="s">
        <v>15</v>
      </c>
      <c r="B933" s="7" t="s">
        <v>284</v>
      </c>
      <c r="C933" s="11" t="s">
        <v>1604</v>
      </c>
      <c r="D933" s="7"/>
      <c r="E933" s="7" t="s">
        <v>1605</v>
      </c>
      <c r="F933" s="7" t="s">
        <v>19</v>
      </c>
      <c r="G933" s="7" t="s">
        <v>1606</v>
      </c>
      <c r="H933" s="7" t="s">
        <v>17</v>
      </c>
      <c r="I933" s="7" t="s">
        <v>17</v>
      </c>
      <c r="J933" s="7" t="s">
        <v>1607</v>
      </c>
    </row>
    <row r="934" spans="1:10" x14ac:dyDescent="0.25" outlineLevel="3" collapsed="1">
      <c r="A934" s="7" t="s">
        <v>19</v>
      </c>
      <c r="B934" s="7" t="s">
        <v>63</v>
      </c>
      <c r="C934" s="7" t="s">
        <v>17</v>
      </c>
      <c r="D934" s="7">
        <f>EXACT(G933,"Single value")</f>
      </c>
      <c r="E934" s="7" t="s">
        <v>1676</v>
      </c>
      <c r="F934" s="7" t="s">
        <v>19</v>
      </c>
      <c r="G934" s="7">
        <v>1</v>
      </c>
      <c r="H934" s="7" t="s">
        <v>17</v>
      </c>
      <c r="I934" s="7" t="s">
        <v>17</v>
      </c>
      <c r="J934" s="7" t="s">
        <v>1609</v>
      </c>
    </row>
    <row r="935" spans="1:10" x14ac:dyDescent="0.25" outlineLevel="3" collapsed="1">
      <c r="A935" s="7" t="s">
        <v>19</v>
      </c>
      <c r="B935" s="7" t="s">
        <v>16</v>
      </c>
      <c r="C935" s="7" t="s">
        <v>17</v>
      </c>
      <c r="D935" s="7"/>
      <c r="E935" s="7" t="s">
        <v>1677</v>
      </c>
      <c r="F935" s="7" t="s">
        <v>19</v>
      </c>
      <c r="G935" s="7" t="s">
        <v>31</v>
      </c>
      <c r="H935" s="7" t="s">
        <v>17</v>
      </c>
      <c r="I935" s="7" t="s">
        <v>17</v>
      </c>
      <c r="J935" s="7" t="s">
        <v>1678</v>
      </c>
    </row>
    <row r="936" spans="1:10" x14ac:dyDescent="0.25" outlineLevel="3" collapsed="1">
      <c r="A936" s="7" t="s">
        <v>15</v>
      </c>
      <c r="B936" s="7" t="s">
        <v>16</v>
      </c>
      <c r="C936" s="7" t="s">
        <v>17</v>
      </c>
      <c r="D936" s="7"/>
      <c r="E936" s="7" t="s">
        <v>1679</v>
      </c>
      <c r="F936" s="7" t="s">
        <v>19</v>
      </c>
      <c r="G936" s="7" t="s">
        <v>31</v>
      </c>
      <c r="H936" s="7" t="s">
        <v>17</v>
      </c>
      <c r="I936" s="7" t="s">
        <v>17</v>
      </c>
      <c r="J936" s="7" t="s">
        <v>1680</v>
      </c>
    </row>
    <row r="937" spans="1:10" x14ac:dyDescent="0.25" outlineLevel="3" collapsed="1">
      <c r="A937" s="7" t="s">
        <v>15</v>
      </c>
      <c r="B937" s="7" t="s">
        <v>284</v>
      </c>
      <c r="C937" s="11" t="s">
        <v>1611</v>
      </c>
      <c r="D937" s="7"/>
      <c r="E937" s="7" t="s">
        <v>1612</v>
      </c>
      <c r="F937" s="7" t="s">
        <v>19</v>
      </c>
      <c r="G937" s="7" t="s">
        <v>1613</v>
      </c>
      <c r="H937" s="7" t="s">
        <v>17</v>
      </c>
      <c r="I937" s="7" t="s">
        <v>17</v>
      </c>
      <c r="J937" s="7" t="s">
        <v>1614</v>
      </c>
    </row>
    <row r="938" spans="1:10" x14ac:dyDescent="0.25" outlineLevel="3" collapsed="1">
      <c r="A938" s="7" t="s">
        <v>19</v>
      </c>
      <c r="B938" s="7" t="s">
        <v>16</v>
      </c>
      <c r="C938" s="7" t="s">
        <v>17</v>
      </c>
      <c r="D938" s="7"/>
      <c r="E938" s="7" t="s">
        <v>1681</v>
      </c>
      <c r="F938" s="7" t="s">
        <v>19</v>
      </c>
      <c r="G938" s="7" t="s">
        <v>31</v>
      </c>
      <c r="H938" s="7" t="s">
        <v>17</v>
      </c>
      <c r="I938" s="7" t="s">
        <v>17</v>
      </c>
      <c r="J938" s="7" t="s">
        <v>1682</v>
      </c>
    </row>
    <row r="939" spans="1:10" x14ac:dyDescent="0.25" outlineLevel="3" collapsed="1">
      <c r="A939" s="7" t="s">
        <v>19</v>
      </c>
      <c r="B939" s="7" t="s">
        <v>16</v>
      </c>
      <c r="C939" s="7" t="s">
        <v>17</v>
      </c>
      <c r="D939" s="7"/>
      <c r="E939" s="7" t="s">
        <v>1615</v>
      </c>
      <c r="F939" s="7" t="s">
        <v>19</v>
      </c>
      <c r="G939" s="7" t="s">
        <v>31</v>
      </c>
      <c r="H939" s="7" t="s">
        <v>17</v>
      </c>
      <c r="I939" s="7" t="s">
        <v>17</v>
      </c>
      <c r="J939" s="7" t="s">
        <v>1616</v>
      </c>
    </row>
    <row r="940" spans="1:10" x14ac:dyDescent="0.25" outlineLevel="2" collapsed="1">
      <c r="A940" s="8" t="s">
        <v>19</v>
      </c>
      <c r="B940" s="9" t="s">
        <v>1667</v>
      </c>
      <c r="C940" s="8" t="s">
        <v>17</v>
      </c>
      <c r="D940" s="8"/>
      <c r="E940" s="8" t="s">
        <v>1760</v>
      </c>
      <c r="F940" s="8" t="s">
        <v>19</v>
      </c>
      <c r="G940" s="8" t="s">
        <v>17</v>
      </c>
      <c r="H940" s="8" t="s">
        <v>17</v>
      </c>
      <c r="I940" s="8" t="s">
        <v>17</v>
      </c>
      <c r="J940" s="8" t="s">
        <v>1761</v>
      </c>
    </row>
    <row r="941" spans="1:10" x14ac:dyDescent="0.25" outlineLevel="3" collapsed="1">
      <c r="A941" s="7" t="s">
        <v>15</v>
      </c>
      <c r="B941" s="7" t="s">
        <v>16</v>
      </c>
      <c r="C941" s="7" t="s">
        <v>17</v>
      </c>
      <c r="D941" s="7"/>
      <c r="E941" s="7" t="s">
        <v>1670</v>
      </c>
      <c r="F941" s="7" t="s">
        <v>19</v>
      </c>
      <c r="G941" s="7" t="s">
        <v>31</v>
      </c>
      <c r="H941" s="7" t="s">
        <v>17</v>
      </c>
      <c r="I941" s="7" t="s">
        <v>17</v>
      </c>
      <c r="J941" s="7" t="s">
        <v>637</v>
      </c>
    </row>
    <row r="942" spans="1:10" x14ac:dyDescent="0.25" outlineLevel="3" collapsed="1">
      <c r="A942" s="7" t="s">
        <v>15</v>
      </c>
      <c r="B942" s="7" t="s">
        <v>16</v>
      </c>
      <c r="C942" s="7" t="s">
        <v>17</v>
      </c>
      <c r="D942" s="7"/>
      <c r="E942" s="7" t="s">
        <v>638</v>
      </c>
      <c r="F942" s="7" t="s">
        <v>19</v>
      </c>
      <c r="G942" s="7" t="s">
        <v>31</v>
      </c>
      <c r="H942" s="7" t="s">
        <v>17</v>
      </c>
      <c r="I942" s="7" t="s">
        <v>17</v>
      </c>
      <c r="J942" s="7" t="s">
        <v>640</v>
      </c>
    </row>
    <row r="943" spans="1:10" x14ac:dyDescent="0.25" outlineLevel="3" collapsed="1">
      <c r="A943" s="7" t="s">
        <v>15</v>
      </c>
      <c r="B943" s="7" t="s">
        <v>16</v>
      </c>
      <c r="C943" s="7" t="s">
        <v>17</v>
      </c>
      <c r="D943" s="7"/>
      <c r="E943" s="7" t="s">
        <v>9</v>
      </c>
      <c r="F943" s="7" t="s">
        <v>19</v>
      </c>
      <c r="G943" s="7" t="s">
        <v>31</v>
      </c>
      <c r="H943" s="7" t="s">
        <v>17</v>
      </c>
      <c r="I943" s="7" t="s">
        <v>17</v>
      </c>
      <c r="J943" s="7" t="s">
        <v>843</v>
      </c>
    </row>
    <row r="944" spans="1:10" x14ac:dyDescent="0.25" outlineLevel="3" collapsed="1">
      <c r="A944" s="7" t="s">
        <v>19</v>
      </c>
      <c r="B944" s="7" t="s">
        <v>16</v>
      </c>
      <c r="C944" s="7" t="s">
        <v>17</v>
      </c>
      <c r="D944" s="7"/>
      <c r="E944" s="7" t="s">
        <v>1600</v>
      </c>
      <c r="F944" s="7" t="s">
        <v>19</v>
      </c>
      <c r="G944" s="7" t="s">
        <v>31</v>
      </c>
      <c r="H944" s="7" t="s">
        <v>17</v>
      </c>
      <c r="I944" s="7" t="s">
        <v>17</v>
      </c>
      <c r="J944" s="7" t="s">
        <v>1424</v>
      </c>
    </row>
    <row r="945" spans="1:10" x14ac:dyDescent="0.25" outlineLevel="3" collapsed="1">
      <c r="A945" s="7" t="s">
        <v>15</v>
      </c>
      <c r="B945" s="7" t="s">
        <v>16</v>
      </c>
      <c r="C945" s="7" t="s">
        <v>17</v>
      </c>
      <c r="D945" s="7"/>
      <c r="E945" s="7" t="s">
        <v>1601</v>
      </c>
      <c r="F945" s="7" t="s">
        <v>19</v>
      </c>
      <c r="G945" s="7" t="s">
        <v>31</v>
      </c>
      <c r="H945" s="7" t="s">
        <v>17</v>
      </c>
      <c r="I945" s="7" t="s">
        <v>17</v>
      </c>
      <c r="J945" s="7" t="s">
        <v>1602</v>
      </c>
    </row>
    <row r="946" spans="1:10" x14ac:dyDescent="0.25" outlineLevel="3" collapsed="1">
      <c r="A946" s="7" t="s">
        <v>15</v>
      </c>
      <c r="B946" s="7" t="s">
        <v>16</v>
      </c>
      <c r="C946" s="7" t="s">
        <v>17</v>
      </c>
      <c r="D946" s="7"/>
      <c r="E946" s="7" t="s">
        <v>1671</v>
      </c>
      <c r="F946" s="7" t="s">
        <v>19</v>
      </c>
      <c r="G946" s="7" t="s">
        <v>31</v>
      </c>
      <c r="H946" s="7" t="s">
        <v>17</v>
      </c>
      <c r="I946" s="7" t="s">
        <v>17</v>
      </c>
      <c r="J946" s="7" t="s">
        <v>1672</v>
      </c>
    </row>
    <row r="947" spans="1:10" x14ac:dyDescent="0.25" outlineLevel="3" collapsed="1">
      <c r="A947" s="7" t="s">
        <v>15</v>
      </c>
      <c r="B947" s="7" t="s">
        <v>16</v>
      </c>
      <c r="C947" s="7" t="s">
        <v>17</v>
      </c>
      <c r="D947" s="7"/>
      <c r="E947" s="7" t="s">
        <v>1673</v>
      </c>
      <c r="F947" s="7" t="s">
        <v>19</v>
      </c>
      <c r="G947" s="7" t="s">
        <v>31</v>
      </c>
      <c r="H947" s="7" t="s">
        <v>17</v>
      </c>
      <c r="I947" s="7" t="s">
        <v>17</v>
      </c>
      <c r="J947" s="7" t="s">
        <v>1674</v>
      </c>
    </row>
    <row r="948" spans="1:10" x14ac:dyDescent="0.25" outlineLevel="3" collapsed="1">
      <c r="A948" s="7" t="s">
        <v>15</v>
      </c>
      <c r="B948" s="7" t="s">
        <v>16</v>
      </c>
      <c r="C948" s="7" t="s">
        <v>17</v>
      </c>
      <c r="D948" s="7"/>
      <c r="E948" s="7" t="s">
        <v>1675</v>
      </c>
      <c r="F948" s="7" t="s">
        <v>19</v>
      </c>
      <c r="G948" s="7" t="s">
        <v>31</v>
      </c>
      <c r="H948" s="7" t="s">
        <v>17</v>
      </c>
      <c r="I948" s="7" t="s">
        <v>17</v>
      </c>
      <c r="J948" s="7" t="s">
        <v>1422</v>
      </c>
    </row>
    <row r="949" spans="1:10" x14ac:dyDescent="0.25" outlineLevel="3" collapsed="1">
      <c r="A949" s="7" t="s">
        <v>15</v>
      </c>
      <c r="B949" s="7" t="s">
        <v>284</v>
      </c>
      <c r="C949" s="11" t="s">
        <v>1604</v>
      </c>
      <c r="D949" s="7"/>
      <c r="E949" s="7" t="s">
        <v>1605</v>
      </c>
      <c r="F949" s="7" t="s">
        <v>19</v>
      </c>
      <c r="G949" s="7" t="s">
        <v>1606</v>
      </c>
      <c r="H949" s="7" t="s">
        <v>17</v>
      </c>
      <c r="I949" s="7" t="s">
        <v>17</v>
      </c>
      <c r="J949" s="7" t="s">
        <v>1607</v>
      </c>
    </row>
    <row r="950" spans="1:10" x14ac:dyDescent="0.25" outlineLevel="3" collapsed="1">
      <c r="A950" s="7" t="s">
        <v>19</v>
      </c>
      <c r="B950" s="7" t="s">
        <v>63</v>
      </c>
      <c r="C950" s="7" t="s">
        <v>17</v>
      </c>
      <c r="D950" s="7">
        <f>EXACT(G949,"Single value")</f>
      </c>
      <c r="E950" s="7" t="s">
        <v>1676</v>
      </c>
      <c r="F950" s="7" t="s">
        <v>19</v>
      </c>
      <c r="G950" s="7">
        <v>1</v>
      </c>
      <c r="H950" s="7" t="s">
        <v>17</v>
      </c>
      <c r="I950" s="7" t="s">
        <v>17</v>
      </c>
      <c r="J950" s="7" t="s">
        <v>1609</v>
      </c>
    </row>
    <row r="951" spans="1:10" x14ac:dyDescent="0.25" outlineLevel="3" collapsed="1">
      <c r="A951" s="7" t="s">
        <v>19</v>
      </c>
      <c r="B951" s="7" t="s">
        <v>16</v>
      </c>
      <c r="C951" s="7" t="s">
        <v>17</v>
      </c>
      <c r="D951" s="7"/>
      <c r="E951" s="7" t="s">
        <v>1677</v>
      </c>
      <c r="F951" s="7" t="s">
        <v>19</v>
      </c>
      <c r="G951" s="7" t="s">
        <v>31</v>
      </c>
      <c r="H951" s="7" t="s">
        <v>17</v>
      </c>
      <c r="I951" s="7" t="s">
        <v>17</v>
      </c>
      <c r="J951" s="7" t="s">
        <v>1678</v>
      </c>
    </row>
    <row r="952" spans="1:10" x14ac:dyDescent="0.25" outlineLevel="3" collapsed="1">
      <c r="A952" s="7" t="s">
        <v>15</v>
      </c>
      <c r="B952" s="7" t="s">
        <v>16</v>
      </c>
      <c r="C952" s="7" t="s">
        <v>17</v>
      </c>
      <c r="D952" s="7"/>
      <c r="E952" s="7" t="s">
        <v>1679</v>
      </c>
      <c r="F952" s="7" t="s">
        <v>19</v>
      </c>
      <c r="G952" s="7" t="s">
        <v>31</v>
      </c>
      <c r="H952" s="7" t="s">
        <v>17</v>
      </c>
      <c r="I952" s="7" t="s">
        <v>17</v>
      </c>
      <c r="J952" s="7" t="s">
        <v>1680</v>
      </c>
    </row>
    <row r="953" spans="1:10" x14ac:dyDescent="0.25" outlineLevel="3" collapsed="1">
      <c r="A953" s="7" t="s">
        <v>15</v>
      </c>
      <c r="B953" s="7" t="s">
        <v>284</v>
      </c>
      <c r="C953" s="11" t="s">
        <v>1611</v>
      </c>
      <c r="D953" s="7"/>
      <c r="E953" s="7" t="s">
        <v>1612</v>
      </c>
      <c r="F953" s="7" t="s">
        <v>19</v>
      </c>
      <c r="G953" s="7" t="s">
        <v>1613</v>
      </c>
      <c r="H953" s="7" t="s">
        <v>17</v>
      </c>
      <c r="I953" s="7" t="s">
        <v>17</v>
      </c>
      <c r="J953" s="7" t="s">
        <v>1614</v>
      </c>
    </row>
    <row r="954" spans="1:10" x14ac:dyDescent="0.25" outlineLevel="3" collapsed="1">
      <c r="A954" s="7" t="s">
        <v>19</v>
      </c>
      <c r="B954" s="7" t="s">
        <v>16</v>
      </c>
      <c r="C954" s="7" t="s">
        <v>17</v>
      </c>
      <c r="D954" s="7"/>
      <c r="E954" s="7" t="s">
        <v>1681</v>
      </c>
      <c r="F954" s="7" t="s">
        <v>19</v>
      </c>
      <c r="G954" s="7" t="s">
        <v>31</v>
      </c>
      <c r="H954" s="7" t="s">
        <v>17</v>
      </c>
      <c r="I954" s="7" t="s">
        <v>17</v>
      </c>
      <c r="J954" s="7" t="s">
        <v>1682</v>
      </c>
    </row>
    <row r="955" spans="1:10" x14ac:dyDescent="0.25" outlineLevel="3" collapsed="1">
      <c r="A955" s="7" t="s">
        <v>19</v>
      </c>
      <c r="B955" s="7" t="s">
        <v>16</v>
      </c>
      <c r="C955" s="7" t="s">
        <v>17</v>
      </c>
      <c r="D955" s="7"/>
      <c r="E955" s="7" t="s">
        <v>1615</v>
      </c>
      <c r="F955" s="7" t="s">
        <v>19</v>
      </c>
      <c r="G955" s="7" t="s">
        <v>31</v>
      </c>
      <c r="H955" s="7" t="s">
        <v>17</v>
      </c>
      <c r="I955" s="7" t="s">
        <v>17</v>
      </c>
      <c r="J955" s="7" t="s">
        <v>1616</v>
      </c>
    </row>
    <row r="956" spans="1:10" x14ac:dyDescent="0.25" outlineLevel="2" collapsed="1">
      <c r="A956" s="8" t="s">
        <v>19</v>
      </c>
      <c r="B956" s="9" t="s">
        <v>1667</v>
      </c>
      <c r="C956" s="8" t="s">
        <v>17</v>
      </c>
      <c r="D956" s="8"/>
      <c r="E956" s="8" t="s">
        <v>1762</v>
      </c>
      <c r="F956" s="8" t="s">
        <v>19</v>
      </c>
      <c r="G956" s="8" t="s">
        <v>17</v>
      </c>
      <c r="H956" s="8" t="s">
        <v>17</v>
      </c>
      <c r="I956" s="8" t="s">
        <v>17</v>
      </c>
      <c r="J956" s="8" t="s">
        <v>1763</v>
      </c>
    </row>
    <row r="957" spans="1:10" x14ac:dyDescent="0.25" outlineLevel="3" collapsed="1">
      <c r="A957" s="7" t="s">
        <v>15</v>
      </c>
      <c r="B957" s="7" t="s">
        <v>16</v>
      </c>
      <c r="C957" s="7" t="s">
        <v>17</v>
      </c>
      <c r="D957" s="7"/>
      <c r="E957" s="7" t="s">
        <v>1670</v>
      </c>
      <c r="F957" s="7" t="s">
        <v>19</v>
      </c>
      <c r="G957" s="7" t="s">
        <v>31</v>
      </c>
      <c r="H957" s="7" t="s">
        <v>17</v>
      </c>
      <c r="I957" s="7" t="s">
        <v>17</v>
      </c>
      <c r="J957" s="7" t="s">
        <v>637</v>
      </c>
    </row>
    <row r="958" spans="1:10" x14ac:dyDescent="0.25" outlineLevel="3" collapsed="1">
      <c r="A958" s="7" t="s">
        <v>15</v>
      </c>
      <c r="B958" s="7" t="s">
        <v>16</v>
      </c>
      <c r="C958" s="7" t="s">
        <v>17</v>
      </c>
      <c r="D958" s="7"/>
      <c r="E958" s="7" t="s">
        <v>638</v>
      </c>
      <c r="F958" s="7" t="s">
        <v>19</v>
      </c>
      <c r="G958" s="7" t="s">
        <v>31</v>
      </c>
      <c r="H958" s="7" t="s">
        <v>17</v>
      </c>
      <c r="I958" s="7" t="s">
        <v>17</v>
      </c>
      <c r="J958" s="7" t="s">
        <v>640</v>
      </c>
    </row>
    <row r="959" spans="1:10" x14ac:dyDescent="0.25" outlineLevel="3" collapsed="1">
      <c r="A959" s="7" t="s">
        <v>15</v>
      </c>
      <c r="B959" s="7" t="s">
        <v>16</v>
      </c>
      <c r="C959" s="7" t="s">
        <v>17</v>
      </c>
      <c r="D959" s="7"/>
      <c r="E959" s="7" t="s">
        <v>9</v>
      </c>
      <c r="F959" s="7" t="s">
        <v>19</v>
      </c>
      <c r="G959" s="7" t="s">
        <v>31</v>
      </c>
      <c r="H959" s="7" t="s">
        <v>17</v>
      </c>
      <c r="I959" s="7" t="s">
        <v>17</v>
      </c>
      <c r="J959" s="7" t="s">
        <v>843</v>
      </c>
    </row>
    <row r="960" spans="1:10" x14ac:dyDescent="0.25" outlineLevel="3" collapsed="1">
      <c r="A960" s="7" t="s">
        <v>19</v>
      </c>
      <c r="B960" s="7" t="s">
        <v>16</v>
      </c>
      <c r="C960" s="7" t="s">
        <v>17</v>
      </c>
      <c r="D960" s="7"/>
      <c r="E960" s="7" t="s">
        <v>1600</v>
      </c>
      <c r="F960" s="7" t="s">
        <v>19</v>
      </c>
      <c r="G960" s="7" t="s">
        <v>31</v>
      </c>
      <c r="H960" s="7" t="s">
        <v>17</v>
      </c>
      <c r="I960" s="7" t="s">
        <v>17</v>
      </c>
      <c r="J960" s="7" t="s">
        <v>1424</v>
      </c>
    </row>
    <row r="961" spans="1:10" x14ac:dyDescent="0.25" outlineLevel="3" collapsed="1">
      <c r="A961" s="7" t="s">
        <v>15</v>
      </c>
      <c r="B961" s="7" t="s">
        <v>16</v>
      </c>
      <c r="C961" s="7" t="s">
        <v>17</v>
      </c>
      <c r="D961" s="7"/>
      <c r="E961" s="7" t="s">
        <v>1601</v>
      </c>
      <c r="F961" s="7" t="s">
        <v>19</v>
      </c>
      <c r="G961" s="7" t="s">
        <v>31</v>
      </c>
      <c r="H961" s="7" t="s">
        <v>17</v>
      </c>
      <c r="I961" s="7" t="s">
        <v>17</v>
      </c>
      <c r="J961" s="7" t="s">
        <v>1602</v>
      </c>
    </row>
    <row r="962" spans="1:10" x14ac:dyDescent="0.25" outlineLevel="3" collapsed="1">
      <c r="A962" s="7" t="s">
        <v>15</v>
      </c>
      <c r="B962" s="7" t="s">
        <v>16</v>
      </c>
      <c r="C962" s="7" t="s">
        <v>17</v>
      </c>
      <c r="D962" s="7"/>
      <c r="E962" s="7" t="s">
        <v>1671</v>
      </c>
      <c r="F962" s="7" t="s">
        <v>19</v>
      </c>
      <c r="G962" s="7" t="s">
        <v>31</v>
      </c>
      <c r="H962" s="7" t="s">
        <v>17</v>
      </c>
      <c r="I962" s="7" t="s">
        <v>17</v>
      </c>
      <c r="J962" s="7" t="s">
        <v>1672</v>
      </c>
    </row>
    <row r="963" spans="1:10" x14ac:dyDescent="0.25" outlineLevel="3" collapsed="1">
      <c r="A963" s="7" t="s">
        <v>15</v>
      </c>
      <c r="B963" s="7" t="s">
        <v>16</v>
      </c>
      <c r="C963" s="7" t="s">
        <v>17</v>
      </c>
      <c r="D963" s="7"/>
      <c r="E963" s="7" t="s">
        <v>1673</v>
      </c>
      <c r="F963" s="7" t="s">
        <v>19</v>
      </c>
      <c r="G963" s="7" t="s">
        <v>31</v>
      </c>
      <c r="H963" s="7" t="s">
        <v>17</v>
      </c>
      <c r="I963" s="7" t="s">
        <v>17</v>
      </c>
      <c r="J963" s="7" t="s">
        <v>1674</v>
      </c>
    </row>
    <row r="964" spans="1:10" x14ac:dyDescent="0.25" outlineLevel="3" collapsed="1">
      <c r="A964" s="7" t="s">
        <v>15</v>
      </c>
      <c r="B964" s="7" t="s">
        <v>16</v>
      </c>
      <c r="C964" s="7" t="s">
        <v>17</v>
      </c>
      <c r="D964" s="7"/>
      <c r="E964" s="7" t="s">
        <v>1675</v>
      </c>
      <c r="F964" s="7" t="s">
        <v>19</v>
      </c>
      <c r="G964" s="7" t="s">
        <v>31</v>
      </c>
      <c r="H964" s="7" t="s">
        <v>17</v>
      </c>
      <c r="I964" s="7" t="s">
        <v>17</v>
      </c>
      <c r="J964" s="7" t="s">
        <v>1422</v>
      </c>
    </row>
    <row r="965" spans="1:10" x14ac:dyDescent="0.25" outlineLevel="3" collapsed="1">
      <c r="A965" s="7" t="s">
        <v>15</v>
      </c>
      <c r="B965" s="7" t="s">
        <v>284</v>
      </c>
      <c r="C965" s="11" t="s">
        <v>1604</v>
      </c>
      <c r="D965" s="7"/>
      <c r="E965" s="7" t="s">
        <v>1605</v>
      </c>
      <c r="F965" s="7" t="s">
        <v>19</v>
      </c>
      <c r="G965" s="7" t="s">
        <v>1606</v>
      </c>
      <c r="H965" s="7" t="s">
        <v>17</v>
      </c>
      <c r="I965" s="7" t="s">
        <v>17</v>
      </c>
      <c r="J965" s="7" t="s">
        <v>1607</v>
      </c>
    </row>
    <row r="966" spans="1:10" x14ac:dyDescent="0.25" outlineLevel="3" collapsed="1">
      <c r="A966" s="7" t="s">
        <v>19</v>
      </c>
      <c r="B966" s="7" t="s">
        <v>63</v>
      </c>
      <c r="C966" s="7" t="s">
        <v>17</v>
      </c>
      <c r="D966" s="7">
        <f>EXACT(G965,"Single value")</f>
      </c>
      <c r="E966" s="7" t="s">
        <v>1676</v>
      </c>
      <c r="F966" s="7" t="s">
        <v>19</v>
      </c>
      <c r="G966" s="7">
        <v>1</v>
      </c>
      <c r="H966" s="7" t="s">
        <v>17</v>
      </c>
      <c r="I966" s="7" t="s">
        <v>17</v>
      </c>
      <c r="J966" s="7" t="s">
        <v>1609</v>
      </c>
    </row>
    <row r="967" spans="1:10" x14ac:dyDescent="0.25" outlineLevel="3" collapsed="1">
      <c r="A967" s="7" t="s">
        <v>19</v>
      </c>
      <c r="B967" s="7" t="s">
        <v>16</v>
      </c>
      <c r="C967" s="7" t="s">
        <v>17</v>
      </c>
      <c r="D967" s="7"/>
      <c r="E967" s="7" t="s">
        <v>1677</v>
      </c>
      <c r="F967" s="7" t="s">
        <v>19</v>
      </c>
      <c r="G967" s="7" t="s">
        <v>31</v>
      </c>
      <c r="H967" s="7" t="s">
        <v>17</v>
      </c>
      <c r="I967" s="7" t="s">
        <v>17</v>
      </c>
      <c r="J967" s="7" t="s">
        <v>1678</v>
      </c>
    </row>
    <row r="968" spans="1:10" x14ac:dyDescent="0.25" outlineLevel="3" collapsed="1">
      <c r="A968" s="7" t="s">
        <v>15</v>
      </c>
      <c r="B968" s="7" t="s">
        <v>16</v>
      </c>
      <c r="C968" s="7" t="s">
        <v>17</v>
      </c>
      <c r="D968" s="7"/>
      <c r="E968" s="7" t="s">
        <v>1679</v>
      </c>
      <c r="F968" s="7" t="s">
        <v>19</v>
      </c>
      <c r="G968" s="7" t="s">
        <v>31</v>
      </c>
      <c r="H968" s="7" t="s">
        <v>17</v>
      </c>
      <c r="I968" s="7" t="s">
        <v>17</v>
      </c>
      <c r="J968" s="7" t="s">
        <v>1680</v>
      </c>
    </row>
    <row r="969" spans="1:10" x14ac:dyDescent="0.25" outlineLevel="3" collapsed="1">
      <c r="A969" s="7" t="s">
        <v>15</v>
      </c>
      <c r="B969" s="7" t="s">
        <v>284</v>
      </c>
      <c r="C969" s="11" t="s">
        <v>1611</v>
      </c>
      <c r="D969" s="7"/>
      <c r="E969" s="7" t="s">
        <v>1612</v>
      </c>
      <c r="F969" s="7" t="s">
        <v>19</v>
      </c>
      <c r="G969" s="7" t="s">
        <v>1613</v>
      </c>
      <c r="H969" s="7" t="s">
        <v>17</v>
      </c>
      <c r="I969" s="7" t="s">
        <v>17</v>
      </c>
      <c r="J969" s="7" t="s">
        <v>1614</v>
      </c>
    </row>
    <row r="970" spans="1:10" x14ac:dyDescent="0.25" outlineLevel="3" collapsed="1">
      <c r="A970" s="7" t="s">
        <v>19</v>
      </c>
      <c r="B970" s="7" t="s">
        <v>16</v>
      </c>
      <c r="C970" s="7" t="s">
        <v>17</v>
      </c>
      <c r="D970" s="7"/>
      <c r="E970" s="7" t="s">
        <v>1681</v>
      </c>
      <c r="F970" s="7" t="s">
        <v>19</v>
      </c>
      <c r="G970" s="7" t="s">
        <v>31</v>
      </c>
      <c r="H970" s="7" t="s">
        <v>17</v>
      </c>
      <c r="I970" s="7" t="s">
        <v>17</v>
      </c>
      <c r="J970" s="7" t="s">
        <v>1682</v>
      </c>
    </row>
    <row r="971" spans="1:10" x14ac:dyDescent="0.25" outlineLevel="3" collapsed="1">
      <c r="A971" s="7" t="s">
        <v>19</v>
      </c>
      <c r="B971" s="7" t="s">
        <v>16</v>
      </c>
      <c r="C971" s="7" t="s">
        <v>17</v>
      </c>
      <c r="D971" s="7"/>
      <c r="E971" s="7" t="s">
        <v>1615</v>
      </c>
      <c r="F971" s="7" t="s">
        <v>19</v>
      </c>
      <c r="G971" s="7" t="s">
        <v>31</v>
      </c>
      <c r="H971" s="7" t="s">
        <v>17</v>
      </c>
      <c r="I971" s="7" t="s">
        <v>17</v>
      </c>
      <c r="J971" s="7" t="s">
        <v>1616</v>
      </c>
    </row>
    <row r="972" spans="1:10" x14ac:dyDescent="0.25" outlineLevel="2" collapsed="1">
      <c r="A972" s="8" t="s">
        <v>19</v>
      </c>
      <c r="B972" s="9" t="s">
        <v>1667</v>
      </c>
      <c r="C972" s="8" t="s">
        <v>17</v>
      </c>
      <c r="D972" s="8"/>
      <c r="E972" s="8" t="s">
        <v>1764</v>
      </c>
      <c r="F972" s="8" t="s">
        <v>19</v>
      </c>
      <c r="G972" s="8" t="s">
        <v>17</v>
      </c>
      <c r="H972" s="8" t="s">
        <v>17</v>
      </c>
      <c r="I972" s="8" t="s">
        <v>17</v>
      </c>
      <c r="J972" s="8" t="s">
        <v>1765</v>
      </c>
    </row>
    <row r="973" spans="1:10" x14ac:dyDescent="0.25" outlineLevel="3" collapsed="1">
      <c r="A973" s="7" t="s">
        <v>15</v>
      </c>
      <c r="B973" s="7" t="s">
        <v>16</v>
      </c>
      <c r="C973" s="7" t="s">
        <v>17</v>
      </c>
      <c r="D973" s="7"/>
      <c r="E973" s="7" t="s">
        <v>1670</v>
      </c>
      <c r="F973" s="7" t="s">
        <v>19</v>
      </c>
      <c r="G973" s="7" t="s">
        <v>31</v>
      </c>
      <c r="H973" s="7" t="s">
        <v>17</v>
      </c>
      <c r="I973" s="7" t="s">
        <v>17</v>
      </c>
      <c r="J973" s="7" t="s">
        <v>637</v>
      </c>
    </row>
    <row r="974" spans="1:10" x14ac:dyDescent="0.25" outlineLevel="3" collapsed="1">
      <c r="A974" s="7" t="s">
        <v>15</v>
      </c>
      <c r="B974" s="7" t="s">
        <v>16</v>
      </c>
      <c r="C974" s="7" t="s">
        <v>17</v>
      </c>
      <c r="D974" s="7"/>
      <c r="E974" s="7" t="s">
        <v>638</v>
      </c>
      <c r="F974" s="7" t="s">
        <v>19</v>
      </c>
      <c r="G974" s="7" t="s">
        <v>31</v>
      </c>
      <c r="H974" s="7" t="s">
        <v>17</v>
      </c>
      <c r="I974" s="7" t="s">
        <v>17</v>
      </c>
      <c r="J974" s="7" t="s">
        <v>640</v>
      </c>
    </row>
    <row r="975" spans="1:10" x14ac:dyDescent="0.25" outlineLevel="3" collapsed="1">
      <c r="A975" s="7" t="s">
        <v>15</v>
      </c>
      <c r="B975" s="7" t="s">
        <v>16</v>
      </c>
      <c r="C975" s="7" t="s">
        <v>17</v>
      </c>
      <c r="D975" s="7"/>
      <c r="E975" s="7" t="s">
        <v>9</v>
      </c>
      <c r="F975" s="7" t="s">
        <v>19</v>
      </c>
      <c r="G975" s="7" t="s">
        <v>31</v>
      </c>
      <c r="H975" s="7" t="s">
        <v>17</v>
      </c>
      <c r="I975" s="7" t="s">
        <v>17</v>
      </c>
      <c r="J975" s="7" t="s">
        <v>843</v>
      </c>
    </row>
    <row r="976" spans="1:10" x14ac:dyDescent="0.25" outlineLevel="3" collapsed="1">
      <c r="A976" s="7" t="s">
        <v>19</v>
      </c>
      <c r="B976" s="7" t="s">
        <v>16</v>
      </c>
      <c r="C976" s="7" t="s">
        <v>17</v>
      </c>
      <c r="D976" s="7"/>
      <c r="E976" s="7" t="s">
        <v>1600</v>
      </c>
      <c r="F976" s="7" t="s">
        <v>19</v>
      </c>
      <c r="G976" s="7" t="s">
        <v>31</v>
      </c>
      <c r="H976" s="7" t="s">
        <v>17</v>
      </c>
      <c r="I976" s="7" t="s">
        <v>17</v>
      </c>
      <c r="J976" s="7" t="s">
        <v>1424</v>
      </c>
    </row>
    <row r="977" spans="1:10" x14ac:dyDescent="0.25" outlineLevel="3" collapsed="1">
      <c r="A977" s="7" t="s">
        <v>15</v>
      </c>
      <c r="B977" s="7" t="s">
        <v>16</v>
      </c>
      <c r="C977" s="7" t="s">
        <v>17</v>
      </c>
      <c r="D977" s="7"/>
      <c r="E977" s="7" t="s">
        <v>1601</v>
      </c>
      <c r="F977" s="7" t="s">
        <v>19</v>
      </c>
      <c r="G977" s="7" t="s">
        <v>31</v>
      </c>
      <c r="H977" s="7" t="s">
        <v>17</v>
      </c>
      <c r="I977" s="7" t="s">
        <v>17</v>
      </c>
      <c r="J977" s="7" t="s">
        <v>1602</v>
      </c>
    </row>
    <row r="978" spans="1:10" x14ac:dyDescent="0.25" outlineLevel="3" collapsed="1">
      <c r="A978" s="7" t="s">
        <v>15</v>
      </c>
      <c r="B978" s="7" t="s">
        <v>16</v>
      </c>
      <c r="C978" s="7" t="s">
        <v>17</v>
      </c>
      <c r="D978" s="7"/>
      <c r="E978" s="7" t="s">
        <v>1671</v>
      </c>
      <c r="F978" s="7" t="s">
        <v>19</v>
      </c>
      <c r="G978" s="7" t="s">
        <v>31</v>
      </c>
      <c r="H978" s="7" t="s">
        <v>17</v>
      </c>
      <c r="I978" s="7" t="s">
        <v>17</v>
      </c>
      <c r="J978" s="7" t="s">
        <v>1672</v>
      </c>
    </row>
    <row r="979" spans="1:10" x14ac:dyDescent="0.25" outlineLevel="3" collapsed="1">
      <c r="A979" s="7" t="s">
        <v>15</v>
      </c>
      <c r="B979" s="7" t="s">
        <v>16</v>
      </c>
      <c r="C979" s="7" t="s">
        <v>17</v>
      </c>
      <c r="D979" s="7"/>
      <c r="E979" s="7" t="s">
        <v>1673</v>
      </c>
      <c r="F979" s="7" t="s">
        <v>19</v>
      </c>
      <c r="G979" s="7" t="s">
        <v>31</v>
      </c>
      <c r="H979" s="7" t="s">
        <v>17</v>
      </c>
      <c r="I979" s="7" t="s">
        <v>17</v>
      </c>
      <c r="J979" s="7" t="s">
        <v>1674</v>
      </c>
    </row>
    <row r="980" spans="1:10" x14ac:dyDescent="0.25" outlineLevel="3" collapsed="1">
      <c r="A980" s="7" t="s">
        <v>15</v>
      </c>
      <c r="B980" s="7" t="s">
        <v>16</v>
      </c>
      <c r="C980" s="7" t="s">
        <v>17</v>
      </c>
      <c r="D980" s="7"/>
      <c r="E980" s="7" t="s">
        <v>1675</v>
      </c>
      <c r="F980" s="7" t="s">
        <v>19</v>
      </c>
      <c r="G980" s="7" t="s">
        <v>31</v>
      </c>
      <c r="H980" s="7" t="s">
        <v>17</v>
      </c>
      <c r="I980" s="7" t="s">
        <v>17</v>
      </c>
      <c r="J980" s="7" t="s">
        <v>1422</v>
      </c>
    </row>
    <row r="981" spans="1:10" x14ac:dyDescent="0.25" outlineLevel="3" collapsed="1">
      <c r="A981" s="7" t="s">
        <v>15</v>
      </c>
      <c r="B981" s="7" t="s">
        <v>284</v>
      </c>
      <c r="C981" s="11" t="s">
        <v>1604</v>
      </c>
      <c r="D981" s="7"/>
      <c r="E981" s="7" t="s">
        <v>1605</v>
      </c>
      <c r="F981" s="7" t="s">
        <v>19</v>
      </c>
      <c r="G981" s="7" t="s">
        <v>1606</v>
      </c>
      <c r="H981" s="7" t="s">
        <v>17</v>
      </c>
      <c r="I981" s="7" t="s">
        <v>17</v>
      </c>
      <c r="J981" s="7" t="s">
        <v>1607</v>
      </c>
    </row>
    <row r="982" spans="1:10" x14ac:dyDescent="0.25" outlineLevel="3" collapsed="1">
      <c r="A982" s="7" t="s">
        <v>19</v>
      </c>
      <c r="B982" s="7" t="s">
        <v>63</v>
      </c>
      <c r="C982" s="7" t="s">
        <v>17</v>
      </c>
      <c r="D982" s="7">
        <f>EXACT(G981,"Single value")</f>
      </c>
      <c r="E982" s="7" t="s">
        <v>1676</v>
      </c>
      <c r="F982" s="7" t="s">
        <v>19</v>
      </c>
      <c r="G982" s="7">
        <v>1</v>
      </c>
      <c r="H982" s="7" t="s">
        <v>17</v>
      </c>
      <c r="I982" s="7" t="s">
        <v>17</v>
      </c>
      <c r="J982" s="7" t="s">
        <v>1609</v>
      </c>
    </row>
    <row r="983" spans="1:10" x14ac:dyDescent="0.25" outlineLevel="3" collapsed="1">
      <c r="A983" s="7" t="s">
        <v>19</v>
      </c>
      <c r="B983" s="7" t="s">
        <v>16</v>
      </c>
      <c r="C983" s="7" t="s">
        <v>17</v>
      </c>
      <c r="D983" s="7"/>
      <c r="E983" s="7" t="s">
        <v>1677</v>
      </c>
      <c r="F983" s="7" t="s">
        <v>19</v>
      </c>
      <c r="G983" s="7" t="s">
        <v>31</v>
      </c>
      <c r="H983" s="7" t="s">
        <v>17</v>
      </c>
      <c r="I983" s="7" t="s">
        <v>17</v>
      </c>
      <c r="J983" s="7" t="s">
        <v>1678</v>
      </c>
    </row>
    <row r="984" spans="1:10" x14ac:dyDescent="0.25" outlineLevel="3" collapsed="1">
      <c r="A984" s="7" t="s">
        <v>15</v>
      </c>
      <c r="B984" s="7" t="s">
        <v>16</v>
      </c>
      <c r="C984" s="7" t="s">
        <v>17</v>
      </c>
      <c r="D984" s="7"/>
      <c r="E984" s="7" t="s">
        <v>1679</v>
      </c>
      <c r="F984" s="7" t="s">
        <v>19</v>
      </c>
      <c r="G984" s="7" t="s">
        <v>31</v>
      </c>
      <c r="H984" s="7" t="s">
        <v>17</v>
      </c>
      <c r="I984" s="7" t="s">
        <v>17</v>
      </c>
      <c r="J984" s="7" t="s">
        <v>1680</v>
      </c>
    </row>
    <row r="985" spans="1:10" x14ac:dyDescent="0.25" outlineLevel="3" collapsed="1">
      <c r="A985" s="7" t="s">
        <v>15</v>
      </c>
      <c r="B985" s="7" t="s">
        <v>284</v>
      </c>
      <c r="C985" s="11" t="s">
        <v>1611</v>
      </c>
      <c r="D985" s="7"/>
      <c r="E985" s="7" t="s">
        <v>1612</v>
      </c>
      <c r="F985" s="7" t="s">
        <v>19</v>
      </c>
      <c r="G985" s="7" t="s">
        <v>1613</v>
      </c>
      <c r="H985" s="7" t="s">
        <v>17</v>
      </c>
      <c r="I985" s="7" t="s">
        <v>17</v>
      </c>
      <c r="J985" s="7" t="s">
        <v>1614</v>
      </c>
    </row>
    <row r="986" spans="1:10" x14ac:dyDescent="0.25" outlineLevel="3" collapsed="1">
      <c r="A986" s="7" t="s">
        <v>19</v>
      </c>
      <c r="B986" s="7" t="s">
        <v>16</v>
      </c>
      <c r="C986" s="7" t="s">
        <v>17</v>
      </c>
      <c r="D986" s="7"/>
      <c r="E986" s="7" t="s">
        <v>1681</v>
      </c>
      <c r="F986" s="7" t="s">
        <v>19</v>
      </c>
      <c r="G986" s="7" t="s">
        <v>31</v>
      </c>
      <c r="H986" s="7" t="s">
        <v>17</v>
      </c>
      <c r="I986" s="7" t="s">
        <v>17</v>
      </c>
      <c r="J986" s="7" t="s">
        <v>1682</v>
      </c>
    </row>
    <row r="987" spans="1:10" x14ac:dyDescent="0.25" outlineLevel="3" collapsed="1">
      <c r="A987" s="7" t="s">
        <v>19</v>
      </c>
      <c r="B987" s="7" t="s">
        <v>16</v>
      </c>
      <c r="C987" s="7" t="s">
        <v>17</v>
      </c>
      <c r="D987" s="7"/>
      <c r="E987" s="7" t="s">
        <v>1615</v>
      </c>
      <c r="F987" s="7" t="s">
        <v>19</v>
      </c>
      <c r="G987" s="7" t="s">
        <v>31</v>
      </c>
      <c r="H987" s="7" t="s">
        <v>17</v>
      </c>
      <c r="I987" s="7" t="s">
        <v>17</v>
      </c>
      <c r="J987" s="7" t="s">
        <v>1616</v>
      </c>
    </row>
    <row r="988" spans="1:10" x14ac:dyDescent="0.25" outlineLevel="2" collapsed="1">
      <c r="A988" s="8" t="s">
        <v>19</v>
      </c>
      <c r="B988" s="9" t="s">
        <v>1766</v>
      </c>
      <c r="C988" s="8" t="s">
        <v>17</v>
      </c>
      <c r="D988" s="8"/>
      <c r="E988" s="8" t="s">
        <v>1767</v>
      </c>
      <c r="F988" s="8" t="s">
        <v>15</v>
      </c>
      <c r="G988" s="8" t="s">
        <v>17</v>
      </c>
      <c r="H988" s="8" t="s">
        <v>17</v>
      </c>
      <c r="I988" s="8" t="s">
        <v>17</v>
      </c>
      <c r="J988" s="8" t="s">
        <v>1768</v>
      </c>
    </row>
    <row r="989" spans="1:10" x14ac:dyDescent="0.25" outlineLevel="3" collapsed="1">
      <c r="A989" s="7" t="s">
        <v>15</v>
      </c>
      <c r="B989" s="7" t="s">
        <v>16</v>
      </c>
      <c r="C989" s="7" t="s">
        <v>17</v>
      </c>
      <c r="D989" s="7"/>
      <c r="E989" s="7" t="s">
        <v>1769</v>
      </c>
      <c r="F989" s="7" t="s">
        <v>19</v>
      </c>
      <c r="G989" s="7" t="s">
        <v>31</v>
      </c>
      <c r="H989" s="7" t="s">
        <v>17</v>
      </c>
      <c r="I989" s="7" t="s">
        <v>17</v>
      </c>
      <c r="J989" s="7" t="s">
        <v>1770</v>
      </c>
    </row>
    <row r="990" spans="1:10" x14ac:dyDescent="0.25" outlineLevel="3" collapsed="1">
      <c r="A990" s="7" t="s">
        <v>15</v>
      </c>
      <c r="B990" s="7" t="s">
        <v>63</v>
      </c>
      <c r="C990" s="7" t="s">
        <v>17</v>
      </c>
      <c r="D990" s="7"/>
      <c r="E990" s="7" t="s">
        <v>1771</v>
      </c>
      <c r="F990" s="7" t="s">
        <v>19</v>
      </c>
      <c r="G990" s="7">
        <v>1</v>
      </c>
      <c r="H990" s="7" t="s">
        <v>17</v>
      </c>
      <c r="I990" s="7" t="s">
        <v>17</v>
      </c>
      <c r="J990" s="7" t="s">
        <v>1739</v>
      </c>
    </row>
    <row r="991" spans="1:10" x14ac:dyDescent="0.25" outlineLevel="3" collapsed="1">
      <c r="A991" s="7" t="s">
        <v>19</v>
      </c>
      <c r="B991" s="7" t="s">
        <v>63</v>
      </c>
      <c r="C991" s="7" t="s">
        <v>17</v>
      </c>
      <c r="D991" s="7"/>
      <c r="E991" s="7" t="s">
        <v>1772</v>
      </c>
      <c r="F991" s="7" t="s">
        <v>19</v>
      </c>
      <c r="G991" s="7">
        <v>1</v>
      </c>
      <c r="H991" s="7" t="s">
        <v>17</v>
      </c>
      <c r="I991" s="7" t="s">
        <v>17</v>
      </c>
      <c r="J991" s="7" t="s">
        <v>1656</v>
      </c>
    </row>
    <row r="992" spans="1:10" x14ac:dyDescent="0.25" outlineLevel="3" collapsed="1">
      <c r="A992" s="7" t="s">
        <v>15</v>
      </c>
      <c r="B992" s="7" t="s">
        <v>63</v>
      </c>
      <c r="C992" s="7" t="s">
        <v>17</v>
      </c>
      <c r="D992" s="7"/>
      <c r="E992" s="7" t="s">
        <v>1773</v>
      </c>
      <c r="F992" s="7" t="s">
        <v>19</v>
      </c>
      <c r="G992" s="7">
        <v>1</v>
      </c>
      <c r="H992" s="7" t="s">
        <v>17</v>
      </c>
      <c r="I992" s="7" t="s">
        <v>17</v>
      </c>
      <c r="J992" s="7" t="s">
        <v>1741</v>
      </c>
    </row>
    <row r="993" spans="1:10" x14ac:dyDescent="0.25" outlineLevel="3" collapsed="1">
      <c r="A993" s="7" t="s">
        <v>19</v>
      </c>
      <c r="B993" s="7" t="s">
        <v>63</v>
      </c>
      <c r="C993" s="7" t="s">
        <v>17</v>
      </c>
      <c r="D993" s="7"/>
      <c r="E993" s="7" t="s">
        <v>1774</v>
      </c>
      <c r="F993" s="7" t="s">
        <v>19</v>
      </c>
      <c r="G993" s="7">
        <v>1</v>
      </c>
      <c r="H993" s="7" t="s">
        <v>17</v>
      </c>
      <c r="I993" s="7" t="s">
        <v>17</v>
      </c>
      <c r="J993" s="7" t="s">
        <v>1761</v>
      </c>
    </row>
    <row r="994" spans="1:10" x14ac:dyDescent="0.25" outlineLevel="3" collapsed="1">
      <c r="A994" s="7" t="s">
        <v>19</v>
      </c>
      <c r="B994" s="7" t="s">
        <v>63</v>
      </c>
      <c r="C994" s="7" t="s">
        <v>17</v>
      </c>
      <c r="D994" s="7"/>
      <c r="E994" s="7" t="s">
        <v>1775</v>
      </c>
      <c r="F994" s="7" t="s">
        <v>19</v>
      </c>
      <c r="G994" s="7">
        <v>1</v>
      </c>
      <c r="H994" s="7" t="s">
        <v>17</v>
      </c>
      <c r="I994" s="7" t="s">
        <v>17</v>
      </c>
      <c r="J994" s="7" t="s">
        <v>1765</v>
      </c>
    </row>
    <row r="995" spans="1:10" x14ac:dyDescent="0.25" outlineLevel="3" collapsed="1">
      <c r="A995" s="7" t="s">
        <v>19</v>
      </c>
      <c r="B995" s="7" t="s">
        <v>63</v>
      </c>
      <c r="C995" s="7" t="s">
        <v>17</v>
      </c>
      <c r="D995" s="7"/>
      <c r="E995" s="7" t="s">
        <v>1776</v>
      </c>
      <c r="F995" s="7" t="s">
        <v>19</v>
      </c>
      <c r="G995" s="7">
        <v>1</v>
      </c>
      <c r="H995" s="7" t="s">
        <v>17</v>
      </c>
      <c r="I995" s="7" t="s">
        <v>17</v>
      </c>
      <c r="J995" s="7" t="s">
        <v>1763</v>
      </c>
    </row>
    <row r="996" spans="1:10" x14ac:dyDescent="0.25" outlineLevel="2" collapsed="1">
      <c r="A996" s="8" t="s">
        <v>19</v>
      </c>
      <c r="B996" s="9" t="s">
        <v>1777</v>
      </c>
      <c r="C996" s="8" t="s">
        <v>17</v>
      </c>
      <c r="D996" s="8"/>
      <c r="E996" s="8" t="s">
        <v>1778</v>
      </c>
      <c r="F996" s="8" t="s">
        <v>15</v>
      </c>
      <c r="G996" s="8" t="s">
        <v>17</v>
      </c>
      <c r="H996" s="8" t="s">
        <v>17</v>
      </c>
      <c r="I996" s="8" t="s">
        <v>17</v>
      </c>
      <c r="J996" s="8" t="s">
        <v>1779</v>
      </c>
    </row>
    <row r="997" spans="1:10" x14ac:dyDescent="0.25" outlineLevel="3" collapsed="1">
      <c r="A997" s="7" t="s">
        <v>15</v>
      </c>
      <c r="B997" s="7" t="s">
        <v>16</v>
      </c>
      <c r="C997" s="7" t="s">
        <v>17</v>
      </c>
      <c r="D997" s="7"/>
      <c r="E997" s="7" t="s">
        <v>1780</v>
      </c>
      <c r="F997" s="7" t="s">
        <v>19</v>
      </c>
      <c r="G997" s="7" t="s">
        <v>31</v>
      </c>
      <c r="H997" s="7" t="s">
        <v>17</v>
      </c>
      <c r="I997" s="7" t="s">
        <v>17</v>
      </c>
      <c r="J997" s="7" t="s">
        <v>1781</v>
      </c>
    </row>
    <row r="998" spans="1:10" x14ac:dyDescent="0.25" outlineLevel="3" collapsed="1">
      <c r="A998" s="7" t="s">
        <v>19</v>
      </c>
      <c r="B998" s="7" t="s">
        <v>63</v>
      </c>
      <c r="C998" s="7" t="s">
        <v>17</v>
      </c>
      <c r="D998" s="7"/>
      <c r="E998" s="7" t="s">
        <v>1782</v>
      </c>
      <c r="F998" s="7" t="s">
        <v>19</v>
      </c>
      <c r="G998" s="7">
        <v>1</v>
      </c>
      <c r="H998" s="7" t="s">
        <v>17</v>
      </c>
      <c r="I998" s="7" t="s">
        <v>17</v>
      </c>
      <c r="J998" s="7" t="s">
        <v>1745</v>
      </c>
    </row>
    <row r="999" spans="1:10" x14ac:dyDescent="0.25" outlineLevel="3" collapsed="1">
      <c r="A999" s="7" t="s">
        <v>19</v>
      </c>
      <c r="B999" s="7" t="s">
        <v>63</v>
      </c>
      <c r="C999" s="7" t="s">
        <v>17</v>
      </c>
      <c r="D999" s="7"/>
      <c r="E999" s="7" t="s">
        <v>1783</v>
      </c>
      <c r="F999" s="7" t="s">
        <v>19</v>
      </c>
      <c r="G999" s="7">
        <v>1</v>
      </c>
      <c r="H999" s="7" t="s">
        <v>17</v>
      </c>
      <c r="I999" s="7" t="s">
        <v>17</v>
      </c>
      <c r="J999" s="7" t="s">
        <v>1755</v>
      </c>
    </row>
    <row r="1000" spans="1:10" x14ac:dyDescent="0.25" outlineLevel="3" collapsed="1">
      <c r="A1000" s="7" t="s">
        <v>19</v>
      </c>
      <c r="B1000" s="7" t="s">
        <v>63</v>
      </c>
      <c r="C1000" s="7" t="s">
        <v>17</v>
      </c>
      <c r="D1000" s="7"/>
      <c r="E1000" s="7" t="s">
        <v>1784</v>
      </c>
      <c r="F1000" s="7" t="s">
        <v>19</v>
      </c>
      <c r="G1000" s="7">
        <v>1</v>
      </c>
      <c r="H1000" s="7" t="s">
        <v>17</v>
      </c>
      <c r="I1000" s="7" t="s">
        <v>17</v>
      </c>
      <c r="J1000" s="7" t="s">
        <v>1759</v>
      </c>
    </row>
    <row r="1001" spans="1:10" x14ac:dyDescent="0.25" outlineLevel="3" collapsed="1">
      <c r="A1001" s="7" t="s">
        <v>19</v>
      </c>
      <c r="B1001" s="7" t="s">
        <v>63</v>
      </c>
      <c r="C1001" s="7" t="s">
        <v>17</v>
      </c>
      <c r="D1001" s="7"/>
      <c r="E1001" s="7" t="s">
        <v>1785</v>
      </c>
      <c r="F1001" s="7" t="s">
        <v>19</v>
      </c>
      <c r="G1001" s="7">
        <v>1</v>
      </c>
      <c r="H1001" s="7" t="s">
        <v>17</v>
      </c>
      <c r="I1001" s="7" t="s">
        <v>17</v>
      </c>
      <c r="J1001" s="7" t="s">
        <v>1658</v>
      </c>
    </row>
    <row r="1002" spans="1:10" x14ac:dyDescent="0.25" outlineLevel="3" collapsed="1">
      <c r="A1002" s="7" t="s">
        <v>19</v>
      </c>
      <c r="B1002" s="7" t="s">
        <v>63</v>
      </c>
      <c r="C1002" s="7" t="s">
        <v>17</v>
      </c>
      <c r="D1002" s="7"/>
      <c r="E1002" s="7" t="s">
        <v>1786</v>
      </c>
      <c r="F1002" s="7" t="s">
        <v>19</v>
      </c>
      <c r="G1002" s="7">
        <v>1</v>
      </c>
      <c r="H1002" s="7" t="s">
        <v>17</v>
      </c>
      <c r="I1002" s="7" t="s">
        <v>17</v>
      </c>
      <c r="J1002" s="7" t="s">
        <v>1747</v>
      </c>
    </row>
    <row r="1003" spans="1:10" x14ac:dyDescent="0.25" outlineLevel="3" collapsed="1">
      <c r="A1003" s="7" t="s">
        <v>15</v>
      </c>
      <c r="B1003" s="7" t="s">
        <v>16</v>
      </c>
      <c r="C1003" s="7" t="s">
        <v>17</v>
      </c>
      <c r="D1003" s="7"/>
      <c r="E1003" s="7" t="s">
        <v>1787</v>
      </c>
      <c r="F1003" s="7" t="s">
        <v>19</v>
      </c>
      <c r="G1003" s="7" t="s">
        <v>31</v>
      </c>
      <c r="H1003" s="7" t="s">
        <v>17</v>
      </c>
      <c r="I1003" s="7" t="s">
        <v>17</v>
      </c>
      <c r="J1003" s="7" t="s">
        <v>1725</v>
      </c>
    </row>
    <row r="1004" spans="1:10" x14ac:dyDescent="0.25" outlineLevel="3" collapsed="1">
      <c r="A1004" s="7" t="s">
        <v>19</v>
      </c>
      <c r="B1004" s="7" t="s">
        <v>63</v>
      </c>
      <c r="C1004" s="7" t="s">
        <v>17</v>
      </c>
      <c r="D1004" s="7"/>
      <c r="E1004" s="7" t="s">
        <v>1788</v>
      </c>
      <c r="F1004" s="7" t="s">
        <v>19</v>
      </c>
      <c r="G1004" s="7">
        <v>1</v>
      </c>
      <c r="H1004" s="7" t="s">
        <v>17</v>
      </c>
      <c r="I1004" s="7" t="s">
        <v>17</v>
      </c>
      <c r="J1004" s="7" t="s">
        <v>1749</v>
      </c>
    </row>
    <row r="1005" spans="1:10" x14ac:dyDescent="0.25" outlineLevel="3" collapsed="1">
      <c r="A1005" s="7" t="s">
        <v>19</v>
      </c>
      <c r="B1005" s="7" t="s">
        <v>63</v>
      </c>
      <c r="C1005" s="7" t="s">
        <v>17</v>
      </c>
      <c r="D1005" s="7"/>
      <c r="E1005" s="7" t="s">
        <v>1789</v>
      </c>
      <c r="F1005" s="7" t="s">
        <v>19</v>
      </c>
      <c r="G1005" s="7">
        <v>1</v>
      </c>
      <c r="H1005" s="7" t="s">
        <v>17</v>
      </c>
      <c r="I1005" s="7" t="s">
        <v>17</v>
      </c>
      <c r="J1005" s="7" t="s">
        <v>1751</v>
      </c>
    </row>
    <row r="1006" spans="1:10" x14ac:dyDescent="0.25" outlineLevel="3" collapsed="1">
      <c r="A1006" s="7" t="s">
        <v>19</v>
      </c>
      <c r="B1006" s="7" t="s">
        <v>63</v>
      </c>
      <c r="C1006" s="7" t="s">
        <v>17</v>
      </c>
      <c r="D1006" s="7"/>
      <c r="E1006" s="7" t="s">
        <v>1790</v>
      </c>
      <c r="F1006" s="7" t="s">
        <v>19</v>
      </c>
      <c r="G1006" s="7">
        <v>1</v>
      </c>
      <c r="H1006" s="7" t="s">
        <v>17</v>
      </c>
      <c r="I1006" s="7" t="s">
        <v>17</v>
      </c>
      <c r="J1006" s="7" t="s">
        <v>1753</v>
      </c>
    </row>
    <row r="1007" spans="1:10" x14ac:dyDescent="0.25" outlineLevel="1" collapsed="1">
      <c r="A1007" s="8" t="s">
        <v>15</v>
      </c>
      <c r="B1007" s="9" t="s">
        <v>1791</v>
      </c>
      <c r="C1007" s="8" t="s">
        <v>17</v>
      </c>
      <c r="D1007" s="8"/>
      <c r="E1007" s="8" t="s">
        <v>1792</v>
      </c>
      <c r="F1007" s="8" t="s">
        <v>19</v>
      </c>
      <c r="G1007" s="8" t="s">
        <v>17</v>
      </c>
      <c r="H1007" s="8" t="s">
        <v>17</v>
      </c>
      <c r="I1007" s="8" t="s">
        <v>17</v>
      </c>
      <c r="J1007" s="8" t="s">
        <v>1793</v>
      </c>
    </row>
    <row r="1008" spans="1:10" x14ac:dyDescent="0.25" outlineLevel="2" collapsed="1">
      <c r="A1008" s="8" t="s">
        <v>15</v>
      </c>
      <c r="B1008" s="9" t="s">
        <v>1667</v>
      </c>
      <c r="C1008" s="8" t="s">
        <v>17</v>
      </c>
      <c r="D1008" s="8"/>
      <c r="E1008" s="8" t="s">
        <v>1794</v>
      </c>
      <c r="F1008" s="8" t="s">
        <v>19</v>
      </c>
      <c r="G1008" s="8" t="s">
        <v>17</v>
      </c>
      <c r="H1008" s="8" t="s">
        <v>17</v>
      </c>
      <c r="I1008" s="8" t="s">
        <v>17</v>
      </c>
      <c r="J1008" s="8" t="s">
        <v>1795</v>
      </c>
    </row>
    <row r="1009" spans="1:10" x14ac:dyDescent="0.25" outlineLevel="3" collapsed="1">
      <c r="A1009" s="7" t="s">
        <v>15</v>
      </c>
      <c r="B1009" s="7" t="s">
        <v>16</v>
      </c>
      <c r="C1009" s="7" t="s">
        <v>17</v>
      </c>
      <c r="D1009" s="7"/>
      <c r="E1009" s="7" t="s">
        <v>1670</v>
      </c>
      <c r="F1009" s="7" t="s">
        <v>19</v>
      </c>
      <c r="G1009" s="7" t="s">
        <v>31</v>
      </c>
      <c r="H1009" s="7" t="s">
        <v>17</v>
      </c>
      <c r="I1009" s="7" t="s">
        <v>17</v>
      </c>
      <c r="J1009" s="7" t="s">
        <v>637</v>
      </c>
    </row>
    <row r="1010" spans="1:10" x14ac:dyDescent="0.25" outlineLevel="3" collapsed="1">
      <c r="A1010" s="7" t="s">
        <v>15</v>
      </c>
      <c r="B1010" s="7" t="s">
        <v>16</v>
      </c>
      <c r="C1010" s="7" t="s">
        <v>17</v>
      </c>
      <c r="D1010" s="7"/>
      <c r="E1010" s="7" t="s">
        <v>638</v>
      </c>
      <c r="F1010" s="7" t="s">
        <v>19</v>
      </c>
      <c r="G1010" s="7" t="s">
        <v>31</v>
      </c>
      <c r="H1010" s="7" t="s">
        <v>17</v>
      </c>
      <c r="I1010" s="7" t="s">
        <v>17</v>
      </c>
      <c r="J1010" s="7" t="s">
        <v>640</v>
      </c>
    </row>
    <row r="1011" spans="1:10" x14ac:dyDescent="0.25" outlineLevel="3" collapsed="1">
      <c r="A1011" s="7" t="s">
        <v>15</v>
      </c>
      <c r="B1011" s="7" t="s">
        <v>16</v>
      </c>
      <c r="C1011" s="7" t="s">
        <v>17</v>
      </c>
      <c r="D1011" s="7"/>
      <c r="E1011" s="7" t="s">
        <v>9</v>
      </c>
      <c r="F1011" s="7" t="s">
        <v>19</v>
      </c>
      <c r="G1011" s="7" t="s">
        <v>31</v>
      </c>
      <c r="H1011" s="7" t="s">
        <v>17</v>
      </c>
      <c r="I1011" s="7" t="s">
        <v>17</v>
      </c>
      <c r="J1011" s="7" t="s">
        <v>843</v>
      </c>
    </row>
    <row r="1012" spans="1:10" x14ac:dyDescent="0.25" outlineLevel="3" collapsed="1">
      <c r="A1012" s="7" t="s">
        <v>19</v>
      </c>
      <c r="B1012" s="7" t="s">
        <v>16</v>
      </c>
      <c r="C1012" s="7" t="s">
        <v>17</v>
      </c>
      <c r="D1012" s="7"/>
      <c r="E1012" s="7" t="s">
        <v>1600</v>
      </c>
      <c r="F1012" s="7" t="s">
        <v>19</v>
      </c>
      <c r="G1012" s="7" t="s">
        <v>31</v>
      </c>
      <c r="H1012" s="7" t="s">
        <v>17</v>
      </c>
      <c r="I1012" s="7" t="s">
        <v>17</v>
      </c>
      <c r="J1012" s="7" t="s">
        <v>1424</v>
      </c>
    </row>
    <row r="1013" spans="1:10" x14ac:dyDescent="0.25" outlineLevel="3" collapsed="1">
      <c r="A1013" s="7" t="s">
        <v>15</v>
      </c>
      <c r="B1013" s="7" t="s">
        <v>16</v>
      </c>
      <c r="C1013" s="7" t="s">
        <v>17</v>
      </c>
      <c r="D1013" s="7"/>
      <c r="E1013" s="7" t="s">
        <v>1601</v>
      </c>
      <c r="F1013" s="7" t="s">
        <v>19</v>
      </c>
      <c r="G1013" s="7" t="s">
        <v>31</v>
      </c>
      <c r="H1013" s="7" t="s">
        <v>17</v>
      </c>
      <c r="I1013" s="7" t="s">
        <v>17</v>
      </c>
      <c r="J1013" s="7" t="s">
        <v>1602</v>
      </c>
    </row>
    <row r="1014" spans="1:10" x14ac:dyDescent="0.25" outlineLevel="3" collapsed="1">
      <c r="A1014" s="7" t="s">
        <v>15</v>
      </c>
      <c r="B1014" s="7" t="s">
        <v>16</v>
      </c>
      <c r="C1014" s="7" t="s">
        <v>17</v>
      </c>
      <c r="D1014" s="7"/>
      <c r="E1014" s="7" t="s">
        <v>1671</v>
      </c>
      <c r="F1014" s="7" t="s">
        <v>19</v>
      </c>
      <c r="G1014" s="7" t="s">
        <v>31</v>
      </c>
      <c r="H1014" s="7" t="s">
        <v>17</v>
      </c>
      <c r="I1014" s="7" t="s">
        <v>17</v>
      </c>
      <c r="J1014" s="7" t="s">
        <v>1672</v>
      </c>
    </row>
    <row r="1015" spans="1:10" x14ac:dyDescent="0.25" outlineLevel="3" collapsed="1">
      <c r="A1015" s="7" t="s">
        <v>15</v>
      </c>
      <c r="B1015" s="7" t="s">
        <v>16</v>
      </c>
      <c r="C1015" s="7" t="s">
        <v>17</v>
      </c>
      <c r="D1015" s="7"/>
      <c r="E1015" s="7" t="s">
        <v>1673</v>
      </c>
      <c r="F1015" s="7" t="s">
        <v>19</v>
      </c>
      <c r="G1015" s="7" t="s">
        <v>31</v>
      </c>
      <c r="H1015" s="7" t="s">
        <v>17</v>
      </c>
      <c r="I1015" s="7" t="s">
        <v>17</v>
      </c>
      <c r="J1015" s="7" t="s">
        <v>1674</v>
      </c>
    </row>
    <row r="1016" spans="1:10" x14ac:dyDescent="0.25" outlineLevel="3" collapsed="1">
      <c r="A1016" s="7" t="s">
        <v>15</v>
      </c>
      <c r="B1016" s="7" t="s">
        <v>16</v>
      </c>
      <c r="C1016" s="7" t="s">
        <v>17</v>
      </c>
      <c r="D1016" s="7"/>
      <c r="E1016" s="7" t="s">
        <v>1675</v>
      </c>
      <c r="F1016" s="7" t="s">
        <v>19</v>
      </c>
      <c r="G1016" s="7" t="s">
        <v>31</v>
      </c>
      <c r="H1016" s="7" t="s">
        <v>17</v>
      </c>
      <c r="I1016" s="7" t="s">
        <v>17</v>
      </c>
      <c r="J1016" s="7" t="s">
        <v>1422</v>
      </c>
    </row>
    <row r="1017" spans="1:10" x14ac:dyDescent="0.25" outlineLevel="3" collapsed="1">
      <c r="A1017" s="7" t="s">
        <v>15</v>
      </c>
      <c r="B1017" s="7" t="s">
        <v>284</v>
      </c>
      <c r="C1017" s="11" t="s">
        <v>1604</v>
      </c>
      <c r="D1017" s="7"/>
      <c r="E1017" s="7" t="s">
        <v>1605</v>
      </c>
      <c r="F1017" s="7" t="s">
        <v>19</v>
      </c>
      <c r="G1017" s="7" t="s">
        <v>1606</v>
      </c>
      <c r="H1017" s="7" t="s">
        <v>17</v>
      </c>
      <c r="I1017" s="7" t="s">
        <v>17</v>
      </c>
      <c r="J1017" s="7" t="s">
        <v>1607</v>
      </c>
    </row>
    <row r="1018" spans="1:10" x14ac:dyDescent="0.25" outlineLevel="3" collapsed="1">
      <c r="A1018" s="7" t="s">
        <v>19</v>
      </c>
      <c r="B1018" s="7" t="s">
        <v>63</v>
      </c>
      <c r="C1018" s="7" t="s">
        <v>17</v>
      </c>
      <c r="D1018" s="7">
        <f>EXACT(G1017,"Single value")</f>
      </c>
      <c r="E1018" s="7" t="s">
        <v>1676</v>
      </c>
      <c r="F1018" s="7" t="s">
        <v>19</v>
      </c>
      <c r="G1018" s="7">
        <v>1</v>
      </c>
      <c r="H1018" s="7" t="s">
        <v>17</v>
      </c>
      <c r="I1018" s="7" t="s">
        <v>17</v>
      </c>
      <c r="J1018" s="7" t="s">
        <v>1609</v>
      </c>
    </row>
    <row r="1019" spans="1:10" x14ac:dyDescent="0.25" outlineLevel="3" collapsed="1">
      <c r="A1019" s="7" t="s">
        <v>19</v>
      </c>
      <c r="B1019" s="7" t="s">
        <v>16</v>
      </c>
      <c r="C1019" s="7" t="s">
        <v>17</v>
      </c>
      <c r="D1019" s="7"/>
      <c r="E1019" s="7" t="s">
        <v>1677</v>
      </c>
      <c r="F1019" s="7" t="s">
        <v>19</v>
      </c>
      <c r="G1019" s="7" t="s">
        <v>31</v>
      </c>
      <c r="H1019" s="7" t="s">
        <v>17</v>
      </c>
      <c r="I1019" s="7" t="s">
        <v>17</v>
      </c>
      <c r="J1019" s="7" t="s">
        <v>1678</v>
      </c>
    </row>
    <row r="1020" spans="1:10" x14ac:dyDescent="0.25" outlineLevel="3" collapsed="1">
      <c r="A1020" s="7" t="s">
        <v>15</v>
      </c>
      <c r="B1020" s="7" t="s">
        <v>16</v>
      </c>
      <c r="C1020" s="7" t="s">
        <v>17</v>
      </c>
      <c r="D1020" s="7"/>
      <c r="E1020" s="7" t="s">
        <v>1679</v>
      </c>
      <c r="F1020" s="7" t="s">
        <v>19</v>
      </c>
      <c r="G1020" s="7" t="s">
        <v>31</v>
      </c>
      <c r="H1020" s="7" t="s">
        <v>17</v>
      </c>
      <c r="I1020" s="7" t="s">
        <v>17</v>
      </c>
      <c r="J1020" s="7" t="s">
        <v>1680</v>
      </c>
    </row>
    <row r="1021" spans="1:10" x14ac:dyDescent="0.25" outlineLevel="3" collapsed="1">
      <c r="A1021" s="7" t="s">
        <v>15</v>
      </c>
      <c r="B1021" s="7" t="s">
        <v>284</v>
      </c>
      <c r="C1021" s="11" t="s">
        <v>1611</v>
      </c>
      <c r="D1021" s="7"/>
      <c r="E1021" s="7" t="s">
        <v>1612</v>
      </c>
      <c r="F1021" s="7" t="s">
        <v>19</v>
      </c>
      <c r="G1021" s="7" t="s">
        <v>1613</v>
      </c>
      <c r="H1021" s="7" t="s">
        <v>17</v>
      </c>
      <c r="I1021" s="7" t="s">
        <v>17</v>
      </c>
      <c r="J1021" s="7" t="s">
        <v>1614</v>
      </c>
    </row>
    <row r="1022" spans="1:10" x14ac:dyDescent="0.25" outlineLevel="3" collapsed="1">
      <c r="A1022" s="7" t="s">
        <v>19</v>
      </c>
      <c r="B1022" s="7" t="s">
        <v>16</v>
      </c>
      <c r="C1022" s="7" t="s">
        <v>17</v>
      </c>
      <c r="D1022" s="7"/>
      <c r="E1022" s="7" t="s">
        <v>1681</v>
      </c>
      <c r="F1022" s="7" t="s">
        <v>19</v>
      </c>
      <c r="G1022" s="7" t="s">
        <v>31</v>
      </c>
      <c r="H1022" s="7" t="s">
        <v>17</v>
      </c>
      <c r="I1022" s="7" t="s">
        <v>17</v>
      </c>
      <c r="J1022" s="7" t="s">
        <v>1682</v>
      </c>
    </row>
    <row r="1023" spans="1:10" x14ac:dyDescent="0.25" outlineLevel="3" collapsed="1">
      <c r="A1023" s="7" t="s">
        <v>19</v>
      </c>
      <c r="B1023" s="7" t="s">
        <v>16</v>
      </c>
      <c r="C1023" s="7" t="s">
        <v>17</v>
      </c>
      <c r="D1023" s="7"/>
      <c r="E1023" s="7" t="s">
        <v>1615</v>
      </c>
      <c r="F1023" s="7" t="s">
        <v>19</v>
      </c>
      <c r="G1023" s="7" t="s">
        <v>31</v>
      </c>
      <c r="H1023" s="7" t="s">
        <v>17</v>
      </c>
      <c r="I1023" s="7" t="s">
        <v>17</v>
      </c>
      <c r="J1023" s="7" t="s">
        <v>1616</v>
      </c>
    </row>
    <row r="1024" spans="1:10" x14ac:dyDescent="0.25">
      <c r="A1024" s="5" t="s">
        <v>15</v>
      </c>
      <c r="B1024" s="6" t="s">
        <v>1796</v>
      </c>
      <c r="C1024" s="5" t="s">
        <v>17</v>
      </c>
      <c r="D1024" s="5"/>
      <c r="E1024" s="5" t="s">
        <v>1797</v>
      </c>
      <c r="F1024" s="5" t="s">
        <v>19</v>
      </c>
      <c r="G1024" s="5" t="s">
        <v>17</v>
      </c>
      <c r="H1024" s="5" t="s">
        <v>17</v>
      </c>
      <c r="I1024" s="5" t="s">
        <v>17</v>
      </c>
      <c r="J1024" s="5" t="s">
        <v>1798</v>
      </c>
    </row>
    <row r="1025" spans="1:10" x14ac:dyDescent="0.25" outlineLevel="1" collapsed="1">
      <c r="A1025" s="7" t="s">
        <v>15</v>
      </c>
      <c r="B1025" s="7" t="s">
        <v>63</v>
      </c>
      <c r="C1025" s="7" t="s">
        <v>17</v>
      </c>
      <c r="D1025" s="7"/>
      <c r="E1025" s="7" t="s">
        <v>1799</v>
      </c>
      <c r="F1025" s="7" t="s">
        <v>19</v>
      </c>
      <c r="G1025" s="7">
        <v>1</v>
      </c>
      <c r="H1025" s="7" t="s">
        <v>17</v>
      </c>
      <c r="I1025" s="7" t="s">
        <v>17</v>
      </c>
      <c r="J1025" s="7" t="s">
        <v>1800</v>
      </c>
    </row>
    <row r="1026" spans="1:10" x14ac:dyDescent="0.25" outlineLevel="1" collapsed="1">
      <c r="A1026" s="8" t="s">
        <v>15</v>
      </c>
      <c r="B1026" s="9" t="s">
        <v>1801</v>
      </c>
      <c r="C1026" s="8" t="s">
        <v>17</v>
      </c>
      <c r="D1026" s="8"/>
      <c r="E1026" s="8" t="s">
        <v>1802</v>
      </c>
      <c r="F1026" s="8" t="s">
        <v>15</v>
      </c>
      <c r="G1026" s="8" t="s">
        <v>17</v>
      </c>
      <c r="H1026" s="8" t="s">
        <v>17</v>
      </c>
      <c r="I1026" s="8" t="s">
        <v>17</v>
      </c>
      <c r="J1026" s="8" t="s">
        <v>1803</v>
      </c>
    </row>
    <row r="1027" spans="1:10" x14ac:dyDescent="0.25" outlineLevel="2" collapsed="1">
      <c r="A1027" s="7" t="s">
        <v>15</v>
      </c>
      <c r="B1027" s="7" t="s">
        <v>16</v>
      </c>
      <c r="C1027" s="7" t="s">
        <v>17</v>
      </c>
      <c r="D1027" s="7"/>
      <c r="E1027" s="7" t="s">
        <v>1804</v>
      </c>
      <c r="F1027" s="7" t="s">
        <v>19</v>
      </c>
      <c r="G1027" s="7" t="s">
        <v>31</v>
      </c>
      <c r="H1027" s="7" t="s">
        <v>17</v>
      </c>
      <c r="I1027" s="7" t="s">
        <v>17</v>
      </c>
      <c r="J1027" s="7" t="s">
        <v>944</v>
      </c>
    </row>
    <row r="1028" spans="1:10" x14ac:dyDescent="0.25" outlineLevel="2" collapsed="1">
      <c r="A1028" s="7" t="s">
        <v>19</v>
      </c>
      <c r="B1028" s="7" t="s">
        <v>63</v>
      </c>
      <c r="C1028" s="7" t="s">
        <v>17</v>
      </c>
      <c r="D1028" s="7"/>
      <c r="E1028" s="7" t="s">
        <v>1805</v>
      </c>
      <c r="F1028" s="7" t="s">
        <v>19</v>
      </c>
      <c r="G1028" s="7">
        <v>1</v>
      </c>
      <c r="H1028" s="7" t="s">
        <v>17</v>
      </c>
      <c r="I1028" s="7" t="s">
        <v>17</v>
      </c>
      <c r="J1028" s="7" t="s">
        <v>1806</v>
      </c>
    </row>
    <row r="1029" spans="1:10" x14ac:dyDescent="0.25" outlineLevel="2" collapsed="1">
      <c r="A1029" s="7" t="s">
        <v>15</v>
      </c>
      <c r="B1029" s="7" t="s">
        <v>63</v>
      </c>
      <c r="C1029" s="7" t="s">
        <v>17</v>
      </c>
      <c r="D1029" s="7"/>
      <c r="E1029" s="7" t="s">
        <v>1807</v>
      </c>
      <c r="F1029" s="7" t="s">
        <v>19</v>
      </c>
      <c r="G1029" s="7">
        <v>1</v>
      </c>
      <c r="H1029" s="7" t="s">
        <v>17</v>
      </c>
      <c r="I1029" s="7" t="s">
        <v>17</v>
      </c>
      <c r="J1029" s="7" t="s">
        <v>1684</v>
      </c>
    </row>
    <row r="1030" spans="1:10" x14ac:dyDescent="0.25" outlineLevel="2" collapsed="1">
      <c r="A1030" s="7" t="s">
        <v>15</v>
      </c>
      <c r="B1030" s="7" t="s">
        <v>284</v>
      </c>
      <c r="C1030" s="11" t="s">
        <v>1808</v>
      </c>
      <c r="D1030" s="7"/>
      <c r="E1030" s="7" t="s">
        <v>1809</v>
      </c>
      <c r="F1030" s="7" t="s">
        <v>19</v>
      </c>
      <c r="G1030" s="7" t="s">
        <v>1810</v>
      </c>
      <c r="H1030" s="7" t="s">
        <v>17</v>
      </c>
      <c r="I1030" s="7" t="s">
        <v>17</v>
      </c>
      <c r="J1030" s="7" t="s">
        <v>1811</v>
      </c>
    </row>
    <row r="1031" spans="1:10" x14ac:dyDescent="0.25" outlineLevel="2" collapsed="1">
      <c r="A1031" s="8" t="s">
        <v>19</v>
      </c>
      <c r="B1031" s="9" t="s">
        <v>1812</v>
      </c>
      <c r="C1031" s="8" t="s">
        <v>17</v>
      </c>
      <c r="D1031" s="8">
        <f>EXACT(G1030,"Option 1 - measured volume (flow meter / standard vessel)")</f>
      </c>
      <c r="E1031" s="8" t="s">
        <v>1813</v>
      </c>
      <c r="F1031" s="8" t="s">
        <v>15</v>
      </c>
      <c r="G1031" s="8" t="s">
        <v>17</v>
      </c>
      <c r="H1031" s="8" t="s">
        <v>17</v>
      </c>
      <c r="I1031" s="8" t="s">
        <v>17</v>
      </c>
      <c r="J1031" s="8" t="s">
        <v>1814</v>
      </c>
    </row>
    <row r="1032" spans="1:10" x14ac:dyDescent="0.25" outlineLevel="3" collapsed="1">
      <c r="A1032" s="7" t="s">
        <v>15</v>
      </c>
      <c r="B1032" s="7" t="s">
        <v>16</v>
      </c>
      <c r="C1032" s="7" t="s">
        <v>17</v>
      </c>
      <c r="D1032" s="7"/>
      <c r="E1032" s="7" t="s">
        <v>1815</v>
      </c>
      <c r="F1032" s="7" t="s">
        <v>19</v>
      </c>
      <c r="G1032" s="7" t="s">
        <v>31</v>
      </c>
      <c r="H1032" s="7" t="s">
        <v>17</v>
      </c>
      <c r="I1032" s="7" t="s">
        <v>17</v>
      </c>
      <c r="J1032" s="7" t="s">
        <v>1816</v>
      </c>
    </row>
    <row r="1033" spans="1:10" x14ac:dyDescent="0.25" outlineLevel="3" collapsed="1">
      <c r="A1033" s="7" t="s">
        <v>15</v>
      </c>
      <c r="B1033" s="7" t="s">
        <v>284</v>
      </c>
      <c r="C1033" s="11" t="s">
        <v>1817</v>
      </c>
      <c r="D1033" s="7"/>
      <c r="E1033" s="7" t="s">
        <v>1818</v>
      </c>
      <c r="F1033" s="7" t="s">
        <v>19</v>
      </c>
      <c r="G1033" s="7" t="s">
        <v>1819</v>
      </c>
      <c r="H1033" s="7" t="s">
        <v>17</v>
      </c>
      <c r="I1033" s="7" t="s">
        <v>17</v>
      </c>
      <c r="J1033" s="7" t="s">
        <v>1820</v>
      </c>
    </row>
    <row r="1034" spans="1:10" x14ac:dyDescent="0.25" outlineLevel="3" collapsed="1">
      <c r="A1034" s="7" t="s">
        <v>15</v>
      </c>
      <c r="B1034" s="7" t="s">
        <v>63</v>
      </c>
      <c r="C1034" s="7" t="s">
        <v>17</v>
      </c>
      <c r="D1034" s="7"/>
      <c r="E1034" s="7" t="s">
        <v>1821</v>
      </c>
      <c r="F1034" s="7" t="s">
        <v>19</v>
      </c>
      <c r="G1034" s="7">
        <v>1</v>
      </c>
      <c r="H1034" s="7" t="s">
        <v>17</v>
      </c>
      <c r="I1034" s="7" t="s">
        <v>17</v>
      </c>
      <c r="J1034" s="7" t="s">
        <v>1822</v>
      </c>
    </row>
    <row r="1035" spans="1:10" x14ac:dyDescent="0.25" outlineLevel="3" collapsed="1">
      <c r="A1035" s="7" t="s">
        <v>15</v>
      </c>
      <c r="B1035" s="7" t="s">
        <v>63</v>
      </c>
      <c r="C1035" s="7" t="s">
        <v>17</v>
      </c>
      <c r="D1035" s="7"/>
      <c r="E1035" s="7" t="s">
        <v>1823</v>
      </c>
      <c r="F1035" s="7" t="s">
        <v>19</v>
      </c>
      <c r="G1035" s="7">
        <v>1</v>
      </c>
      <c r="H1035" s="7" t="s">
        <v>17</v>
      </c>
      <c r="I1035" s="7" t="s">
        <v>17</v>
      </c>
      <c r="J1035" s="7" t="s">
        <v>1824</v>
      </c>
    </row>
    <row r="1036" spans="1:10" x14ac:dyDescent="0.25" outlineLevel="3" collapsed="1">
      <c r="A1036" s="7" t="s">
        <v>19</v>
      </c>
      <c r="B1036" s="7" t="s">
        <v>159</v>
      </c>
      <c r="C1036" s="7" t="s">
        <v>17</v>
      </c>
      <c r="D1036" s="7"/>
      <c r="E1036" s="7" t="s">
        <v>1825</v>
      </c>
      <c r="F1036" s="7" t="s">
        <v>19</v>
      </c>
      <c r="G1036" s="7" t="b">
        <v>1</v>
      </c>
      <c r="H1036" s="7" t="s">
        <v>17</v>
      </c>
      <c r="I1036" s="7" t="s">
        <v>17</v>
      </c>
      <c r="J1036" s="7" t="s">
        <v>1826</v>
      </c>
    </row>
    <row r="1037" spans="1:10" x14ac:dyDescent="0.25" outlineLevel="3" collapsed="1">
      <c r="A1037" s="8" t="s">
        <v>19</v>
      </c>
      <c r="B1037" s="9" t="s">
        <v>952</v>
      </c>
      <c r="C1037" s="8" t="s">
        <v>17</v>
      </c>
      <c r="D1037" s="8"/>
      <c r="E1037" s="8" t="s">
        <v>953</v>
      </c>
      <c r="F1037" s="8" t="s">
        <v>15</v>
      </c>
      <c r="G1037" s="8" t="s">
        <v>17</v>
      </c>
      <c r="H1037" s="8" t="s">
        <v>17</v>
      </c>
      <c r="I1037" s="8" t="s">
        <v>17</v>
      </c>
      <c r="J1037" s="8" t="s">
        <v>954</v>
      </c>
    </row>
    <row r="1038" spans="1:10" x14ac:dyDescent="0.25" outlineLevel="4" collapsed="1">
      <c r="A1038" s="7" t="s">
        <v>15</v>
      </c>
      <c r="B1038" s="7" t="s">
        <v>16</v>
      </c>
      <c r="C1038" s="7" t="s">
        <v>17</v>
      </c>
      <c r="D1038" s="7"/>
      <c r="E1038" s="7" t="s">
        <v>955</v>
      </c>
      <c r="F1038" s="7" t="s">
        <v>19</v>
      </c>
      <c r="G1038" s="7" t="s">
        <v>956</v>
      </c>
      <c r="H1038" s="7" t="s">
        <v>17</v>
      </c>
      <c r="I1038" s="7" t="s">
        <v>17</v>
      </c>
      <c r="J1038" s="7" t="s">
        <v>957</v>
      </c>
    </row>
    <row r="1039" spans="1:10" x14ac:dyDescent="0.25" outlineLevel="4" collapsed="1">
      <c r="A1039" s="7" t="s">
        <v>15</v>
      </c>
      <c r="B1039" s="7" t="s">
        <v>284</v>
      </c>
      <c r="C1039" s="11" t="s">
        <v>958</v>
      </c>
      <c r="D1039" s="7"/>
      <c r="E1039" s="7" t="s">
        <v>959</v>
      </c>
      <c r="F1039" s="7" t="s">
        <v>19</v>
      </c>
      <c r="G1039" s="7" t="s">
        <v>960</v>
      </c>
      <c r="H1039" s="7" t="s">
        <v>17</v>
      </c>
      <c r="I1039" s="7" t="s">
        <v>17</v>
      </c>
      <c r="J1039" s="7" t="s">
        <v>961</v>
      </c>
    </row>
    <row r="1040" spans="1:10" x14ac:dyDescent="0.25" outlineLevel="4" collapsed="1">
      <c r="A1040" s="7" t="s">
        <v>15</v>
      </c>
      <c r="B1040" s="7" t="s">
        <v>16</v>
      </c>
      <c r="C1040" s="7" t="s">
        <v>17</v>
      </c>
      <c r="D1040" s="7"/>
      <c r="E1040" s="7" t="s">
        <v>962</v>
      </c>
      <c r="F1040" s="7" t="s">
        <v>19</v>
      </c>
      <c r="G1040" s="7" t="s">
        <v>963</v>
      </c>
      <c r="H1040" s="7" t="s">
        <v>17</v>
      </c>
      <c r="I1040" s="7" t="s">
        <v>17</v>
      </c>
      <c r="J1040" s="7" t="s">
        <v>964</v>
      </c>
    </row>
    <row r="1041" spans="1:10" x14ac:dyDescent="0.25" outlineLevel="4" collapsed="1">
      <c r="A1041" s="7" t="s">
        <v>19</v>
      </c>
      <c r="B1041" s="7" t="s">
        <v>291</v>
      </c>
      <c r="C1041" s="7" t="s">
        <v>17</v>
      </c>
      <c r="D1041" s="7"/>
      <c r="E1041" s="7" t="s">
        <v>965</v>
      </c>
      <c r="F1041" s="7" t="s">
        <v>19</v>
      </c>
      <c r="G1041" s="7" t="s">
        <v>293</v>
      </c>
      <c r="H1041" s="7" t="s">
        <v>17</v>
      </c>
      <c r="I1041" s="7" t="s">
        <v>17</v>
      </c>
      <c r="J1041" s="7" t="s">
        <v>966</v>
      </c>
    </row>
    <row r="1042" spans="1:10" x14ac:dyDescent="0.25" outlineLevel="4" collapsed="1">
      <c r="A1042" s="7" t="s">
        <v>19</v>
      </c>
      <c r="B1042" s="7" t="s">
        <v>16</v>
      </c>
      <c r="C1042" s="7" t="s">
        <v>17</v>
      </c>
      <c r="D1042" s="7"/>
      <c r="E1042" s="7" t="s">
        <v>967</v>
      </c>
      <c r="F1042" s="7" t="s">
        <v>19</v>
      </c>
      <c r="G1042" s="7" t="s">
        <v>968</v>
      </c>
      <c r="H1042" s="7" t="s">
        <v>17</v>
      </c>
      <c r="I1042" s="7" t="s">
        <v>17</v>
      </c>
      <c r="J1042" s="7" t="s">
        <v>843</v>
      </c>
    </row>
    <row r="1043" spans="1:10" x14ac:dyDescent="0.25" outlineLevel="3" collapsed="1">
      <c r="A1043" s="7" t="s">
        <v>19</v>
      </c>
      <c r="B1043" s="7" t="s">
        <v>284</v>
      </c>
      <c r="C1043" s="11" t="s">
        <v>1827</v>
      </c>
      <c r="D1043" s="7"/>
      <c r="E1043" s="7" t="s">
        <v>1828</v>
      </c>
      <c r="F1043" s="7" t="s">
        <v>19</v>
      </c>
      <c r="G1043" s="7" t="s">
        <v>1829</v>
      </c>
      <c r="H1043" s="7" t="s">
        <v>17</v>
      </c>
      <c r="I1043" s="7" t="s">
        <v>17</v>
      </c>
      <c r="J1043" s="7" t="s">
        <v>1830</v>
      </c>
    </row>
    <row r="1044" spans="1:10" x14ac:dyDescent="0.25" outlineLevel="3" collapsed="1">
      <c r="A1044" s="7" t="s">
        <v>19</v>
      </c>
      <c r="B1044" s="7" t="s">
        <v>63</v>
      </c>
      <c r="C1044" s="7" t="s">
        <v>17</v>
      </c>
      <c r="D1044" s="7"/>
      <c r="E1044" s="7" t="s">
        <v>1831</v>
      </c>
      <c r="F1044" s="7" t="s">
        <v>19</v>
      </c>
      <c r="G1044" s="7">
        <v>1</v>
      </c>
      <c r="H1044" s="7" t="s">
        <v>17</v>
      </c>
      <c r="I1044" s="7" t="s">
        <v>17</v>
      </c>
      <c r="J1044" s="7" t="s">
        <v>1832</v>
      </c>
    </row>
    <row r="1045" spans="1:10" x14ac:dyDescent="0.25" outlineLevel="2" collapsed="1">
      <c r="A1045" s="8" t="s">
        <v>19</v>
      </c>
      <c r="B1045" s="9" t="s">
        <v>1833</v>
      </c>
      <c r="C1045" s="8" t="s">
        <v>17</v>
      </c>
      <c r="D1045" s="8">
        <f>EXACT(G1030,"Option 2.1 - capacity x usage time (AMS-III.AV Eq.(2))")</f>
      </c>
      <c r="E1045" s="8" t="s">
        <v>1834</v>
      </c>
      <c r="F1045" s="8" t="s">
        <v>15</v>
      </c>
      <c r="G1045" s="8" t="s">
        <v>17</v>
      </c>
      <c r="H1045" s="8" t="s">
        <v>17</v>
      </c>
      <c r="I1045" s="8" t="s">
        <v>17</v>
      </c>
      <c r="J1045" s="8" t="s">
        <v>1835</v>
      </c>
    </row>
    <row r="1046" spans="1:10" x14ac:dyDescent="0.25" outlineLevel="3" collapsed="1">
      <c r="A1046" s="7" t="s">
        <v>15</v>
      </c>
      <c r="B1046" s="7" t="s">
        <v>16</v>
      </c>
      <c r="C1046" s="7" t="s">
        <v>17</v>
      </c>
      <c r="D1046" s="7"/>
      <c r="E1046" s="7" t="s">
        <v>1836</v>
      </c>
      <c r="F1046" s="7" t="s">
        <v>19</v>
      </c>
      <c r="G1046" s="7" t="s">
        <v>31</v>
      </c>
      <c r="H1046" s="7" t="s">
        <v>17</v>
      </c>
      <c r="I1046" s="7" t="s">
        <v>17</v>
      </c>
      <c r="J1046" s="7" t="s">
        <v>1816</v>
      </c>
    </row>
    <row r="1047" spans="1:10" x14ac:dyDescent="0.25" outlineLevel="3" collapsed="1">
      <c r="A1047" s="7" t="s">
        <v>15</v>
      </c>
      <c r="B1047" s="7" t="s">
        <v>63</v>
      </c>
      <c r="C1047" s="7" t="s">
        <v>17</v>
      </c>
      <c r="D1047" s="7"/>
      <c r="E1047" s="7" t="s">
        <v>1837</v>
      </c>
      <c r="F1047" s="7" t="s">
        <v>19</v>
      </c>
      <c r="G1047" s="7">
        <v>1</v>
      </c>
      <c r="H1047" s="7" t="s">
        <v>17</v>
      </c>
      <c r="I1047" s="7" t="s">
        <v>17</v>
      </c>
      <c r="J1047" s="7" t="s">
        <v>1628</v>
      </c>
    </row>
    <row r="1048" spans="1:10" x14ac:dyDescent="0.25" outlineLevel="3" collapsed="1">
      <c r="A1048" s="7" t="s">
        <v>15</v>
      </c>
      <c r="B1048" s="7" t="s">
        <v>63</v>
      </c>
      <c r="C1048" s="7" t="s">
        <v>17</v>
      </c>
      <c r="D1048" s="7"/>
      <c r="E1048" s="7" t="s">
        <v>1838</v>
      </c>
      <c r="F1048" s="7" t="s">
        <v>19</v>
      </c>
      <c r="G1048" s="7">
        <v>1</v>
      </c>
      <c r="H1048" s="7" t="s">
        <v>17</v>
      </c>
      <c r="I1048" s="7" t="s">
        <v>17</v>
      </c>
      <c r="J1048" s="7" t="s">
        <v>1839</v>
      </c>
    </row>
    <row r="1049" spans="1:10" x14ac:dyDescent="0.25" outlineLevel="2" collapsed="1">
      <c r="A1049" s="8" t="s">
        <v>19</v>
      </c>
      <c r="B1049" s="9" t="s">
        <v>1840</v>
      </c>
      <c r="C1049" s="8" t="s">
        <v>17</v>
      </c>
      <c r="D1049" s="8">
        <f>EXACT(G1030,"Option 2.2 - population x volume per person (AMS-III.AV Eq.(3))")</f>
      </c>
      <c r="E1049" s="8" t="s">
        <v>1841</v>
      </c>
      <c r="F1049" s="8" t="s">
        <v>15</v>
      </c>
      <c r="G1049" s="8" t="s">
        <v>17</v>
      </c>
      <c r="H1049" s="8" t="s">
        <v>17</v>
      </c>
      <c r="I1049" s="8" t="s">
        <v>17</v>
      </c>
      <c r="J1049" s="8" t="s">
        <v>1842</v>
      </c>
    </row>
    <row r="1050" spans="1:10" x14ac:dyDescent="0.25" outlineLevel="3" collapsed="1">
      <c r="A1050" s="7" t="s">
        <v>19</v>
      </c>
      <c r="B1050" s="7" t="s">
        <v>16</v>
      </c>
      <c r="C1050" s="7" t="s">
        <v>17</v>
      </c>
      <c r="D1050" s="7"/>
      <c r="E1050" s="7" t="s">
        <v>1843</v>
      </c>
      <c r="F1050" s="7" t="s">
        <v>19</v>
      </c>
      <c r="G1050" s="7" t="s">
        <v>31</v>
      </c>
      <c r="H1050" s="7" t="s">
        <v>17</v>
      </c>
      <c r="I1050" s="7" t="s">
        <v>17</v>
      </c>
      <c r="J1050" s="7" t="s">
        <v>1844</v>
      </c>
    </row>
    <row r="1051" spans="1:10" x14ac:dyDescent="0.25" outlineLevel="3" collapsed="1">
      <c r="A1051" s="7" t="s">
        <v>15</v>
      </c>
      <c r="B1051" s="7" t="s">
        <v>63</v>
      </c>
      <c r="C1051" s="7" t="s">
        <v>17</v>
      </c>
      <c r="D1051" s="7"/>
      <c r="E1051" s="7" t="s">
        <v>1845</v>
      </c>
      <c r="F1051" s="7" t="s">
        <v>19</v>
      </c>
      <c r="G1051" s="7">
        <v>1</v>
      </c>
      <c r="H1051" s="7" t="s">
        <v>17</v>
      </c>
      <c r="I1051" s="7" t="s">
        <v>17</v>
      </c>
      <c r="J1051" s="7" t="s">
        <v>1684</v>
      </c>
    </row>
    <row r="1052" spans="1:10" x14ac:dyDescent="0.25" outlineLevel="3" collapsed="1">
      <c r="A1052" s="7" t="s">
        <v>15</v>
      </c>
      <c r="B1052" s="7" t="s">
        <v>63</v>
      </c>
      <c r="C1052" s="7" t="s">
        <v>17</v>
      </c>
      <c r="D1052" s="7"/>
      <c r="E1052" s="7" t="s">
        <v>1846</v>
      </c>
      <c r="F1052" s="7" t="s">
        <v>19</v>
      </c>
      <c r="G1052" s="7">
        <v>1</v>
      </c>
      <c r="H1052" s="7" t="s">
        <v>17</v>
      </c>
      <c r="I1052" s="7" t="s">
        <v>17</v>
      </c>
      <c r="J1052" s="7" t="s">
        <v>1630</v>
      </c>
    </row>
    <row r="1053" spans="1:10" x14ac:dyDescent="0.25" outlineLevel="3" collapsed="1">
      <c r="A1053" s="7" t="s">
        <v>19</v>
      </c>
      <c r="B1053" s="7" t="s">
        <v>63</v>
      </c>
      <c r="C1053" s="7" t="s">
        <v>17</v>
      </c>
      <c r="D1053" s="7"/>
      <c r="E1053" s="7" t="s">
        <v>1847</v>
      </c>
      <c r="F1053" s="7" t="s">
        <v>19</v>
      </c>
      <c r="G1053" s="7">
        <v>1</v>
      </c>
      <c r="H1053" s="7" t="s">
        <v>17</v>
      </c>
      <c r="I1053" s="7" t="s">
        <v>17</v>
      </c>
      <c r="J1053" s="7" t="s">
        <v>1848</v>
      </c>
    </row>
    <row r="1054" spans="1:10" x14ac:dyDescent="0.25" outlineLevel="2" collapsed="1">
      <c r="A1054" s="8" t="s">
        <v>15</v>
      </c>
      <c r="B1054" s="9" t="s">
        <v>1849</v>
      </c>
      <c r="C1054" s="8" t="s">
        <v>17</v>
      </c>
      <c r="D1054" s="8"/>
      <c r="E1054" s="8" t="s">
        <v>1850</v>
      </c>
      <c r="F1054" s="8" t="s">
        <v>15</v>
      </c>
      <c r="G1054" s="8" t="s">
        <v>17</v>
      </c>
      <c r="H1054" s="8" t="s">
        <v>17</v>
      </c>
      <c r="I1054" s="8" t="s">
        <v>17</v>
      </c>
      <c r="J1054" s="8" t="s">
        <v>1851</v>
      </c>
    </row>
    <row r="1055" spans="1:10" x14ac:dyDescent="0.25" outlineLevel="3" collapsed="1">
      <c r="A1055" s="7" t="s">
        <v>15</v>
      </c>
      <c r="B1055" s="7" t="s">
        <v>16</v>
      </c>
      <c r="C1055" s="7" t="s">
        <v>17</v>
      </c>
      <c r="D1055" s="7"/>
      <c r="E1055" s="7" t="s">
        <v>1852</v>
      </c>
      <c r="F1055" s="7" t="s">
        <v>19</v>
      </c>
      <c r="G1055" s="7" t="s">
        <v>31</v>
      </c>
      <c r="H1055" s="7" t="s">
        <v>17</v>
      </c>
      <c r="I1055" s="7" t="s">
        <v>17</v>
      </c>
      <c r="J1055" s="7" t="s">
        <v>1853</v>
      </c>
    </row>
    <row r="1056" spans="1:10" x14ac:dyDescent="0.25" outlineLevel="3" collapsed="1">
      <c r="A1056" s="7" t="s">
        <v>15</v>
      </c>
      <c r="B1056" s="7" t="s">
        <v>291</v>
      </c>
      <c r="C1056" s="7" t="s">
        <v>17</v>
      </c>
      <c r="D1056" s="7"/>
      <c r="E1056" s="7" t="s">
        <v>1854</v>
      </c>
      <c r="F1056" s="7" t="s">
        <v>19</v>
      </c>
      <c r="G1056" s="7" t="s">
        <v>950</v>
      </c>
      <c r="H1056" s="7" t="s">
        <v>17</v>
      </c>
      <c r="I1056" s="7" t="s">
        <v>17</v>
      </c>
      <c r="J1056" s="7" t="s">
        <v>934</v>
      </c>
    </row>
    <row r="1057" spans="1:10" x14ac:dyDescent="0.25" outlineLevel="3" collapsed="1">
      <c r="A1057" s="7" t="s">
        <v>15</v>
      </c>
      <c r="B1057" s="7" t="s">
        <v>159</v>
      </c>
      <c r="C1057" s="7" t="s">
        <v>17</v>
      </c>
      <c r="D1057" s="7"/>
      <c r="E1057" s="7" t="s">
        <v>1855</v>
      </c>
      <c r="F1057" s="7" t="s">
        <v>19</v>
      </c>
      <c r="G1057" s="7" t="b">
        <v>1</v>
      </c>
      <c r="H1057" s="7" t="s">
        <v>17</v>
      </c>
      <c r="I1057" s="7" t="s">
        <v>17</v>
      </c>
      <c r="J1057" s="7" t="s">
        <v>1856</v>
      </c>
    </row>
    <row r="1058" spans="1:10" x14ac:dyDescent="0.25" outlineLevel="3" collapsed="1">
      <c r="A1058" s="7" t="s">
        <v>15</v>
      </c>
      <c r="B1058" s="7" t="s">
        <v>159</v>
      </c>
      <c r="C1058" s="7" t="s">
        <v>17</v>
      </c>
      <c r="D1058" s="7"/>
      <c r="E1058" s="7" t="s">
        <v>1857</v>
      </c>
      <c r="F1058" s="7" t="s">
        <v>19</v>
      </c>
      <c r="G1058" s="7" t="b">
        <v>1</v>
      </c>
      <c r="H1058" s="7" t="s">
        <v>17</v>
      </c>
      <c r="I1058" s="7" t="s">
        <v>17</v>
      </c>
      <c r="J1058" s="7" t="s">
        <v>1858</v>
      </c>
    </row>
    <row r="1059" spans="1:10" x14ac:dyDescent="0.25" outlineLevel="3" collapsed="1">
      <c r="A1059" s="7" t="s">
        <v>19</v>
      </c>
      <c r="B1059" s="7" t="s">
        <v>63</v>
      </c>
      <c r="C1059" s="7" t="s">
        <v>17</v>
      </c>
      <c r="D1059" s="7">
        <f>EXACT(G1058,true)</f>
      </c>
      <c r="E1059" s="7" t="s">
        <v>1859</v>
      </c>
      <c r="F1059" s="7" t="s">
        <v>19</v>
      </c>
      <c r="G1059" s="7">
        <v>1</v>
      </c>
      <c r="H1059" s="7" t="s">
        <v>17</v>
      </c>
      <c r="I1059" s="7" t="s">
        <v>17</v>
      </c>
      <c r="J1059" s="7" t="s">
        <v>1860</v>
      </c>
    </row>
    <row r="1060" spans="1:10" x14ac:dyDescent="0.25" outlineLevel="3" collapsed="1">
      <c r="A1060" s="7" t="s">
        <v>19</v>
      </c>
      <c r="B1060" s="7" t="s">
        <v>63</v>
      </c>
      <c r="C1060" s="7" t="s">
        <v>17</v>
      </c>
      <c r="D1060" s="7"/>
      <c r="E1060" s="7" t="s">
        <v>1861</v>
      </c>
      <c r="F1060" s="7" t="s">
        <v>19</v>
      </c>
      <c r="G1060" s="7">
        <v>1</v>
      </c>
      <c r="H1060" s="7">
        <v>1</v>
      </c>
      <c r="I1060" s="7" t="s">
        <v>17</v>
      </c>
      <c r="J1060" s="7" t="s">
        <v>1862</v>
      </c>
    </row>
    <row r="1061" spans="1:10" x14ac:dyDescent="0.25" outlineLevel="3" collapsed="1">
      <c r="A1061" s="7" t="s">
        <v>19</v>
      </c>
      <c r="B1061" s="7" t="s">
        <v>16</v>
      </c>
      <c r="C1061" s="7" t="s">
        <v>17</v>
      </c>
      <c r="D1061" s="7"/>
      <c r="E1061" s="7" t="s">
        <v>1863</v>
      </c>
      <c r="F1061" s="7" t="s">
        <v>19</v>
      </c>
      <c r="G1061" s="7" t="s">
        <v>31</v>
      </c>
      <c r="H1061" s="7" t="s">
        <v>17</v>
      </c>
      <c r="I1061" s="7" t="s">
        <v>17</v>
      </c>
      <c r="J1061" s="7" t="s">
        <v>1864</v>
      </c>
    </row>
    <row r="1062" spans="1:10" x14ac:dyDescent="0.25" outlineLevel="3" collapsed="1">
      <c r="A1062" s="8" t="s">
        <v>19</v>
      </c>
      <c r="B1062" s="9" t="s">
        <v>952</v>
      </c>
      <c r="C1062" s="8" t="s">
        <v>17</v>
      </c>
      <c r="D1062" s="8"/>
      <c r="E1062" s="8" t="s">
        <v>953</v>
      </c>
      <c r="F1062" s="8" t="s">
        <v>15</v>
      </c>
      <c r="G1062" s="8" t="s">
        <v>17</v>
      </c>
      <c r="H1062" s="8" t="s">
        <v>17</v>
      </c>
      <c r="I1062" s="8" t="s">
        <v>17</v>
      </c>
      <c r="J1062" s="8" t="s">
        <v>954</v>
      </c>
    </row>
    <row r="1063" spans="1:10" x14ac:dyDescent="0.25" outlineLevel="4" collapsed="1">
      <c r="A1063" s="7" t="s">
        <v>15</v>
      </c>
      <c r="B1063" s="7" t="s">
        <v>16</v>
      </c>
      <c r="C1063" s="7" t="s">
        <v>17</v>
      </c>
      <c r="D1063" s="7"/>
      <c r="E1063" s="7" t="s">
        <v>955</v>
      </c>
      <c r="F1063" s="7" t="s">
        <v>19</v>
      </c>
      <c r="G1063" s="7" t="s">
        <v>956</v>
      </c>
      <c r="H1063" s="7" t="s">
        <v>17</v>
      </c>
      <c r="I1063" s="7" t="s">
        <v>17</v>
      </c>
      <c r="J1063" s="7" t="s">
        <v>957</v>
      </c>
    </row>
    <row r="1064" spans="1:10" x14ac:dyDescent="0.25" outlineLevel="4" collapsed="1">
      <c r="A1064" s="7" t="s">
        <v>15</v>
      </c>
      <c r="B1064" s="7" t="s">
        <v>284</v>
      </c>
      <c r="C1064" s="11" t="s">
        <v>958</v>
      </c>
      <c r="D1064" s="7"/>
      <c r="E1064" s="7" t="s">
        <v>959</v>
      </c>
      <c r="F1064" s="7" t="s">
        <v>19</v>
      </c>
      <c r="G1064" s="7" t="s">
        <v>960</v>
      </c>
      <c r="H1064" s="7" t="s">
        <v>17</v>
      </c>
      <c r="I1064" s="7" t="s">
        <v>17</v>
      </c>
      <c r="J1064" s="7" t="s">
        <v>961</v>
      </c>
    </row>
    <row r="1065" spans="1:10" x14ac:dyDescent="0.25" outlineLevel="4" collapsed="1">
      <c r="A1065" s="7" t="s">
        <v>15</v>
      </c>
      <c r="B1065" s="7" t="s">
        <v>16</v>
      </c>
      <c r="C1065" s="7" t="s">
        <v>17</v>
      </c>
      <c r="D1065" s="7"/>
      <c r="E1065" s="7" t="s">
        <v>962</v>
      </c>
      <c r="F1065" s="7" t="s">
        <v>19</v>
      </c>
      <c r="G1065" s="7" t="s">
        <v>963</v>
      </c>
      <c r="H1065" s="7" t="s">
        <v>17</v>
      </c>
      <c r="I1065" s="7" t="s">
        <v>17</v>
      </c>
      <c r="J1065" s="7" t="s">
        <v>964</v>
      </c>
    </row>
    <row r="1066" spans="1:10" x14ac:dyDescent="0.25" outlineLevel="4" collapsed="1">
      <c r="A1066" s="7" t="s">
        <v>19</v>
      </c>
      <c r="B1066" s="7" t="s">
        <v>291</v>
      </c>
      <c r="C1066" s="7" t="s">
        <v>17</v>
      </c>
      <c r="D1066" s="7"/>
      <c r="E1066" s="7" t="s">
        <v>965</v>
      </c>
      <c r="F1066" s="7" t="s">
        <v>19</v>
      </c>
      <c r="G1066" s="7" t="s">
        <v>293</v>
      </c>
      <c r="H1066" s="7" t="s">
        <v>17</v>
      </c>
      <c r="I1066" s="7" t="s">
        <v>17</v>
      </c>
      <c r="J1066" s="7" t="s">
        <v>966</v>
      </c>
    </row>
    <row r="1067" spans="1:10" x14ac:dyDescent="0.25" outlineLevel="4" collapsed="1">
      <c r="A1067" s="7" t="s">
        <v>19</v>
      </c>
      <c r="B1067" s="7" t="s">
        <v>16</v>
      </c>
      <c r="C1067" s="7" t="s">
        <v>17</v>
      </c>
      <c r="D1067" s="7"/>
      <c r="E1067" s="7" t="s">
        <v>967</v>
      </c>
      <c r="F1067" s="7" t="s">
        <v>19</v>
      </c>
      <c r="G1067" s="7" t="s">
        <v>968</v>
      </c>
      <c r="H1067" s="7" t="s">
        <v>17</v>
      </c>
      <c r="I1067" s="7" t="s">
        <v>17</v>
      </c>
      <c r="J1067" s="7" t="s">
        <v>843</v>
      </c>
    </row>
    <row r="1068" spans="1:10" x14ac:dyDescent="0.25" outlineLevel="2" collapsed="1">
      <c r="A1068" s="8" t="s">
        <v>15</v>
      </c>
      <c r="B1068" s="9" t="s">
        <v>930</v>
      </c>
      <c r="C1068" s="8" t="s">
        <v>17</v>
      </c>
      <c r="D1068" s="8"/>
      <c r="E1068" s="8" t="s">
        <v>1865</v>
      </c>
      <c r="F1068" s="8" t="s">
        <v>15</v>
      </c>
      <c r="G1068" s="8" t="s">
        <v>17</v>
      </c>
      <c r="H1068" s="8" t="s">
        <v>17</v>
      </c>
      <c r="I1068" s="8" t="s">
        <v>17</v>
      </c>
      <c r="J1068" s="8" t="s">
        <v>1866</v>
      </c>
    </row>
    <row r="1069" spans="1:10" x14ac:dyDescent="0.25" outlineLevel="3" collapsed="1">
      <c r="A1069" s="7" t="s">
        <v>15</v>
      </c>
      <c r="B1069" s="7" t="s">
        <v>16</v>
      </c>
      <c r="C1069" s="7" t="s">
        <v>17</v>
      </c>
      <c r="D1069" s="7"/>
      <c r="E1069" s="7" t="s">
        <v>933</v>
      </c>
      <c r="F1069" s="7" t="s">
        <v>19</v>
      </c>
      <c r="G1069" s="7" t="s">
        <v>920</v>
      </c>
      <c r="H1069" s="7" t="s">
        <v>17</v>
      </c>
      <c r="I1069" s="7" t="s">
        <v>17</v>
      </c>
      <c r="J1069" s="7" t="s">
        <v>934</v>
      </c>
    </row>
    <row r="1070" spans="1:10" x14ac:dyDescent="0.25" outlineLevel="3" collapsed="1">
      <c r="A1070" s="7" t="s">
        <v>15</v>
      </c>
      <c r="B1070" s="7" t="s">
        <v>159</v>
      </c>
      <c r="C1070" s="7" t="s">
        <v>17</v>
      </c>
      <c r="D1070" s="7"/>
      <c r="E1070" s="7" t="s">
        <v>935</v>
      </c>
      <c r="F1070" s="7" t="s">
        <v>19</v>
      </c>
      <c r="G1070" s="7" t="b">
        <v>0</v>
      </c>
      <c r="H1070" s="7" t="s">
        <v>17</v>
      </c>
      <c r="I1070" s="7" t="s">
        <v>17</v>
      </c>
      <c r="J1070" s="7" t="s">
        <v>936</v>
      </c>
    </row>
    <row r="1071" spans="1:10" x14ac:dyDescent="0.25" outlineLevel="3" collapsed="1">
      <c r="A1071" s="7" t="s">
        <v>19</v>
      </c>
      <c r="B1071" s="7" t="s">
        <v>16</v>
      </c>
      <c r="C1071" s="7" t="s">
        <v>17</v>
      </c>
      <c r="D1071" s="7"/>
      <c r="E1071" s="7" t="s">
        <v>937</v>
      </c>
      <c r="F1071" s="7" t="s">
        <v>19</v>
      </c>
      <c r="G1071" s="7" t="s">
        <v>938</v>
      </c>
      <c r="H1071" s="7" t="s">
        <v>17</v>
      </c>
      <c r="I1071" s="7" t="s">
        <v>17</v>
      </c>
      <c r="J1071" s="7" t="s">
        <v>939</v>
      </c>
    </row>
    <row r="1072" spans="1:10" x14ac:dyDescent="0.25" outlineLevel="3" collapsed="1">
      <c r="A1072" s="7" t="s">
        <v>15</v>
      </c>
      <c r="B1072" s="7" t="s">
        <v>16</v>
      </c>
      <c r="C1072" s="7" t="s">
        <v>17</v>
      </c>
      <c r="D1072" s="7"/>
      <c r="E1072" s="7" t="s">
        <v>940</v>
      </c>
      <c r="F1072" s="7" t="s">
        <v>19</v>
      </c>
      <c r="G1072" s="7" t="s">
        <v>941</v>
      </c>
      <c r="H1072" s="7" t="s">
        <v>17</v>
      </c>
      <c r="I1072" s="7" t="s">
        <v>17</v>
      </c>
      <c r="J1072" s="7" t="s">
        <v>942</v>
      </c>
    </row>
    <row r="1073" spans="1:10" x14ac:dyDescent="0.25" outlineLevel="3" collapsed="1">
      <c r="A1073" s="7" t="s">
        <v>19</v>
      </c>
      <c r="B1073" s="7" t="s">
        <v>16</v>
      </c>
      <c r="C1073" s="7" t="s">
        <v>17</v>
      </c>
      <c r="D1073" s="7"/>
      <c r="E1073" s="7" t="s">
        <v>943</v>
      </c>
      <c r="F1073" s="7" t="s">
        <v>19</v>
      </c>
      <c r="G1073" s="7" t="s">
        <v>31</v>
      </c>
      <c r="H1073" s="7" t="s">
        <v>17</v>
      </c>
      <c r="I1073" s="7" t="s">
        <v>17</v>
      </c>
      <c r="J1073" s="7" t="s">
        <v>944</v>
      </c>
    </row>
    <row r="1074" spans="1:10" x14ac:dyDescent="0.25" outlineLevel="3" collapsed="1">
      <c r="A1074" s="7" t="s">
        <v>19</v>
      </c>
      <c r="B1074" s="7" t="s">
        <v>63</v>
      </c>
      <c r="C1074" s="7" t="s">
        <v>17</v>
      </c>
      <c r="D1074" s="7">
        <f>EXACT(G1070,true)</f>
      </c>
      <c r="E1074" s="7" t="s">
        <v>945</v>
      </c>
      <c r="F1074" s="7" t="s">
        <v>19</v>
      </c>
      <c r="G1074" s="7">
        <v>1</v>
      </c>
      <c r="H1074" s="7" t="s">
        <v>17</v>
      </c>
      <c r="I1074" s="7" t="s">
        <v>17</v>
      </c>
      <c r="J1074" s="7" t="s">
        <v>946</v>
      </c>
    </row>
    <row r="1075" spans="1:10" x14ac:dyDescent="0.25" outlineLevel="3" collapsed="1">
      <c r="A1075" s="7" t="s">
        <v>19</v>
      </c>
      <c r="B1075" s="7" t="s">
        <v>63</v>
      </c>
      <c r="C1075" s="7" t="s">
        <v>17</v>
      </c>
      <c r="D1075" s="7">
        <f>EXACT(G1070,true)</f>
      </c>
      <c r="E1075" s="7" t="s">
        <v>947</v>
      </c>
      <c r="F1075" s="7" t="s">
        <v>19</v>
      </c>
      <c r="G1075" s="7">
        <v>1</v>
      </c>
      <c r="H1075" s="7" t="s">
        <v>17</v>
      </c>
      <c r="I1075" s="7" t="s">
        <v>17</v>
      </c>
      <c r="J1075" s="7" t="s">
        <v>948</v>
      </c>
    </row>
    <row r="1076" spans="1:10" x14ac:dyDescent="0.25" outlineLevel="3" collapsed="1">
      <c r="A1076" s="7" t="s">
        <v>19</v>
      </c>
      <c r="B1076" s="7" t="s">
        <v>291</v>
      </c>
      <c r="C1076" s="7" t="s">
        <v>17</v>
      </c>
      <c r="D1076" s="7">
        <f>EXACT(G1070,true)</f>
      </c>
      <c r="E1076" s="7" t="s">
        <v>949</v>
      </c>
      <c r="F1076" s="7" t="s">
        <v>19</v>
      </c>
      <c r="G1076" s="7" t="s">
        <v>950</v>
      </c>
      <c r="H1076" s="7" t="s">
        <v>17</v>
      </c>
      <c r="I1076" s="7" t="s">
        <v>17</v>
      </c>
      <c r="J1076" s="7" t="s">
        <v>951</v>
      </c>
    </row>
    <row r="1077" spans="1:10" x14ac:dyDescent="0.25" outlineLevel="3" collapsed="1">
      <c r="A1077" s="8" t="s">
        <v>19</v>
      </c>
      <c r="B1077" s="9" t="s">
        <v>952</v>
      </c>
      <c r="C1077" s="8" t="s">
        <v>17</v>
      </c>
      <c r="D1077" s="8"/>
      <c r="E1077" s="8" t="s">
        <v>953</v>
      </c>
      <c r="F1077" s="8" t="s">
        <v>15</v>
      </c>
      <c r="G1077" s="8" t="s">
        <v>17</v>
      </c>
      <c r="H1077" s="8" t="s">
        <v>17</v>
      </c>
      <c r="I1077" s="8" t="s">
        <v>17</v>
      </c>
      <c r="J1077" s="8" t="s">
        <v>954</v>
      </c>
    </row>
    <row r="1078" spans="1:10" x14ac:dyDescent="0.25" outlineLevel="4" collapsed="1">
      <c r="A1078" s="7" t="s">
        <v>15</v>
      </c>
      <c r="B1078" s="7" t="s">
        <v>16</v>
      </c>
      <c r="C1078" s="7" t="s">
        <v>17</v>
      </c>
      <c r="D1078" s="7"/>
      <c r="E1078" s="7" t="s">
        <v>955</v>
      </c>
      <c r="F1078" s="7" t="s">
        <v>19</v>
      </c>
      <c r="G1078" s="7" t="s">
        <v>956</v>
      </c>
      <c r="H1078" s="7" t="s">
        <v>17</v>
      </c>
      <c r="I1078" s="7" t="s">
        <v>17</v>
      </c>
      <c r="J1078" s="7" t="s">
        <v>957</v>
      </c>
    </row>
    <row r="1079" spans="1:10" x14ac:dyDescent="0.25" outlineLevel="4" collapsed="1">
      <c r="A1079" s="7" t="s">
        <v>15</v>
      </c>
      <c r="B1079" s="7" t="s">
        <v>284</v>
      </c>
      <c r="C1079" s="11" t="s">
        <v>958</v>
      </c>
      <c r="D1079" s="7"/>
      <c r="E1079" s="7" t="s">
        <v>959</v>
      </c>
      <c r="F1079" s="7" t="s">
        <v>19</v>
      </c>
      <c r="G1079" s="7" t="s">
        <v>960</v>
      </c>
      <c r="H1079" s="7" t="s">
        <v>17</v>
      </c>
      <c r="I1079" s="7" t="s">
        <v>17</v>
      </c>
      <c r="J1079" s="7" t="s">
        <v>961</v>
      </c>
    </row>
    <row r="1080" spans="1:10" x14ac:dyDescent="0.25" outlineLevel="4" collapsed="1">
      <c r="A1080" s="7" t="s">
        <v>15</v>
      </c>
      <c r="B1080" s="7" t="s">
        <v>16</v>
      </c>
      <c r="C1080" s="7" t="s">
        <v>17</v>
      </c>
      <c r="D1080" s="7"/>
      <c r="E1080" s="7" t="s">
        <v>962</v>
      </c>
      <c r="F1080" s="7" t="s">
        <v>19</v>
      </c>
      <c r="G1080" s="7" t="s">
        <v>963</v>
      </c>
      <c r="H1080" s="7" t="s">
        <v>17</v>
      </c>
      <c r="I1080" s="7" t="s">
        <v>17</v>
      </c>
      <c r="J1080" s="7" t="s">
        <v>964</v>
      </c>
    </row>
    <row r="1081" spans="1:10" x14ac:dyDescent="0.25" outlineLevel="4" collapsed="1">
      <c r="A1081" s="7" t="s">
        <v>19</v>
      </c>
      <c r="B1081" s="7" t="s">
        <v>291</v>
      </c>
      <c r="C1081" s="7" t="s">
        <v>17</v>
      </c>
      <c r="D1081" s="7"/>
      <c r="E1081" s="7" t="s">
        <v>965</v>
      </c>
      <c r="F1081" s="7" t="s">
        <v>19</v>
      </c>
      <c r="G1081" s="7" t="s">
        <v>293</v>
      </c>
      <c r="H1081" s="7" t="s">
        <v>17</v>
      </c>
      <c r="I1081" s="7" t="s">
        <v>17</v>
      </c>
      <c r="J1081" s="7" t="s">
        <v>966</v>
      </c>
    </row>
    <row r="1082" spans="1:10" x14ac:dyDescent="0.25" outlineLevel="4" collapsed="1">
      <c r="A1082" s="7" t="s">
        <v>19</v>
      </c>
      <c r="B1082" s="7" t="s">
        <v>16</v>
      </c>
      <c r="C1082" s="7" t="s">
        <v>17</v>
      </c>
      <c r="D1082" s="7"/>
      <c r="E1082" s="7" t="s">
        <v>967</v>
      </c>
      <c r="F1082" s="7" t="s">
        <v>19</v>
      </c>
      <c r="G1082" s="7" t="s">
        <v>968</v>
      </c>
      <c r="H1082" s="7" t="s">
        <v>17</v>
      </c>
      <c r="I1082" s="7" t="s">
        <v>17</v>
      </c>
      <c r="J1082" s="7" t="s">
        <v>843</v>
      </c>
    </row>
    <row r="1083" spans="1:10" x14ac:dyDescent="0.25" outlineLevel="2" collapsed="1">
      <c r="A1083" s="8" t="s">
        <v>19</v>
      </c>
      <c r="B1083" s="9" t="s">
        <v>1867</v>
      </c>
      <c r="C1083" s="8" t="s">
        <v>17</v>
      </c>
      <c r="D1083" s="8"/>
      <c r="E1083" s="8" t="s">
        <v>1868</v>
      </c>
      <c r="F1083" s="8" t="s">
        <v>15</v>
      </c>
      <c r="G1083" s="8" t="s">
        <v>17</v>
      </c>
      <c r="H1083" s="8" t="s">
        <v>17</v>
      </c>
      <c r="I1083" s="8" t="s">
        <v>17</v>
      </c>
      <c r="J1083" s="8" t="s">
        <v>1869</v>
      </c>
    </row>
    <row r="1084" spans="1:10" x14ac:dyDescent="0.25" outlineLevel="3" collapsed="1">
      <c r="A1084" s="7" t="s">
        <v>15</v>
      </c>
      <c r="B1084" s="7" t="s">
        <v>291</v>
      </c>
      <c r="C1084" s="7" t="s">
        <v>17</v>
      </c>
      <c r="D1084" s="7"/>
      <c r="E1084" s="7" t="s">
        <v>1870</v>
      </c>
      <c r="F1084" s="7" t="s">
        <v>19</v>
      </c>
      <c r="G1084" s="7" t="s">
        <v>293</v>
      </c>
      <c r="H1084" s="7" t="s">
        <v>17</v>
      </c>
      <c r="I1084" s="7" t="s">
        <v>17</v>
      </c>
      <c r="J1084" s="7" t="s">
        <v>934</v>
      </c>
    </row>
    <row r="1085" spans="1:10" x14ac:dyDescent="0.25" outlineLevel="3" collapsed="1">
      <c r="A1085" s="7" t="s">
        <v>15</v>
      </c>
      <c r="B1085" s="7" t="s">
        <v>16</v>
      </c>
      <c r="C1085" s="7" t="s">
        <v>17</v>
      </c>
      <c r="D1085" s="7"/>
      <c r="E1085" s="7" t="s">
        <v>1871</v>
      </c>
      <c r="F1085" s="7" t="s">
        <v>19</v>
      </c>
      <c r="G1085" s="7" t="s">
        <v>1872</v>
      </c>
      <c r="H1085" s="7" t="s">
        <v>17</v>
      </c>
      <c r="I1085" s="7" t="s">
        <v>17</v>
      </c>
      <c r="J1085" s="7" t="s">
        <v>1830</v>
      </c>
    </row>
    <row r="1086" spans="1:10" x14ac:dyDescent="0.25" outlineLevel="3" collapsed="1">
      <c r="A1086" s="7" t="s">
        <v>15</v>
      </c>
      <c r="B1086" s="7" t="s">
        <v>159</v>
      </c>
      <c r="C1086" s="7" t="s">
        <v>17</v>
      </c>
      <c r="D1086" s="7"/>
      <c r="E1086" s="7" t="s">
        <v>1873</v>
      </c>
      <c r="F1086" s="7" t="s">
        <v>19</v>
      </c>
      <c r="G1086" s="7" t="b">
        <v>1</v>
      </c>
      <c r="H1086" s="7" t="s">
        <v>17</v>
      </c>
      <c r="I1086" s="7" t="s">
        <v>17</v>
      </c>
      <c r="J1086" s="7" t="s">
        <v>1874</v>
      </c>
    </row>
    <row r="1087" spans="1:10" x14ac:dyDescent="0.25" outlineLevel="3" collapsed="1">
      <c r="A1087" s="7" t="s">
        <v>15</v>
      </c>
      <c r="B1087" s="7" t="s">
        <v>16</v>
      </c>
      <c r="C1087" s="7" t="s">
        <v>17</v>
      </c>
      <c r="D1087" s="7"/>
      <c r="E1087" s="7" t="s">
        <v>1875</v>
      </c>
      <c r="F1087" s="7" t="s">
        <v>19</v>
      </c>
      <c r="G1087" s="7" t="s">
        <v>1876</v>
      </c>
      <c r="H1087" s="7" t="s">
        <v>17</v>
      </c>
      <c r="I1087" s="7" t="s">
        <v>17</v>
      </c>
      <c r="J1087" s="7" t="s">
        <v>1877</v>
      </c>
    </row>
    <row r="1088" spans="1:10" x14ac:dyDescent="0.25" outlineLevel="3" collapsed="1">
      <c r="A1088" s="7" t="s">
        <v>15</v>
      </c>
      <c r="B1088" s="7" t="s">
        <v>16</v>
      </c>
      <c r="C1088" s="7" t="s">
        <v>17</v>
      </c>
      <c r="D1088" s="7"/>
      <c r="E1088" s="7" t="s">
        <v>1878</v>
      </c>
      <c r="F1088" s="7" t="s">
        <v>19</v>
      </c>
      <c r="G1088" s="7" t="s">
        <v>1879</v>
      </c>
      <c r="H1088" s="7" t="s">
        <v>17</v>
      </c>
      <c r="I1088" s="7" t="s">
        <v>17</v>
      </c>
      <c r="J1088" s="7" t="s">
        <v>1880</v>
      </c>
    </row>
    <row r="1089" spans="1:10" x14ac:dyDescent="0.25" outlineLevel="3" collapsed="1">
      <c r="A1089" s="7" t="s">
        <v>15</v>
      </c>
      <c r="B1089" s="7" t="s">
        <v>63</v>
      </c>
      <c r="C1089" s="7" t="s">
        <v>17</v>
      </c>
      <c r="D1089" s="7"/>
      <c r="E1089" s="7" t="s">
        <v>1881</v>
      </c>
      <c r="F1089" s="7" t="s">
        <v>19</v>
      </c>
      <c r="G1089" s="7">
        <v>0</v>
      </c>
      <c r="H1089" s="7" t="s">
        <v>17</v>
      </c>
      <c r="I1089" s="7" t="s">
        <v>17</v>
      </c>
      <c r="J1089" s="7" t="s">
        <v>1882</v>
      </c>
    </row>
    <row r="1090" spans="1:10" x14ac:dyDescent="0.25" outlineLevel="3" collapsed="1">
      <c r="A1090" s="7" t="s">
        <v>15</v>
      </c>
      <c r="B1090" s="7" t="s">
        <v>63</v>
      </c>
      <c r="C1090" s="7" t="s">
        <v>17</v>
      </c>
      <c r="D1090" s="7"/>
      <c r="E1090" s="7" t="s">
        <v>1883</v>
      </c>
      <c r="F1090" s="7" t="s">
        <v>19</v>
      </c>
      <c r="G1090" s="7">
        <v>0.8</v>
      </c>
      <c r="H1090" s="7" t="s">
        <v>17</v>
      </c>
      <c r="I1090" s="7" t="s">
        <v>17</v>
      </c>
      <c r="J1090" s="7" t="s">
        <v>1884</v>
      </c>
    </row>
    <row r="1091" spans="1:10" x14ac:dyDescent="0.25" outlineLevel="3" collapsed="1">
      <c r="A1091" s="7" t="s">
        <v>19</v>
      </c>
      <c r="B1091" s="7" t="s">
        <v>63</v>
      </c>
      <c r="C1091" s="7" t="s">
        <v>17</v>
      </c>
      <c r="D1091" s="7"/>
      <c r="E1091" s="7" t="s">
        <v>1885</v>
      </c>
      <c r="F1091" s="7" t="s">
        <v>19</v>
      </c>
      <c r="G1091" s="7">
        <v>0</v>
      </c>
      <c r="H1091" s="7" t="s">
        <v>17</v>
      </c>
      <c r="I1091" s="7" t="s">
        <v>17</v>
      </c>
      <c r="J1091" s="7" t="s">
        <v>1886</v>
      </c>
    </row>
    <row r="1092" spans="1:10" x14ac:dyDescent="0.25" outlineLevel="3" collapsed="1">
      <c r="A1092" s="7" t="s">
        <v>19</v>
      </c>
      <c r="B1092" s="7" t="s">
        <v>63</v>
      </c>
      <c r="C1092" s="7" t="s">
        <v>17</v>
      </c>
      <c r="D1092" s="7"/>
      <c r="E1092" s="7" t="s">
        <v>1887</v>
      </c>
      <c r="F1092" s="7" t="s">
        <v>19</v>
      </c>
      <c r="G1092" s="7">
        <v>0.3</v>
      </c>
      <c r="H1092" s="7" t="s">
        <v>17</v>
      </c>
      <c r="I1092" s="7" t="s">
        <v>17</v>
      </c>
      <c r="J1092" s="7" t="s">
        <v>1888</v>
      </c>
    </row>
    <row r="1093" spans="1:10" x14ac:dyDescent="0.25" outlineLevel="3" collapsed="1">
      <c r="A1093" s="8" t="s">
        <v>19</v>
      </c>
      <c r="B1093" s="9" t="s">
        <v>952</v>
      </c>
      <c r="C1093" s="8" t="s">
        <v>17</v>
      </c>
      <c r="D1093" s="8"/>
      <c r="E1093" s="8" t="s">
        <v>953</v>
      </c>
      <c r="F1093" s="8" t="s">
        <v>15</v>
      </c>
      <c r="G1093" s="8" t="s">
        <v>17</v>
      </c>
      <c r="H1093" s="8" t="s">
        <v>17</v>
      </c>
      <c r="I1093" s="8" t="s">
        <v>17</v>
      </c>
      <c r="J1093" s="8" t="s">
        <v>954</v>
      </c>
    </row>
    <row r="1094" spans="1:10" x14ac:dyDescent="0.25" outlineLevel="4" collapsed="1">
      <c r="A1094" s="7" t="s">
        <v>15</v>
      </c>
      <c r="B1094" s="7" t="s">
        <v>16</v>
      </c>
      <c r="C1094" s="7" t="s">
        <v>17</v>
      </c>
      <c r="D1094" s="7"/>
      <c r="E1094" s="7" t="s">
        <v>955</v>
      </c>
      <c r="F1094" s="7" t="s">
        <v>19</v>
      </c>
      <c r="G1094" s="7" t="s">
        <v>956</v>
      </c>
      <c r="H1094" s="7" t="s">
        <v>17</v>
      </c>
      <c r="I1094" s="7" t="s">
        <v>17</v>
      </c>
      <c r="J1094" s="7" t="s">
        <v>957</v>
      </c>
    </row>
    <row r="1095" spans="1:10" x14ac:dyDescent="0.25" outlineLevel="4" collapsed="1">
      <c r="A1095" s="7" t="s">
        <v>15</v>
      </c>
      <c r="B1095" s="7" t="s">
        <v>284</v>
      </c>
      <c r="C1095" s="11" t="s">
        <v>958</v>
      </c>
      <c r="D1095" s="7"/>
      <c r="E1095" s="7" t="s">
        <v>959</v>
      </c>
      <c r="F1095" s="7" t="s">
        <v>19</v>
      </c>
      <c r="G1095" s="7" t="s">
        <v>960</v>
      </c>
      <c r="H1095" s="7" t="s">
        <v>17</v>
      </c>
      <c r="I1095" s="7" t="s">
        <v>17</v>
      </c>
      <c r="J1095" s="7" t="s">
        <v>961</v>
      </c>
    </row>
    <row r="1096" spans="1:10" x14ac:dyDescent="0.25" outlineLevel="4" collapsed="1">
      <c r="A1096" s="7" t="s">
        <v>15</v>
      </c>
      <c r="B1096" s="7" t="s">
        <v>16</v>
      </c>
      <c r="C1096" s="7" t="s">
        <v>17</v>
      </c>
      <c r="D1096" s="7"/>
      <c r="E1096" s="7" t="s">
        <v>962</v>
      </c>
      <c r="F1096" s="7" t="s">
        <v>19</v>
      </c>
      <c r="G1096" s="7" t="s">
        <v>963</v>
      </c>
      <c r="H1096" s="7" t="s">
        <v>17</v>
      </c>
      <c r="I1096" s="7" t="s">
        <v>17</v>
      </c>
      <c r="J1096" s="7" t="s">
        <v>964</v>
      </c>
    </row>
    <row r="1097" spans="1:10" x14ac:dyDescent="0.25" outlineLevel="4" collapsed="1">
      <c r="A1097" s="7" t="s">
        <v>19</v>
      </c>
      <c r="B1097" s="7" t="s">
        <v>291</v>
      </c>
      <c r="C1097" s="7" t="s">
        <v>17</v>
      </c>
      <c r="D1097" s="7"/>
      <c r="E1097" s="7" t="s">
        <v>965</v>
      </c>
      <c r="F1097" s="7" t="s">
        <v>19</v>
      </c>
      <c r="G1097" s="7" t="s">
        <v>293</v>
      </c>
      <c r="H1097" s="7" t="s">
        <v>17</v>
      </c>
      <c r="I1097" s="7" t="s">
        <v>17</v>
      </c>
      <c r="J1097" s="7" t="s">
        <v>966</v>
      </c>
    </row>
    <row r="1098" spans="1:10" x14ac:dyDescent="0.25" outlineLevel="4" collapsed="1">
      <c r="A1098" s="7" t="s">
        <v>19</v>
      </c>
      <c r="B1098" s="7" t="s">
        <v>16</v>
      </c>
      <c r="C1098" s="7" t="s">
        <v>17</v>
      </c>
      <c r="D1098" s="7"/>
      <c r="E1098" s="7" t="s">
        <v>967</v>
      </c>
      <c r="F1098" s="7" t="s">
        <v>19</v>
      </c>
      <c r="G1098" s="7" t="s">
        <v>968</v>
      </c>
      <c r="H1098" s="7" t="s">
        <v>17</v>
      </c>
      <c r="I1098" s="7" t="s">
        <v>17</v>
      </c>
      <c r="J1098" s="7" t="s">
        <v>843</v>
      </c>
    </row>
    <row r="1099" spans="1:10" x14ac:dyDescent="0.25" outlineLevel="2" collapsed="1">
      <c r="A1099" s="8" t="s">
        <v>15</v>
      </c>
      <c r="B1099" s="9" t="s">
        <v>1889</v>
      </c>
      <c r="C1099" s="8" t="s">
        <v>17</v>
      </c>
      <c r="D1099" s="8"/>
      <c r="E1099" s="8" t="s">
        <v>1890</v>
      </c>
      <c r="F1099" s="8" t="s">
        <v>15</v>
      </c>
      <c r="G1099" s="8" t="s">
        <v>17</v>
      </c>
      <c r="H1099" s="8" t="s">
        <v>17</v>
      </c>
      <c r="I1099" s="8" t="s">
        <v>17</v>
      </c>
      <c r="J1099" s="8" t="s">
        <v>1891</v>
      </c>
    </row>
    <row r="1100" spans="1:10" x14ac:dyDescent="0.25" outlineLevel="3" collapsed="1">
      <c r="A1100" s="7" t="s">
        <v>15</v>
      </c>
      <c r="B1100" s="7" t="s">
        <v>284</v>
      </c>
      <c r="C1100" s="11" t="s">
        <v>1892</v>
      </c>
      <c r="D1100" s="7"/>
      <c r="E1100" s="7" t="s">
        <v>1893</v>
      </c>
      <c r="F1100" s="7" t="s">
        <v>19</v>
      </c>
      <c r="G1100" s="7" t="s">
        <v>1669</v>
      </c>
      <c r="H1100" s="7" t="s">
        <v>17</v>
      </c>
      <c r="I1100" s="7" t="s">
        <v>17</v>
      </c>
      <c r="J1100" s="7" t="s">
        <v>1894</v>
      </c>
    </row>
    <row r="1101" spans="1:10" x14ac:dyDescent="0.25" outlineLevel="3" collapsed="1">
      <c r="A1101" s="7" t="s">
        <v>19</v>
      </c>
      <c r="B1101" s="7" t="s">
        <v>63</v>
      </c>
      <c r="C1101" s="7" t="s">
        <v>17</v>
      </c>
      <c r="D1101" s="7"/>
      <c r="E1101" s="7" t="s">
        <v>1895</v>
      </c>
      <c r="F1101" s="7" t="s">
        <v>19</v>
      </c>
      <c r="G1101" s="7">
        <v>90</v>
      </c>
      <c r="H1101" s="7">
        <v>90</v>
      </c>
      <c r="I1101" s="7" t="s">
        <v>17</v>
      </c>
      <c r="J1101" s="7" t="s">
        <v>1896</v>
      </c>
    </row>
    <row r="1102" spans="1:10" x14ac:dyDescent="0.25" outlineLevel="3" collapsed="1">
      <c r="A1102" s="7" t="s">
        <v>19</v>
      </c>
      <c r="B1102" s="7" t="s">
        <v>63</v>
      </c>
      <c r="C1102" s="7" t="s">
        <v>17</v>
      </c>
      <c r="D1102" s="7"/>
      <c r="E1102" s="7" t="s">
        <v>1897</v>
      </c>
      <c r="F1102" s="7" t="s">
        <v>19</v>
      </c>
      <c r="G1102" s="7">
        <v>10</v>
      </c>
      <c r="H1102" s="7">
        <v>10</v>
      </c>
      <c r="I1102" s="7" t="s">
        <v>17</v>
      </c>
      <c r="J1102" s="7" t="s">
        <v>1898</v>
      </c>
    </row>
    <row r="1103" spans="1:10" x14ac:dyDescent="0.25" outlineLevel="3" collapsed="1">
      <c r="A1103" s="7" t="s">
        <v>15</v>
      </c>
      <c r="B1103" s="7" t="s">
        <v>63</v>
      </c>
      <c r="C1103" s="7" t="s">
        <v>17</v>
      </c>
      <c r="D1103" s="7"/>
      <c r="E1103" s="7" t="s">
        <v>1899</v>
      </c>
      <c r="F1103" s="7" t="s">
        <v>19</v>
      </c>
      <c r="G1103" s="7">
        <v>1</v>
      </c>
      <c r="H1103" s="7" t="s">
        <v>17</v>
      </c>
      <c r="I1103" s="7" t="s">
        <v>17</v>
      </c>
      <c r="J1103" s="7" t="s">
        <v>1900</v>
      </c>
    </row>
    <row r="1104" spans="1:10" x14ac:dyDescent="0.25" outlineLevel="3" collapsed="1">
      <c r="A1104" s="7" t="s">
        <v>19</v>
      </c>
      <c r="B1104" s="7" t="s">
        <v>63</v>
      </c>
      <c r="C1104" s="7" t="s">
        <v>17</v>
      </c>
      <c r="D1104" s="7"/>
      <c r="E1104" s="7" t="s">
        <v>1901</v>
      </c>
      <c r="F1104" s="7" t="s">
        <v>19</v>
      </c>
      <c r="G1104" s="7">
        <v>1</v>
      </c>
      <c r="H1104" s="7" t="s">
        <v>17</v>
      </c>
      <c r="I1104" s="7" t="s">
        <v>17</v>
      </c>
      <c r="J1104" s="7" t="s">
        <v>1902</v>
      </c>
    </row>
    <row r="1105" spans="1:10" x14ac:dyDescent="0.25" outlineLevel="3" collapsed="1">
      <c r="A1105" s="7" t="s">
        <v>15</v>
      </c>
      <c r="B1105" s="7" t="s">
        <v>63</v>
      </c>
      <c r="C1105" s="7" t="s">
        <v>17</v>
      </c>
      <c r="D1105" s="7"/>
      <c r="E1105" s="7" t="s">
        <v>1903</v>
      </c>
      <c r="F1105" s="7" t="s">
        <v>19</v>
      </c>
      <c r="G1105" s="7">
        <v>1</v>
      </c>
      <c r="H1105" s="7" t="s">
        <v>17</v>
      </c>
      <c r="I1105" s="7" t="s">
        <v>17</v>
      </c>
      <c r="J1105" s="7" t="s">
        <v>1904</v>
      </c>
    </row>
    <row r="1106" spans="1:10" x14ac:dyDescent="0.25" outlineLevel="3" collapsed="1">
      <c r="A1106" s="7" t="s">
        <v>15</v>
      </c>
      <c r="B1106" s="7" t="s">
        <v>63</v>
      </c>
      <c r="C1106" s="7" t="s">
        <v>17</v>
      </c>
      <c r="D1106" s="7"/>
      <c r="E1106" s="7" t="s">
        <v>1905</v>
      </c>
      <c r="F1106" s="7" t="s">
        <v>19</v>
      </c>
      <c r="G1106" s="7">
        <v>1</v>
      </c>
      <c r="H1106" s="7" t="s">
        <v>17</v>
      </c>
      <c r="I1106" s="7" t="s">
        <v>17</v>
      </c>
      <c r="J1106" s="7" t="s">
        <v>1906</v>
      </c>
    </row>
    <row r="1107" spans="1:10" x14ac:dyDescent="0.25" outlineLevel="3" collapsed="1">
      <c r="A1107" s="7" t="s">
        <v>15</v>
      </c>
      <c r="B1107" s="7" t="s">
        <v>284</v>
      </c>
      <c r="C1107" s="11" t="s">
        <v>1907</v>
      </c>
      <c r="D1107" s="7"/>
      <c r="E1107" s="7" t="s">
        <v>1908</v>
      </c>
      <c r="F1107" s="7" t="s">
        <v>19</v>
      </c>
      <c r="G1107" s="7" t="s">
        <v>1909</v>
      </c>
      <c r="H1107" s="7" t="s">
        <v>17</v>
      </c>
      <c r="I1107" s="7" t="s">
        <v>17</v>
      </c>
      <c r="J1107" s="7" t="s">
        <v>1910</v>
      </c>
    </row>
    <row r="1108" spans="1:10" x14ac:dyDescent="0.25" outlineLevel="3" collapsed="1">
      <c r="A1108" s="8" t="s">
        <v>19</v>
      </c>
      <c r="B1108" s="9" t="s">
        <v>952</v>
      </c>
      <c r="C1108" s="8" t="s">
        <v>17</v>
      </c>
      <c r="D1108" s="8"/>
      <c r="E1108" s="8" t="s">
        <v>953</v>
      </c>
      <c r="F1108" s="8" t="s">
        <v>15</v>
      </c>
      <c r="G1108" s="8" t="s">
        <v>17</v>
      </c>
      <c r="H1108" s="8" t="s">
        <v>17</v>
      </c>
      <c r="I1108" s="8" t="s">
        <v>17</v>
      </c>
      <c r="J1108" s="8" t="s">
        <v>954</v>
      </c>
    </row>
    <row r="1109" spans="1:10" x14ac:dyDescent="0.25" outlineLevel="4" collapsed="1">
      <c r="A1109" s="7" t="s">
        <v>15</v>
      </c>
      <c r="B1109" s="7" t="s">
        <v>16</v>
      </c>
      <c r="C1109" s="7" t="s">
        <v>17</v>
      </c>
      <c r="D1109" s="7"/>
      <c r="E1109" s="7" t="s">
        <v>955</v>
      </c>
      <c r="F1109" s="7" t="s">
        <v>19</v>
      </c>
      <c r="G1109" s="7" t="s">
        <v>956</v>
      </c>
      <c r="H1109" s="7" t="s">
        <v>17</v>
      </c>
      <c r="I1109" s="7" t="s">
        <v>17</v>
      </c>
      <c r="J1109" s="7" t="s">
        <v>957</v>
      </c>
    </row>
    <row r="1110" spans="1:10" x14ac:dyDescent="0.25" outlineLevel="4" collapsed="1">
      <c r="A1110" s="7" t="s">
        <v>15</v>
      </c>
      <c r="B1110" s="7" t="s">
        <v>284</v>
      </c>
      <c r="C1110" s="11" t="s">
        <v>958</v>
      </c>
      <c r="D1110" s="7"/>
      <c r="E1110" s="7" t="s">
        <v>959</v>
      </c>
      <c r="F1110" s="7" t="s">
        <v>19</v>
      </c>
      <c r="G1110" s="7" t="s">
        <v>960</v>
      </c>
      <c r="H1110" s="7" t="s">
        <v>17</v>
      </c>
      <c r="I1110" s="7" t="s">
        <v>17</v>
      </c>
      <c r="J1110" s="7" t="s">
        <v>961</v>
      </c>
    </row>
    <row r="1111" spans="1:10" x14ac:dyDescent="0.25" outlineLevel="4" collapsed="1">
      <c r="A1111" s="7" t="s">
        <v>15</v>
      </c>
      <c r="B1111" s="7" t="s">
        <v>16</v>
      </c>
      <c r="C1111" s="7" t="s">
        <v>17</v>
      </c>
      <c r="D1111" s="7"/>
      <c r="E1111" s="7" t="s">
        <v>962</v>
      </c>
      <c r="F1111" s="7" t="s">
        <v>19</v>
      </c>
      <c r="G1111" s="7" t="s">
        <v>963</v>
      </c>
      <c r="H1111" s="7" t="s">
        <v>17</v>
      </c>
      <c r="I1111" s="7" t="s">
        <v>17</v>
      </c>
      <c r="J1111" s="7" t="s">
        <v>964</v>
      </c>
    </row>
    <row r="1112" spans="1:10" x14ac:dyDescent="0.25" outlineLevel="4" collapsed="1">
      <c r="A1112" s="7" t="s">
        <v>19</v>
      </c>
      <c r="B1112" s="7" t="s">
        <v>291</v>
      </c>
      <c r="C1112" s="7" t="s">
        <v>17</v>
      </c>
      <c r="D1112" s="7"/>
      <c r="E1112" s="7" t="s">
        <v>965</v>
      </c>
      <c r="F1112" s="7" t="s">
        <v>19</v>
      </c>
      <c r="G1112" s="7" t="s">
        <v>293</v>
      </c>
      <c r="H1112" s="7" t="s">
        <v>17</v>
      </c>
      <c r="I1112" s="7" t="s">
        <v>17</v>
      </c>
      <c r="J1112" s="7" t="s">
        <v>966</v>
      </c>
    </row>
    <row r="1113" spans="1:10" x14ac:dyDescent="0.25" outlineLevel="4" collapsed="1">
      <c r="A1113" s="7" t="s">
        <v>19</v>
      </c>
      <c r="B1113" s="7" t="s">
        <v>16</v>
      </c>
      <c r="C1113" s="7" t="s">
        <v>17</v>
      </c>
      <c r="D1113" s="7"/>
      <c r="E1113" s="7" t="s">
        <v>967</v>
      </c>
      <c r="F1113" s="7" t="s">
        <v>19</v>
      </c>
      <c r="G1113" s="7" t="s">
        <v>968</v>
      </c>
      <c r="H1113" s="7" t="s">
        <v>17</v>
      </c>
      <c r="I1113" s="7" t="s">
        <v>17</v>
      </c>
      <c r="J1113" s="7" t="s">
        <v>843</v>
      </c>
    </row>
    <row r="1114" spans="1:10" x14ac:dyDescent="0.25" outlineLevel="3" collapsed="1">
      <c r="A1114" s="7" t="s">
        <v>19</v>
      </c>
      <c r="B1114" s="7" t="s">
        <v>63</v>
      </c>
      <c r="C1114" s="7" t="s">
        <v>17</v>
      </c>
      <c r="D1114" s="7"/>
      <c r="E1114" s="7" t="s">
        <v>1911</v>
      </c>
      <c r="F1114" s="7" t="s">
        <v>19</v>
      </c>
      <c r="G1114" s="7">
        <v>0.8</v>
      </c>
      <c r="H1114" s="7" t="s">
        <v>17</v>
      </c>
      <c r="I1114" s="7" t="s">
        <v>17</v>
      </c>
      <c r="J1114" s="7" t="s">
        <v>1912</v>
      </c>
    </row>
    <row r="1115" spans="1:10" x14ac:dyDescent="0.25" outlineLevel="2" collapsed="1">
      <c r="A1115" s="7" t="s">
        <v>19</v>
      </c>
      <c r="B1115" s="7" t="s">
        <v>291</v>
      </c>
      <c r="C1115" s="7" t="s">
        <v>17</v>
      </c>
      <c r="D1115" s="7"/>
      <c r="E1115" s="7" t="s">
        <v>1913</v>
      </c>
      <c r="F1115" s="7" t="s">
        <v>19</v>
      </c>
      <c r="G1115" s="7" t="s">
        <v>293</v>
      </c>
      <c r="H1115" s="7" t="s">
        <v>17</v>
      </c>
      <c r="I1115" s="7" t="s">
        <v>17</v>
      </c>
      <c r="J1115" s="7" t="s">
        <v>1914</v>
      </c>
    </row>
    <row r="1116" spans="1:10" x14ac:dyDescent="0.25" outlineLevel="2" collapsed="1">
      <c r="A1116" s="7" t="s">
        <v>19</v>
      </c>
      <c r="B1116" s="7" t="s">
        <v>159</v>
      </c>
      <c r="C1116" s="7" t="s">
        <v>17</v>
      </c>
      <c r="D1116" s="7"/>
      <c r="E1116" s="7" t="s">
        <v>1915</v>
      </c>
      <c r="F1116" s="7" t="s">
        <v>19</v>
      </c>
      <c r="G1116" s="7" t="b">
        <v>1</v>
      </c>
      <c r="H1116" s="7" t="s">
        <v>17</v>
      </c>
      <c r="I1116" s="7" t="s">
        <v>17</v>
      </c>
      <c r="J1116" s="7" t="s">
        <v>1916</v>
      </c>
    </row>
    <row r="1117" spans="1:10" x14ac:dyDescent="0.25" outlineLevel="2" collapsed="1">
      <c r="A1117" s="7" t="s">
        <v>19</v>
      </c>
      <c r="B1117" s="7" t="s">
        <v>63</v>
      </c>
      <c r="C1117" s="7" t="s">
        <v>17</v>
      </c>
      <c r="D1117" s="7"/>
      <c r="E1117" s="7" t="s">
        <v>1917</v>
      </c>
      <c r="F1117" s="7" t="s">
        <v>19</v>
      </c>
      <c r="G1117" s="7">
        <v>1</v>
      </c>
      <c r="H1117" s="7" t="s">
        <v>17</v>
      </c>
      <c r="I1117" s="7" t="s">
        <v>17</v>
      </c>
      <c r="J1117" s="7" t="s">
        <v>1918</v>
      </c>
    </row>
    <row r="1118" spans="1:10" x14ac:dyDescent="0.25" outlineLevel="2" collapsed="1">
      <c r="A1118" s="7" t="s">
        <v>19</v>
      </c>
      <c r="B1118" s="7" t="s">
        <v>63</v>
      </c>
      <c r="C1118" s="7" t="s">
        <v>17</v>
      </c>
      <c r="D1118" s="7"/>
      <c r="E1118" s="7" t="s">
        <v>1919</v>
      </c>
      <c r="F1118" s="7" t="s">
        <v>19</v>
      </c>
      <c r="G1118" s="7">
        <v>1</v>
      </c>
      <c r="H1118" s="7" t="s">
        <v>17</v>
      </c>
      <c r="I1118" s="7" t="s">
        <v>17</v>
      </c>
      <c r="J1118" s="7" t="s">
        <v>1920</v>
      </c>
    </row>
    <row r="1119" spans="1:10" x14ac:dyDescent="0.25" outlineLevel="1" collapsed="1">
      <c r="A1119" s="8" t="s">
        <v>15</v>
      </c>
      <c r="B1119" s="9" t="s">
        <v>1921</v>
      </c>
      <c r="C1119" s="8" t="s">
        <v>17</v>
      </c>
      <c r="D1119" s="8"/>
      <c r="E1119" s="8" t="s">
        <v>1922</v>
      </c>
      <c r="F1119" s="8" t="s">
        <v>15</v>
      </c>
      <c r="G1119" s="8" t="s">
        <v>17</v>
      </c>
      <c r="H1119" s="8" t="s">
        <v>17</v>
      </c>
      <c r="I1119" s="8" t="s">
        <v>17</v>
      </c>
      <c r="J1119" s="8" t="s">
        <v>1923</v>
      </c>
    </row>
    <row r="1120" spans="1:10" x14ac:dyDescent="0.25" outlineLevel="2" collapsed="1">
      <c r="A1120" s="7" t="s">
        <v>15</v>
      </c>
      <c r="B1120" s="7" t="s">
        <v>16</v>
      </c>
      <c r="C1120" s="7" t="s">
        <v>17</v>
      </c>
      <c r="D1120" s="7"/>
      <c r="E1120" s="7" t="s">
        <v>1924</v>
      </c>
      <c r="F1120" s="7" t="s">
        <v>19</v>
      </c>
      <c r="G1120" s="7" t="s">
        <v>1925</v>
      </c>
      <c r="H1120" s="7" t="s">
        <v>17</v>
      </c>
      <c r="I1120" s="7" t="s">
        <v>17</v>
      </c>
      <c r="J1120" s="7" t="s">
        <v>1926</v>
      </c>
    </row>
    <row r="1121" spans="1:10" x14ac:dyDescent="0.25" outlineLevel="2" collapsed="1">
      <c r="A1121" s="7" t="s">
        <v>15</v>
      </c>
      <c r="B1121" s="7" t="s">
        <v>284</v>
      </c>
      <c r="C1121" s="11" t="s">
        <v>1927</v>
      </c>
      <c r="D1121" s="7"/>
      <c r="E1121" s="7" t="s">
        <v>1928</v>
      </c>
      <c r="F1121" s="7" t="s">
        <v>19</v>
      </c>
      <c r="G1121" s="7" t="s">
        <v>1929</v>
      </c>
      <c r="H1121" s="7" t="s">
        <v>17</v>
      </c>
      <c r="I1121" s="7" t="s">
        <v>17</v>
      </c>
      <c r="J1121" s="7" t="s">
        <v>1725</v>
      </c>
    </row>
    <row r="1122" spans="1:10" x14ac:dyDescent="0.25" outlineLevel="2" collapsed="1">
      <c r="A1122" s="7" t="s">
        <v>15</v>
      </c>
      <c r="B1122" s="7" t="s">
        <v>284</v>
      </c>
      <c r="C1122" s="11" t="s">
        <v>1930</v>
      </c>
      <c r="D1122" s="7"/>
      <c r="E1122" s="7" t="s">
        <v>1931</v>
      </c>
      <c r="F1122" s="7" t="s">
        <v>19</v>
      </c>
      <c r="G1122" s="7" t="s">
        <v>1932</v>
      </c>
      <c r="H1122" s="7" t="s">
        <v>17</v>
      </c>
      <c r="I1122" s="7" t="s">
        <v>17</v>
      </c>
      <c r="J1122" s="7" t="s">
        <v>1933</v>
      </c>
    </row>
    <row r="1123" spans="1:10" x14ac:dyDescent="0.25" outlineLevel="2" collapsed="1">
      <c r="A1123" s="7" t="s">
        <v>19</v>
      </c>
      <c r="B1123" s="7" t="s">
        <v>63</v>
      </c>
      <c r="C1123" s="7" t="s">
        <v>17</v>
      </c>
      <c r="D1123" s="7">
        <f>EXACT(G1122,"Option 1 - latest UNFCCC national default")</f>
      </c>
      <c r="E1123" s="7" t="s">
        <v>1934</v>
      </c>
      <c r="F1123" s="7" t="s">
        <v>19</v>
      </c>
      <c r="G1123" s="7">
        <v>1</v>
      </c>
      <c r="H1123" s="7" t="s">
        <v>17</v>
      </c>
      <c r="I1123" s="7" t="s">
        <v>17</v>
      </c>
      <c r="J1123" s="7" t="s">
        <v>1935</v>
      </c>
    </row>
    <row r="1124" spans="1:10" x14ac:dyDescent="0.25" outlineLevel="2" collapsed="1">
      <c r="A1124" s="7" t="s">
        <v>19</v>
      </c>
      <c r="B1124" s="7" t="s">
        <v>16</v>
      </c>
      <c r="C1124" s="7" t="s">
        <v>17</v>
      </c>
      <c r="D1124" s="7">
        <f>EXACT(G1122,"Option 1 - latest UNFCCC national default")</f>
      </c>
      <c r="E1124" s="7" t="s">
        <v>1936</v>
      </c>
      <c r="F1124" s="7" t="s">
        <v>19</v>
      </c>
      <c r="G1124" s="7" t="s">
        <v>31</v>
      </c>
      <c r="H1124" s="7" t="s">
        <v>17</v>
      </c>
      <c r="I1124" s="7" t="s">
        <v>17</v>
      </c>
      <c r="J1124" s="7" t="s">
        <v>1937</v>
      </c>
    </row>
    <row r="1125" spans="1:10" x14ac:dyDescent="0.25" outlineLevel="2" collapsed="1">
      <c r="A1125" s="7" t="s">
        <v>19</v>
      </c>
      <c r="B1125" s="7" t="s">
        <v>284</v>
      </c>
      <c r="C1125" s="11" t="s">
        <v>1938</v>
      </c>
      <c r="D1125" s="7">
        <f>EXACT(G1122,"Option 1 - latest UNFCCC national default")</f>
      </c>
      <c r="E1125" s="7" t="s">
        <v>1939</v>
      </c>
      <c r="F1125" s="7" t="s">
        <v>19</v>
      </c>
      <c r="G1125" s="7" t="s">
        <v>1940</v>
      </c>
      <c r="H1125" s="7" t="s">
        <v>17</v>
      </c>
      <c r="I1125" s="7" t="s">
        <v>17</v>
      </c>
      <c r="J1125" s="7" t="s">
        <v>1941</v>
      </c>
    </row>
    <row r="1126" spans="1:10" x14ac:dyDescent="0.25" outlineLevel="2" collapsed="1">
      <c r="A1126" s="7" t="s">
        <v>19</v>
      </c>
      <c r="B1126" s="7" t="s">
        <v>63</v>
      </c>
      <c r="C1126" s="7" t="s">
        <v>17</v>
      </c>
      <c r="D1126" s="7">
        <f>EXACT(G1122,"Option 1 - latest UNFCCC national default")</f>
      </c>
      <c r="E1126" s="7" t="s">
        <v>1942</v>
      </c>
      <c r="F1126" s="7" t="s">
        <v>19</v>
      </c>
      <c r="G1126" s="7">
        <v>1</v>
      </c>
      <c r="H1126" s="7" t="s">
        <v>17</v>
      </c>
      <c r="I1126" s="7" t="s">
        <v>17</v>
      </c>
      <c r="J1126" s="7" t="s">
        <v>1943</v>
      </c>
    </row>
    <row r="1127" spans="1:10" x14ac:dyDescent="0.25" outlineLevel="2" collapsed="1">
      <c r="A1127" s="7" t="s">
        <v>19</v>
      </c>
      <c r="B1127" s="7" t="s">
        <v>63</v>
      </c>
      <c r="C1127" s="7" t="s">
        <v>17</v>
      </c>
      <c r="D1127" s="7">
        <f>EXACT(G1122,"Option 2 - TOOL30 calculated value x (1 - 0.26)")</f>
      </c>
      <c r="E1127" s="7" t="s">
        <v>1944</v>
      </c>
      <c r="F1127" s="7" t="s">
        <v>19</v>
      </c>
      <c r="G1127" s="7">
        <v>1</v>
      </c>
      <c r="H1127" s="7" t="s">
        <v>17</v>
      </c>
      <c r="I1127" s="7" t="s">
        <v>17</v>
      </c>
      <c r="J1127" s="7" t="s">
        <v>1945</v>
      </c>
    </row>
    <row r="1128" spans="1:10" x14ac:dyDescent="0.25" outlineLevel="2" collapsed="1">
      <c r="A1128" s="7" t="s">
        <v>19</v>
      </c>
      <c r="B1128" s="7" t="s">
        <v>159</v>
      </c>
      <c r="C1128" s="7" t="s">
        <v>17</v>
      </c>
      <c r="D1128" s="7">
        <f>EXACT(G1122,"Option 2 - TOOL30 calculated value x (1 - 0.26)")</f>
      </c>
      <c r="E1128" s="7" t="s">
        <v>1946</v>
      </c>
      <c r="F1128" s="7" t="s">
        <v>19</v>
      </c>
      <c r="G1128" s="7" t="b">
        <v>1</v>
      </c>
      <c r="H1128" s="7" t="s">
        <v>17</v>
      </c>
      <c r="I1128" s="7" t="s">
        <v>17</v>
      </c>
      <c r="J1128" s="7" t="s">
        <v>1947</v>
      </c>
    </row>
    <row r="1129" spans="1:10" x14ac:dyDescent="0.25" outlineLevel="2" collapsed="1">
      <c r="A1129" s="7" t="s">
        <v>19</v>
      </c>
      <c r="B1129" s="7" t="s">
        <v>63</v>
      </c>
      <c r="C1129" s="7" t="s">
        <v>17</v>
      </c>
      <c r="D1129" s="7">
        <f>EXACT(G1122,"Option 3 - latest TOOL33 default (national Table 3 / regional Table 2)")</f>
      </c>
      <c r="E1129" s="7" t="s">
        <v>1948</v>
      </c>
      <c r="F1129" s="7" t="s">
        <v>19</v>
      </c>
      <c r="G1129" s="7">
        <v>1</v>
      </c>
      <c r="H1129" s="7" t="s">
        <v>17</v>
      </c>
      <c r="I1129" s="7" t="s">
        <v>17</v>
      </c>
      <c r="J1129" s="7" t="s">
        <v>1949</v>
      </c>
    </row>
    <row r="1130" spans="1:10" x14ac:dyDescent="0.25" outlineLevel="2" collapsed="1">
      <c r="A1130" s="7" t="s">
        <v>19</v>
      </c>
      <c r="B1130" s="7" t="s">
        <v>284</v>
      </c>
      <c r="C1130" s="11" t="s">
        <v>1950</v>
      </c>
      <c r="D1130" s="7">
        <f>EXACT(G1122,"Option 3 - latest TOOL33 default (national Table 3 / regional Table 2)")</f>
      </c>
      <c r="E1130" s="7" t="s">
        <v>1951</v>
      </c>
      <c r="F1130" s="7" t="s">
        <v>19</v>
      </c>
      <c r="G1130" s="7" t="s">
        <v>1952</v>
      </c>
      <c r="H1130" s="7" t="s">
        <v>17</v>
      </c>
      <c r="I1130" s="7" t="s">
        <v>17</v>
      </c>
      <c r="J1130" s="7" t="s">
        <v>1953</v>
      </c>
    </row>
    <row r="1131" spans="1:10" x14ac:dyDescent="0.25" outlineLevel="2" collapsed="1">
      <c r="A1131" s="7" t="s">
        <v>19</v>
      </c>
      <c r="B1131" s="7" t="s">
        <v>16</v>
      </c>
      <c r="C1131" s="7" t="s">
        <v>17</v>
      </c>
      <c r="D1131" s="7">
        <f>EXACT(G1122,"Option 3 - latest TOOL33 default (national Table 3 / regional Table 2)")</f>
      </c>
      <c r="E1131" s="7" t="s">
        <v>1954</v>
      </c>
      <c r="F1131" s="7" t="s">
        <v>19</v>
      </c>
      <c r="G1131" s="7" t="s">
        <v>31</v>
      </c>
      <c r="H1131" s="7" t="s">
        <v>17</v>
      </c>
      <c r="I1131" s="7" t="s">
        <v>17</v>
      </c>
      <c r="J1131" s="7" t="s">
        <v>1955</v>
      </c>
    </row>
    <row r="1132" spans="1:10" x14ac:dyDescent="0.25" outlineLevel="2" collapsed="1">
      <c r="A1132" s="7" t="s">
        <v>15</v>
      </c>
      <c r="B1132" s="7" t="s">
        <v>63</v>
      </c>
      <c r="C1132" s="7" t="s">
        <v>17</v>
      </c>
      <c r="D1132" s="7"/>
      <c r="E1132" s="7" t="s">
        <v>1956</v>
      </c>
      <c r="F1132" s="7" t="s">
        <v>19</v>
      </c>
      <c r="G1132" s="7">
        <v>1</v>
      </c>
      <c r="H1132" s="7" t="s">
        <v>17</v>
      </c>
      <c r="I1132" s="7" t="s">
        <v>17</v>
      </c>
      <c r="J1132" s="7" t="s">
        <v>1957</v>
      </c>
    </row>
    <row r="1133" spans="1:10" x14ac:dyDescent="0.25" outlineLevel="2" collapsed="1">
      <c r="A1133" s="7" t="s">
        <v>15</v>
      </c>
      <c r="B1133" s="7" t="s">
        <v>291</v>
      </c>
      <c r="C1133" s="7" t="s">
        <v>17</v>
      </c>
      <c r="D1133" s="7"/>
      <c r="E1133" s="7" t="s">
        <v>1958</v>
      </c>
      <c r="F1133" s="7" t="s">
        <v>19</v>
      </c>
      <c r="G1133" s="7" t="s">
        <v>950</v>
      </c>
      <c r="H1133" s="7" t="s">
        <v>17</v>
      </c>
      <c r="I1133" s="7" t="s">
        <v>17</v>
      </c>
      <c r="J1133" s="7" t="s">
        <v>1959</v>
      </c>
    </row>
    <row r="1134" spans="1:10" x14ac:dyDescent="0.25" outlineLevel="2" collapsed="1">
      <c r="A1134" s="7" t="s">
        <v>19</v>
      </c>
      <c r="B1134" s="7" t="s">
        <v>291</v>
      </c>
      <c r="C1134" s="7" t="s">
        <v>17</v>
      </c>
      <c r="D1134" s="7"/>
      <c r="E1134" s="7" t="s">
        <v>1960</v>
      </c>
      <c r="F1134" s="7" t="s">
        <v>19</v>
      </c>
      <c r="G1134" s="7" t="s">
        <v>950</v>
      </c>
      <c r="H1134" s="7" t="s">
        <v>17</v>
      </c>
      <c r="I1134" s="7" t="s">
        <v>17</v>
      </c>
      <c r="J1134" s="7" t="s">
        <v>1961</v>
      </c>
    </row>
    <row r="1135" spans="1:10" x14ac:dyDescent="0.25" outlineLevel="2" collapsed="1">
      <c r="A1135" s="7" t="s">
        <v>19</v>
      </c>
      <c r="B1135" s="7" t="s">
        <v>63</v>
      </c>
      <c r="C1135" s="7" t="s">
        <v>17</v>
      </c>
      <c r="D1135" s="7"/>
      <c r="E1135" s="7" t="s">
        <v>1962</v>
      </c>
      <c r="F1135" s="7" t="s">
        <v>19</v>
      </c>
      <c r="G1135" s="7">
        <v>1</v>
      </c>
      <c r="H1135" s="7" t="s">
        <v>17</v>
      </c>
      <c r="I1135" s="7" t="s">
        <v>17</v>
      </c>
      <c r="J1135" s="7" t="s">
        <v>1963</v>
      </c>
    </row>
    <row r="1136" spans="1:10" x14ac:dyDescent="0.25" outlineLevel="2" collapsed="1">
      <c r="A1136" s="7" t="s">
        <v>19</v>
      </c>
      <c r="B1136" s="7" t="s">
        <v>63</v>
      </c>
      <c r="C1136" s="7" t="s">
        <v>17</v>
      </c>
      <c r="D1136" s="7"/>
      <c r="E1136" s="7" t="s">
        <v>1964</v>
      </c>
      <c r="F1136" s="7" t="s">
        <v>19</v>
      </c>
      <c r="G1136" s="7">
        <v>1</v>
      </c>
      <c r="H1136" s="7" t="s">
        <v>17</v>
      </c>
      <c r="I1136" s="7" t="s">
        <v>17</v>
      </c>
      <c r="J1136" s="7" t="s">
        <v>1965</v>
      </c>
    </row>
    <row r="1137" spans="1:10" x14ac:dyDescent="0.25" outlineLevel="2" collapsed="1">
      <c r="A1137" s="8" t="s">
        <v>19</v>
      </c>
      <c r="B1137" s="9" t="s">
        <v>952</v>
      </c>
      <c r="C1137" s="8" t="s">
        <v>17</v>
      </c>
      <c r="D1137" s="8"/>
      <c r="E1137" s="8" t="s">
        <v>953</v>
      </c>
      <c r="F1137" s="8" t="s">
        <v>15</v>
      </c>
      <c r="G1137" s="8" t="s">
        <v>17</v>
      </c>
      <c r="H1137" s="8" t="s">
        <v>17</v>
      </c>
      <c r="I1137" s="8" t="s">
        <v>17</v>
      </c>
      <c r="J1137" s="8" t="s">
        <v>954</v>
      </c>
    </row>
    <row r="1138" spans="1:10" x14ac:dyDescent="0.25" outlineLevel="3" collapsed="1">
      <c r="A1138" s="7" t="s">
        <v>15</v>
      </c>
      <c r="B1138" s="7" t="s">
        <v>16</v>
      </c>
      <c r="C1138" s="7" t="s">
        <v>17</v>
      </c>
      <c r="D1138" s="7"/>
      <c r="E1138" s="7" t="s">
        <v>955</v>
      </c>
      <c r="F1138" s="7" t="s">
        <v>19</v>
      </c>
      <c r="G1138" s="7" t="s">
        <v>956</v>
      </c>
      <c r="H1138" s="7" t="s">
        <v>17</v>
      </c>
      <c r="I1138" s="7" t="s">
        <v>17</v>
      </c>
      <c r="J1138" s="7" t="s">
        <v>957</v>
      </c>
    </row>
    <row r="1139" spans="1:10" x14ac:dyDescent="0.25" outlineLevel="3" collapsed="1">
      <c r="A1139" s="7" t="s">
        <v>15</v>
      </c>
      <c r="B1139" s="7" t="s">
        <v>284</v>
      </c>
      <c r="C1139" s="11" t="s">
        <v>958</v>
      </c>
      <c r="D1139" s="7"/>
      <c r="E1139" s="7" t="s">
        <v>959</v>
      </c>
      <c r="F1139" s="7" t="s">
        <v>19</v>
      </c>
      <c r="G1139" s="7" t="s">
        <v>960</v>
      </c>
      <c r="H1139" s="7" t="s">
        <v>17</v>
      </c>
      <c r="I1139" s="7" t="s">
        <v>17</v>
      </c>
      <c r="J1139" s="7" t="s">
        <v>961</v>
      </c>
    </row>
    <row r="1140" spans="1:10" x14ac:dyDescent="0.25" outlineLevel="3" collapsed="1">
      <c r="A1140" s="7" t="s">
        <v>15</v>
      </c>
      <c r="B1140" s="7" t="s">
        <v>16</v>
      </c>
      <c r="C1140" s="7" t="s">
        <v>17</v>
      </c>
      <c r="D1140" s="7"/>
      <c r="E1140" s="7" t="s">
        <v>962</v>
      </c>
      <c r="F1140" s="7" t="s">
        <v>19</v>
      </c>
      <c r="G1140" s="7" t="s">
        <v>963</v>
      </c>
      <c r="H1140" s="7" t="s">
        <v>17</v>
      </c>
      <c r="I1140" s="7" t="s">
        <v>17</v>
      </c>
      <c r="J1140" s="7" t="s">
        <v>964</v>
      </c>
    </row>
    <row r="1141" spans="1:10" x14ac:dyDescent="0.25" outlineLevel="3" collapsed="1">
      <c r="A1141" s="7" t="s">
        <v>19</v>
      </c>
      <c r="B1141" s="7" t="s">
        <v>291</v>
      </c>
      <c r="C1141" s="7" t="s">
        <v>17</v>
      </c>
      <c r="D1141" s="7"/>
      <c r="E1141" s="7" t="s">
        <v>965</v>
      </c>
      <c r="F1141" s="7" t="s">
        <v>19</v>
      </c>
      <c r="G1141" s="7" t="s">
        <v>293</v>
      </c>
      <c r="H1141" s="7" t="s">
        <v>17</v>
      </c>
      <c r="I1141" s="7" t="s">
        <v>17</v>
      </c>
      <c r="J1141" s="7" t="s">
        <v>966</v>
      </c>
    </row>
    <row r="1142" spans="1:10" x14ac:dyDescent="0.25" outlineLevel="3" collapsed="1">
      <c r="A1142" s="7" t="s">
        <v>19</v>
      </c>
      <c r="B1142" s="7" t="s">
        <v>16</v>
      </c>
      <c r="C1142" s="7" t="s">
        <v>17</v>
      </c>
      <c r="D1142" s="7"/>
      <c r="E1142" s="7" t="s">
        <v>967</v>
      </c>
      <c r="F1142" s="7" t="s">
        <v>19</v>
      </c>
      <c r="G1142" s="7" t="s">
        <v>968</v>
      </c>
      <c r="H1142" s="7" t="s">
        <v>17</v>
      </c>
      <c r="I1142" s="7" t="s">
        <v>17</v>
      </c>
      <c r="J1142" s="7" t="s">
        <v>843</v>
      </c>
    </row>
    <row r="1143" spans="1:10" x14ac:dyDescent="0.25" outlineLevel="1" collapsed="1">
      <c r="A1143" s="8" t="s">
        <v>19</v>
      </c>
      <c r="B1143" s="9" t="s">
        <v>1966</v>
      </c>
      <c r="C1143" s="8" t="s">
        <v>17</v>
      </c>
      <c r="D1143" s="8"/>
      <c r="E1143" s="8" t="s">
        <v>1967</v>
      </c>
      <c r="F1143" s="8" t="s">
        <v>15</v>
      </c>
      <c r="G1143" s="8" t="s">
        <v>17</v>
      </c>
      <c r="H1143" s="8" t="s">
        <v>17</v>
      </c>
      <c r="I1143" s="8" t="s">
        <v>17</v>
      </c>
      <c r="J1143" s="8" t="s">
        <v>1968</v>
      </c>
    </row>
    <row r="1144" spans="1:10" x14ac:dyDescent="0.25" outlineLevel="2" collapsed="1">
      <c r="A1144" s="7" t="s">
        <v>15</v>
      </c>
      <c r="B1144" s="7" t="s">
        <v>16</v>
      </c>
      <c r="C1144" s="7" t="s">
        <v>17</v>
      </c>
      <c r="D1144" s="7"/>
      <c r="E1144" s="7" t="s">
        <v>1969</v>
      </c>
      <c r="F1144" s="7" t="s">
        <v>19</v>
      </c>
      <c r="G1144" s="7" t="s">
        <v>1970</v>
      </c>
      <c r="H1144" s="7" t="s">
        <v>17</v>
      </c>
      <c r="I1144" s="7" t="s">
        <v>17</v>
      </c>
      <c r="J1144" s="7" t="s">
        <v>1971</v>
      </c>
    </row>
    <row r="1145" spans="1:10" x14ac:dyDescent="0.25" outlineLevel="2" collapsed="1">
      <c r="A1145" s="7" t="s">
        <v>15</v>
      </c>
      <c r="B1145" s="7" t="s">
        <v>291</v>
      </c>
      <c r="C1145" s="7" t="s">
        <v>17</v>
      </c>
      <c r="D1145" s="7"/>
      <c r="E1145" s="7" t="s">
        <v>1972</v>
      </c>
      <c r="F1145" s="7" t="s">
        <v>19</v>
      </c>
      <c r="G1145" s="7" t="s">
        <v>293</v>
      </c>
      <c r="H1145" s="7" t="s">
        <v>17</v>
      </c>
      <c r="I1145" s="7" t="s">
        <v>17</v>
      </c>
      <c r="J1145" s="7" t="s">
        <v>1973</v>
      </c>
    </row>
    <row r="1146" spans="1:10" x14ac:dyDescent="0.25" outlineLevel="2" collapsed="1">
      <c r="A1146" s="7" t="s">
        <v>15</v>
      </c>
      <c r="B1146" s="7" t="s">
        <v>16</v>
      </c>
      <c r="C1146" s="7" t="s">
        <v>17</v>
      </c>
      <c r="D1146" s="7"/>
      <c r="E1146" s="7" t="s">
        <v>1974</v>
      </c>
      <c r="F1146" s="7" t="s">
        <v>19</v>
      </c>
      <c r="G1146" s="7" t="s">
        <v>1975</v>
      </c>
      <c r="H1146" s="7" t="s">
        <v>17</v>
      </c>
      <c r="I1146" s="7" t="s">
        <v>17</v>
      </c>
      <c r="J1146" s="7" t="s">
        <v>1976</v>
      </c>
    </row>
    <row r="1147" spans="1:10" x14ac:dyDescent="0.25" outlineLevel="2" collapsed="1">
      <c r="A1147" s="7" t="s">
        <v>15</v>
      </c>
      <c r="B1147" s="7" t="s">
        <v>16</v>
      </c>
      <c r="C1147" s="7" t="s">
        <v>17</v>
      </c>
      <c r="D1147" s="7"/>
      <c r="E1147" s="7" t="s">
        <v>1977</v>
      </c>
      <c r="F1147" s="7" t="s">
        <v>19</v>
      </c>
      <c r="G1147" s="7" t="s">
        <v>1978</v>
      </c>
      <c r="H1147" s="7" t="s">
        <v>17</v>
      </c>
      <c r="I1147" s="7" t="s">
        <v>17</v>
      </c>
      <c r="J1147" s="7" t="s">
        <v>1979</v>
      </c>
    </row>
    <row r="1148" spans="1:10" x14ac:dyDescent="0.25" outlineLevel="2" collapsed="1">
      <c r="A1148" s="7" t="s">
        <v>15</v>
      </c>
      <c r="B1148" s="7" t="s">
        <v>16</v>
      </c>
      <c r="C1148" s="7" t="s">
        <v>17</v>
      </c>
      <c r="D1148" s="7"/>
      <c r="E1148" s="7" t="s">
        <v>1980</v>
      </c>
      <c r="F1148" s="7" t="s">
        <v>19</v>
      </c>
      <c r="G1148" s="7" t="s">
        <v>1981</v>
      </c>
      <c r="H1148" s="7" t="s">
        <v>17</v>
      </c>
      <c r="I1148" s="7" t="s">
        <v>17</v>
      </c>
      <c r="J1148" s="7" t="s">
        <v>1982</v>
      </c>
    </row>
    <row r="1149" spans="1:10" x14ac:dyDescent="0.25" outlineLevel="2" collapsed="1">
      <c r="A1149" s="7" t="s">
        <v>19</v>
      </c>
      <c r="B1149" s="7" t="s">
        <v>16</v>
      </c>
      <c r="C1149" s="7" t="s">
        <v>17</v>
      </c>
      <c r="D1149" s="7"/>
      <c r="E1149" s="7" t="s">
        <v>1983</v>
      </c>
      <c r="F1149" s="7" t="s">
        <v>19</v>
      </c>
      <c r="G1149" s="7" t="s">
        <v>31</v>
      </c>
      <c r="H1149" s="7" t="s">
        <v>17</v>
      </c>
      <c r="I1149" s="7" t="s">
        <v>17</v>
      </c>
      <c r="J1149" s="7" t="s">
        <v>1984</v>
      </c>
    </row>
    <row r="1150" spans="1:10" x14ac:dyDescent="0.25" outlineLevel="2" collapsed="1">
      <c r="A1150" s="7" t="s">
        <v>15</v>
      </c>
      <c r="B1150" s="7" t="s">
        <v>16</v>
      </c>
      <c r="C1150" s="7" t="s">
        <v>17</v>
      </c>
      <c r="D1150" s="7"/>
      <c r="E1150" s="7" t="s">
        <v>1985</v>
      </c>
      <c r="F1150" s="7" t="s">
        <v>19</v>
      </c>
      <c r="G1150" s="7" t="s">
        <v>1986</v>
      </c>
      <c r="H1150" s="7" t="s">
        <v>17</v>
      </c>
      <c r="I1150" s="7" t="s">
        <v>17</v>
      </c>
      <c r="J1150" s="7" t="s">
        <v>1987</v>
      </c>
    </row>
    <row r="1151" spans="1:10" x14ac:dyDescent="0.25" outlineLevel="2" collapsed="1">
      <c r="A1151" s="7" t="s">
        <v>15</v>
      </c>
      <c r="B1151" s="7" t="s">
        <v>16</v>
      </c>
      <c r="C1151" s="7" t="s">
        <v>17</v>
      </c>
      <c r="D1151" s="7"/>
      <c r="E1151" s="7" t="s">
        <v>1988</v>
      </c>
      <c r="F1151" s="7" t="s">
        <v>19</v>
      </c>
      <c r="G1151" s="7" t="s">
        <v>1989</v>
      </c>
      <c r="H1151" s="7" t="s">
        <v>17</v>
      </c>
      <c r="I1151" s="7" t="s">
        <v>17</v>
      </c>
      <c r="J1151" s="7" t="s">
        <v>1990</v>
      </c>
    </row>
    <row r="1152" spans="1:10" x14ac:dyDescent="0.25" outlineLevel="1" collapsed="1">
      <c r="A1152" s="8" t="s">
        <v>19</v>
      </c>
      <c r="B1152" s="9" t="s">
        <v>1991</v>
      </c>
      <c r="C1152" s="8" t="s">
        <v>17</v>
      </c>
      <c r="D1152" s="8"/>
      <c r="E1152" s="8" t="s">
        <v>1992</v>
      </c>
      <c r="F1152" s="8" t="s">
        <v>15</v>
      </c>
      <c r="G1152" s="8" t="s">
        <v>17</v>
      </c>
      <c r="H1152" s="8" t="s">
        <v>17</v>
      </c>
      <c r="I1152" s="8" t="s">
        <v>17</v>
      </c>
      <c r="J1152" s="8" t="s">
        <v>1993</v>
      </c>
    </row>
    <row r="1153" spans="1:10" x14ac:dyDescent="0.25" outlineLevel="2" collapsed="1">
      <c r="A1153" s="7" t="s">
        <v>15</v>
      </c>
      <c r="B1153" s="7" t="s">
        <v>284</v>
      </c>
      <c r="C1153" s="11" t="s">
        <v>1994</v>
      </c>
      <c r="D1153" s="7"/>
      <c r="E1153" s="7" t="s">
        <v>1995</v>
      </c>
      <c r="F1153" s="7" t="s">
        <v>19</v>
      </c>
      <c r="G1153" s="7" t="s">
        <v>1996</v>
      </c>
      <c r="H1153" s="7" t="s">
        <v>17</v>
      </c>
      <c r="I1153" s="7" t="s">
        <v>17</v>
      </c>
      <c r="J1153" s="7" t="s">
        <v>1997</v>
      </c>
    </row>
    <row r="1154" spans="1:10" x14ac:dyDescent="0.25" outlineLevel="2" collapsed="1">
      <c r="A1154" s="7" t="s">
        <v>15</v>
      </c>
      <c r="B1154" s="7" t="s">
        <v>16</v>
      </c>
      <c r="C1154" s="7" t="s">
        <v>17</v>
      </c>
      <c r="D1154" s="7"/>
      <c r="E1154" s="7" t="s">
        <v>1998</v>
      </c>
      <c r="F1154" s="7" t="s">
        <v>19</v>
      </c>
      <c r="G1154" s="7" t="s">
        <v>1999</v>
      </c>
      <c r="H1154" s="7" t="s">
        <v>17</v>
      </c>
      <c r="I1154" s="7" t="s">
        <v>17</v>
      </c>
      <c r="J1154" s="7" t="s">
        <v>1844</v>
      </c>
    </row>
    <row r="1155" spans="1:10" x14ac:dyDescent="0.25" outlineLevel="2" collapsed="1">
      <c r="A1155" s="7" t="s">
        <v>15</v>
      </c>
      <c r="B1155" s="7" t="s">
        <v>159</v>
      </c>
      <c r="C1155" s="7" t="s">
        <v>17</v>
      </c>
      <c r="D1155" s="7"/>
      <c r="E1155" s="7" t="s">
        <v>2000</v>
      </c>
      <c r="F1155" s="7" t="s">
        <v>19</v>
      </c>
      <c r="G1155" s="7" t="b">
        <v>1</v>
      </c>
      <c r="H1155" s="7" t="s">
        <v>17</v>
      </c>
      <c r="I1155" s="7" t="s">
        <v>17</v>
      </c>
      <c r="J1155" s="7" t="s">
        <v>2001</v>
      </c>
    </row>
    <row r="1156" spans="1:10" x14ac:dyDescent="0.25" outlineLevel="2" collapsed="1">
      <c r="A1156" s="7" t="s">
        <v>15</v>
      </c>
      <c r="B1156" s="7" t="s">
        <v>63</v>
      </c>
      <c r="C1156" s="7" t="s">
        <v>17</v>
      </c>
      <c r="D1156" s="7"/>
      <c r="E1156" s="7" t="s">
        <v>2002</v>
      </c>
      <c r="F1156" s="7" t="s">
        <v>19</v>
      </c>
      <c r="G1156" s="7">
        <v>100</v>
      </c>
      <c r="H1156" s="7" t="s">
        <v>17</v>
      </c>
      <c r="I1156" s="7" t="s">
        <v>17</v>
      </c>
      <c r="J1156" s="7" t="s">
        <v>2003</v>
      </c>
    </row>
    <row r="1157" spans="1:10" x14ac:dyDescent="0.25" outlineLevel="2" collapsed="1">
      <c r="A1157" s="7" t="s">
        <v>15</v>
      </c>
      <c r="B1157" s="7" t="s">
        <v>63</v>
      </c>
      <c r="C1157" s="7" t="s">
        <v>17</v>
      </c>
      <c r="D1157" s="7"/>
      <c r="E1157" s="7" t="s">
        <v>2004</v>
      </c>
      <c r="F1157" s="7" t="s">
        <v>19</v>
      </c>
      <c r="G1157" s="7">
        <v>0</v>
      </c>
      <c r="H1157" s="7" t="s">
        <v>17</v>
      </c>
      <c r="I1157" s="7" t="s">
        <v>17</v>
      </c>
      <c r="J1157" s="7" t="s">
        <v>2005</v>
      </c>
    </row>
    <row r="1158" spans="1:10" x14ac:dyDescent="0.25" outlineLevel="2" collapsed="1">
      <c r="A1158" s="7" t="s">
        <v>19</v>
      </c>
      <c r="B1158" s="7" t="s">
        <v>63</v>
      </c>
      <c r="C1158" s="7" t="s">
        <v>17</v>
      </c>
      <c r="D1158" s="7"/>
      <c r="E1158" s="7" t="s">
        <v>2006</v>
      </c>
      <c r="F1158" s="7" t="s">
        <v>19</v>
      </c>
      <c r="G1158" s="7">
        <v>0</v>
      </c>
      <c r="H1158" s="7" t="s">
        <v>17</v>
      </c>
      <c r="I1158" s="7" t="s">
        <v>17</v>
      </c>
      <c r="J1158" s="7" t="s">
        <v>2007</v>
      </c>
    </row>
    <row r="1159" spans="1:10" x14ac:dyDescent="0.25" outlineLevel="2" collapsed="1">
      <c r="A1159" s="7" t="s">
        <v>19</v>
      </c>
      <c r="B1159" s="7" t="s">
        <v>16</v>
      </c>
      <c r="C1159" s="7" t="s">
        <v>17</v>
      </c>
      <c r="D1159" s="7"/>
      <c r="E1159" s="7" t="s">
        <v>2008</v>
      </c>
      <c r="F1159" s="7" t="s">
        <v>19</v>
      </c>
      <c r="G1159" s="7" t="s">
        <v>2009</v>
      </c>
      <c r="H1159" s="7" t="s">
        <v>17</v>
      </c>
      <c r="I1159" s="7" t="s">
        <v>17</v>
      </c>
      <c r="J1159" s="7" t="s">
        <v>2010</v>
      </c>
    </row>
  </sheetData>
  <mergeCells count="3">
    <mergeCell ref="A1:J1"/>
    <mergeCell ref="B2:J2"/>
    <mergeCell ref="B3:J3"/>
  </mergeCells>
  <dataValidations count="115">
    <dataValidation type="list" allowBlank="1" sqref="G1017:I1017">
      <formula1>'Enums'!C607:C608</formula1>
    </dataValidation>
    <dataValidation type="list" allowBlank="1" sqref="G1021:I1021">
      <formula1>'Enums'!C609:C613</formula1>
    </dataValidation>
    <dataValidation type="list" allowBlank="1" sqref="G1030:I1030">
      <formula1>'Enums'!C723:C725</formula1>
    </dataValidation>
    <dataValidation type="list" allowBlank="1" sqref="G1033:I1033">
      <formula1>'Enums'!C726:C728</formula1>
    </dataValidation>
    <dataValidation type="list" allowBlank="1" sqref="G1039:I1039">
      <formula1>'Enums'!C802:C810</formula1>
    </dataValidation>
    <dataValidation type="list" allowBlank="1" sqref="G1043:I1043">
      <formula1>'Enums'!C738:C741</formula1>
    </dataValidation>
    <dataValidation type="list" allowBlank="1" sqref="G1064:I1064">
      <formula1>'Enums'!C802:C810</formula1>
    </dataValidation>
    <dataValidation type="list" allowBlank="1" sqref="G1079:I1079">
      <formula1>'Enums'!C802:C810</formula1>
    </dataValidation>
    <dataValidation type="list" allowBlank="1" sqref="G1095:I1095">
      <formula1>'Enums'!C802:C810</formula1>
    </dataValidation>
    <dataValidation type="list" allowBlank="1" sqref="G1100:I1100">
      <formula1>'Enums'!C742:C749</formula1>
    </dataValidation>
    <dataValidation type="list" allowBlank="1" sqref="G1107:I1107">
      <formula1>'Enums'!C750:C752</formula1>
    </dataValidation>
    <dataValidation type="list" allowBlank="1" sqref="G1110:I1110">
      <formula1>'Enums'!C802:C810</formula1>
    </dataValidation>
    <dataValidation type="list" allowBlank="1" sqref="G1121:I1121">
      <formula1>'Enums'!C753:C755</formula1>
    </dataValidation>
    <dataValidation type="list" allowBlank="1" sqref="G1122:I1122">
      <formula1>'Enums'!C756:C758</formula1>
    </dataValidation>
    <dataValidation type="list" allowBlank="1" sqref="G1125:I1125">
      <formula1>'Enums'!C759:C760</formula1>
    </dataValidation>
    <dataValidation type="list" allowBlank="1" sqref="G1130:I1130">
      <formula1>'Enums'!C761:C762</formula1>
    </dataValidation>
    <dataValidation type="list" allowBlank="1" sqref="G1139:I1139">
      <formula1>'Enums'!C802:C810</formula1>
    </dataValidation>
    <dataValidation type="list" allowBlank="1" sqref="G1153:I1153">
      <formula1>'Enums'!C811:C812</formula1>
    </dataValidation>
    <dataValidation type="list" allowBlank="1" sqref="G244:I244">
      <formula1>'Enums'!C774:C781</formula1>
    </dataValidation>
    <dataValidation type="list" allowBlank="1" sqref="G343:I343">
      <formula1>'Enums'!C607:C608</formula1>
    </dataValidation>
    <dataValidation type="list" allowBlank="1" sqref="G346:I346">
      <formula1>'Enums'!C609:C613</formula1>
    </dataValidation>
    <dataValidation type="list" allowBlank="1" sqref="G355:I355">
      <formula1>'Enums'!C607:C608</formula1>
    </dataValidation>
    <dataValidation type="list" allowBlank="1" sqref="G358:I358">
      <formula1>'Enums'!C609:C613</formula1>
    </dataValidation>
    <dataValidation type="list" allowBlank="1" sqref="G367:I367">
      <formula1>'Enums'!C607:C608</formula1>
    </dataValidation>
    <dataValidation type="list" allowBlank="1" sqref="G370:I370">
      <formula1>'Enums'!C609:C613</formula1>
    </dataValidation>
    <dataValidation type="list" allowBlank="1" sqref="G379:I379">
      <formula1>'Enums'!C607:C608</formula1>
    </dataValidation>
    <dataValidation type="list" allowBlank="1" sqref="G382:I382">
      <formula1>'Enums'!C609:C613</formula1>
    </dataValidation>
    <dataValidation type="list" allowBlank="1" sqref="G391:I391">
      <formula1>'Enums'!C607:C608</formula1>
    </dataValidation>
    <dataValidation type="list" allowBlank="1" sqref="G394:I394">
      <formula1>'Enums'!C609:C613</formula1>
    </dataValidation>
    <dataValidation type="list" allowBlank="1" sqref="G403:I403">
      <formula1>'Enums'!C607:C608</formula1>
    </dataValidation>
    <dataValidation type="list" allowBlank="1" sqref="G406:I406">
      <formula1>'Enums'!C609:C613</formula1>
    </dataValidation>
    <dataValidation type="list" allowBlank="1" sqref="G415:I415">
      <formula1>'Enums'!C607:C608</formula1>
    </dataValidation>
    <dataValidation type="list" allowBlank="1" sqref="G418:I418">
      <formula1>'Enums'!C609:C613</formula1>
    </dataValidation>
    <dataValidation type="list" allowBlank="1" sqref="G427:I427">
      <formula1>'Enums'!C607:C608</formula1>
    </dataValidation>
    <dataValidation type="list" allowBlank="1" sqref="G430:I430">
      <formula1>'Enums'!C609:C613</formula1>
    </dataValidation>
    <dataValidation type="list" allowBlank="1" sqref="G439:I439">
      <formula1>'Enums'!C607:C608</formula1>
    </dataValidation>
    <dataValidation type="list" allowBlank="1" sqref="G442:I442">
      <formula1>'Enums'!C609:C613</formula1>
    </dataValidation>
    <dataValidation type="list" allowBlank="1" sqref="G444:I444">
      <formula1>'Enums'!C614:C615</formula1>
    </dataValidation>
    <dataValidation type="list" allowBlank="1" sqref="G452:I452">
      <formula1>'Enums'!C607:C608</formula1>
    </dataValidation>
    <dataValidation type="list" allowBlank="1" sqref="G455:I455">
      <formula1>'Enums'!C609:C613</formula1>
    </dataValidation>
    <dataValidation type="list" allowBlank="1" sqref="G464:I464">
      <formula1>'Enums'!C607:C608</formula1>
    </dataValidation>
    <dataValidation type="list" allowBlank="1" sqref="G467:I467">
      <formula1>'Enums'!C609:C613</formula1>
    </dataValidation>
    <dataValidation type="list" allowBlank="1" sqref="G476:I476">
      <formula1>'Enums'!C607:C608</formula1>
    </dataValidation>
    <dataValidation type="list" allowBlank="1" sqref="G479:I479">
      <formula1>'Enums'!C609:C613</formula1>
    </dataValidation>
    <dataValidation type="list" allowBlank="1" sqref="G488:I488">
      <formula1>'Enums'!C607:C608</formula1>
    </dataValidation>
    <dataValidation type="list" allowBlank="1" sqref="G491:I491">
      <formula1>'Enums'!C609:C613</formula1>
    </dataValidation>
    <dataValidation type="list" allowBlank="1" sqref="G500:I500">
      <formula1>'Enums'!C607:C608</formula1>
    </dataValidation>
    <dataValidation type="list" allowBlank="1" sqref="G503:I503">
      <formula1>'Enums'!C609:C613</formula1>
    </dataValidation>
    <dataValidation type="list" allowBlank="1" sqref="G513:I513">
      <formula1>'Enums'!C607:C608</formula1>
    </dataValidation>
    <dataValidation type="list" allowBlank="1" sqref="G516:I516">
      <formula1>'Enums'!C609:C613</formula1>
    </dataValidation>
    <dataValidation type="list" allowBlank="1" sqref="G526:I526">
      <formula1>'Enums'!C607:C608</formula1>
    </dataValidation>
    <dataValidation type="list" allowBlank="1" sqref="G529:I529">
      <formula1>'Enums'!C609:C613</formula1>
    </dataValidation>
    <dataValidation type="list" allowBlank="1" sqref="G538:I538">
      <formula1>'Enums'!C607:C608</formula1>
    </dataValidation>
    <dataValidation type="list" allowBlank="1" sqref="G541:I541">
      <formula1>'Enums'!C609:C613</formula1>
    </dataValidation>
    <dataValidation type="list" allowBlank="1" sqref="G551:I551">
      <formula1>'Enums'!C607:C608</formula1>
    </dataValidation>
    <dataValidation type="list" allowBlank="1" sqref="G554:I554">
      <formula1>'Enums'!C609:C613</formula1>
    </dataValidation>
    <dataValidation type="list" allowBlank="1" sqref="G566:I566">
      <formula1>'Enums'!C607:C608</formula1>
    </dataValidation>
    <dataValidation type="list" allowBlank="1" sqref="G570:I570">
      <formula1>'Enums'!C609:C613</formula1>
    </dataValidation>
    <dataValidation type="list" allowBlank="1" sqref="G582:I582">
      <formula1>'Enums'!C607:C608</formula1>
    </dataValidation>
    <dataValidation type="list" allowBlank="1" sqref="G586:I586">
      <formula1>'Enums'!C609:C613</formula1>
    </dataValidation>
    <dataValidation type="list" allowBlank="1" sqref="G598:I598">
      <formula1>'Enums'!C607:C608</formula1>
    </dataValidation>
    <dataValidation type="list" allowBlank="1" sqref="G602:I602">
      <formula1>'Enums'!C609:C613</formula1>
    </dataValidation>
    <dataValidation type="list" allowBlank="1" sqref="G614:I614">
      <formula1>'Enums'!C607:C608</formula1>
    </dataValidation>
    <dataValidation type="list" allowBlank="1" sqref="G618:I618">
      <formula1>'Enums'!C609:C613</formula1>
    </dataValidation>
    <dataValidation type="list" allowBlank="1" sqref="G630:I630">
      <formula1>'Enums'!C607:C608</formula1>
    </dataValidation>
    <dataValidation type="list" allowBlank="1" sqref="G634:I634">
      <formula1>'Enums'!C609:C613</formula1>
    </dataValidation>
    <dataValidation type="list" allowBlank="1" sqref="G646:I646">
      <formula1>'Enums'!C607:C608</formula1>
    </dataValidation>
    <dataValidation type="list" allowBlank="1" sqref="G650:I650">
      <formula1>'Enums'!C609:C613</formula1>
    </dataValidation>
    <dataValidation type="list" allowBlank="1" sqref="G662:I662">
      <formula1>'Enums'!C607:C608</formula1>
    </dataValidation>
    <dataValidation type="list" allowBlank="1" sqref="G666:I666">
      <formula1>'Enums'!C609:C613</formula1>
    </dataValidation>
    <dataValidation type="list" allowBlank="1" sqref="G679:I679">
      <formula1>'Enums'!C607:C608</formula1>
    </dataValidation>
    <dataValidation type="list" allowBlank="1" sqref="G683:I683">
      <formula1>'Enums'!C609:C613</formula1>
    </dataValidation>
    <dataValidation type="list" allowBlank="1" sqref="G695:I695">
      <formula1>'Enums'!C607:C608</formula1>
    </dataValidation>
    <dataValidation type="list" allowBlank="1" sqref="G699:I699">
      <formula1>'Enums'!C609:C613</formula1>
    </dataValidation>
    <dataValidation type="list" allowBlank="1" sqref="G711:I711">
      <formula1>'Enums'!C607:C608</formula1>
    </dataValidation>
    <dataValidation type="list" allowBlank="1" sqref="G715:I715">
      <formula1>'Enums'!C609:C613</formula1>
    </dataValidation>
    <dataValidation type="list" allowBlank="1" sqref="G727:I727">
      <formula1>'Enums'!C607:C608</formula1>
    </dataValidation>
    <dataValidation type="list" allowBlank="1" sqref="G731:I731">
      <formula1>'Enums'!C609:C613</formula1>
    </dataValidation>
    <dataValidation type="list" allowBlank="1" sqref="G743:I743">
      <formula1>'Enums'!C607:C608</formula1>
    </dataValidation>
    <dataValidation type="list" allowBlank="1" sqref="G747:I747">
      <formula1>'Enums'!C609:C613</formula1>
    </dataValidation>
    <dataValidation type="list" allowBlank="1" sqref="G750:I750">
      <formula1>'Enums'!C616:C617</formula1>
    </dataValidation>
    <dataValidation type="list" allowBlank="1" sqref="G751:I751">
      <formula1>'Enums'!C618:C619</formula1>
    </dataValidation>
    <dataValidation type="list" allowBlank="1" sqref="G754:I754">
      <formula1>'Enums'!C813:C815</formula1>
    </dataValidation>
    <dataValidation type="list" allowBlank="1" sqref="G756:I756">
      <formula1>'Enums'!C816:C817</formula1>
    </dataValidation>
    <dataValidation type="list" allowBlank="1" sqref="G757:I757">
      <formula1>'Enums'!C818:C819</formula1>
    </dataValidation>
    <dataValidation type="list" allowBlank="1" sqref="G773:I773">
      <formula1>'Enums'!C607:C608</formula1>
    </dataValidation>
    <dataValidation type="list" allowBlank="1" sqref="G777:I777">
      <formula1>'Enums'!C609:C613</formula1>
    </dataValidation>
    <dataValidation type="list" allowBlank="1" sqref="G789:I789">
      <formula1>'Enums'!C607:C608</formula1>
    </dataValidation>
    <dataValidation type="list" allowBlank="1" sqref="G793:I793">
      <formula1>'Enums'!C609:C613</formula1>
    </dataValidation>
    <dataValidation type="list" allowBlank="1" sqref="G8:I8">
      <formula1>'Enums'!C41:C41</formula1>
    </dataValidation>
    <dataValidation type="list" allowBlank="1" sqref="G805:I805">
      <formula1>'Enums'!C607:C608</formula1>
    </dataValidation>
    <dataValidation type="list" allowBlank="1" sqref="G809:I809">
      <formula1>'Enums'!C609:C613</formula1>
    </dataValidation>
    <dataValidation type="list" allowBlank="1" sqref="G821:I821">
      <formula1>'Enums'!C607:C608</formula1>
    </dataValidation>
    <dataValidation type="list" allowBlank="1" sqref="G825:I825">
      <formula1>'Enums'!C609:C613</formula1>
    </dataValidation>
    <dataValidation type="list" allowBlank="1" sqref="G837:I837">
      <formula1>'Enums'!C607:C608</formula1>
    </dataValidation>
    <dataValidation type="list" allowBlank="1" sqref="G841:I841">
      <formula1>'Enums'!C609:C613</formula1>
    </dataValidation>
    <dataValidation type="list" allowBlank="1" sqref="G853:I853">
      <formula1>'Enums'!C607:C608</formula1>
    </dataValidation>
    <dataValidation type="list" allowBlank="1" sqref="G857:I857">
      <formula1>'Enums'!C609:C613</formula1>
    </dataValidation>
    <dataValidation type="list" allowBlank="1" sqref="G869:I869">
      <formula1>'Enums'!C607:C608</formula1>
    </dataValidation>
    <dataValidation type="list" allowBlank="1" sqref="G873:I873">
      <formula1>'Enums'!C609:C613</formula1>
    </dataValidation>
    <dataValidation type="list" allowBlank="1" sqref="G885:I885">
      <formula1>'Enums'!C607:C608</formula1>
    </dataValidation>
    <dataValidation type="list" allowBlank="1" sqref="G889:I889">
      <formula1>'Enums'!C609:C613</formula1>
    </dataValidation>
    <dataValidation type="list" allowBlank="1" sqref="G9:I9">
      <formula1>'Enums'!C42:C42</formula1>
    </dataValidation>
    <dataValidation type="list" allowBlank="1" sqref="G901:I901">
      <formula1>'Enums'!C607:C608</formula1>
    </dataValidation>
    <dataValidation type="list" allowBlank="1" sqref="G905:I905">
      <formula1>'Enums'!C609:C613</formula1>
    </dataValidation>
    <dataValidation type="list" allowBlank="1" sqref="G917:I917">
      <formula1>'Enums'!C607:C608</formula1>
    </dataValidation>
    <dataValidation type="list" allowBlank="1" sqref="G921:I921">
      <formula1>'Enums'!C609:C613</formula1>
    </dataValidation>
    <dataValidation type="list" allowBlank="1" sqref="G933:I933">
      <formula1>'Enums'!C607:C608</formula1>
    </dataValidation>
    <dataValidation type="list" allowBlank="1" sqref="G937:I937">
      <formula1>'Enums'!C609:C613</formula1>
    </dataValidation>
    <dataValidation type="list" allowBlank="1" sqref="G949:I949">
      <formula1>'Enums'!C607:C608</formula1>
    </dataValidation>
    <dataValidation type="list" allowBlank="1" sqref="G953:I953">
      <formula1>'Enums'!C609:C613</formula1>
    </dataValidation>
    <dataValidation type="list" allowBlank="1" sqref="G965:I965">
      <formula1>'Enums'!C607:C608</formula1>
    </dataValidation>
    <dataValidation type="list" allowBlank="1" sqref="G969:I969">
      <formula1>'Enums'!C609:C613</formula1>
    </dataValidation>
    <dataValidation type="list" allowBlank="1" sqref="G981:I981">
      <formula1>'Enums'!C607:C608</formula1>
    </dataValidation>
    <dataValidation type="list" allowBlank="1" sqref="G985:I985">
      <formula1>'Enums'!C609:C613</formula1>
    </dataValidation>
  </dataValidations>
  <hyperlinks>
    <hyperlink ref="B19" r:id="rId1" location="#'Sensitive information row ( 2'!A1"/>
    <hyperlink ref="B23" r:id="rId2" location="#'Document history row (VCS Moni'!A1"/>
    <hyperlink ref="B26" r:id="rId3" location="#'MR 1.1 Summary of Project Impl'!A1"/>
    <hyperlink ref="B29" r:id="rId4" location="#'MR 1.2 Audit History (VCS MR 1'!A1"/>
    <hyperlink ref="B37" r:id="rId5" location="#'MR 1.3 Sectoral Scope and Proj'!A1"/>
    <hyperlink ref="B41" r:id="rId6" location="#'MR 1.4 Project Proponent (VCS'!A1"/>
    <hyperlink ref="B42" r:id="rId7" location="#'Project Proponent Contact (VCS'!A1"/>
    <hyperlink ref="B49" r:id="rId8" location="#'MR 1.5 Other Entities Involved'!A1"/>
    <hyperlink ref="B59" r:id="rId9" location="#'MR 1.6 Project Start Date and'!A1"/>
    <hyperlink ref="B62" r:id="rId10" location="#'MR 1.7 Project Crediting Perio'!A1"/>
    <hyperlink ref="B68" r:id="rId11" location="#'MR 1.8 Project Location (VCS M'!A1"/>
    <hyperlink ref="B70" r:id="rId12" location="#'Project Location Entry (VCS PD'!A1"/>
    <hyperlink ref="B80" r:id="rId13" location="#'MR 1.9 Double Counting and Par'!A1"/>
    <hyperlink ref="B82" r:id="rId14" location="#'Reductions and removals claime'!A1"/>
    <hyperlink ref="B95" r:id="rId15" location="#'MR 1.10 Double Claiming Other'!A1"/>
    <hyperlink ref="B113" r:id="rId16" location="#'MR 1.11 Sustainable Developmen'!A1"/>
    <hyperlink ref="B114" r:id="rId17" location="#'1.11 Sustainable development c'!A1"/>
    <hyperlink ref="B121" r:id="rId18" location="#'MR 1.12 Additional Information'!A1"/>
    <hyperlink ref="B125" r:id="rId19" location="#'MR 1.13 Right to Operate and R'!A1"/>
    <hyperlink ref="B132" r:id="rId20" location="#'1.13 Evidence of right to oper'!A1"/>
    <hyperlink ref="B145" r:id="rId21" location="#'MR 2.1 Stakeholder Identificat'!A1"/>
    <hyperlink ref="B152" r:id="rId22" location="#'MR 2.2 Stakeholder Engagement'!A1"/>
    <hyperlink ref="B153" r:id="rId23" location="#'2.2 Stakeholder consultation a'!A1"/>
    <hyperlink ref="B159" r:id="rId24" location="#'Free prior and informed con 2'!A1"/>
    <hyperlink ref="B165" r:id="rId25" location="#'MR 2.3 Benefit-Sharing Mechani'!A1"/>
    <hyperlink ref="B166" r:id="rId26" location="#'Benefit-sharing mechanism row'!A1"/>
    <hyperlink ref="B172" r:id="rId27" location="#'MR 2.4 Stakeholder Input Track'!A1"/>
    <hyperlink ref="B174" r:id="rId28" location="#'MR 2.5 Grievance Redress Mecha'!A1"/>
    <hyperlink ref="B177" r:id="rId29" location="#'MR 2.6 Environmental Social an'!A1"/>
    <hyperlink ref="B178" r:id="rId30" location="#'MR 2.6.1 Management Experience'!A1"/>
    <hyperlink ref="B180" r:id="rId31" location="#'MR 2.6.2 Legal Compliance (VCS'!A1"/>
    <hyperlink ref="B183" r:id="rId32" location="#'MR 3.1 Methodology Details (VC'!A1"/>
    <hyperlink ref="B184" r:id="rId33" location="#'Methodology details row (VCS P'!A1"/>
    <hyperlink ref="B189" r:id="rId34" location="#'MR 3.2 Implementation Status o'!A1"/>
    <hyperlink ref="B190" r:id="rId35" location="#'MR 3.2.1 General Implementatio'!A1"/>
    <hyperlink ref="B192" r:id="rId36" location="#'MR 3.2.2 Loss Events (VCS MR 3'!A1"/>
    <hyperlink ref="B195" r:id="rId37" location="#'General implementation status'!A1"/>
    <hyperlink ref="B200" r:id="rId38" location="#'Loss events row (VCS v5.0B)'!A1"/>
    <hyperlink ref="B206" r:id="rId39" location="#'MR 3.3 Grouped Projects (VCS M'!A1"/>
    <hyperlink ref="B207" r:id="rId40" location="#'MR 3.3.1 Grouped Project Desig'!A1"/>
    <hyperlink ref="B209" r:id="rId41" location="#'MR 3.3.2 New Project Activity'!A1"/>
    <hyperlink ref="B212" r:id="rId42" location="#'Grouped project eligibility ar'!A1"/>
    <hyperlink ref="B216" r:id="rId43" location="#'MR 3.4 Deviations (VCS MR 3.4)'!A1"/>
    <hyperlink ref="B217" r:id="rId44" location="#'Methodology deviation row (VCS'!A1"/>
    <hyperlink ref="B224" r:id="rId45" location="#'Project description deviation'!A1"/>
    <hyperlink ref="B232" r:id="rId46" location="#'MR 3.5 Baseline Reassessment ('!A1"/>
    <hyperlink ref="B238" r:id="rId47" location="#'MR 4.1 Summary of DataParamete'!A1"/>
    <hyperlink ref="B239" r:id="rId48" location="#'VMR0015 MR 4.1 Summary row (VC'!A1"/>
    <hyperlink ref="B247" r:id="rId49" location="#'MR 4.2 Monitoring Plan (VCS MR'!A1"/>
    <hyperlink ref="B248" r:id="rId50" location="#'MR 4.2.1 GHG Data Collection a'!A1"/>
    <hyperlink ref="B250" r:id="rId51" location="#'MR 4.2.2 Procedures for Calibr'!A1"/>
    <hyperlink ref="B252" r:id="rId52" location="#'MR 4.2.3 Monitoring Personnel'!A1"/>
    <hyperlink ref="B254" r:id="rId53" location="#'MR 4.2.4 Procedures for Intern'!A1"/>
    <hyperlink ref="B256" r:id="rId54" location="#'MR 4.2.5 Procedures for Handli'!A1"/>
    <hyperlink ref="B258" r:id="rId55" location="#'MR 4.2.6 Sampling Approaches ('!A1"/>
    <hyperlink ref="B260" r:id="rId56" location="#'MR 4.2.7 Updates to Monitoring'!A1"/>
    <hyperlink ref="B262" r:id="rId57" location="#'MR 5.1 Baseline Emissions (VCS'!A1"/>
    <hyperlink ref="B263" r:id="rId58" location="#'MR 5.2 Project Emissions (VCS'!A1"/>
    <hyperlink ref="B264" r:id="rId59" location="#'MR 5.3 Leakage Emissions (VCS'!A1"/>
    <hyperlink ref="B265" r:id="rId60" location="#'MR 5.4 Other Relevant Quantifi'!A1"/>
    <hyperlink ref="B266" r:id="rId61" location="#'MR 5.4.1 Non-Permanence Risk A'!A1"/>
    <hyperlink ref="B269" r:id="rId62" location="#'MR 5.4.2 Buffer Pool Allocatio'!A1"/>
    <hyperlink ref="B272" r:id="rId63" location="#'MR 5.4.3 Long-Term Average (VC'!A1"/>
    <hyperlink ref="B276" r:id="rId64" location="#'MR 5.4.4 De Minimis Quantifica'!A1"/>
    <hyperlink ref="B278" r:id="rId65" location="#'Non-permanence risk rating row'!A1"/>
    <hyperlink ref="B281" r:id="rId66" location="#'5.4 Buffer pool allocation (re'!A1"/>
    <hyperlink ref="B300" r:id="rId67" location="#'5.4 Buffer pool allocation (co'!A1"/>
    <hyperlink ref="B308" r:id="rId68" location="#'MR 5.5 GHG Emission Reductions'!A1"/>
    <hyperlink ref="B310" r:id="rId69" location="#'Summary of reductions and remo'!A1"/>
    <hyperlink ref="B327" r:id="rId70" location="#'Ex-ante vs ex-post comparison'!A1"/>
    <hyperlink ref="B334" r:id="rId71" location="#'VMR0015 Appendix 2 - Monito 2'!A1"/>
    <hyperlink ref="B335" r:id="rId72" location="#'VMR0015 A2.1.1 VMR0015  AMS-II'!A1"/>
    <hyperlink ref="B336" r:id="rId73" location="#'VMR0015 A2.1 DataParameter Ava'!A1"/>
    <hyperlink ref="B348" r:id="rId74" location="#'VMR0015 A2.1 DataParameter Ava'!A1"/>
    <hyperlink ref="B360" r:id="rId75" location="#'VMR0015 A2.1 DataParameter Ava'!A1"/>
    <hyperlink ref="B372" r:id="rId76" location="#'VMR0015 A2.1 DataParameter Ava'!A1"/>
    <hyperlink ref="B384" r:id="rId77" location="#'VMR0015 A2.1 DataParameter Ava'!A1"/>
    <hyperlink ref="B396" r:id="rId78" location="#'VMR0015 A2.1 DataParameter Ava'!A1"/>
    <hyperlink ref="B408" r:id="rId79" location="#'VMR0015 A2.1 DataParameter Ava'!A1"/>
    <hyperlink ref="B420" r:id="rId80" location="#'VMR0015 A2.1 DataParameter Ava'!A1"/>
    <hyperlink ref="B432" r:id="rId81" location="#'VMR0015 A2.1 DataParameter Ava'!A1"/>
    <hyperlink ref="B445" r:id="rId82" location="#'VMR0015 A2.1 DataParameter Ava'!A1"/>
    <hyperlink ref="B457" r:id="rId83" location="#'VMR0015 A2.1 DataParameter Ava'!A1"/>
    <hyperlink ref="B469" r:id="rId84" location="#'VMR0015 A2.1 DataParameter Ava'!A1"/>
    <hyperlink ref="B481" r:id="rId85" location="#'VMR0015 A2.1 DataParameter Ava'!A1"/>
    <hyperlink ref="B493" r:id="rId86" location="#'VMR0015 A2.1 DataParameter Ava'!A1"/>
    <hyperlink ref="B505" r:id="rId87" location="#'VMR0015 A2.1.2 TOOL03 paramete'!A1"/>
    <hyperlink ref="B506" r:id="rId88" location="#'VMR0015 A2.1 DataParameter Ava'!A1"/>
    <hyperlink ref="B518" r:id="rId89" location="#'VMR0015 A2.1.3 VT0010  VT0011'!A1"/>
    <hyperlink ref="B519" r:id="rId90" location="#'VMR0015 A2.1 DataParameter Ava'!A1"/>
    <hyperlink ref="B531" r:id="rId91" location="#'VMR0015 A2.1 DataParameter Ava'!A1"/>
    <hyperlink ref="B543" r:id="rId92" location="#'VMR0015 A2.1.4 AMS-I.E paramet'!A1"/>
    <hyperlink ref="B544" r:id="rId93" location="#'VMR0015 A2.1 DataParameter Ava'!A1"/>
    <hyperlink ref="B556" r:id="rId94" location="#'VMR0015 A2.2.1 VMR0015  AMS 2'!A1"/>
    <hyperlink ref="B557" r:id="rId95" location="#'VMR0015 A2.2 DataParameter  2'!A1"/>
    <hyperlink ref="B573" r:id="rId96" location="#'VMR0015 A2.2 DataParameter  2'!A1"/>
    <hyperlink ref="B589" r:id="rId97" location="#'VMR0015 A2.2 DataParameter  2'!A1"/>
    <hyperlink ref="B605" r:id="rId98" location="#'VMR0015 A2.2 DataParameter  2'!A1"/>
    <hyperlink ref="B621" r:id="rId99" location="#'VMR0015 A2.2 DataParameter  2'!A1"/>
    <hyperlink ref="B637" r:id="rId100" location="#'VMR0015 A2.2 DataParameter  2'!A1"/>
    <hyperlink ref="B653" r:id="rId101" location="#'VMR0015 A2.2 DataParameter  2'!A1"/>
    <hyperlink ref="B669" r:id="rId102" location="#'VMR0015 A2.2.2 TOOL03 monit 2'!A1"/>
    <hyperlink ref="B670" r:id="rId103" location="#'VMR0015 A2.2 DataParameter  2'!A1"/>
    <hyperlink ref="B686" r:id="rId104" location="#'VMR0015 A2.2 DataParameter  2'!A1"/>
    <hyperlink ref="B702" r:id="rId105" location="#'VMR0015 A2.2 DataParameter  2'!A1"/>
    <hyperlink ref="B718" r:id="rId106" location="#'VMR0015 A2.2 DataParameter  2'!A1"/>
    <hyperlink ref="B734" r:id="rId107" location="#'VMR0015 A2.2 DataParameter  2'!A1"/>
    <hyperlink ref="B752" r:id="rId108" location="#'TOOL03 fuel combustion row (fu'!A1"/>
    <hyperlink ref="B763" r:id="rId109" location="#'VMR0015 A2.2.3 VT0010  VT00 2'!A1"/>
    <hyperlink ref="B764" r:id="rId110" location="#'VMR0015 A2.2 DataParameter  2'!A1"/>
    <hyperlink ref="B780" r:id="rId111" location="#'VMR0015 A2.2 DataParameter  2'!A1"/>
    <hyperlink ref="B796" r:id="rId112" location="#'VMR0015 A2.2 DataParameter  2'!A1"/>
    <hyperlink ref="B812" r:id="rId113" location="#'VMR0015 A2.2 DataParameter  2'!A1"/>
    <hyperlink ref="B828" r:id="rId114" location="#'VMR0015 A2.2 DataParameter  2'!A1"/>
    <hyperlink ref="B844" r:id="rId115" location="#'VMR0015 A2.2 DataParameter  2'!A1"/>
    <hyperlink ref="B860" r:id="rId116" location="#'VMR0015 A2.2 DataParameter  2'!A1"/>
    <hyperlink ref="B876" r:id="rId117" location="#'VMR0015 A2.2 DataParameter  2'!A1"/>
    <hyperlink ref="B892" r:id="rId118" location="#'VMR0015 A2.2 DataParameter  2'!A1"/>
    <hyperlink ref="B908" r:id="rId119" location="#'VMR0015 A2.2 DataParameter  2'!A1"/>
    <hyperlink ref="B924" r:id="rId120" location="#'VMR0015 A2.2 DataParameter  2'!A1"/>
    <hyperlink ref="B940" r:id="rId121" location="#'VMR0015 A2.2 DataParameter  2'!A1"/>
    <hyperlink ref="B956" r:id="rId122" location="#'VMR0015 A2.2 DataParameter  2'!A1"/>
    <hyperlink ref="B972" r:id="rId123" location="#'VMR0015 A2.2 DataParameter  2'!A1"/>
    <hyperlink ref="B988" r:id="rId124" location="#'VT0010 grid load row (load L;'!A1"/>
    <hyperlink ref="B996" r:id="rId125" location="#'VT0010 shared plant fuel row ('!A1"/>
    <hyperlink ref="B1007" r:id="rId126" location="#'VMR0015 A2.2.4 fNRB monitor 2'!A1"/>
    <hyperlink ref="B1008" r:id="rId127" location="#'VMR0015 A2.2 DataParameter  2'!A1"/>
    <hyperlink ref="B1024" r:id="rId128" location="#'VMR0015 Methodology Records 2'!A1"/>
    <hyperlink ref="B1026" r:id="rId129" location="#'VMR0015 Project Section - MR ('!A1"/>
    <hyperlink ref="B1031" r:id="rId130" location="#'VMR0015 Water Quantity Record'!A1"/>
    <hyperlink ref="B1037" r:id="rId131" location="#'Evidence item'!A1"/>
    <hyperlink ref="B1045" r:id="rId132" location="#'VMR0015 Water Quantity Reco 2'!A1"/>
    <hyperlink ref="B1049" r:id="rId133" location="#'VMR0015 Water Quantity Reco 3'!A1"/>
    <hyperlink ref="B1054" r:id="rId134" location="#'VMR0015 Appliance Functionalit'!A1"/>
    <hyperlink ref="B1062" r:id="rId135" location="#'Evidence item'!A1"/>
    <hyperlink ref="B1068" r:id="rId136" location="#'SDW Public Distribution Networ'!A1"/>
    <hyperlink ref="B1077" r:id="rId137" location="#'Evidence item'!A1"/>
    <hyperlink ref="B1083" r:id="rId138" location="#'Biennial Water Quality Check ('!A1"/>
    <hyperlink ref="B1093" r:id="rId139" location="#'Evidence item'!A1"/>
    <hyperlink ref="B1099" r:id="rId140" location="#'VMR0015 Sampling Plan and Resu'!A1"/>
    <hyperlink ref="B1108" r:id="rId141" location="#'Evidence item'!A1"/>
    <hyperlink ref="B1119" r:id="rId142" location="#'VMR0015 fNRB Determination'!A1"/>
    <hyperlink ref="B1137" r:id="rId143" location="#'Evidence item'!A1"/>
    <hyperlink ref="B1143" r:id="rId144" location="#'Project device record (VMR0015'!A1"/>
    <hyperlink ref="B1152" r:id="rId145" location="#'Interactive effects survey res'!A1"/>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2011</v>
      </c>
      <c r="B1" s="1"/>
      <c r="C1" s="1"/>
      <c r="D1" s="1"/>
      <c r="E1" s="1"/>
      <c r="F1" s="1"/>
      <c r="G1" s="1"/>
      <c r="H1" s="1"/>
      <c r="I1" s="1"/>
      <c r="J1" s="1"/>
    </row>
    <row r="2" spans="1:10" x14ac:dyDescent="0.25">
      <c r="A2" s="2" t="s">
        <v>1</v>
      </c>
      <c r="B2" s="3" t="s">
        <v>2012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919</v>
      </c>
      <c r="F5" s="5" t="s">
        <v>19</v>
      </c>
      <c r="G5" s="5" t="s">
        <v>920</v>
      </c>
      <c r="H5" s="5" t="s">
        <v>17</v>
      </c>
      <c r="I5" s="5" t="s">
        <v>17</v>
      </c>
      <c r="J5" s="5" t="s">
        <v>921</v>
      </c>
    </row>
    <row r="6" spans="1:10" x14ac:dyDescent="0.25">
      <c r="A6" s="5" t="s">
        <v>15</v>
      </c>
      <c r="B6" s="5" t="s">
        <v>159</v>
      </c>
      <c r="C6" s="5" t="s">
        <v>17</v>
      </c>
      <c r="D6" s="5"/>
      <c r="E6" s="5" t="s">
        <v>922</v>
      </c>
      <c r="F6" s="5" t="s">
        <v>19</v>
      </c>
      <c r="G6" s="5" t="b">
        <v>0</v>
      </c>
      <c r="H6" s="5" t="s">
        <v>17</v>
      </c>
      <c r="I6" s="5" t="s">
        <v>17</v>
      </c>
      <c r="J6" s="5" t="s">
        <v>923</v>
      </c>
    </row>
    <row r="7" spans="1:10" x14ac:dyDescent="0.25">
      <c r="A7" s="5" t="s">
        <v>19</v>
      </c>
      <c r="B7" s="5" t="s">
        <v>16</v>
      </c>
      <c r="C7" s="5" t="s">
        <v>17</v>
      </c>
      <c r="D7" s="5"/>
      <c r="E7" s="5" t="s">
        <v>924</v>
      </c>
      <c r="F7" s="5" t="s">
        <v>19</v>
      </c>
      <c r="G7" s="5" t="s">
        <v>925</v>
      </c>
      <c r="H7" s="5" t="s">
        <v>17</v>
      </c>
      <c r="I7" s="5" t="s">
        <v>17</v>
      </c>
      <c r="J7" s="5" t="s">
        <v>926</v>
      </c>
    </row>
    <row r="8" spans="1:10" x14ac:dyDescent="0.25">
      <c r="A8" s="5" t="s">
        <v>15</v>
      </c>
      <c r="B8" s="5" t="s">
        <v>16</v>
      </c>
      <c r="C8" s="5" t="s">
        <v>17</v>
      </c>
      <c r="D8" s="5"/>
      <c r="E8" s="5" t="s">
        <v>927</v>
      </c>
      <c r="F8" s="5" t="s">
        <v>19</v>
      </c>
      <c r="G8" s="5" t="s">
        <v>928</v>
      </c>
      <c r="H8" s="5" t="s">
        <v>17</v>
      </c>
      <c r="I8" s="5" t="s">
        <v>17</v>
      </c>
      <c r="J8" s="5" t="s">
        <v>929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2013</v>
      </c>
      <c r="B1" s="1"/>
      <c r="C1" s="1"/>
      <c r="D1" s="1"/>
      <c r="E1" s="1"/>
      <c r="F1" s="1"/>
      <c r="G1" s="1"/>
      <c r="H1" s="1"/>
      <c r="I1" s="1"/>
      <c r="J1" s="1"/>
    </row>
    <row r="2" spans="1:10" x14ac:dyDescent="0.25">
      <c r="A2" s="2" t="s">
        <v>1</v>
      </c>
      <c r="B2" s="3" t="s">
        <v>2014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2015</v>
      </c>
      <c r="C5" s="5" t="s">
        <v>17</v>
      </c>
      <c r="D5" s="5"/>
      <c r="E5" s="5" t="s">
        <v>2016</v>
      </c>
      <c r="F5" s="5" t="s">
        <v>19</v>
      </c>
      <c r="G5" s="5" t="s">
        <v>17</v>
      </c>
      <c r="H5" s="5" t="s">
        <v>17</v>
      </c>
      <c r="I5" s="5" t="s">
        <v>17</v>
      </c>
      <c r="J5" s="5" t="s">
        <v>606</v>
      </c>
    </row>
    <row r="6" spans="1:10" x14ac:dyDescent="0.25" outlineLevel="1" collapsed="1">
      <c r="A6" s="7" t="s">
        <v>19</v>
      </c>
      <c r="B6" s="7" t="s">
        <v>16</v>
      </c>
      <c r="C6" s="7" t="s">
        <v>17</v>
      </c>
      <c r="D6" s="7"/>
      <c r="E6" s="7" t="s">
        <v>2017</v>
      </c>
      <c r="F6" s="7" t="s">
        <v>19</v>
      </c>
      <c r="G6" s="7" t="s">
        <v>2018</v>
      </c>
      <c r="H6" s="7" t="s">
        <v>17</v>
      </c>
      <c r="I6" s="7" t="s">
        <v>17</v>
      </c>
      <c r="J6" s="7" t="s">
        <v>2019</v>
      </c>
    </row>
    <row r="7" spans="1:10" x14ac:dyDescent="0.25">
      <c r="A7" s="5" t="s">
        <v>15</v>
      </c>
      <c r="B7" s="6" t="s">
        <v>2020</v>
      </c>
      <c r="C7" s="5" t="s">
        <v>17</v>
      </c>
      <c r="D7" s="5"/>
      <c r="E7" s="5" t="s">
        <v>2021</v>
      </c>
      <c r="F7" s="5" t="s">
        <v>19</v>
      </c>
      <c r="G7" s="5" t="s">
        <v>17</v>
      </c>
      <c r="H7" s="5" t="s">
        <v>17</v>
      </c>
      <c r="I7" s="5" t="s">
        <v>17</v>
      </c>
      <c r="J7" s="5" t="s">
        <v>336</v>
      </c>
    </row>
    <row r="8" spans="1:10" x14ac:dyDescent="0.25">
      <c r="A8" s="5" t="s">
        <v>19</v>
      </c>
      <c r="B8" s="6" t="s">
        <v>2022</v>
      </c>
      <c r="C8" s="5" t="s">
        <v>17</v>
      </c>
      <c r="D8" s="5"/>
      <c r="E8" s="5" t="s">
        <v>2023</v>
      </c>
      <c r="F8" s="5" t="s">
        <v>15</v>
      </c>
      <c r="G8" s="5" t="s">
        <v>17</v>
      </c>
      <c r="H8" s="5" t="s">
        <v>17</v>
      </c>
      <c r="I8" s="5" t="s">
        <v>17</v>
      </c>
      <c r="J8" s="5" t="s">
        <v>2024</v>
      </c>
    </row>
    <row r="9" spans="1:10" x14ac:dyDescent="0.25" outlineLevel="1" collapsed="1">
      <c r="A9" s="7" t="s">
        <v>19</v>
      </c>
      <c r="B9" s="7" t="s">
        <v>16</v>
      </c>
      <c r="C9" s="7" t="s">
        <v>17</v>
      </c>
      <c r="D9" s="7"/>
      <c r="E9" s="7" t="s">
        <v>30</v>
      </c>
      <c r="F9" s="7" t="s">
        <v>19</v>
      </c>
      <c r="G9" s="7" t="s">
        <v>31</v>
      </c>
      <c r="H9" s="7" t="s">
        <v>17</v>
      </c>
      <c r="I9" s="7" t="s">
        <v>17</v>
      </c>
      <c r="J9" s="7" t="s">
        <v>32</v>
      </c>
    </row>
    <row r="10" spans="1:10" x14ac:dyDescent="0.25" outlineLevel="1" collapsed="1">
      <c r="A10" s="7" t="s">
        <v>19</v>
      </c>
      <c r="B10" s="7" t="s">
        <v>16</v>
      </c>
      <c r="C10" s="7" t="s">
        <v>17</v>
      </c>
      <c r="D10" s="7"/>
      <c r="E10" s="7" t="s">
        <v>33</v>
      </c>
      <c r="F10" s="7" t="s">
        <v>19</v>
      </c>
      <c r="G10" s="7" t="s">
        <v>31</v>
      </c>
      <c r="H10" s="7" t="s">
        <v>17</v>
      </c>
      <c r="I10" s="7" t="s">
        <v>17</v>
      </c>
      <c r="J10" s="7" t="s">
        <v>34</v>
      </c>
    </row>
    <row r="11" spans="1:10" x14ac:dyDescent="0.25" outlineLevel="1" collapsed="1">
      <c r="A11" s="7" t="s">
        <v>19</v>
      </c>
      <c r="B11" s="7" t="s">
        <v>63</v>
      </c>
      <c r="C11" s="7" t="s">
        <v>17</v>
      </c>
      <c r="D11" s="7"/>
      <c r="E11" s="7" t="s">
        <v>2025</v>
      </c>
      <c r="F11" s="7" t="s">
        <v>19</v>
      </c>
      <c r="G11" s="7">
        <v>1</v>
      </c>
      <c r="H11" s="7" t="s">
        <v>17</v>
      </c>
      <c r="I11" s="7" t="s">
        <v>17</v>
      </c>
      <c r="J11" s="7" t="s">
        <v>2026</v>
      </c>
    </row>
    <row r="12" spans="1:10" x14ac:dyDescent="0.25" outlineLevel="1" collapsed="1">
      <c r="A12" s="7" t="s">
        <v>19</v>
      </c>
      <c r="B12" s="7" t="s">
        <v>63</v>
      </c>
      <c r="C12" s="7" t="s">
        <v>17</v>
      </c>
      <c r="D12" s="7"/>
      <c r="E12" s="7" t="s">
        <v>2027</v>
      </c>
      <c r="F12" s="7" t="s">
        <v>19</v>
      </c>
      <c r="G12" s="7">
        <v>1</v>
      </c>
      <c r="H12" s="7" t="s">
        <v>17</v>
      </c>
      <c r="I12" s="7" t="s">
        <v>17</v>
      </c>
      <c r="J12" s="7" t="s">
        <v>2028</v>
      </c>
    </row>
    <row r="13" spans="1:10" x14ac:dyDescent="0.25" outlineLevel="1" collapsed="1">
      <c r="A13" s="7" t="s">
        <v>19</v>
      </c>
      <c r="B13" s="7" t="s">
        <v>63</v>
      </c>
      <c r="C13" s="7" t="s">
        <v>17</v>
      </c>
      <c r="D13" s="7"/>
      <c r="E13" s="7" t="s">
        <v>2029</v>
      </c>
      <c r="F13" s="7" t="s">
        <v>19</v>
      </c>
      <c r="G13" s="7">
        <v>1</v>
      </c>
      <c r="H13" s="7" t="s">
        <v>17</v>
      </c>
      <c r="I13" s="7" t="s">
        <v>17</v>
      </c>
      <c r="J13" s="7" t="s">
        <v>2030</v>
      </c>
    </row>
    <row r="14" spans="1:10" x14ac:dyDescent="0.25" outlineLevel="1" collapsed="1">
      <c r="A14" s="7" t="s">
        <v>19</v>
      </c>
      <c r="B14" s="7" t="s">
        <v>63</v>
      </c>
      <c r="C14" s="7" t="s">
        <v>17</v>
      </c>
      <c r="D14" s="7"/>
      <c r="E14" s="7" t="s">
        <v>2031</v>
      </c>
      <c r="F14" s="7" t="s">
        <v>19</v>
      </c>
      <c r="G14" s="7">
        <v>1</v>
      </c>
      <c r="H14" s="7" t="s">
        <v>17</v>
      </c>
      <c r="I14" s="7" t="s">
        <v>17</v>
      </c>
      <c r="J14" s="7" t="s">
        <v>2032</v>
      </c>
    </row>
    <row r="15" spans="1:10" x14ac:dyDescent="0.25" outlineLevel="1" collapsed="1">
      <c r="A15" s="7" t="s">
        <v>19</v>
      </c>
      <c r="B15" s="7" t="s">
        <v>63</v>
      </c>
      <c r="C15" s="7" t="s">
        <v>17</v>
      </c>
      <c r="D15" s="7"/>
      <c r="E15" s="7" t="s">
        <v>2033</v>
      </c>
      <c r="F15" s="7" t="s">
        <v>19</v>
      </c>
      <c r="G15" s="7">
        <v>1</v>
      </c>
      <c r="H15" s="7" t="s">
        <v>17</v>
      </c>
      <c r="I15" s="7" t="s">
        <v>17</v>
      </c>
      <c r="J15" s="7" t="s">
        <v>2034</v>
      </c>
    </row>
    <row r="16" spans="1:10" x14ac:dyDescent="0.25" outlineLevel="1" collapsed="1">
      <c r="A16" s="7" t="s">
        <v>19</v>
      </c>
      <c r="B16" s="7" t="s">
        <v>63</v>
      </c>
      <c r="C16" s="7" t="s">
        <v>17</v>
      </c>
      <c r="D16" s="7"/>
      <c r="E16" s="7" t="s">
        <v>2035</v>
      </c>
      <c r="F16" s="7" t="s">
        <v>19</v>
      </c>
      <c r="G16" s="7">
        <v>1</v>
      </c>
      <c r="H16" s="7" t="s">
        <v>17</v>
      </c>
      <c r="I16" s="7" t="s">
        <v>17</v>
      </c>
      <c r="J16" s="7" t="s">
        <v>2036</v>
      </c>
    </row>
    <row r="17" spans="1:10" x14ac:dyDescent="0.25" outlineLevel="1" collapsed="1">
      <c r="A17" s="7" t="s">
        <v>19</v>
      </c>
      <c r="B17" s="7" t="s">
        <v>63</v>
      </c>
      <c r="C17" s="7" t="s">
        <v>17</v>
      </c>
      <c r="D17" s="7"/>
      <c r="E17" s="7" t="s">
        <v>751</v>
      </c>
      <c r="F17" s="7" t="s">
        <v>19</v>
      </c>
      <c r="G17" s="7">
        <v>1</v>
      </c>
      <c r="H17" s="7" t="s">
        <v>17</v>
      </c>
      <c r="I17" s="7" t="s">
        <v>17</v>
      </c>
      <c r="J17" s="7" t="s">
        <v>1579</v>
      </c>
    </row>
    <row r="18" spans="1:10" x14ac:dyDescent="0.25" outlineLevel="1" collapsed="1">
      <c r="A18" s="7" t="s">
        <v>19</v>
      </c>
      <c r="B18" s="7" t="s">
        <v>63</v>
      </c>
      <c r="C18" s="7" t="s">
        <v>17</v>
      </c>
      <c r="D18" s="7"/>
      <c r="E18" s="7" t="s">
        <v>2037</v>
      </c>
      <c r="F18" s="7" t="s">
        <v>19</v>
      </c>
      <c r="G18" s="7">
        <v>1</v>
      </c>
      <c r="H18" s="7" t="s">
        <v>17</v>
      </c>
      <c r="I18" s="7" t="s">
        <v>17</v>
      </c>
      <c r="J18" s="7" t="s">
        <v>2038</v>
      </c>
    </row>
    <row r="19" spans="1:10" x14ac:dyDescent="0.25" outlineLevel="1" collapsed="1">
      <c r="A19" s="7" t="s">
        <v>19</v>
      </c>
      <c r="B19" s="7" t="s">
        <v>63</v>
      </c>
      <c r="C19" s="7" t="s">
        <v>17</v>
      </c>
      <c r="D19" s="7"/>
      <c r="E19" s="7" t="s">
        <v>2039</v>
      </c>
      <c r="F19" s="7" t="s">
        <v>19</v>
      </c>
      <c r="G19" s="7">
        <v>1</v>
      </c>
      <c r="H19" s="7" t="s">
        <v>17</v>
      </c>
      <c r="I19" s="7" t="s">
        <v>17</v>
      </c>
      <c r="J19" s="7" t="s">
        <v>2040</v>
      </c>
    </row>
    <row r="20" spans="1:10" x14ac:dyDescent="0.25" outlineLevel="1" collapsed="1">
      <c r="A20" s="7" t="s">
        <v>19</v>
      </c>
      <c r="B20" s="7" t="s">
        <v>63</v>
      </c>
      <c r="C20" s="7" t="s">
        <v>17</v>
      </c>
      <c r="D20" s="7"/>
      <c r="E20" s="7" t="s">
        <v>2041</v>
      </c>
      <c r="F20" s="7" t="s">
        <v>19</v>
      </c>
      <c r="G20" s="7">
        <v>1</v>
      </c>
      <c r="H20" s="7" t="s">
        <v>17</v>
      </c>
      <c r="I20" s="7" t="s">
        <v>17</v>
      </c>
      <c r="J20" s="7" t="s">
        <v>2042</v>
      </c>
    </row>
  </sheetData>
  <mergeCells count="3">
    <mergeCell ref="A1:J1"/>
    <mergeCell ref="B2:J2"/>
    <mergeCell ref="B3:J3"/>
  </mergeCells>
  <hyperlinks>
    <hyperlink ref="B5" r:id="rId1" location="#'4.5.1 Quantification of Estima'!A1"/>
    <hyperlink ref="B7" r:id="rId2" location="#'4.5.2 Summary of Estimated Red'!A1"/>
    <hyperlink ref="B8" r:id="rId3" location="#'Estimated reductions and remov'!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2043</v>
      </c>
      <c r="B1" s="1"/>
      <c r="C1" s="1"/>
      <c r="D1" s="1"/>
      <c r="E1" s="1"/>
      <c r="F1" s="1"/>
      <c r="G1" s="1"/>
      <c r="H1" s="1"/>
      <c r="I1" s="1"/>
      <c r="J1" s="1"/>
    </row>
    <row r="2" spans="1:10" x14ac:dyDescent="0.25">
      <c r="A2" s="2" t="s">
        <v>1</v>
      </c>
      <c r="B2" s="3" t="s">
        <v>2044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1468</v>
      </c>
      <c r="F5" s="5" t="s">
        <v>19</v>
      </c>
      <c r="G5" s="5" t="s">
        <v>1469</v>
      </c>
      <c r="H5" s="5" t="s">
        <v>17</v>
      </c>
      <c r="I5" s="5" t="s">
        <v>17</v>
      </c>
      <c r="J5" s="5" t="s">
        <v>1470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2045</v>
      </c>
      <c r="B1" s="1"/>
      <c r="C1" s="1"/>
      <c r="D1" s="1"/>
      <c r="E1" s="1"/>
      <c r="F1" s="1"/>
      <c r="G1" s="1"/>
      <c r="H1" s="1"/>
      <c r="I1" s="1"/>
      <c r="J1" s="1"/>
    </row>
    <row r="2" spans="1:10" x14ac:dyDescent="0.25">
      <c r="A2" s="2" t="s">
        <v>1</v>
      </c>
      <c r="B2" s="3" t="s">
        <v>2046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2047</v>
      </c>
      <c r="B1" s="1"/>
      <c r="C1" s="1"/>
      <c r="D1" s="1"/>
      <c r="E1" s="1"/>
      <c r="F1" s="1"/>
      <c r="G1" s="1"/>
      <c r="H1" s="1"/>
      <c r="I1" s="1"/>
      <c r="J1" s="1"/>
    </row>
    <row r="2" spans="1:10" x14ac:dyDescent="0.25">
      <c r="A2" s="2" t="s">
        <v>1</v>
      </c>
      <c r="B2" s="3" t="s">
        <v>2048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118</v>
      </c>
      <c r="C5" s="5" t="s">
        <v>17</v>
      </c>
      <c r="D5" s="5"/>
      <c r="E5" s="5" t="s">
        <v>119</v>
      </c>
      <c r="F5" s="5" t="s">
        <v>19</v>
      </c>
      <c r="G5" s="5" t="s">
        <v>17</v>
      </c>
      <c r="H5" s="5" t="s">
        <v>17</v>
      </c>
      <c r="I5" s="5" t="s">
        <v>17</v>
      </c>
      <c r="J5" s="5" t="s">
        <v>120</v>
      </c>
    </row>
    <row r="6" spans="1:10" x14ac:dyDescent="0.25" outlineLevel="1" collapsed="1">
      <c r="A6" s="7" t="s">
        <v>15</v>
      </c>
      <c r="B6" s="7" t="s">
        <v>16</v>
      </c>
      <c r="C6" s="7" t="s">
        <v>17</v>
      </c>
      <c r="D6" s="7"/>
      <c r="E6" s="7" t="s">
        <v>121</v>
      </c>
      <c r="F6" s="7" t="s">
        <v>19</v>
      </c>
      <c r="G6" s="7" t="s">
        <v>122</v>
      </c>
      <c r="H6" s="7" t="s">
        <v>122</v>
      </c>
      <c r="I6" s="7" t="s">
        <v>17</v>
      </c>
      <c r="J6" s="7" t="s">
        <v>123</v>
      </c>
    </row>
  </sheetData>
  <mergeCells count="3">
    <mergeCell ref="A1:J1"/>
    <mergeCell ref="B2:J2"/>
    <mergeCell ref="B3:J3"/>
  </mergeCells>
  <hyperlinks>
    <hyperlink ref="B5" r:id="rId1" location="#'Data and Parameters Available'!A1"/>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2049</v>
      </c>
      <c r="B1" s="1"/>
      <c r="C1" s="1"/>
      <c r="D1" s="1"/>
      <c r="E1" s="1"/>
      <c r="F1" s="1"/>
      <c r="G1" s="1"/>
      <c r="H1" s="1"/>
      <c r="I1" s="1"/>
      <c r="J1" s="1"/>
    </row>
    <row r="2" spans="1:10" x14ac:dyDescent="0.25">
      <c r="A2" s="2" t="s">
        <v>1</v>
      </c>
      <c r="B2" s="3" t="s">
        <v>2050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1339</v>
      </c>
      <c r="F5" s="5" t="s">
        <v>19</v>
      </c>
      <c r="G5" s="5" t="b">
        <v>0</v>
      </c>
      <c r="H5" s="5" t="s">
        <v>17</v>
      </c>
      <c r="I5" s="5" t="s">
        <v>17</v>
      </c>
      <c r="J5" s="5" t="s">
        <v>1340</v>
      </c>
    </row>
    <row r="6" spans="1:10" x14ac:dyDescent="0.25">
      <c r="A6" s="5" t="s">
        <v>15</v>
      </c>
      <c r="B6" s="5" t="s">
        <v>16</v>
      </c>
      <c r="C6" s="5" t="s">
        <v>17</v>
      </c>
      <c r="D6" s="5"/>
      <c r="E6" s="5" t="s">
        <v>1341</v>
      </c>
      <c r="F6" s="5" t="s">
        <v>19</v>
      </c>
      <c r="G6" s="5" t="s">
        <v>1342</v>
      </c>
      <c r="H6" s="5" t="s">
        <v>1342</v>
      </c>
      <c r="I6" s="5" t="s">
        <v>17</v>
      </c>
      <c r="J6" s="5" t="s">
        <v>1343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2051</v>
      </c>
      <c r="B1" s="1"/>
      <c r="C1" s="1"/>
      <c r="D1" s="1"/>
      <c r="E1" s="1"/>
      <c r="F1" s="1"/>
      <c r="G1" s="1"/>
      <c r="H1" s="1"/>
      <c r="I1" s="1"/>
      <c r="J1" s="1"/>
    </row>
    <row r="2" spans="1:10" x14ac:dyDescent="0.25">
      <c r="A2" s="2" t="s">
        <v>1</v>
      </c>
      <c r="B2" s="3" t="s">
        <v>2052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2053</v>
      </c>
      <c r="F5" s="5" t="s">
        <v>19</v>
      </c>
      <c r="G5" s="5" t="s">
        <v>2054</v>
      </c>
      <c r="H5" s="5" t="s">
        <v>17</v>
      </c>
      <c r="I5" s="5" t="s">
        <v>17</v>
      </c>
      <c r="J5" s="5" t="s">
        <v>2055</v>
      </c>
    </row>
    <row r="6" spans="1:10" x14ac:dyDescent="0.25">
      <c r="A6" s="5" t="s">
        <v>15</v>
      </c>
      <c r="B6" s="5" t="s">
        <v>16</v>
      </c>
      <c r="C6" s="5" t="s">
        <v>17</v>
      </c>
      <c r="D6" s="5"/>
      <c r="E6" s="5" t="s">
        <v>2056</v>
      </c>
      <c r="F6" s="5" t="s">
        <v>19</v>
      </c>
      <c r="G6" s="5" t="s">
        <v>2057</v>
      </c>
      <c r="H6" s="5" t="s">
        <v>17</v>
      </c>
      <c r="I6" s="5" t="s">
        <v>17</v>
      </c>
      <c r="J6" s="5" t="s">
        <v>2058</v>
      </c>
    </row>
    <row r="7" spans="1:10" x14ac:dyDescent="0.25">
      <c r="A7" s="5" t="s">
        <v>15</v>
      </c>
      <c r="B7" s="5" t="s">
        <v>16</v>
      </c>
      <c r="C7" s="5" t="s">
        <v>17</v>
      </c>
      <c r="D7" s="5"/>
      <c r="E7" s="5" t="s">
        <v>2059</v>
      </c>
      <c r="F7" s="5" t="s">
        <v>19</v>
      </c>
      <c r="G7" s="5" t="s">
        <v>2060</v>
      </c>
      <c r="H7" s="5" t="s">
        <v>17</v>
      </c>
      <c r="I7" s="5" t="s">
        <v>17</v>
      </c>
      <c r="J7" s="5" t="s">
        <v>2061</v>
      </c>
    </row>
    <row r="8" spans="1:10" x14ac:dyDescent="0.25">
      <c r="A8" s="5" t="s">
        <v>19</v>
      </c>
      <c r="B8" s="5" t="s">
        <v>16</v>
      </c>
      <c r="C8" s="5" t="s">
        <v>17</v>
      </c>
      <c r="D8" s="5"/>
      <c r="E8" s="5" t="s">
        <v>2062</v>
      </c>
      <c r="F8" s="5" t="s">
        <v>19</v>
      </c>
      <c r="G8" s="5" t="s">
        <v>155</v>
      </c>
      <c r="H8" s="5" t="s">
        <v>17</v>
      </c>
      <c r="I8" s="5" t="s">
        <v>17</v>
      </c>
      <c r="J8" s="5" t="s">
        <v>2063</v>
      </c>
    </row>
    <row r="9" spans="1:10" x14ac:dyDescent="0.25">
      <c r="A9" s="5" t="s">
        <v>15</v>
      </c>
      <c r="B9" s="5" t="s">
        <v>16</v>
      </c>
      <c r="C9" s="5" t="s">
        <v>17</v>
      </c>
      <c r="D9" s="5"/>
      <c r="E9" s="5" t="s">
        <v>2064</v>
      </c>
      <c r="F9" s="5" t="s">
        <v>19</v>
      </c>
      <c r="G9" s="5" t="s">
        <v>2065</v>
      </c>
      <c r="H9" s="5" t="s">
        <v>17</v>
      </c>
      <c r="I9" s="5" t="s">
        <v>17</v>
      </c>
      <c r="J9" s="5" t="s">
        <v>2066</v>
      </c>
    </row>
    <row r="10" spans="1:10" x14ac:dyDescent="0.25">
      <c r="A10" s="5" t="s">
        <v>15</v>
      </c>
      <c r="B10" s="5" t="s">
        <v>16</v>
      </c>
      <c r="C10" s="5" t="s">
        <v>17</v>
      </c>
      <c r="D10" s="5"/>
      <c r="E10" s="5" t="s">
        <v>2067</v>
      </c>
      <c r="F10" s="5" t="s">
        <v>19</v>
      </c>
      <c r="G10" s="5" t="s">
        <v>2068</v>
      </c>
      <c r="H10" s="5" t="s">
        <v>17</v>
      </c>
      <c r="I10" s="5" t="s">
        <v>17</v>
      </c>
      <c r="J10" s="5" t="s">
        <v>2069</v>
      </c>
    </row>
    <row r="11" spans="1:10" x14ac:dyDescent="0.25">
      <c r="A11" s="5" t="s">
        <v>15</v>
      </c>
      <c r="B11" s="5" t="s">
        <v>16</v>
      </c>
      <c r="C11" s="5" t="s">
        <v>17</v>
      </c>
      <c r="D11" s="5"/>
      <c r="E11" s="5" t="s">
        <v>2070</v>
      </c>
      <c r="F11" s="5" t="s">
        <v>19</v>
      </c>
      <c r="G11" s="5" t="s">
        <v>2071</v>
      </c>
      <c r="H11" s="5" t="s">
        <v>17</v>
      </c>
      <c r="I11" s="5" t="s">
        <v>17</v>
      </c>
      <c r="J11" s="5" t="s">
        <v>2072</v>
      </c>
    </row>
    <row r="12" spans="1:10" x14ac:dyDescent="0.25">
      <c r="A12" s="5" t="s">
        <v>19</v>
      </c>
      <c r="B12" s="5" t="s">
        <v>16</v>
      </c>
      <c r="C12" s="5" t="s">
        <v>17</v>
      </c>
      <c r="D12" s="5"/>
      <c r="E12" s="5" t="s">
        <v>2073</v>
      </c>
      <c r="F12" s="5" t="s">
        <v>19</v>
      </c>
      <c r="G12" s="5" t="s">
        <v>2065</v>
      </c>
      <c r="H12" s="5" t="s">
        <v>17</v>
      </c>
      <c r="I12" s="5" t="s">
        <v>17</v>
      </c>
      <c r="J12" s="5" t="s">
        <v>2074</v>
      </c>
    </row>
    <row r="13" spans="1:10" x14ac:dyDescent="0.25">
      <c r="A13" s="5" t="s">
        <v>19</v>
      </c>
      <c r="B13" s="5" t="s">
        <v>16</v>
      </c>
      <c r="C13" s="5" t="s">
        <v>17</v>
      </c>
      <c r="D13" s="5"/>
      <c r="E13" s="5" t="s">
        <v>2075</v>
      </c>
      <c r="F13" s="5" t="s">
        <v>19</v>
      </c>
      <c r="G13" s="5" t="s">
        <v>2076</v>
      </c>
      <c r="H13" s="5" t="s">
        <v>17</v>
      </c>
      <c r="I13" s="5" t="s">
        <v>17</v>
      </c>
      <c r="J13" s="5" t="s">
        <v>2077</v>
      </c>
    </row>
    <row r="14" spans="1:10" x14ac:dyDescent="0.25">
      <c r="A14" s="5" t="s">
        <v>19</v>
      </c>
      <c r="B14" s="5" t="s">
        <v>16</v>
      </c>
      <c r="C14" s="5" t="s">
        <v>17</v>
      </c>
      <c r="D14" s="5"/>
      <c r="E14" s="5" t="s">
        <v>2078</v>
      </c>
      <c r="F14" s="5" t="s">
        <v>19</v>
      </c>
      <c r="G14" s="5" t="s">
        <v>2079</v>
      </c>
      <c r="H14" s="5" t="s">
        <v>17</v>
      </c>
      <c r="I14" s="5" t="s">
        <v>17</v>
      </c>
      <c r="J14" s="5" t="s">
        <v>2080</v>
      </c>
    </row>
    <row r="15" spans="1:10" x14ac:dyDescent="0.25">
      <c r="A15" s="5" t="s">
        <v>15</v>
      </c>
      <c r="B15" s="5" t="s">
        <v>16</v>
      </c>
      <c r="C15" s="5" t="s">
        <v>17</v>
      </c>
      <c r="D15" s="5"/>
      <c r="E15" s="5" t="s">
        <v>2081</v>
      </c>
      <c r="F15" s="5" t="s">
        <v>19</v>
      </c>
      <c r="G15" s="5" t="s">
        <v>920</v>
      </c>
      <c r="H15" s="5" t="s">
        <v>17</v>
      </c>
      <c r="I15" s="5" t="s">
        <v>17</v>
      </c>
      <c r="J15" s="5" t="s">
        <v>921</v>
      </c>
    </row>
    <row r="16" spans="1:10" x14ac:dyDescent="0.25">
      <c r="A16" s="5" t="s">
        <v>19</v>
      </c>
      <c r="B16" s="5" t="s">
        <v>16</v>
      </c>
      <c r="C16" s="5" t="s">
        <v>17</v>
      </c>
      <c r="D16" s="5"/>
      <c r="E16" s="5" t="s">
        <v>2082</v>
      </c>
      <c r="F16" s="5" t="s">
        <v>19</v>
      </c>
      <c r="G16" s="5" t="s">
        <v>2083</v>
      </c>
      <c r="H16" s="5" t="s">
        <v>17</v>
      </c>
      <c r="I16" s="5" t="s">
        <v>17</v>
      </c>
      <c r="J16" s="5" t="s">
        <v>2084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2085</v>
      </c>
      <c r="B1" s="1"/>
      <c r="C1" s="1"/>
      <c r="D1" s="1"/>
      <c r="E1" s="1"/>
      <c r="F1" s="1"/>
      <c r="G1" s="1"/>
      <c r="H1" s="1"/>
      <c r="I1" s="1"/>
      <c r="J1" s="1"/>
    </row>
    <row r="2" spans="1:10" x14ac:dyDescent="0.25">
      <c r="A2" s="2" t="s">
        <v>1</v>
      </c>
      <c r="B2" s="3" t="s">
        <v>2086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2087</v>
      </c>
      <c r="F5" s="5" t="s">
        <v>19</v>
      </c>
      <c r="G5" s="5" t="s">
        <v>2088</v>
      </c>
      <c r="H5" s="5" t="s">
        <v>17</v>
      </c>
      <c r="I5" s="5" t="s">
        <v>17</v>
      </c>
      <c r="J5" s="5" t="s">
        <v>2089</v>
      </c>
    </row>
    <row r="6" spans="1:10" x14ac:dyDescent="0.25">
      <c r="A6" s="5" t="s">
        <v>19</v>
      </c>
      <c r="B6" s="6" t="s">
        <v>2090</v>
      </c>
      <c r="C6" s="5" t="s">
        <v>17</v>
      </c>
      <c r="D6" s="5"/>
      <c r="E6" s="5" t="s">
        <v>2091</v>
      </c>
      <c r="F6" s="5" t="s">
        <v>15</v>
      </c>
      <c r="G6" s="5" t="s">
        <v>17</v>
      </c>
      <c r="H6" s="5" t="s">
        <v>17</v>
      </c>
      <c r="I6" s="5" t="s">
        <v>17</v>
      </c>
      <c r="J6" s="5" t="s">
        <v>2092</v>
      </c>
    </row>
    <row r="7" spans="1:10" x14ac:dyDescent="0.25" outlineLevel="1" collapsed="1">
      <c r="A7" s="7" t="s">
        <v>19</v>
      </c>
      <c r="B7" s="7" t="s">
        <v>16</v>
      </c>
      <c r="C7" s="7" t="s">
        <v>17</v>
      </c>
      <c r="D7" s="7"/>
      <c r="E7" s="7" t="s">
        <v>2091</v>
      </c>
      <c r="F7" s="7" t="s">
        <v>19</v>
      </c>
      <c r="G7" s="7" t="s">
        <v>31</v>
      </c>
      <c r="H7" s="7" t="s">
        <v>17</v>
      </c>
      <c r="I7" s="7" t="s">
        <v>17</v>
      </c>
      <c r="J7" s="7" t="s">
        <v>2092</v>
      </c>
    </row>
    <row r="8" spans="1:10" x14ac:dyDescent="0.25" outlineLevel="1" collapsed="1">
      <c r="A8" s="7" t="s">
        <v>19</v>
      </c>
      <c r="B8" s="7" t="s">
        <v>16</v>
      </c>
      <c r="C8" s="7" t="s">
        <v>17</v>
      </c>
      <c r="D8" s="7"/>
      <c r="E8" s="7" t="s">
        <v>2093</v>
      </c>
      <c r="F8" s="7" t="s">
        <v>19</v>
      </c>
      <c r="G8" s="7" t="s">
        <v>31</v>
      </c>
      <c r="H8" s="7" t="s">
        <v>17</v>
      </c>
      <c r="I8" s="7" t="s">
        <v>17</v>
      </c>
      <c r="J8" s="7" t="s">
        <v>2094</v>
      </c>
    </row>
    <row r="9" spans="1:10" x14ac:dyDescent="0.25" outlineLevel="1" collapsed="1">
      <c r="A9" s="7" t="s">
        <v>19</v>
      </c>
      <c r="B9" s="7" t="s">
        <v>16</v>
      </c>
      <c r="C9" s="7" t="s">
        <v>17</v>
      </c>
      <c r="D9" s="7"/>
      <c r="E9" s="7" t="s">
        <v>2095</v>
      </c>
      <c r="F9" s="7" t="s">
        <v>19</v>
      </c>
      <c r="G9" s="7" t="s">
        <v>31</v>
      </c>
      <c r="H9" s="7" t="s">
        <v>17</v>
      </c>
      <c r="I9" s="7" t="s">
        <v>17</v>
      </c>
      <c r="J9" s="7" t="s">
        <v>2096</v>
      </c>
    </row>
    <row r="10" spans="1:10" x14ac:dyDescent="0.25" outlineLevel="1" collapsed="1">
      <c r="A10" s="7" t="s">
        <v>19</v>
      </c>
      <c r="B10" s="7" t="s">
        <v>16</v>
      </c>
      <c r="C10" s="7" t="s">
        <v>17</v>
      </c>
      <c r="D10" s="7"/>
      <c r="E10" s="7" t="s">
        <v>2097</v>
      </c>
      <c r="F10" s="7" t="s">
        <v>19</v>
      </c>
      <c r="G10" s="7" t="s">
        <v>31</v>
      </c>
      <c r="H10" s="7" t="s">
        <v>17</v>
      </c>
      <c r="I10" s="7" t="s">
        <v>17</v>
      </c>
      <c r="J10" s="7" t="s">
        <v>2098</v>
      </c>
    </row>
    <row r="11" spans="1:10" x14ac:dyDescent="0.25">
      <c r="A11" s="5" t="s">
        <v>19</v>
      </c>
      <c r="B11" s="6" t="s">
        <v>2099</v>
      </c>
      <c r="C11" s="5" t="s">
        <v>17</v>
      </c>
      <c r="D11" s="5"/>
      <c r="E11" s="5" t="s">
        <v>2100</v>
      </c>
      <c r="F11" s="5" t="s">
        <v>15</v>
      </c>
      <c r="G11" s="5" t="s">
        <v>17</v>
      </c>
      <c r="H11" s="5" t="s">
        <v>17</v>
      </c>
      <c r="I11" s="5" t="s">
        <v>17</v>
      </c>
      <c r="J11" s="5" t="s">
        <v>2101</v>
      </c>
    </row>
    <row r="12" spans="1:10" x14ac:dyDescent="0.25" outlineLevel="1" collapsed="1">
      <c r="A12" s="7" t="s">
        <v>19</v>
      </c>
      <c r="B12" s="7" t="s">
        <v>16</v>
      </c>
      <c r="C12" s="7" t="s">
        <v>17</v>
      </c>
      <c r="D12" s="7"/>
      <c r="E12" s="7" t="s">
        <v>291</v>
      </c>
      <c r="F12" s="7" t="s">
        <v>19</v>
      </c>
      <c r="G12" s="7" t="s">
        <v>31</v>
      </c>
      <c r="H12" s="7" t="s">
        <v>17</v>
      </c>
      <c r="I12" s="7" t="s">
        <v>17</v>
      </c>
      <c r="J12" s="7" t="s">
        <v>371</v>
      </c>
    </row>
    <row r="13" spans="1:10" x14ac:dyDescent="0.25" outlineLevel="1" collapsed="1">
      <c r="A13" s="7" t="s">
        <v>19</v>
      </c>
      <c r="B13" s="7" t="s">
        <v>16</v>
      </c>
      <c r="C13" s="7" t="s">
        <v>17</v>
      </c>
      <c r="D13" s="7"/>
      <c r="E13" s="7" t="s">
        <v>1349</v>
      </c>
      <c r="F13" s="7" t="s">
        <v>19</v>
      </c>
      <c r="G13" s="7" t="s">
        <v>31</v>
      </c>
      <c r="H13" s="7" t="s">
        <v>17</v>
      </c>
      <c r="I13" s="7" t="s">
        <v>17</v>
      </c>
      <c r="J13" s="7" t="s">
        <v>1350</v>
      </c>
    </row>
    <row r="14" spans="1:10" x14ac:dyDescent="0.25" outlineLevel="1" collapsed="1">
      <c r="A14" s="7" t="s">
        <v>19</v>
      </c>
      <c r="B14" s="7" t="s">
        <v>16</v>
      </c>
      <c r="C14" s="7" t="s">
        <v>17</v>
      </c>
      <c r="D14" s="7"/>
      <c r="E14" s="7" t="s">
        <v>9</v>
      </c>
      <c r="F14" s="7" t="s">
        <v>19</v>
      </c>
      <c r="G14" s="7" t="s">
        <v>31</v>
      </c>
      <c r="H14" s="7" t="s">
        <v>17</v>
      </c>
      <c r="I14" s="7" t="s">
        <v>17</v>
      </c>
      <c r="J14" s="7" t="s">
        <v>843</v>
      </c>
    </row>
  </sheetData>
  <mergeCells count="3">
    <mergeCell ref="A1:J1"/>
    <mergeCell ref="B2:J2"/>
    <mergeCell ref="B3:J3"/>
  </mergeCells>
  <hyperlinks>
    <hyperlink ref="B6" r:id="rId1" location="#'Technology system or equipment'!A1"/>
    <hyperlink ref="B11" r:id="rId2" location="#'Implementation schedule row (V'!A1"/>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2102</v>
      </c>
      <c r="B1" s="1"/>
      <c r="C1" s="1"/>
      <c r="D1" s="1"/>
      <c r="E1" s="1"/>
      <c r="F1" s="1"/>
      <c r="G1" s="1"/>
      <c r="H1" s="1"/>
      <c r="I1" s="1"/>
      <c r="J1" s="1"/>
    </row>
    <row r="2" spans="1:10" x14ac:dyDescent="0.25">
      <c r="A2" s="2" t="s">
        <v>1</v>
      </c>
      <c r="B2" s="3" t="s">
        <v>2103</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2104</v>
      </c>
      <c r="F5" s="5" t="s">
        <v>19</v>
      </c>
      <c r="G5" s="5" t="s">
        <v>1081</v>
      </c>
      <c r="H5" s="5" t="s">
        <v>17</v>
      </c>
      <c r="I5" s="5" t="s">
        <v>17</v>
      </c>
      <c r="J5" s="5" t="s">
        <v>2105</v>
      </c>
    </row>
    <row r="6" spans="1:10" x14ac:dyDescent="0.25">
      <c r="A6" s="5" t="s">
        <v>15</v>
      </c>
      <c r="B6" s="5" t="s">
        <v>16</v>
      </c>
      <c r="C6" s="5" t="s">
        <v>17</v>
      </c>
      <c r="D6" s="5"/>
      <c r="E6" s="5" t="s">
        <v>2106</v>
      </c>
      <c r="F6" s="5" t="s">
        <v>19</v>
      </c>
      <c r="G6" s="5" t="s">
        <v>1078</v>
      </c>
      <c r="H6" s="5" t="s">
        <v>17</v>
      </c>
      <c r="I6" s="5" t="s">
        <v>17</v>
      </c>
      <c r="J6" s="5" t="s">
        <v>2107</v>
      </c>
    </row>
    <row r="7" spans="1:10" x14ac:dyDescent="0.25">
      <c r="A7" s="5" t="s">
        <v>15</v>
      </c>
      <c r="B7" s="5" t="s">
        <v>16</v>
      </c>
      <c r="C7" s="5" t="s">
        <v>17</v>
      </c>
      <c r="D7" s="5"/>
      <c r="E7" s="5" t="s">
        <v>2108</v>
      </c>
      <c r="F7" s="5" t="s">
        <v>19</v>
      </c>
      <c r="G7" s="5" t="s">
        <v>729</v>
      </c>
      <c r="H7" s="5" t="s">
        <v>17</v>
      </c>
      <c r="I7" s="5" t="s">
        <v>17</v>
      </c>
      <c r="J7" s="5" t="s">
        <v>2109</v>
      </c>
    </row>
    <row r="8" spans="1:10" x14ac:dyDescent="0.25">
      <c r="A8" s="5" t="s">
        <v>15</v>
      </c>
      <c r="B8" s="5" t="s">
        <v>16</v>
      </c>
      <c r="C8" s="5" t="s">
        <v>17</v>
      </c>
      <c r="D8" s="5"/>
      <c r="E8" s="5" t="s">
        <v>2110</v>
      </c>
      <c r="F8" s="5" t="s">
        <v>19</v>
      </c>
      <c r="G8" s="5" t="s">
        <v>1093</v>
      </c>
      <c r="H8" s="5" t="s">
        <v>17</v>
      </c>
      <c r="I8" s="5" t="s">
        <v>17</v>
      </c>
      <c r="J8" s="5" t="s">
        <v>2111</v>
      </c>
    </row>
    <row r="9" spans="1:10" x14ac:dyDescent="0.25">
      <c r="A9" s="5" t="s">
        <v>19</v>
      </c>
      <c r="B9" s="5" t="s">
        <v>16</v>
      </c>
      <c r="C9" s="5" t="s">
        <v>17</v>
      </c>
      <c r="D9" s="5"/>
      <c r="E9" s="5" t="s">
        <v>2112</v>
      </c>
      <c r="F9" s="5" t="s">
        <v>19</v>
      </c>
      <c r="G9" s="5" t="s">
        <v>1090</v>
      </c>
      <c r="H9" s="5" t="s">
        <v>17</v>
      </c>
      <c r="I9" s="5" t="s">
        <v>17</v>
      </c>
      <c r="J9" s="5" t="s">
        <v>2113</v>
      </c>
    </row>
    <row r="10" spans="1:10" x14ac:dyDescent="0.25">
      <c r="A10" s="5" t="s">
        <v>19</v>
      </c>
      <c r="B10" s="5" t="s">
        <v>16</v>
      </c>
      <c r="C10" s="5" t="s">
        <v>17</v>
      </c>
      <c r="D10" s="5"/>
      <c r="E10" s="5" t="s">
        <v>2114</v>
      </c>
      <c r="F10" s="5" t="s">
        <v>19</v>
      </c>
      <c r="G10" s="5" t="s">
        <v>1084</v>
      </c>
      <c r="H10" s="5" t="s">
        <v>17</v>
      </c>
      <c r="I10" s="5" t="s">
        <v>17</v>
      </c>
      <c r="J10" s="5" t="s">
        <v>2115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2116</v>
      </c>
      <c r="B1" s="1"/>
      <c r="C1" s="1"/>
      <c r="D1" s="1"/>
      <c r="E1" s="1"/>
      <c r="F1" s="1"/>
      <c r="G1" s="1"/>
      <c r="H1" s="1"/>
      <c r="I1" s="1"/>
      <c r="J1" s="1"/>
    </row>
    <row r="2" spans="1:10" x14ac:dyDescent="0.25">
      <c r="A2" s="2" t="s">
        <v>1</v>
      </c>
      <c r="B2" s="3" t="s">
        <v>2117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933</v>
      </c>
      <c r="F5" s="5" t="s">
        <v>19</v>
      </c>
      <c r="G5" s="5" t="s">
        <v>920</v>
      </c>
      <c r="H5" s="5" t="s">
        <v>17</v>
      </c>
      <c r="I5" s="5" t="s">
        <v>17</v>
      </c>
      <c r="J5" s="5" t="s">
        <v>934</v>
      </c>
    </row>
    <row r="6" spans="1:10" x14ac:dyDescent="0.25">
      <c r="A6" s="5" t="s">
        <v>15</v>
      </c>
      <c r="B6" s="5" t="s">
        <v>159</v>
      </c>
      <c r="C6" s="5" t="s">
        <v>17</v>
      </c>
      <c r="D6" s="5"/>
      <c r="E6" s="5" t="s">
        <v>935</v>
      </c>
      <c r="F6" s="5" t="s">
        <v>19</v>
      </c>
      <c r="G6" s="5" t="b">
        <v>0</v>
      </c>
      <c r="H6" s="5" t="s">
        <v>17</v>
      </c>
      <c r="I6" s="5" t="s">
        <v>17</v>
      </c>
      <c r="J6" s="5" t="s">
        <v>936</v>
      </c>
    </row>
    <row r="7" spans="1:10" x14ac:dyDescent="0.25">
      <c r="A7" s="5" t="s">
        <v>19</v>
      </c>
      <c r="B7" s="5" t="s">
        <v>16</v>
      </c>
      <c r="C7" s="5" t="s">
        <v>17</v>
      </c>
      <c r="D7" s="5"/>
      <c r="E7" s="5" t="s">
        <v>937</v>
      </c>
      <c r="F7" s="5" t="s">
        <v>19</v>
      </c>
      <c r="G7" s="5" t="s">
        <v>938</v>
      </c>
      <c r="H7" s="5" t="s">
        <v>17</v>
      </c>
      <c r="I7" s="5" t="s">
        <v>17</v>
      </c>
      <c r="J7" s="5" t="s">
        <v>939</v>
      </c>
    </row>
    <row r="8" spans="1:10" x14ac:dyDescent="0.25">
      <c r="A8" s="5" t="s">
        <v>15</v>
      </c>
      <c r="B8" s="5" t="s">
        <v>16</v>
      </c>
      <c r="C8" s="5" t="s">
        <v>17</v>
      </c>
      <c r="D8" s="5"/>
      <c r="E8" s="5" t="s">
        <v>940</v>
      </c>
      <c r="F8" s="5" t="s">
        <v>19</v>
      </c>
      <c r="G8" s="5" t="s">
        <v>941</v>
      </c>
      <c r="H8" s="5" t="s">
        <v>17</v>
      </c>
      <c r="I8" s="5" t="s">
        <v>17</v>
      </c>
      <c r="J8" s="5" t="s">
        <v>942</v>
      </c>
    </row>
    <row r="9" spans="1:10" x14ac:dyDescent="0.25">
      <c r="A9" s="5" t="s">
        <v>19</v>
      </c>
      <c r="B9" s="5" t="s">
        <v>16</v>
      </c>
      <c r="C9" s="5" t="s">
        <v>17</v>
      </c>
      <c r="D9" s="5"/>
      <c r="E9" s="5" t="s">
        <v>943</v>
      </c>
      <c r="F9" s="5" t="s">
        <v>19</v>
      </c>
      <c r="G9" s="5" t="s">
        <v>31</v>
      </c>
      <c r="H9" s="5" t="s">
        <v>17</v>
      </c>
      <c r="I9" s="5" t="s">
        <v>17</v>
      </c>
      <c r="J9" s="5" t="s">
        <v>944</v>
      </c>
    </row>
    <row r="10" spans="1:10" x14ac:dyDescent="0.25">
      <c r="A10" s="5" t="s">
        <v>19</v>
      </c>
      <c r="B10" s="5" t="s">
        <v>63</v>
      </c>
      <c r="C10" s="5" t="s">
        <v>17</v>
      </c>
      <c r="D10" s="5">
        <f>EXACT(G6,true)</f>
      </c>
      <c r="E10" s="5" t="s">
        <v>945</v>
      </c>
      <c r="F10" s="5" t="s">
        <v>19</v>
      </c>
      <c r="G10" s="5">
        <v>1</v>
      </c>
      <c r="H10" s="5" t="s">
        <v>17</v>
      </c>
      <c r="I10" s="5" t="s">
        <v>17</v>
      </c>
      <c r="J10" s="5" t="s">
        <v>946</v>
      </c>
    </row>
    <row r="11" spans="1:10" x14ac:dyDescent="0.25">
      <c r="A11" s="5" t="s">
        <v>19</v>
      </c>
      <c r="B11" s="5" t="s">
        <v>63</v>
      </c>
      <c r="C11" s="5" t="s">
        <v>17</v>
      </c>
      <c r="D11" s="5">
        <f>EXACT(G6,true)</f>
      </c>
      <c r="E11" s="5" t="s">
        <v>947</v>
      </c>
      <c r="F11" s="5" t="s">
        <v>19</v>
      </c>
      <c r="G11" s="5">
        <v>1</v>
      </c>
      <c r="H11" s="5" t="s">
        <v>17</v>
      </c>
      <c r="I11" s="5" t="s">
        <v>17</v>
      </c>
      <c r="J11" s="5" t="s">
        <v>948</v>
      </c>
    </row>
    <row r="12" spans="1:10" x14ac:dyDescent="0.25">
      <c r="A12" s="5" t="s">
        <v>19</v>
      </c>
      <c r="B12" s="5" t="s">
        <v>291</v>
      </c>
      <c r="C12" s="5" t="s">
        <v>17</v>
      </c>
      <c r="D12" s="5">
        <f>EXACT(G6,true)</f>
      </c>
      <c r="E12" s="5" t="s">
        <v>949</v>
      </c>
      <c r="F12" s="5" t="s">
        <v>19</v>
      </c>
      <c r="G12" s="5" t="s">
        <v>950</v>
      </c>
      <c r="H12" s="5" t="s">
        <v>17</v>
      </c>
      <c r="I12" s="5" t="s">
        <v>17</v>
      </c>
      <c r="J12" s="5" t="s">
        <v>951</v>
      </c>
    </row>
    <row r="13" spans="1:10" x14ac:dyDescent="0.25">
      <c r="A13" s="5" t="s">
        <v>19</v>
      </c>
      <c r="B13" s="6" t="s">
        <v>952</v>
      </c>
      <c r="C13" s="5" t="s">
        <v>17</v>
      </c>
      <c r="D13" s="5"/>
      <c r="E13" s="5" t="s">
        <v>953</v>
      </c>
      <c r="F13" s="5" t="s">
        <v>15</v>
      </c>
      <c r="G13" s="5" t="s">
        <v>17</v>
      </c>
      <c r="H13" s="5" t="s">
        <v>17</v>
      </c>
      <c r="I13" s="5" t="s">
        <v>17</v>
      </c>
      <c r="J13" s="5" t="s">
        <v>954</v>
      </c>
    </row>
    <row r="14" spans="1:10" x14ac:dyDescent="0.25" outlineLevel="1" collapsed="1">
      <c r="A14" s="7" t="s">
        <v>15</v>
      </c>
      <c r="B14" s="7" t="s">
        <v>16</v>
      </c>
      <c r="C14" s="7" t="s">
        <v>17</v>
      </c>
      <c r="D14" s="7"/>
      <c r="E14" s="7" t="s">
        <v>955</v>
      </c>
      <c r="F14" s="7" t="s">
        <v>19</v>
      </c>
      <c r="G14" s="7" t="s">
        <v>956</v>
      </c>
      <c r="H14" s="7" t="s">
        <v>17</v>
      </c>
      <c r="I14" s="7" t="s">
        <v>17</v>
      </c>
      <c r="J14" s="7" t="s">
        <v>957</v>
      </c>
    </row>
    <row r="15" spans="1:10" x14ac:dyDescent="0.25" outlineLevel="1" collapsed="1">
      <c r="A15" s="7" t="s">
        <v>15</v>
      </c>
      <c r="B15" s="7" t="s">
        <v>284</v>
      </c>
      <c r="C15" s="11" t="s">
        <v>958</v>
      </c>
      <c r="D15" s="7"/>
      <c r="E15" s="7" t="s">
        <v>959</v>
      </c>
      <c r="F15" s="7" t="s">
        <v>19</v>
      </c>
      <c r="G15" s="7" t="s">
        <v>960</v>
      </c>
      <c r="H15" s="7" t="s">
        <v>17</v>
      </c>
      <c r="I15" s="7" t="s">
        <v>17</v>
      </c>
      <c r="J15" s="7" t="s">
        <v>961</v>
      </c>
    </row>
    <row r="16" spans="1:10" x14ac:dyDescent="0.25" outlineLevel="1" collapsed="1">
      <c r="A16" s="7" t="s">
        <v>15</v>
      </c>
      <c r="B16" s="7" t="s">
        <v>16</v>
      </c>
      <c r="C16" s="7" t="s">
        <v>17</v>
      </c>
      <c r="D16" s="7"/>
      <c r="E16" s="7" t="s">
        <v>962</v>
      </c>
      <c r="F16" s="7" t="s">
        <v>19</v>
      </c>
      <c r="G16" s="7" t="s">
        <v>963</v>
      </c>
      <c r="H16" s="7" t="s">
        <v>17</v>
      </c>
      <c r="I16" s="7" t="s">
        <v>17</v>
      </c>
      <c r="J16" s="7" t="s">
        <v>964</v>
      </c>
    </row>
    <row r="17" spans="1:10" x14ac:dyDescent="0.25" outlineLevel="1" collapsed="1">
      <c r="A17" s="7" t="s">
        <v>19</v>
      </c>
      <c r="B17" s="7" t="s">
        <v>291</v>
      </c>
      <c r="C17" s="7" t="s">
        <v>17</v>
      </c>
      <c r="D17" s="7"/>
      <c r="E17" s="7" t="s">
        <v>965</v>
      </c>
      <c r="F17" s="7" t="s">
        <v>19</v>
      </c>
      <c r="G17" s="7" t="s">
        <v>293</v>
      </c>
      <c r="H17" s="7" t="s">
        <v>17</v>
      </c>
      <c r="I17" s="7" t="s">
        <v>17</v>
      </c>
      <c r="J17" s="7" t="s">
        <v>966</v>
      </c>
    </row>
    <row r="18" spans="1:10" x14ac:dyDescent="0.25" outlineLevel="1" collapsed="1">
      <c r="A18" s="7" t="s">
        <v>19</v>
      </c>
      <c r="B18" s="7" t="s">
        <v>16</v>
      </c>
      <c r="C18" s="7" t="s">
        <v>17</v>
      </c>
      <c r="D18" s="7"/>
      <c r="E18" s="7" t="s">
        <v>967</v>
      </c>
      <c r="F18" s="7" t="s">
        <v>19</v>
      </c>
      <c r="G18" s="7" t="s">
        <v>968</v>
      </c>
      <c r="H18" s="7" t="s">
        <v>17</v>
      </c>
      <c r="I18" s="7" t="s">
        <v>17</v>
      </c>
      <c r="J18" s="7" t="s">
        <v>843</v>
      </c>
    </row>
  </sheetData>
  <mergeCells count="3">
    <mergeCell ref="A1:J1"/>
    <mergeCell ref="B2:J2"/>
    <mergeCell ref="B3:J3"/>
  </mergeCells>
  <dataValidations count="1">
    <dataValidation type="list" allowBlank="1" sqref="G15:I15">
      <formula1>'Enums'!C802:C810</formula1>
    </dataValidation>
  </dataValidations>
  <hyperlinks>
    <hyperlink ref="B13" r:id="rId1" location="#'Evidence item'!A1"/>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2118</v>
      </c>
      <c r="B1" s="1"/>
      <c r="C1" s="1"/>
      <c r="D1" s="1"/>
      <c r="E1" s="1"/>
      <c r="F1" s="1"/>
      <c r="G1" s="1"/>
      <c r="H1" s="1"/>
      <c r="I1" s="1"/>
      <c r="J1" s="1"/>
    </row>
    <row r="2" spans="1:10" x14ac:dyDescent="0.25">
      <c r="A2" s="2" t="s">
        <v>1</v>
      </c>
      <c r="B2" s="3" t="s">
        <v>2119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110</v>
      </c>
      <c r="F5" s="5" t="s">
        <v>19</v>
      </c>
      <c r="G5" s="5" t="s">
        <v>111</v>
      </c>
      <c r="H5" s="5" t="s">
        <v>17</v>
      </c>
      <c r="I5" s="5" t="s">
        <v>17</v>
      </c>
      <c r="J5" s="5" t="s">
        <v>112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2120</v>
      </c>
      <c r="B1" s="1"/>
      <c r="C1" s="1"/>
      <c r="D1" s="1"/>
      <c r="E1" s="1"/>
      <c r="F1" s="1"/>
      <c r="G1" s="1"/>
      <c r="H1" s="1"/>
      <c r="I1" s="1"/>
      <c r="J1" s="1"/>
    </row>
    <row r="2" spans="1:10" x14ac:dyDescent="0.25">
      <c r="A2" s="2" t="s">
        <v>1</v>
      </c>
      <c r="B2" s="3" t="s">
        <v>2121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171</v>
      </c>
      <c r="F5" s="5" t="s">
        <v>19</v>
      </c>
      <c r="G5" s="5" t="s">
        <v>172</v>
      </c>
      <c r="H5" s="5" t="s">
        <v>17</v>
      </c>
      <c r="I5" s="5" t="s">
        <v>17</v>
      </c>
      <c r="J5" s="5" t="s">
        <v>173</v>
      </c>
    </row>
    <row r="6" spans="1:10" x14ac:dyDescent="0.25">
      <c r="A6" s="5" t="s">
        <v>15</v>
      </c>
      <c r="B6" s="5" t="s">
        <v>16</v>
      </c>
      <c r="C6" s="5" t="s">
        <v>17</v>
      </c>
      <c r="D6" s="5"/>
      <c r="E6" s="5" t="s">
        <v>174</v>
      </c>
      <c r="F6" s="5" t="s">
        <v>19</v>
      </c>
      <c r="G6" s="5" t="s">
        <v>175</v>
      </c>
      <c r="H6" s="5" t="s">
        <v>17</v>
      </c>
      <c r="I6" s="5" t="s">
        <v>17</v>
      </c>
      <c r="J6" s="5" t="s">
        <v>176</v>
      </c>
    </row>
    <row r="7" spans="1:10" x14ac:dyDescent="0.25">
      <c r="A7" s="5" t="s">
        <v>19</v>
      </c>
      <c r="B7" s="5" t="s">
        <v>16</v>
      </c>
      <c r="C7" s="5" t="s">
        <v>17</v>
      </c>
      <c r="D7" s="5"/>
      <c r="E7" s="5" t="s">
        <v>177</v>
      </c>
      <c r="F7" s="5" t="s">
        <v>19</v>
      </c>
      <c r="G7" s="5" t="s">
        <v>178</v>
      </c>
      <c r="H7" s="5" t="s">
        <v>17</v>
      </c>
      <c r="I7" s="5" t="s">
        <v>17</v>
      </c>
      <c r="J7" s="5" t="s">
        <v>179</v>
      </c>
    </row>
    <row r="8" spans="1:10" x14ac:dyDescent="0.25">
      <c r="A8" s="5" t="s">
        <v>19</v>
      </c>
      <c r="B8" s="5" t="s">
        <v>16</v>
      </c>
      <c r="C8" s="5" t="s">
        <v>17</v>
      </c>
      <c r="D8" s="5"/>
      <c r="E8" s="5" t="s">
        <v>180</v>
      </c>
      <c r="F8" s="5" t="s">
        <v>19</v>
      </c>
      <c r="G8" s="5" t="s">
        <v>181</v>
      </c>
      <c r="H8" s="5" t="s">
        <v>17</v>
      </c>
      <c r="I8" s="5" t="s">
        <v>17</v>
      </c>
      <c r="J8" s="5" t="s">
        <v>182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2122</v>
      </c>
      <c r="B1" s="1"/>
      <c r="C1" s="1"/>
      <c r="D1" s="1"/>
      <c r="E1" s="1"/>
      <c r="F1" s="1"/>
      <c r="G1" s="1"/>
      <c r="H1" s="1"/>
      <c r="I1" s="1"/>
      <c r="J1" s="1"/>
    </row>
    <row r="2" spans="1:10" x14ac:dyDescent="0.25">
      <c r="A2" s="2" t="s">
        <v>1</v>
      </c>
      <c r="B2" s="3" t="s">
        <v>2123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1197</v>
      </c>
      <c r="C5" s="5" t="s">
        <v>17</v>
      </c>
      <c r="D5" s="5"/>
      <c r="E5" s="5" t="s">
        <v>1198</v>
      </c>
      <c r="F5" s="5" t="s">
        <v>15</v>
      </c>
      <c r="G5" s="5" t="s">
        <v>17</v>
      </c>
      <c r="H5" s="5" t="s">
        <v>17</v>
      </c>
      <c r="I5" s="5" t="s">
        <v>17</v>
      </c>
      <c r="J5" s="5" t="s">
        <v>1199</v>
      </c>
    </row>
    <row r="6" spans="1:10" x14ac:dyDescent="0.25" outlineLevel="1" collapsed="1">
      <c r="A6" s="7" t="s">
        <v>19</v>
      </c>
      <c r="B6" s="7" t="s">
        <v>16</v>
      </c>
      <c r="C6" s="7" t="s">
        <v>17</v>
      </c>
      <c r="D6" s="7"/>
      <c r="E6" s="7" t="s">
        <v>1200</v>
      </c>
      <c r="F6" s="7" t="s">
        <v>19</v>
      </c>
      <c r="G6" s="7" t="s">
        <v>31</v>
      </c>
      <c r="H6" s="7" t="s">
        <v>17</v>
      </c>
      <c r="I6" s="7" t="s">
        <v>17</v>
      </c>
      <c r="J6" s="7" t="s">
        <v>1201</v>
      </c>
    </row>
    <row r="7" spans="1:10" x14ac:dyDescent="0.25" outlineLevel="1" collapsed="1">
      <c r="A7" s="7" t="s">
        <v>19</v>
      </c>
      <c r="B7" s="7" t="s">
        <v>16</v>
      </c>
      <c r="C7" s="7" t="s">
        <v>17</v>
      </c>
      <c r="D7" s="7"/>
      <c r="E7" s="7" t="s">
        <v>1202</v>
      </c>
      <c r="F7" s="7" t="s">
        <v>19</v>
      </c>
      <c r="G7" s="7" t="s">
        <v>31</v>
      </c>
      <c r="H7" s="7" t="s">
        <v>17</v>
      </c>
      <c r="I7" s="7" t="s">
        <v>17</v>
      </c>
      <c r="J7" s="7" t="s">
        <v>1203</v>
      </c>
    </row>
    <row r="8" spans="1:10" x14ac:dyDescent="0.25" outlineLevel="1" collapsed="1">
      <c r="A8" s="7" t="s">
        <v>19</v>
      </c>
      <c r="B8" s="7" t="s">
        <v>16</v>
      </c>
      <c r="C8" s="7" t="s">
        <v>17</v>
      </c>
      <c r="D8" s="7"/>
      <c r="E8" s="7" t="s">
        <v>1204</v>
      </c>
      <c r="F8" s="7" t="s">
        <v>19</v>
      </c>
      <c r="G8" s="7" t="s">
        <v>31</v>
      </c>
      <c r="H8" s="7" t="s">
        <v>17</v>
      </c>
      <c r="I8" s="7" t="s">
        <v>17</v>
      </c>
      <c r="J8" s="7" t="s">
        <v>1205</v>
      </c>
    </row>
    <row r="9" spans="1:10" x14ac:dyDescent="0.25" outlineLevel="1" collapsed="1">
      <c r="A9" s="7" t="s">
        <v>19</v>
      </c>
      <c r="B9" s="7" t="s">
        <v>16</v>
      </c>
      <c r="C9" s="7" t="s">
        <v>17</v>
      </c>
      <c r="D9" s="7"/>
      <c r="E9" s="7" t="s">
        <v>1206</v>
      </c>
      <c r="F9" s="7" t="s">
        <v>19</v>
      </c>
      <c r="G9" s="7" t="s">
        <v>31</v>
      </c>
      <c r="H9" s="7" t="s">
        <v>17</v>
      </c>
      <c r="I9" s="7" t="s">
        <v>17</v>
      </c>
      <c r="J9" s="7" t="s">
        <v>1207</v>
      </c>
    </row>
    <row r="10" spans="1:10" x14ac:dyDescent="0.25" outlineLevel="1" collapsed="1">
      <c r="A10" s="7" t="s">
        <v>19</v>
      </c>
      <c r="B10" s="7" t="s">
        <v>16</v>
      </c>
      <c r="C10" s="7" t="s">
        <v>17</v>
      </c>
      <c r="D10" s="7"/>
      <c r="E10" s="7" t="s">
        <v>1208</v>
      </c>
      <c r="F10" s="7" t="s">
        <v>19</v>
      </c>
      <c r="G10" s="7" t="s">
        <v>31</v>
      </c>
      <c r="H10" s="7" t="s">
        <v>17</v>
      </c>
      <c r="I10" s="7" t="s">
        <v>17</v>
      </c>
      <c r="J10" s="7" t="s">
        <v>1209</v>
      </c>
    </row>
    <row r="11" spans="1:10" x14ac:dyDescent="0.25" outlineLevel="1" collapsed="1">
      <c r="A11" s="7" t="s">
        <v>19</v>
      </c>
      <c r="B11" s="7" t="s">
        <v>16</v>
      </c>
      <c r="C11" s="7" t="s">
        <v>17</v>
      </c>
      <c r="D11" s="7"/>
      <c r="E11" s="7" t="s">
        <v>1210</v>
      </c>
      <c r="F11" s="7" t="s">
        <v>19</v>
      </c>
      <c r="G11" s="7" t="s">
        <v>31</v>
      </c>
      <c r="H11" s="7" t="s">
        <v>17</v>
      </c>
      <c r="I11" s="7" t="s">
        <v>17</v>
      </c>
      <c r="J11" s="7" t="s">
        <v>1211</v>
      </c>
    </row>
  </sheetData>
  <mergeCells count="3">
    <mergeCell ref="A1:J1"/>
    <mergeCell ref="B2:J2"/>
    <mergeCell ref="B3:J3"/>
  </mergeCells>
  <hyperlinks>
    <hyperlink ref="B5" r:id="rId1" location="#'1.11 Sustainable development c'!A1"/>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2124</v>
      </c>
      <c r="B1" s="1"/>
      <c r="C1" s="1"/>
      <c r="D1" s="1"/>
      <c r="E1" s="1"/>
      <c r="F1" s="1"/>
      <c r="G1" s="1"/>
      <c r="H1" s="1"/>
      <c r="I1" s="1"/>
      <c r="J1" s="1"/>
    </row>
    <row r="2" spans="1:10" x14ac:dyDescent="0.25">
      <c r="A2" s="2" t="s">
        <v>1</v>
      </c>
      <c r="B2" s="3" t="s">
        <v>2125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1320</v>
      </c>
      <c r="C5" s="5" t="s">
        <v>17</v>
      </c>
      <c r="D5" s="5"/>
      <c r="E5" s="5" t="s">
        <v>1321</v>
      </c>
      <c r="F5" s="5" t="s">
        <v>15</v>
      </c>
      <c r="G5" s="5" t="s">
        <v>17</v>
      </c>
      <c r="H5" s="5" t="s">
        <v>17</v>
      </c>
      <c r="I5" s="5" t="s">
        <v>17</v>
      </c>
      <c r="J5" s="5" t="s">
        <v>1322</v>
      </c>
    </row>
    <row r="6" spans="1:10" x14ac:dyDescent="0.25" outlineLevel="1" collapsed="1">
      <c r="A6" s="7" t="s">
        <v>19</v>
      </c>
      <c r="B6" s="7" t="s">
        <v>16</v>
      </c>
      <c r="C6" s="7" t="s">
        <v>17</v>
      </c>
      <c r="D6" s="7"/>
      <c r="E6" s="7" t="s">
        <v>478</v>
      </c>
      <c r="F6" s="7" t="s">
        <v>19</v>
      </c>
      <c r="G6" s="7" t="s">
        <v>31</v>
      </c>
      <c r="H6" s="7" t="s">
        <v>17</v>
      </c>
      <c r="I6" s="7" t="s">
        <v>17</v>
      </c>
      <c r="J6" s="7" t="s">
        <v>1323</v>
      </c>
    </row>
    <row r="7" spans="1:10" x14ac:dyDescent="0.25" outlineLevel="1" collapsed="1">
      <c r="A7" s="7" t="s">
        <v>19</v>
      </c>
      <c r="B7" s="7" t="s">
        <v>16</v>
      </c>
      <c r="C7" s="7" t="s">
        <v>17</v>
      </c>
      <c r="D7" s="7"/>
      <c r="E7" s="7" t="s">
        <v>1324</v>
      </c>
      <c r="F7" s="7" t="s">
        <v>19</v>
      </c>
      <c r="G7" s="7" t="s">
        <v>31</v>
      </c>
      <c r="H7" s="7" t="s">
        <v>17</v>
      </c>
      <c r="I7" s="7" t="s">
        <v>17</v>
      </c>
      <c r="J7" s="7" t="s">
        <v>1325</v>
      </c>
    </row>
    <row r="8" spans="1:10" x14ac:dyDescent="0.25" outlineLevel="1" collapsed="1">
      <c r="A8" s="7" t="s">
        <v>19</v>
      </c>
      <c r="B8" s="7" t="s">
        <v>16</v>
      </c>
      <c r="C8" s="7" t="s">
        <v>17</v>
      </c>
      <c r="D8" s="7"/>
      <c r="E8" s="7" t="s">
        <v>1326</v>
      </c>
      <c r="F8" s="7" t="s">
        <v>19</v>
      </c>
      <c r="G8" s="7" t="s">
        <v>31</v>
      </c>
      <c r="H8" s="7" t="s">
        <v>17</v>
      </c>
      <c r="I8" s="7" t="s">
        <v>17</v>
      </c>
      <c r="J8" s="7" t="s">
        <v>1327</v>
      </c>
    </row>
    <row r="9" spans="1:10" x14ac:dyDescent="0.25" outlineLevel="1" collapsed="1">
      <c r="A9" s="7" t="s">
        <v>19</v>
      </c>
      <c r="B9" s="7" t="s">
        <v>16</v>
      </c>
      <c r="C9" s="7" t="s">
        <v>17</v>
      </c>
      <c r="D9" s="7"/>
      <c r="E9" s="7" t="s">
        <v>1328</v>
      </c>
      <c r="F9" s="7" t="s">
        <v>19</v>
      </c>
      <c r="G9" s="7" t="s">
        <v>31</v>
      </c>
      <c r="H9" s="7" t="s">
        <v>17</v>
      </c>
      <c r="I9" s="7" t="s">
        <v>17</v>
      </c>
      <c r="J9" s="7" t="s">
        <v>824</v>
      </c>
    </row>
  </sheetData>
  <mergeCells count="3">
    <mergeCell ref="A1:J1"/>
    <mergeCell ref="B2:J2"/>
    <mergeCell ref="B3:J3"/>
  </mergeCells>
  <hyperlinks>
    <hyperlink ref="B5" r:id="rId1" location="#'Methodology details row (VCS P'!A1"/>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2126</v>
      </c>
      <c r="B1" s="1"/>
      <c r="C1" s="1"/>
      <c r="D1" s="1"/>
      <c r="E1" s="1"/>
      <c r="F1" s="1"/>
      <c r="G1" s="1"/>
      <c r="H1" s="1"/>
      <c r="I1" s="1"/>
      <c r="J1" s="1"/>
    </row>
    <row r="2" spans="1:10" x14ac:dyDescent="0.25">
      <c r="A2" s="2" t="s">
        <v>1</v>
      </c>
      <c r="B2" s="3" t="s">
        <v>2127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2128</v>
      </c>
      <c r="B1" s="1"/>
      <c r="C1" s="1"/>
      <c r="D1" s="1"/>
      <c r="E1" s="1"/>
      <c r="F1" s="1"/>
      <c r="G1" s="1"/>
      <c r="H1" s="1"/>
      <c r="I1" s="1"/>
      <c r="J1" s="1"/>
    </row>
    <row r="2" spans="1:10" x14ac:dyDescent="0.25">
      <c r="A2" s="2" t="s">
        <v>1</v>
      </c>
      <c r="B2" s="3" t="s">
        <v>2129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186</v>
      </c>
      <c r="C5" s="5" t="s">
        <v>17</v>
      </c>
      <c r="D5" s="5"/>
      <c r="E5" s="5" t="s">
        <v>187</v>
      </c>
      <c r="F5" s="5" t="s">
        <v>19</v>
      </c>
      <c r="G5" s="5" t="s">
        <v>17</v>
      </c>
      <c r="H5" s="5" t="s">
        <v>17</v>
      </c>
      <c r="I5" s="5" t="s">
        <v>17</v>
      </c>
      <c r="J5" s="5" t="s">
        <v>188</v>
      </c>
    </row>
    <row r="6" spans="1:10" x14ac:dyDescent="0.25" outlineLevel="1" collapsed="1">
      <c r="A6" s="7" t="s">
        <v>15</v>
      </c>
      <c r="B6" s="7" t="s">
        <v>16</v>
      </c>
      <c r="C6" s="7" t="s">
        <v>17</v>
      </c>
      <c r="D6" s="7"/>
      <c r="E6" s="7" t="s">
        <v>189</v>
      </c>
      <c r="F6" s="7" t="s">
        <v>19</v>
      </c>
      <c r="G6" s="7" t="s">
        <v>190</v>
      </c>
      <c r="H6" s="7" t="s">
        <v>17</v>
      </c>
      <c r="I6" s="7" t="s">
        <v>17</v>
      </c>
      <c r="J6" s="7" t="s">
        <v>191</v>
      </c>
    </row>
    <row r="7" spans="1:10" x14ac:dyDescent="0.25" outlineLevel="1" collapsed="1">
      <c r="A7" s="7" t="s">
        <v>15</v>
      </c>
      <c r="B7" s="7" t="s">
        <v>16</v>
      </c>
      <c r="C7" s="7" t="s">
        <v>17</v>
      </c>
      <c r="D7" s="7"/>
      <c r="E7" s="7" t="s">
        <v>192</v>
      </c>
      <c r="F7" s="7" t="s">
        <v>19</v>
      </c>
      <c r="G7" s="7" t="s">
        <v>193</v>
      </c>
      <c r="H7" s="7" t="s">
        <v>17</v>
      </c>
      <c r="I7" s="7" t="s">
        <v>17</v>
      </c>
      <c r="J7" s="7" t="s">
        <v>194</v>
      </c>
    </row>
    <row r="8" spans="1:10" x14ac:dyDescent="0.25" outlineLevel="1" collapsed="1">
      <c r="A8" s="7" t="s">
        <v>15</v>
      </c>
      <c r="B8" s="7" t="s">
        <v>16</v>
      </c>
      <c r="C8" s="7" t="s">
        <v>17</v>
      </c>
      <c r="D8" s="7"/>
      <c r="E8" s="7" t="s">
        <v>195</v>
      </c>
      <c r="F8" s="7" t="s">
        <v>19</v>
      </c>
      <c r="G8" s="7" t="s">
        <v>196</v>
      </c>
      <c r="H8" s="7" t="s">
        <v>17</v>
      </c>
      <c r="I8" s="7" t="s">
        <v>17</v>
      </c>
      <c r="J8" s="7" t="s">
        <v>197</v>
      </c>
    </row>
    <row r="9" spans="1:10" x14ac:dyDescent="0.25" outlineLevel="1" collapsed="1">
      <c r="A9" s="7" t="s">
        <v>19</v>
      </c>
      <c r="B9" s="7" t="s">
        <v>16</v>
      </c>
      <c r="C9" s="7" t="s">
        <v>17</v>
      </c>
      <c r="D9" s="7"/>
      <c r="E9" s="7" t="s">
        <v>198</v>
      </c>
      <c r="F9" s="7" t="s">
        <v>19</v>
      </c>
      <c r="G9" s="7" t="s">
        <v>199</v>
      </c>
      <c r="H9" s="7" t="s">
        <v>17</v>
      </c>
      <c r="I9" s="7" t="s">
        <v>17</v>
      </c>
      <c r="J9" s="7" t="s">
        <v>200</v>
      </c>
    </row>
    <row r="10" spans="1:10" x14ac:dyDescent="0.25" outlineLevel="1" collapsed="1">
      <c r="A10" s="7" t="s">
        <v>15</v>
      </c>
      <c r="B10" s="7" t="s">
        <v>16</v>
      </c>
      <c r="C10" s="7" t="s">
        <v>17</v>
      </c>
      <c r="D10" s="7"/>
      <c r="E10" s="7" t="s">
        <v>201</v>
      </c>
      <c r="F10" s="7" t="s">
        <v>19</v>
      </c>
      <c r="G10" s="7" t="s">
        <v>202</v>
      </c>
      <c r="H10" s="7" t="s">
        <v>17</v>
      </c>
      <c r="I10" s="7" t="s">
        <v>17</v>
      </c>
      <c r="J10" s="7" t="s">
        <v>203</v>
      </c>
    </row>
    <row r="11" spans="1:10" x14ac:dyDescent="0.25">
      <c r="A11" s="5" t="s">
        <v>19</v>
      </c>
      <c r="B11" s="5" t="s">
        <v>16</v>
      </c>
      <c r="C11" s="5" t="s">
        <v>17</v>
      </c>
      <c r="D11" s="5"/>
      <c r="E11" s="5" t="s">
        <v>204</v>
      </c>
      <c r="F11" s="5" t="s">
        <v>19</v>
      </c>
      <c r="G11" s="5" t="s">
        <v>31</v>
      </c>
      <c r="H11" s="5" t="s">
        <v>17</v>
      </c>
      <c r="I11" s="5" t="s">
        <v>17</v>
      </c>
      <c r="J11" s="5" t="s">
        <v>205</v>
      </c>
    </row>
    <row r="12" spans="1:10" x14ac:dyDescent="0.25">
      <c r="A12" s="5" t="s">
        <v>19</v>
      </c>
      <c r="B12" s="5" t="s">
        <v>16</v>
      </c>
      <c r="C12" s="5" t="s">
        <v>17</v>
      </c>
      <c r="D12" s="5"/>
      <c r="E12" s="5" t="s">
        <v>206</v>
      </c>
      <c r="F12" s="5" t="s">
        <v>19</v>
      </c>
      <c r="G12" s="5" t="s">
        <v>31</v>
      </c>
      <c r="H12" s="5" t="s">
        <v>17</v>
      </c>
      <c r="I12" s="5" t="s">
        <v>17</v>
      </c>
      <c r="J12" s="5" t="s">
        <v>207</v>
      </c>
    </row>
    <row r="13" spans="1:10" x14ac:dyDescent="0.25">
      <c r="A13" s="5" t="s">
        <v>19</v>
      </c>
      <c r="B13" s="5" t="s">
        <v>16</v>
      </c>
      <c r="C13" s="5" t="s">
        <v>17</v>
      </c>
      <c r="D13" s="5"/>
      <c r="E13" s="5" t="s">
        <v>208</v>
      </c>
      <c r="F13" s="5" t="s">
        <v>19</v>
      </c>
      <c r="G13" s="5" t="s">
        <v>31</v>
      </c>
      <c r="H13" s="5" t="s">
        <v>17</v>
      </c>
      <c r="I13" s="5" t="s">
        <v>17</v>
      </c>
      <c r="J13" s="5" t="s">
        <v>209</v>
      </c>
    </row>
    <row r="14" spans="1:10" x14ac:dyDescent="0.25">
      <c r="A14" s="5" t="s">
        <v>19</v>
      </c>
      <c r="B14" s="5" t="s">
        <v>16</v>
      </c>
      <c r="C14" s="5" t="s">
        <v>17</v>
      </c>
      <c r="D14" s="5"/>
      <c r="E14" s="5" t="s">
        <v>210</v>
      </c>
      <c r="F14" s="5" t="s">
        <v>19</v>
      </c>
      <c r="G14" s="5" t="s">
        <v>31</v>
      </c>
      <c r="H14" s="5" t="s">
        <v>17</v>
      </c>
      <c r="I14" s="5" t="s">
        <v>17</v>
      </c>
      <c r="J14" s="5" t="s">
        <v>211</v>
      </c>
    </row>
  </sheetData>
  <mergeCells count="3">
    <mergeCell ref="A1:J1"/>
    <mergeCell ref="B2:J2"/>
    <mergeCell ref="B3:J3"/>
  </mergeCells>
  <hyperlinks>
    <hyperlink ref="B5" r:id="rId1" location="#'2.4.1 Design Process and Summa'!A1"/>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2130</v>
      </c>
      <c r="B1" s="1"/>
      <c r="C1" s="1"/>
      <c r="D1" s="1"/>
      <c r="E1" s="1"/>
      <c r="F1" s="1"/>
      <c r="G1" s="1"/>
      <c r="H1" s="1"/>
      <c r="I1" s="1"/>
      <c r="J1" s="1"/>
    </row>
    <row r="2" spans="1:10" x14ac:dyDescent="0.25">
      <c r="A2" s="2" t="s">
        <v>1</v>
      </c>
      <c r="B2" s="3" t="s">
        <v>2131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1564</v>
      </c>
      <c r="F5" s="5" t="s">
        <v>19</v>
      </c>
      <c r="G5" s="5" t="s">
        <v>1565</v>
      </c>
      <c r="H5" s="5" t="s">
        <v>17</v>
      </c>
      <c r="I5" s="5" t="s">
        <v>17</v>
      </c>
      <c r="J5" s="5" t="s">
        <v>1566</v>
      </c>
    </row>
    <row r="6" spans="1:10" x14ac:dyDescent="0.25">
      <c r="A6" s="5" t="s">
        <v>19</v>
      </c>
      <c r="B6" s="6" t="s">
        <v>1567</v>
      </c>
      <c r="C6" s="5" t="s">
        <v>17</v>
      </c>
      <c r="D6" s="5"/>
      <c r="E6" s="5" t="s">
        <v>1568</v>
      </c>
      <c r="F6" s="5" t="s">
        <v>15</v>
      </c>
      <c r="G6" s="5" t="s">
        <v>17</v>
      </c>
      <c r="H6" s="5" t="s">
        <v>17</v>
      </c>
      <c r="I6" s="5" t="s">
        <v>17</v>
      </c>
      <c r="J6" s="5" t="s">
        <v>1569</v>
      </c>
    </row>
    <row r="7" spans="1:10" x14ac:dyDescent="0.25" outlineLevel="1" collapsed="1">
      <c r="A7" s="7" t="s">
        <v>15</v>
      </c>
      <c r="B7" s="7" t="s">
        <v>291</v>
      </c>
      <c r="C7" s="7" t="s">
        <v>17</v>
      </c>
      <c r="D7" s="7"/>
      <c r="E7" s="7" t="s">
        <v>30</v>
      </c>
      <c r="F7" s="7" t="s">
        <v>19</v>
      </c>
      <c r="G7" s="7" t="s">
        <v>293</v>
      </c>
      <c r="H7" s="7" t="s">
        <v>17</v>
      </c>
      <c r="I7" s="7" t="s">
        <v>17</v>
      </c>
      <c r="J7" s="7" t="s">
        <v>734</v>
      </c>
    </row>
    <row r="8" spans="1:10" x14ac:dyDescent="0.25" outlineLevel="1" collapsed="1">
      <c r="A8" s="7" t="s">
        <v>15</v>
      </c>
      <c r="B8" s="7" t="s">
        <v>291</v>
      </c>
      <c r="C8" s="7" t="s">
        <v>17</v>
      </c>
      <c r="D8" s="7"/>
      <c r="E8" s="7" t="s">
        <v>33</v>
      </c>
      <c r="F8" s="7" t="s">
        <v>19</v>
      </c>
      <c r="G8" s="7" t="s">
        <v>293</v>
      </c>
      <c r="H8" s="7" t="s">
        <v>17</v>
      </c>
      <c r="I8" s="7" t="s">
        <v>17</v>
      </c>
      <c r="J8" s="7" t="s">
        <v>735</v>
      </c>
    </row>
    <row r="9" spans="1:10" x14ac:dyDescent="0.25" outlineLevel="1" collapsed="1">
      <c r="A9" s="7" t="s">
        <v>15</v>
      </c>
      <c r="B9" s="7" t="s">
        <v>63</v>
      </c>
      <c r="C9" s="7" t="s">
        <v>17</v>
      </c>
      <c r="D9" s="7"/>
      <c r="E9" s="7" t="s">
        <v>1570</v>
      </c>
      <c r="F9" s="7" t="s">
        <v>19</v>
      </c>
      <c r="G9" s="7">
        <v>276.0886</v>
      </c>
      <c r="H9" s="7" t="s">
        <v>17</v>
      </c>
      <c r="I9" s="7" t="s">
        <v>17</v>
      </c>
      <c r="J9" s="7" t="s">
        <v>1571</v>
      </c>
    </row>
    <row r="10" spans="1:10" x14ac:dyDescent="0.25" outlineLevel="1" collapsed="1">
      <c r="A10" s="7" t="s">
        <v>15</v>
      </c>
      <c r="B10" s="7" t="s">
        <v>63</v>
      </c>
      <c r="C10" s="7" t="s">
        <v>17</v>
      </c>
      <c r="D10" s="7"/>
      <c r="E10" s="7" t="s">
        <v>1572</v>
      </c>
      <c r="F10" s="7" t="s">
        <v>19</v>
      </c>
      <c r="G10" s="7">
        <v>0.3504</v>
      </c>
      <c r="H10" s="7" t="s">
        <v>17</v>
      </c>
      <c r="I10" s="7" t="s">
        <v>17</v>
      </c>
      <c r="J10" s="7" t="s">
        <v>1573</v>
      </c>
    </row>
    <row r="11" spans="1:10" x14ac:dyDescent="0.25" outlineLevel="1" collapsed="1">
      <c r="A11" s="7" t="s">
        <v>15</v>
      </c>
      <c r="B11" s="7" t="s">
        <v>63</v>
      </c>
      <c r="C11" s="7" t="s">
        <v>17</v>
      </c>
      <c r="D11" s="7"/>
      <c r="E11" s="7" t="s">
        <v>740</v>
      </c>
      <c r="F11" s="7" t="s">
        <v>19</v>
      </c>
      <c r="G11" s="7">
        <v>0</v>
      </c>
      <c r="H11" s="7" t="s">
        <v>17</v>
      </c>
      <c r="I11" s="7" t="s">
        <v>17</v>
      </c>
      <c r="J11" s="7" t="s">
        <v>741</v>
      </c>
    </row>
    <row r="12" spans="1:10" x14ac:dyDescent="0.25" outlineLevel="1" collapsed="1">
      <c r="A12" s="7" t="s">
        <v>15</v>
      </c>
      <c r="B12" s="7" t="s">
        <v>63</v>
      </c>
      <c r="C12" s="7" t="s">
        <v>17</v>
      </c>
      <c r="D12" s="7"/>
      <c r="E12" s="7" t="s">
        <v>1574</v>
      </c>
      <c r="F12" s="7" t="s">
        <v>19</v>
      </c>
      <c r="G12" s="7">
        <v>275.738</v>
      </c>
      <c r="H12" s="7" t="s">
        <v>17</v>
      </c>
      <c r="I12" s="7" t="s">
        <v>17</v>
      </c>
      <c r="J12" s="7" t="s">
        <v>1575</v>
      </c>
    </row>
    <row r="13" spans="1:10" x14ac:dyDescent="0.25" outlineLevel="1" collapsed="1">
      <c r="A13" s="7" t="s">
        <v>15</v>
      </c>
      <c r="B13" s="7" t="s">
        <v>63</v>
      </c>
      <c r="C13" s="7" t="s">
        <v>17</v>
      </c>
      <c r="D13" s="7"/>
      <c r="E13" s="7" t="s">
        <v>1576</v>
      </c>
      <c r="F13" s="7" t="s">
        <v>19</v>
      </c>
      <c r="G13" s="7">
        <v>0</v>
      </c>
      <c r="H13" s="7" t="s">
        <v>17</v>
      </c>
      <c r="I13" s="7" t="s">
        <v>17</v>
      </c>
      <c r="J13" s="7" t="s">
        <v>1577</v>
      </c>
    </row>
    <row r="14" spans="1:10" x14ac:dyDescent="0.25" outlineLevel="1" collapsed="1">
      <c r="A14" s="7" t="s">
        <v>15</v>
      </c>
      <c r="B14" s="7" t="s">
        <v>63</v>
      </c>
      <c r="C14" s="7" t="s">
        <v>17</v>
      </c>
      <c r="D14" s="7"/>
      <c r="E14" s="7" t="s">
        <v>1578</v>
      </c>
      <c r="F14" s="7" t="s">
        <v>19</v>
      </c>
      <c r="G14" s="7">
        <v>275.738</v>
      </c>
      <c r="H14" s="7" t="s">
        <v>17</v>
      </c>
      <c r="I14" s="7" t="s">
        <v>17</v>
      </c>
      <c r="J14" s="7" t="s">
        <v>747</v>
      </c>
    </row>
    <row r="15" spans="1:10" x14ac:dyDescent="0.25" outlineLevel="1" collapsed="1">
      <c r="A15" s="7" t="s">
        <v>19</v>
      </c>
      <c r="B15" s="7" t="s">
        <v>16</v>
      </c>
      <c r="C15" s="7" t="s">
        <v>17</v>
      </c>
      <c r="D15" s="7"/>
      <c r="E15" s="7" t="s">
        <v>728</v>
      </c>
      <c r="F15" s="7" t="s">
        <v>19</v>
      </c>
      <c r="G15" s="7" t="s">
        <v>31</v>
      </c>
      <c r="H15" s="7" t="s">
        <v>17</v>
      </c>
      <c r="I15" s="7" t="s">
        <v>17</v>
      </c>
      <c r="J15" s="7" t="s">
        <v>730</v>
      </c>
    </row>
    <row r="16" spans="1:10" x14ac:dyDescent="0.25" outlineLevel="1" collapsed="1">
      <c r="A16" s="7" t="s">
        <v>19</v>
      </c>
      <c r="B16" s="7" t="s">
        <v>16</v>
      </c>
      <c r="C16" s="7" t="s">
        <v>17</v>
      </c>
      <c r="D16" s="7"/>
      <c r="E16" s="7" t="s">
        <v>731</v>
      </c>
      <c r="F16" s="7" t="s">
        <v>19</v>
      </c>
      <c r="G16" s="7" t="s">
        <v>31</v>
      </c>
      <c r="H16" s="7" t="s">
        <v>17</v>
      </c>
      <c r="I16" s="7" t="s">
        <v>17</v>
      </c>
      <c r="J16" s="7" t="s">
        <v>733</v>
      </c>
    </row>
    <row r="17" spans="1:10" x14ac:dyDescent="0.25" outlineLevel="1" collapsed="1">
      <c r="A17" s="7" t="s">
        <v>19</v>
      </c>
      <c r="B17" s="7" t="s">
        <v>63</v>
      </c>
      <c r="C17" s="7" t="s">
        <v>17</v>
      </c>
      <c r="D17" s="7"/>
      <c r="E17" s="7" t="s">
        <v>736</v>
      </c>
      <c r="F17" s="7" t="s">
        <v>19</v>
      </c>
      <c r="G17" s="7">
        <v>1</v>
      </c>
      <c r="H17" s="7" t="s">
        <v>17</v>
      </c>
      <c r="I17" s="7" t="s">
        <v>17</v>
      </c>
      <c r="J17" s="7" t="s">
        <v>759</v>
      </c>
    </row>
    <row r="18" spans="1:10" x14ac:dyDescent="0.25" outlineLevel="1" collapsed="1">
      <c r="A18" s="7" t="s">
        <v>19</v>
      </c>
      <c r="B18" s="7" t="s">
        <v>63</v>
      </c>
      <c r="C18" s="7" t="s">
        <v>17</v>
      </c>
      <c r="D18" s="7"/>
      <c r="E18" s="7" t="s">
        <v>738</v>
      </c>
      <c r="F18" s="7" t="s">
        <v>19</v>
      </c>
      <c r="G18" s="7">
        <v>1</v>
      </c>
      <c r="H18" s="7" t="s">
        <v>17</v>
      </c>
      <c r="I18" s="7" t="s">
        <v>17</v>
      </c>
      <c r="J18" s="7" t="s">
        <v>760</v>
      </c>
    </row>
    <row r="19" spans="1:10" x14ac:dyDescent="0.25" outlineLevel="1" collapsed="1">
      <c r="A19" s="7" t="s">
        <v>19</v>
      </c>
      <c r="B19" s="7" t="s">
        <v>63</v>
      </c>
      <c r="C19" s="7" t="s">
        <v>17</v>
      </c>
      <c r="D19" s="7"/>
      <c r="E19" s="7" t="s">
        <v>751</v>
      </c>
      <c r="F19" s="7" t="s">
        <v>19</v>
      </c>
      <c r="G19" s="7">
        <v>1</v>
      </c>
      <c r="H19" s="7" t="s">
        <v>17</v>
      </c>
      <c r="I19" s="7" t="s">
        <v>17</v>
      </c>
      <c r="J19" s="7" t="s">
        <v>1579</v>
      </c>
    </row>
    <row r="20" spans="1:10" x14ac:dyDescent="0.25" outlineLevel="1" collapsed="1">
      <c r="A20" s="7" t="s">
        <v>19</v>
      </c>
      <c r="B20" s="7" t="s">
        <v>63</v>
      </c>
      <c r="C20" s="7" t="s">
        <v>17</v>
      </c>
      <c r="D20" s="7"/>
      <c r="E20" s="7" t="s">
        <v>753</v>
      </c>
      <c r="F20" s="7" t="s">
        <v>19</v>
      </c>
      <c r="G20" s="7">
        <v>1</v>
      </c>
      <c r="H20" s="7" t="s">
        <v>17</v>
      </c>
      <c r="I20" s="7" t="s">
        <v>17</v>
      </c>
      <c r="J20" s="7" t="s">
        <v>1580</v>
      </c>
    </row>
    <row r="21" spans="1:10" x14ac:dyDescent="0.25" outlineLevel="1" collapsed="1">
      <c r="A21" s="7" t="s">
        <v>19</v>
      </c>
      <c r="B21" s="7" t="s">
        <v>63</v>
      </c>
      <c r="C21" s="7" t="s">
        <v>17</v>
      </c>
      <c r="D21" s="7"/>
      <c r="E21" s="7" t="s">
        <v>755</v>
      </c>
      <c r="F21" s="7" t="s">
        <v>19</v>
      </c>
      <c r="G21" s="7">
        <v>1</v>
      </c>
      <c r="H21" s="7" t="s">
        <v>17</v>
      </c>
      <c r="I21" s="7" t="s">
        <v>17</v>
      </c>
      <c r="J21" s="7" t="s">
        <v>1581</v>
      </c>
    </row>
    <row r="22" spans="1:10" x14ac:dyDescent="0.25" outlineLevel="1" collapsed="1">
      <c r="A22" s="7" t="s">
        <v>19</v>
      </c>
      <c r="B22" s="7" t="s">
        <v>63</v>
      </c>
      <c r="C22" s="7" t="s">
        <v>17</v>
      </c>
      <c r="D22" s="7"/>
      <c r="E22" s="7" t="s">
        <v>757</v>
      </c>
      <c r="F22" s="7" t="s">
        <v>19</v>
      </c>
      <c r="G22" s="7">
        <v>1</v>
      </c>
      <c r="H22" s="7" t="s">
        <v>17</v>
      </c>
      <c r="I22" s="7" t="s">
        <v>17</v>
      </c>
      <c r="J22" s="7" t="s">
        <v>1582</v>
      </c>
    </row>
    <row r="23" spans="1:10" x14ac:dyDescent="0.25">
      <c r="A23" s="5" t="s">
        <v>19</v>
      </c>
      <c r="B23" s="6" t="s">
        <v>1583</v>
      </c>
      <c r="C23" s="5" t="s">
        <v>17</v>
      </c>
      <c r="D23" s="5"/>
      <c r="E23" s="5" t="s">
        <v>1583</v>
      </c>
      <c r="F23" s="5" t="s">
        <v>15</v>
      </c>
      <c r="G23" s="5" t="s">
        <v>17</v>
      </c>
      <c r="H23" s="5" t="s">
        <v>17</v>
      </c>
      <c r="I23" s="5" t="s">
        <v>17</v>
      </c>
      <c r="J23" s="5" t="s">
        <v>1584</v>
      </c>
    </row>
    <row r="24" spans="1:10" x14ac:dyDescent="0.25" outlineLevel="1" collapsed="1">
      <c r="A24" s="7" t="s">
        <v>19</v>
      </c>
      <c r="B24" s="7" t="s">
        <v>16</v>
      </c>
      <c r="C24" s="7" t="s">
        <v>17</v>
      </c>
      <c r="D24" s="7"/>
      <c r="E24" s="7" t="s">
        <v>30</v>
      </c>
      <c r="F24" s="7" t="s">
        <v>19</v>
      </c>
      <c r="G24" s="7" t="s">
        <v>31</v>
      </c>
      <c r="H24" s="7" t="s">
        <v>17</v>
      </c>
      <c r="I24" s="7" t="s">
        <v>17</v>
      </c>
      <c r="J24" s="7" t="s">
        <v>32</v>
      </c>
    </row>
    <row r="25" spans="1:10" x14ac:dyDescent="0.25" outlineLevel="1" collapsed="1">
      <c r="A25" s="7" t="s">
        <v>19</v>
      </c>
      <c r="B25" s="7" t="s">
        <v>16</v>
      </c>
      <c r="C25" s="7" t="s">
        <v>17</v>
      </c>
      <c r="D25" s="7"/>
      <c r="E25" s="7" t="s">
        <v>33</v>
      </c>
      <c r="F25" s="7" t="s">
        <v>19</v>
      </c>
      <c r="G25" s="7" t="s">
        <v>31</v>
      </c>
      <c r="H25" s="7" t="s">
        <v>17</v>
      </c>
      <c r="I25" s="7" t="s">
        <v>17</v>
      </c>
      <c r="J25" s="7" t="s">
        <v>34</v>
      </c>
    </row>
    <row r="26" spans="1:10" x14ac:dyDescent="0.25" outlineLevel="1" collapsed="1">
      <c r="A26" s="7" t="s">
        <v>19</v>
      </c>
      <c r="B26" s="7" t="s">
        <v>16</v>
      </c>
      <c r="C26" s="7" t="s">
        <v>17</v>
      </c>
      <c r="D26" s="7"/>
      <c r="E26" s="7" t="s">
        <v>1585</v>
      </c>
      <c r="F26" s="7" t="s">
        <v>19</v>
      </c>
      <c r="G26" s="7" t="s">
        <v>31</v>
      </c>
      <c r="H26" s="7" t="s">
        <v>17</v>
      </c>
      <c r="I26" s="7" t="s">
        <v>17</v>
      </c>
      <c r="J26" s="7" t="s">
        <v>1586</v>
      </c>
    </row>
    <row r="27" spans="1:10" x14ac:dyDescent="0.25" outlineLevel="1" collapsed="1">
      <c r="A27" s="7" t="s">
        <v>19</v>
      </c>
      <c r="B27" s="7" t="s">
        <v>16</v>
      </c>
      <c r="C27" s="7" t="s">
        <v>17</v>
      </c>
      <c r="D27" s="7"/>
      <c r="E27" s="7" t="s">
        <v>1587</v>
      </c>
      <c r="F27" s="7" t="s">
        <v>19</v>
      </c>
      <c r="G27" s="7" t="s">
        <v>31</v>
      </c>
      <c r="H27" s="7" t="s">
        <v>17</v>
      </c>
      <c r="I27" s="7" t="s">
        <v>17</v>
      </c>
      <c r="J27" s="7" t="s">
        <v>779</v>
      </c>
    </row>
    <row r="28" spans="1:10" x14ac:dyDescent="0.25" outlineLevel="1" collapsed="1">
      <c r="A28" s="7" t="s">
        <v>19</v>
      </c>
      <c r="B28" s="7" t="s">
        <v>16</v>
      </c>
      <c r="C28" s="7" t="s">
        <v>17</v>
      </c>
      <c r="D28" s="7"/>
      <c r="E28" s="7" t="s">
        <v>1588</v>
      </c>
      <c r="F28" s="7" t="s">
        <v>19</v>
      </c>
      <c r="G28" s="7" t="s">
        <v>31</v>
      </c>
      <c r="H28" s="7" t="s">
        <v>17</v>
      </c>
      <c r="I28" s="7" t="s">
        <v>17</v>
      </c>
      <c r="J28" s="7" t="s">
        <v>1589</v>
      </c>
    </row>
    <row r="29" spans="1:10" x14ac:dyDescent="0.25" outlineLevel="1" collapsed="1">
      <c r="A29" s="7" t="s">
        <v>19</v>
      </c>
      <c r="B29" s="7" t="s">
        <v>16</v>
      </c>
      <c r="C29" s="7" t="s">
        <v>17</v>
      </c>
      <c r="D29" s="7"/>
      <c r="E29" s="7" t="s">
        <v>782</v>
      </c>
      <c r="F29" s="7" t="s">
        <v>19</v>
      </c>
      <c r="G29" s="7" t="s">
        <v>31</v>
      </c>
      <c r="H29" s="7" t="s">
        <v>17</v>
      </c>
      <c r="I29" s="7" t="s">
        <v>17</v>
      </c>
      <c r="J29" s="7" t="s">
        <v>1590</v>
      </c>
    </row>
  </sheetData>
  <mergeCells count="3">
    <mergeCell ref="A1:J1"/>
    <mergeCell ref="B2:J2"/>
    <mergeCell ref="B3:J3"/>
  </mergeCells>
  <hyperlinks>
    <hyperlink ref="B6" r:id="rId1" location="#'Summary of reductions and remo'!A1"/>
    <hyperlink ref="B23" r:id="rId2" location="#'Ex-ante vs ex-post comparison'!A1"/>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2132</v>
      </c>
      <c r="B1" s="1"/>
      <c r="C1" s="1"/>
      <c r="D1" s="1"/>
      <c r="E1" s="1"/>
      <c r="F1" s="1"/>
      <c r="G1" s="1"/>
      <c r="H1" s="1"/>
      <c r="I1" s="1"/>
      <c r="J1" s="1"/>
    </row>
    <row r="2" spans="1:10" x14ac:dyDescent="0.25">
      <c r="A2" s="2" t="s">
        <v>1</v>
      </c>
      <c r="B2" s="3" t="s">
        <v>2133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2017</v>
      </c>
      <c r="F5" s="5" t="s">
        <v>19</v>
      </c>
      <c r="G5" s="5" t="s">
        <v>2018</v>
      </c>
      <c r="H5" s="5" t="s">
        <v>17</v>
      </c>
      <c r="I5" s="5" t="s">
        <v>17</v>
      </c>
      <c r="J5" s="5" t="s">
        <v>2019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2134</v>
      </c>
      <c r="B1" s="1"/>
      <c r="C1" s="1"/>
      <c r="D1" s="1"/>
      <c r="E1" s="1"/>
      <c r="F1" s="1"/>
      <c r="G1" s="1"/>
      <c r="H1" s="1"/>
      <c r="I1" s="1"/>
      <c r="J1" s="1"/>
    </row>
    <row r="2" spans="1:10" x14ac:dyDescent="0.25">
      <c r="A2" s="2" t="s">
        <v>1</v>
      </c>
      <c r="B2" s="3" t="s">
        <v>2135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104</v>
      </c>
      <c r="F5" s="5" t="s">
        <v>19</v>
      </c>
      <c r="G5" s="5" t="s">
        <v>105</v>
      </c>
      <c r="H5" s="5" t="s">
        <v>17</v>
      </c>
      <c r="I5" s="5" t="s">
        <v>17</v>
      </c>
      <c r="J5" s="5" t="s">
        <v>106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2136</v>
      </c>
      <c r="B1" s="1"/>
      <c r="C1" s="1"/>
      <c r="D1" s="1"/>
      <c r="E1" s="1"/>
      <c r="F1" s="1"/>
      <c r="G1" s="1"/>
      <c r="H1" s="1"/>
      <c r="I1" s="1"/>
      <c r="J1" s="1"/>
    </row>
    <row r="2" spans="1:10" x14ac:dyDescent="0.25">
      <c r="A2" s="2" t="s">
        <v>1</v>
      </c>
      <c r="B2" s="3" t="s">
        <v>2137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2138</v>
      </c>
      <c r="F5" s="5" t="s">
        <v>19</v>
      </c>
      <c r="G5" s="5" t="s">
        <v>2139</v>
      </c>
      <c r="H5" s="5" t="s">
        <v>17</v>
      </c>
      <c r="I5" s="5" t="s">
        <v>17</v>
      </c>
      <c r="J5" s="5" t="s">
        <v>136</v>
      </c>
    </row>
    <row r="6" spans="1:10" x14ac:dyDescent="0.25">
      <c r="A6" s="5" t="s">
        <v>19</v>
      </c>
      <c r="B6" s="5" t="s">
        <v>16</v>
      </c>
      <c r="C6" s="5" t="s">
        <v>17</v>
      </c>
      <c r="D6" s="5"/>
      <c r="E6" s="5" t="s">
        <v>2140</v>
      </c>
      <c r="F6" s="5" t="s">
        <v>19</v>
      </c>
      <c r="G6" s="5" t="s">
        <v>2141</v>
      </c>
      <c r="H6" s="5" t="s">
        <v>17</v>
      </c>
      <c r="I6" s="5" t="s">
        <v>17</v>
      </c>
      <c r="J6" s="5" t="s">
        <v>2142</v>
      </c>
    </row>
    <row r="7" spans="1:10" x14ac:dyDescent="0.25">
      <c r="A7" s="5" t="s">
        <v>19</v>
      </c>
      <c r="B7" s="5" t="s">
        <v>16</v>
      </c>
      <c r="C7" s="5" t="s">
        <v>17</v>
      </c>
      <c r="D7" s="5"/>
      <c r="E7" s="5" t="s">
        <v>2143</v>
      </c>
      <c r="F7" s="5" t="s">
        <v>19</v>
      </c>
      <c r="G7" s="5" t="s">
        <v>2144</v>
      </c>
      <c r="H7" s="5" t="s">
        <v>17</v>
      </c>
      <c r="I7" s="5" t="s">
        <v>17</v>
      </c>
      <c r="J7" s="5" t="s">
        <v>2145</v>
      </c>
    </row>
    <row r="8" spans="1:10" x14ac:dyDescent="0.25">
      <c r="A8" s="5" t="s">
        <v>19</v>
      </c>
      <c r="B8" s="5" t="s">
        <v>16</v>
      </c>
      <c r="C8" s="5" t="s">
        <v>17</v>
      </c>
      <c r="D8" s="5"/>
      <c r="E8" s="5" t="s">
        <v>2146</v>
      </c>
      <c r="F8" s="5" t="s">
        <v>19</v>
      </c>
      <c r="G8" s="5" t="s">
        <v>2147</v>
      </c>
      <c r="H8" s="5" t="s">
        <v>17</v>
      </c>
      <c r="I8" s="5" t="s">
        <v>17</v>
      </c>
      <c r="J8" s="5" t="s">
        <v>2148</v>
      </c>
    </row>
    <row r="9" spans="1:10" x14ac:dyDescent="0.25">
      <c r="A9" s="5" t="s">
        <v>19</v>
      </c>
      <c r="B9" s="5" t="s">
        <v>16</v>
      </c>
      <c r="C9" s="5" t="s">
        <v>17</v>
      </c>
      <c r="D9" s="5"/>
      <c r="E9" s="5" t="s">
        <v>2149</v>
      </c>
      <c r="F9" s="5" t="s">
        <v>19</v>
      </c>
      <c r="G9" s="5" t="s">
        <v>2150</v>
      </c>
      <c r="H9" s="5" t="s">
        <v>17</v>
      </c>
      <c r="I9" s="5" t="s">
        <v>17</v>
      </c>
      <c r="J9" s="5" t="s">
        <v>2151</v>
      </c>
    </row>
    <row r="10" spans="1:10" x14ac:dyDescent="0.25">
      <c r="A10" s="5" t="s">
        <v>15</v>
      </c>
      <c r="B10" s="5" t="s">
        <v>16</v>
      </c>
      <c r="C10" s="5" t="s">
        <v>17</v>
      </c>
      <c r="D10" s="5"/>
      <c r="E10" s="5" t="s">
        <v>2152</v>
      </c>
      <c r="F10" s="5" t="s">
        <v>19</v>
      </c>
      <c r="G10" s="5" t="s">
        <v>2153</v>
      </c>
      <c r="H10" s="5" t="s">
        <v>17</v>
      </c>
      <c r="I10" s="5" t="s">
        <v>17</v>
      </c>
      <c r="J10" s="5" t="s">
        <v>2154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2155</v>
      </c>
      <c r="B1" s="1"/>
      <c r="C1" s="1"/>
      <c r="D1" s="1"/>
      <c r="E1" s="1"/>
      <c r="F1" s="1"/>
      <c r="G1" s="1"/>
      <c r="H1" s="1"/>
      <c r="I1" s="1"/>
      <c r="J1" s="1"/>
    </row>
    <row r="2" spans="1:10" x14ac:dyDescent="0.25">
      <c r="A2" s="2" t="s">
        <v>1</v>
      </c>
      <c r="B2" s="3" t="s">
        <v>2156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2157</v>
      </c>
      <c r="C5" s="5" t="s">
        <v>17</v>
      </c>
      <c r="D5" s="5"/>
      <c r="E5" s="5" t="s">
        <v>1198</v>
      </c>
      <c r="F5" s="5" t="s">
        <v>15</v>
      </c>
      <c r="G5" s="5" t="s">
        <v>17</v>
      </c>
      <c r="H5" s="5" t="s">
        <v>17</v>
      </c>
      <c r="I5" s="5" t="s">
        <v>17</v>
      </c>
      <c r="J5" s="5" t="s">
        <v>1199</v>
      </c>
    </row>
    <row r="6" spans="1:10" x14ac:dyDescent="0.25" outlineLevel="1" collapsed="1">
      <c r="A6" s="7" t="s">
        <v>19</v>
      </c>
      <c r="B6" s="7" t="s">
        <v>16</v>
      </c>
      <c r="C6" s="7" t="s">
        <v>17</v>
      </c>
      <c r="D6" s="7"/>
      <c r="E6" s="7" t="s">
        <v>1200</v>
      </c>
      <c r="F6" s="7" t="s">
        <v>19</v>
      </c>
      <c r="G6" s="7" t="s">
        <v>31</v>
      </c>
      <c r="H6" s="7" t="s">
        <v>17</v>
      </c>
      <c r="I6" s="7" t="s">
        <v>17</v>
      </c>
      <c r="J6" s="7" t="s">
        <v>1201</v>
      </c>
    </row>
    <row r="7" spans="1:10" x14ac:dyDescent="0.25" outlineLevel="1" collapsed="1">
      <c r="A7" s="7" t="s">
        <v>19</v>
      </c>
      <c r="B7" s="7" t="s">
        <v>16</v>
      </c>
      <c r="C7" s="7" t="s">
        <v>17</v>
      </c>
      <c r="D7" s="7"/>
      <c r="E7" s="7" t="s">
        <v>1202</v>
      </c>
      <c r="F7" s="7" t="s">
        <v>19</v>
      </c>
      <c r="G7" s="7" t="s">
        <v>31</v>
      </c>
      <c r="H7" s="7" t="s">
        <v>17</v>
      </c>
      <c r="I7" s="7" t="s">
        <v>17</v>
      </c>
      <c r="J7" s="7" t="s">
        <v>1203</v>
      </c>
    </row>
    <row r="8" spans="1:10" x14ac:dyDescent="0.25" outlineLevel="1" collapsed="1">
      <c r="A8" s="7" t="s">
        <v>19</v>
      </c>
      <c r="B8" s="7" t="s">
        <v>16</v>
      </c>
      <c r="C8" s="7" t="s">
        <v>17</v>
      </c>
      <c r="D8" s="7"/>
      <c r="E8" s="7" t="s">
        <v>1204</v>
      </c>
      <c r="F8" s="7" t="s">
        <v>19</v>
      </c>
      <c r="G8" s="7" t="s">
        <v>31</v>
      </c>
      <c r="H8" s="7" t="s">
        <v>17</v>
      </c>
      <c r="I8" s="7" t="s">
        <v>17</v>
      </c>
      <c r="J8" s="7" t="s">
        <v>1205</v>
      </c>
    </row>
    <row r="9" spans="1:10" x14ac:dyDescent="0.25" outlineLevel="1" collapsed="1">
      <c r="A9" s="7" t="s">
        <v>19</v>
      </c>
      <c r="B9" s="7" t="s">
        <v>16</v>
      </c>
      <c r="C9" s="7" t="s">
        <v>17</v>
      </c>
      <c r="D9" s="7"/>
      <c r="E9" s="7" t="s">
        <v>1206</v>
      </c>
      <c r="F9" s="7" t="s">
        <v>19</v>
      </c>
      <c r="G9" s="7" t="s">
        <v>31</v>
      </c>
      <c r="H9" s="7" t="s">
        <v>17</v>
      </c>
      <c r="I9" s="7" t="s">
        <v>17</v>
      </c>
      <c r="J9" s="7" t="s">
        <v>1207</v>
      </c>
    </row>
    <row r="10" spans="1:10" x14ac:dyDescent="0.25" outlineLevel="1" collapsed="1">
      <c r="A10" s="7" t="s">
        <v>19</v>
      </c>
      <c r="B10" s="7" t="s">
        <v>16</v>
      </c>
      <c r="C10" s="7" t="s">
        <v>17</v>
      </c>
      <c r="D10" s="7"/>
      <c r="E10" s="7" t="s">
        <v>2158</v>
      </c>
      <c r="F10" s="7" t="s">
        <v>19</v>
      </c>
      <c r="G10" s="7" t="s">
        <v>31</v>
      </c>
      <c r="H10" s="7" t="s">
        <v>17</v>
      </c>
      <c r="I10" s="7" t="s">
        <v>17</v>
      </c>
      <c r="J10" s="7" t="s">
        <v>2159</v>
      </c>
    </row>
    <row r="11" spans="1:10" x14ac:dyDescent="0.25" outlineLevel="1" collapsed="1">
      <c r="A11" s="7" t="s">
        <v>19</v>
      </c>
      <c r="B11" s="7" t="s">
        <v>16</v>
      </c>
      <c r="C11" s="7" t="s">
        <v>17</v>
      </c>
      <c r="D11" s="7"/>
      <c r="E11" s="7" t="s">
        <v>1210</v>
      </c>
      <c r="F11" s="7" t="s">
        <v>19</v>
      </c>
      <c r="G11" s="7" t="s">
        <v>31</v>
      </c>
      <c r="H11" s="7" t="s">
        <v>17</v>
      </c>
      <c r="I11" s="7" t="s">
        <v>17</v>
      </c>
      <c r="J11" s="7" t="s">
        <v>1211</v>
      </c>
    </row>
  </sheetData>
  <mergeCells count="3">
    <mergeCell ref="A1:J1"/>
    <mergeCell ref="B2:J2"/>
    <mergeCell ref="B3:J3"/>
  </mergeCells>
  <hyperlinks>
    <hyperlink ref="B5" r:id="rId1" location="#'1.18 Sustainable developmen 2'!A1"/>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2160</v>
      </c>
      <c r="B1" s="1"/>
      <c r="C1" s="1"/>
      <c r="D1" s="1"/>
      <c r="E1" s="1"/>
      <c r="F1" s="1"/>
      <c r="G1" s="1"/>
      <c r="H1" s="1"/>
      <c r="I1" s="1"/>
      <c r="J1" s="1"/>
    </row>
    <row r="2" spans="1:10" x14ac:dyDescent="0.25">
      <c r="A2" s="2" t="s">
        <v>1</v>
      </c>
      <c r="B2" s="3" t="s">
        <v>2161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1077</v>
      </c>
      <c r="F5" s="5" t="s">
        <v>19</v>
      </c>
      <c r="G5" s="5" t="s">
        <v>1078</v>
      </c>
      <c r="H5" s="5" t="s">
        <v>17</v>
      </c>
      <c r="I5" s="5" t="s">
        <v>17</v>
      </c>
      <c r="J5" s="5" t="s">
        <v>1079</v>
      </c>
    </row>
    <row r="6" spans="1:10" x14ac:dyDescent="0.25">
      <c r="A6" s="5" t="s">
        <v>15</v>
      </c>
      <c r="B6" s="5" t="s">
        <v>16</v>
      </c>
      <c r="C6" s="5" t="s">
        <v>17</v>
      </c>
      <c r="D6" s="5"/>
      <c r="E6" s="5" t="s">
        <v>1080</v>
      </c>
      <c r="F6" s="5" t="s">
        <v>19</v>
      </c>
      <c r="G6" s="5" t="s">
        <v>1081</v>
      </c>
      <c r="H6" s="5" t="s">
        <v>17</v>
      </c>
      <c r="I6" s="5" t="s">
        <v>17</v>
      </c>
      <c r="J6" s="5" t="s">
        <v>1082</v>
      </c>
    </row>
    <row r="7" spans="1:10" x14ac:dyDescent="0.25">
      <c r="A7" s="5" t="s">
        <v>19</v>
      </c>
      <c r="B7" s="5" t="s">
        <v>16</v>
      </c>
      <c r="C7" s="5" t="s">
        <v>17</v>
      </c>
      <c r="D7" s="5"/>
      <c r="E7" s="5" t="s">
        <v>1083</v>
      </c>
      <c r="F7" s="5" t="s">
        <v>19</v>
      </c>
      <c r="G7" s="5" t="s">
        <v>1084</v>
      </c>
      <c r="H7" s="5" t="s">
        <v>17</v>
      </c>
      <c r="I7" s="5" t="s">
        <v>17</v>
      </c>
      <c r="J7" s="5" t="s">
        <v>1085</v>
      </c>
    </row>
    <row r="8" spans="1:10" x14ac:dyDescent="0.25">
      <c r="A8" s="5" t="s">
        <v>19</v>
      </c>
      <c r="B8" s="5" t="s">
        <v>16</v>
      </c>
      <c r="C8" s="5" t="s">
        <v>17</v>
      </c>
      <c r="D8" s="5"/>
      <c r="E8" s="5" t="s">
        <v>1086</v>
      </c>
      <c r="F8" s="5" t="s">
        <v>19</v>
      </c>
      <c r="G8" s="5" t="s">
        <v>1087</v>
      </c>
      <c r="H8" s="5" t="s">
        <v>17</v>
      </c>
      <c r="I8" s="5" t="s">
        <v>17</v>
      </c>
      <c r="J8" s="5" t="s">
        <v>1088</v>
      </c>
    </row>
    <row r="9" spans="1:10" x14ac:dyDescent="0.25">
      <c r="A9" s="5" t="s">
        <v>19</v>
      </c>
      <c r="B9" s="5" t="s">
        <v>16</v>
      </c>
      <c r="C9" s="5" t="s">
        <v>17</v>
      </c>
      <c r="D9" s="5"/>
      <c r="E9" s="5" t="s">
        <v>1089</v>
      </c>
      <c r="F9" s="5" t="s">
        <v>19</v>
      </c>
      <c r="G9" s="5" t="s">
        <v>1090</v>
      </c>
      <c r="H9" s="5" t="s">
        <v>17</v>
      </c>
      <c r="I9" s="5" t="s">
        <v>17</v>
      </c>
      <c r="J9" s="5" t="s">
        <v>1091</v>
      </c>
    </row>
    <row r="10" spans="1:10" x14ac:dyDescent="0.25">
      <c r="A10" s="5" t="s">
        <v>15</v>
      </c>
      <c r="B10" s="5" t="s">
        <v>16</v>
      </c>
      <c r="C10" s="5" t="s">
        <v>17</v>
      </c>
      <c r="D10" s="5"/>
      <c r="E10" s="5" t="s">
        <v>1092</v>
      </c>
      <c r="F10" s="5" t="s">
        <v>19</v>
      </c>
      <c r="G10" s="5" t="s">
        <v>1093</v>
      </c>
      <c r="H10" s="5" t="s">
        <v>17</v>
      </c>
      <c r="I10" s="5" t="s">
        <v>17</v>
      </c>
      <c r="J10" s="5" t="s">
        <v>1094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2162</v>
      </c>
      <c r="B1" s="1"/>
      <c r="C1" s="1"/>
      <c r="D1" s="1"/>
      <c r="E1" s="1"/>
      <c r="F1" s="1"/>
      <c r="G1" s="1"/>
      <c r="H1" s="1"/>
      <c r="I1" s="1"/>
      <c r="J1" s="1"/>
    </row>
    <row r="2" spans="1:10" x14ac:dyDescent="0.25">
      <c r="A2" s="2" t="s">
        <v>1</v>
      </c>
      <c r="B2" s="3" t="s">
        <v>2163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1285</v>
      </c>
      <c r="C5" s="5" t="s">
        <v>17</v>
      </c>
      <c r="D5" s="5"/>
      <c r="E5" s="5" t="s">
        <v>1286</v>
      </c>
      <c r="F5" s="5" t="s">
        <v>15</v>
      </c>
      <c r="G5" s="5" t="s">
        <v>17</v>
      </c>
      <c r="H5" s="5" t="s">
        <v>17</v>
      </c>
      <c r="I5" s="5" t="s">
        <v>17</v>
      </c>
      <c r="J5" s="5" t="s">
        <v>1287</v>
      </c>
    </row>
    <row r="6" spans="1:10" x14ac:dyDescent="0.25" outlineLevel="1" collapsed="1">
      <c r="A6" s="7" t="s">
        <v>19</v>
      </c>
      <c r="B6" s="7" t="s">
        <v>16</v>
      </c>
      <c r="C6" s="7" t="s">
        <v>17</v>
      </c>
      <c r="D6" s="7"/>
      <c r="E6" s="7" t="s">
        <v>135</v>
      </c>
      <c r="F6" s="7" t="s">
        <v>19</v>
      </c>
      <c r="G6" s="7" t="s">
        <v>31</v>
      </c>
      <c r="H6" s="7" t="s">
        <v>17</v>
      </c>
      <c r="I6" s="7" t="s">
        <v>17</v>
      </c>
      <c r="J6" s="7" t="s">
        <v>136</v>
      </c>
    </row>
    <row r="7" spans="1:10" x14ac:dyDescent="0.25" outlineLevel="1" collapsed="1">
      <c r="A7" s="7" t="s">
        <v>19</v>
      </c>
      <c r="B7" s="7" t="s">
        <v>16</v>
      </c>
      <c r="C7" s="7" t="s">
        <v>17</v>
      </c>
      <c r="D7" s="7"/>
      <c r="E7" s="7" t="s">
        <v>1288</v>
      </c>
      <c r="F7" s="7" t="s">
        <v>19</v>
      </c>
      <c r="G7" s="7" t="s">
        <v>31</v>
      </c>
      <c r="H7" s="7" t="s">
        <v>17</v>
      </c>
      <c r="I7" s="7" t="s">
        <v>17</v>
      </c>
      <c r="J7" s="7" t="s">
        <v>1289</v>
      </c>
    </row>
    <row r="8" spans="1:10" x14ac:dyDescent="0.25" outlineLevel="1" collapsed="1">
      <c r="A8" s="7" t="s">
        <v>19</v>
      </c>
      <c r="B8" s="7" t="s">
        <v>16</v>
      </c>
      <c r="C8" s="7" t="s">
        <v>17</v>
      </c>
      <c r="D8" s="7"/>
      <c r="E8" s="7" t="s">
        <v>164</v>
      </c>
      <c r="F8" s="7" t="s">
        <v>19</v>
      </c>
      <c r="G8" s="7" t="s">
        <v>31</v>
      </c>
      <c r="H8" s="7" t="s">
        <v>17</v>
      </c>
      <c r="I8" s="7" t="s">
        <v>17</v>
      </c>
      <c r="J8" s="7" t="s">
        <v>165</v>
      </c>
    </row>
    <row r="9" spans="1:10" x14ac:dyDescent="0.25" outlineLevel="1" collapsed="1">
      <c r="A9" s="7" t="s">
        <v>19</v>
      </c>
      <c r="B9" s="7" t="s">
        <v>16</v>
      </c>
      <c r="C9" s="7" t="s">
        <v>17</v>
      </c>
      <c r="D9" s="7"/>
      <c r="E9" s="7" t="s">
        <v>1290</v>
      </c>
      <c r="F9" s="7" t="s">
        <v>19</v>
      </c>
      <c r="G9" s="7" t="s">
        <v>31</v>
      </c>
      <c r="H9" s="7" t="s">
        <v>17</v>
      </c>
      <c r="I9" s="7" t="s">
        <v>17</v>
      </c>
      <c r="J9" s="7" t="s">
        <v>1291</v>
      </c>
    </row>
    <row r="10" spans="1:10" x14ac:dyDescent="0.25" outlineLevel="1" collapsed="1">
      <c r="A10" s="7" t="s">
        <v>19</v>
      </c>
      <c r="B10" s="7" t="s">
        <v>16</v>
      </c>
      <c r="C10" s="7" t="s">
        <v>17</v>
      </c>
      <c r="D10" s="7"/>
      <c r="E10" s="7" t="s">
        <v>166</v>
      </c>
      <c r="F10" s="7" t="s">
        <v>19</v>
      </c>
      <c r="G10" s="7" t="s">
        <v>31</v>
      </c>
      <c r="H10" s="7" t="s">
        <v>17</v>
      </c>
      <c r="I10" s="7" t="s">
        <v>17</v>
      </c>
      <c r="J10" s="7" t="s">
        <v>167</v>
      </c>
    </row>
  </sheetData>
  <mergeCells count="3">
    <mergeCell ref="A1:J1"/>
    <mergeCell ref="B2:J2"/>
    <mergeCell ref="B3:J3"/>
  </mergeCells>
  <hyperlinks>
    <hyperlink ref="B5" r:id="rId1" location="#'Benefit-sharing mechanism row'!A1"/>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2164</v>
      </c>
      <c r="B1" s="1"/>
      <c r="C1" s="1"/>
      <c r="D1" s="1"/>
      <c r="E1" s="1"/>
      <c r="F1" s="1"/>
      <c r="G1" s="1"/>
      <c r="H1" s="1"/>
      <c r="I1" s="1"/>
      <c r="J1" s="1"/>
    </row>
    <row r="2" spans="1:10" x14ac:dyDescent="0.25">
      <c r="A2" s="2" t="s">
        <v>1</v>
      </c>
      <c r="B2" s="3" t="s">
        <v>2165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863</v>
      </c>
      <c r="F5" s="5" t="s">
        <v>19</v>
      </c>
      <c r="G5" s="5" t="s">
        <v>864</v>
      </c>
      <c r="H5" s="5" t="s">
        <v>864</v>
      </c>
      <c r="I5" s="5" t="s">
        <v>17</v>
      </c>
      <c r="J5" s="5" t="s">
        <v>865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2166</v>
      </c>
      <c r="B1" s="1"/>
      <c r="C1" s="1"/>
      <c r="D1" s="1"/>
      <c r="E1" s="1"/>
      <c r="F1" s="1"/>
      <c r="G1" s="1"/>
      <c r="H1" s="1"/>
      <c r="I1" s="1"/>
      <c r="J1" s="1"/>
    </row>
    <row r="2" spans="1:10" x14ac:dyDescent="0.25">
      <c r="A2" s="2" t="s">
        <v>1</v>
      </c>
      <c r="B2" s="3" t="s">
        <v>2167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253</v>
      </c>
      <c r="F5" s="5" t="s">
        <v>19</v>
      </c>
      <c r="G5" s="5" t="s">
        <v>1065</v>
      </c>
      <c r="H5" s="5" t="s">
        <v>17</v>
      </c>
      <c r="I5" s="5" t="s">
        <v>17</v>
      </c>
      <c r="J5" s="5" t="s">
        <v>255</v>
      </c>
    </row>
    <row r="6" spans="1:10" x14ac:dyDescent="0.25">
      <c r="A6" s="5" t="s">
        <v>19</v>
      </c>
      <c r="B6" s="5" t="s">
        <v>16</v>
      </c>
      <c r="C6" s="5" t="s">
        <v>17</v>
      </c>
      <c r="D6" s="5"/>
      <c r="E6" s="5" t="s">
        <v>256</v>
      </c>
      <c r="F6" s="5" t="s">
        <v>19</v>
      </c>
      <c r="G6" s="5" t="s">
        <v>257</v>
      </c>
      <c r="H6" s="5" t="s">
        <v>17</v>
      </c>
      <c r="I6" s="5" t="s">
        <v>17</v>
      </c>
      <c r="J6" s="5" t="s">
        <v>258</v>
      </c>
    </row>
    <row r="7" spans="1:10" x14ac:dyDescent="0.25">
      <c r="A7" s="5" t="s">
        <v>19</v>
      </c>
      <c r="B7" s="5" t="s">
        <v>16</v>
      </c>
      <c r="C7" s="5" t="s">
        <v>17</v>
      </c>
      <c r="D7" s="5"/>
      <c r="E7" s="5" t="s">
        <v>259</v>
      </c>
      <c r="F7" s="5" t="s">
        <v>19</v>
      </c>
      <c r="G7" s="5" t="s">
        <v>1066</v>
      </c>
      <c r="H7" s="5" t="s">
        <v>17</v>
      </c>
      <c r="I7" s="5" t="s">
        <v>17</v>
      </c>
      <c r="J7" s="5" t="s">
        <v>261</v>
      </c>
    </row>
    <row r="8" spans="1:10" x14ac:dyDescent="0.25">
      <c r="A8" s="5" t="s">
        <v>19</v>
      </c>
      <c r="B8" s="5" t="s">
        <v>16</v>
      </c>
      <c r="C8" s="5" t="s">
        <v>17</v>
      </c>
      <c r="D8" s="5"/>
      <c r="E8" s="5" t="s">
        <v>262</v>
      </c>
      <c r="F8" s="5" t="s">
        <v>19</v>
      </c>
      <c r="G8" s="5" t="s">
        <v>31</v>
      </c>
      <c r="H8" s="5" t="s">
        <v>17</v>
      </c>
      <c r="I8" s="5" t="s">
        <v>17</v>
      </c>
      <c r="J8" s="5" t="s">
        <v>263</v>
      </c>
    </row>
    <row r="9" spans="1:10" x14ac:dyDescent="0.25">
      <c r="A9" s="5" t="s">
        <v>19</v>
      </c>
      <c r="B9" s="5" t="s">
        <v>16</v>
      </c>
      <c r="C9" s="5" t="s">
        <v>17</v>
      </c>
      <c r="D9" s="5"/>
      <c r="E9" s="5" t="s">
        <v>264</v>
      </c>
      <c r="F9" s="5" t="s">
        <v>19</v>
      </c>
      <c r="G9" s="5" t="s">
        <v>31</v>
      </c>
      <c r="H9" s="5" t="s">
        <v>17</v>
      </c>
      <c r="I9" s="5" t="s">
        <v>17</v>
      </c>
      <c r="J9" s="5" t="s">
        <v>265</v>
      </c>
    </row>
    <row r="10" spans="1:10" x14ac:dyDescent="0.25">
      <c r="A10" s="5" t="s">
        <v>19</v>
      </c>
      <c r="B10" s="5" t="s">
        <v>16</v>
      </c>
      <c r="C10" s="5" t="s">
        <v>17</v>
      </c>
      <c r="D10" s="5"/>
      <c r="E10" s="5" t="s">
        <v>266</v>
      </c>
      <c r="F10" s="5" t="s">
        <v>19</v>
      </c>
      <c r="G10" s="5" t="s">
        <v>31</v>
      </c>
      <c r="H10" s="5" t="s">
        <v>17</v>
      </c>
      <c r="I10" s="5" t="s">
        <v>17</v>
      </c>
      <c r="J10" s="5" t="s">
        <v>267</v>
      </c>
    </row>
    <row r="11" spans="1:10" x14ac:dyDescent="0.25">
      <c r="A11" s="5" t="s">
        <v>19</v>
      </c>
      <c r="B11" s="5" t="s">
        <v>63</v>
      </c>
      <c r="C11" s="5" t="s">
        <v>17</v>
      </c>
      <c r="D11" s="5"/>
      <c r="E11" s="5" t="s">
        <v>268</v>
      </c>
      <c r="F11" s="5" t="s">
        <v>19</v>
      </c>
      <c r="G11" s="5">
        <v>1</v>
      </c>
      <c r="H11" s="5" t="s">
        <v>17</v>
      </c>
      <c r="I11" s="5" t="s">
        <v>17</v>
      </c>
      <c r="J11" s="5" t="s">
        <v>269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2168</v>
      </c>
      <c r="B1" s="1"/>
      <c r="C1" s="1"/>
      <c r="D1" s="1"/>
      <c r="E1" s="1"/>
      <c r="F1" s="1"/>
      <c r="G1" s="1"/>
      <c r="H1" s="1"/>
      <c r="I1" s="1"/>
      <c r="J1" s="1"/>
    </row>
    <row r="2" spans="1:10" x14ac:dyDescent="0.25">
      <c r="A2" s="2" t="s">
        <v>1</v>
      </c>
      <c r="B2" s="3" t="s">
        <v>2169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2170</v>
      </c>
      <c r="F5" s="5" t="s">
        <v>19</v>
      </c>
      <c r="G5" s="5" t="s">
        <v>1015</v>
      </c>
      <c r="H5" s="5" t="s">
        <v>17</v>
      </c>
      <c r="I5" s="5" t="s">
        <v>17</v>
      </c>
      <c r="J5" s="5" t="s">
        <v>2171</v>
      </c>
    </row>
    <row r="6" spans="1:10" x14ac:dyDescent="0.25">
      <c r="A6" s="5" t="s">
        <v>19</v>
      </c>
      <c r="B6" s="5" t="s">
        <v>16</v>
      </c>
      <c r="C6" s="5" t="s">
        <v>17</v>
      </c>
      <c r="D6" s="5"/>
      <c r="E6" s="5" t="s">
        <v>2172</v>
      </c>
      <c r="F6" s="5" t="s">
        <v>19</v>
      </c>
      <c r="G6" s="5" t="s">
        <v>2173</v>
      </c>
      <c r="H6" s="5" t="s">
        <v>17</v>
      </c>
      <c r="I6" s="5" t="s">
        <v>17</v>
      </c>
      <c r="J6" s="5" t="s">
        <v>2174</v>
      </c>
    </row>
    <row r="7" spans="1:10" x14ac:dyDescent="0.25">
      <c r="A7" s="5" t="s">
        <v>19</v>
      </c>
      <c r="B7" s="5" t="s">
        <v>16</v>
      </c>
      <c r="C7" s="5" t="s">
        <v>17</v>
      </c>
      <c r="D7" s="5"/>
      <c r="E7" s="5" t="s">
        <v>2175</v>
      </c>
      <c r="F7" s="5" t="s">
        <v>19</v>
      </c>
      <c r="G7" s="5" t="s">
        <v>1015</v>
      </c>
      <c r="H7" s="5" t="s">
        <v>17</v>
      </c>
      <c r="I7" s="5" t="s">
        <v>17</v>
      </c>
      <c r="J7" s="5" t="s">
        <v>2176</v>
      </c>
    </row>
    <row r="8" spans="1:10" x14ac:dyDescent="0.25">
      <c r="A8" s="5" t="s">
        <v>15</v>
      </c>
      <c r="B8" s="5" t="s">
        <v>16</v>
      </c>
      <c r="C8" s="5" t="s">
        <v>17</v>
      </c>
      <c r="D8" s="5"/>
      <c r="E8" s="5" t="s">
        <v>2177</v>
      </c>
      <c r="F8" s="5" t="s">
        <v>19</v>
      </c>
      <c r="G8" s="5" t="s">
        <v>2178</v>
      </c>
      <c r="H8" s="5" t="s">
        <v>17</v>
      </c>
      <c r="I8" s="5" t="s">
        <v>17</v>
      </c>
      <c r="J8" s="5" t="s">
        <v>1191</v>
      </c>
    </row>
    <row r="9" spans="1:10" x14ac:dyDescent="0.25">
      <c r="A9" s="5" t="s">
        <v>19</v>
      </c>
      <c r="B9" s="5" t="s">
        <v>16</v>
      </c>
      <c r="C9" s="5" t="s">
        <v>17</v>
      </c>
      <c r="D9" s="5"/>
      <c r="E9" s="5" t="s">
        <v>2179</v>
      </c>
      <c r="F9" s="5" t="s">
        <v>19</v>
      </c>
      <c r="G9" s="5" t="s">
        <v>2180</v>
      </c>
      <c r="H9" s="5" t="s">
        <v>17</v>
      </c>
      <c r="I9" s="5" t="s">
        <v>17</v>
      </c>
      <c r="J9" s="5" t="s">
        <v>2181</v>
      </c>
    </row>
    <row r="10" spans="1:10" x14ac:dyDescent="0.25">
      <c r="A10" s="5" t="s">
        <v>19</v>
      </c>
      <c r="B10" s="5" t="s">
        <v>16</v>
      </c>
      <c r="C10" s="5" t="s">
        <v>17</v>
      </c>
      <c r="D10" s="5"/>
      <c r="E10" s="5" t="s">
        <v>2182</v>
      </c>
      <c r="F10" s="5" t="s">
        <v>19</v>
      </c>
      <c r="G10" s="5" t="s">
        <v>2183</v>
      </c>
      <c r="H10" s="5" t="s">
        <v>17</v>
      </c>
      <c r="I10" s="5" t="s">
        <v>17</v>
      </c>
      <c r="J10" s="5" t="s">
        <v>2184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2185</v>
      </c>
      <c r="B1" s="1"/>
      <c r="C1" s="1"/>
      <c r="D1" s="1"/>
      <c r="E1" s="1"/>
      <c r="F1" s="1"/>
      <c r="G1" s="1"/>
      <c r="H1" s="1"/>
      <c r="I1" s="1"/>
      <c r="J1" s="1"/>
    </row>
    <row r="2" spans="1:10" x14ac:dyDescent="0.25">
      <c r="A2" s="2" t="s">
        <v>1</v>
      </c>
      <c r="B2" s="3" t="s">
        <v>2186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2187</v>
      </c>
      <c r="B1" s="1"/>
      <c r="C1" s="1"/>
      <c r="D1" s="1"/>
      <c r="E1" s="1"/>
      <c r="F1" s="1"/>
      <c r="G1" s="1"/>
      <c r="H1" s="1"/>
      <c r="I1" s="1"/>
      <c r="J1" s="1"/>
    </row>
    <row r="2" spans="1:10" x14ac:dyDescent="0.25">
      <c r="A2" s="2" t="s">
        <v>1</v>
      </c>
      <c r="B2" s="3" t="s">
        <v>2188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2189</v>
      </c>
      <c r="C5" s="5" t="s">
        <v>17</v>
      </c>
      <c r="D5" s="5"/>
      <c r="E5" s="5" t="s">
        <v>2190</v>
      </c>
      <c r="F5" s="5" t="s">
        <v>19</v>
      </c>
      <c r="G5" s="5" t="s">
        <v>17</v>
      </c>
      <c r="H5" s="5" t="s">
        <v>17</v>
      </c>
      <c r="I5" s="5" t="s">
        <v>17</v>
      </c>
      <c r="J5" s="5" t="s">
        <v>1491</v>
      </c>
    </row>
    <row r="6" spans="1:10" x14ac:dyDescent="0.25" outlineLevel="1" collapsed="1">
      <c r="A6" s="7" t="s">
        <v>15</v>
      </c>
      <c r="B6" s="7" t="s">
        <v>159</v>
      </c>
      <c r="C6" s="7" t="s">
        <v>17</v>
      </c>
      <c r="D6" s="7"/>
      <c r="E6" s="7" t="s">
        <v>2191</v>
      </c>
      <c r="F6" s="7" t="s">
        <v>19</v>
      </c>
      <c r="G6" s="7" t="b">
        <v>0</v>
      </c>
      <c r="H6" s="7" t="s">
        <v>17</v>
      </c>
      <c r="I6" s="7" t="s">
        <v>17</v>
      </c>
      <c r="J6" s="7" t="s">
        <v>2192</v>
      </c>
    </row>
    <row r="7" spans="1:10" x14ac:dyDescent="0.25" outlineLevel="1" collapsed="1">
      <c r="A7" s="7" t="s">
        <v>15</v>
      </c>
      <c r="B7" s="7" t="s">
        <v>16</v>
      </c>
      <c r="C7" s="7" t="s">
        <v>17</v>
      </c>
      <c r="D7" s="7"/>
      <c r="E7" s="7" t="s">
        <v>2193</v>
      </c>
      <c r="F7" s="7" t="s">
        <v>19</v>
      </c>
      <c r="G7" s="7" t="s">
        <v>2194</v>
      </c>
      <c r="H7" s="7" t="s">
        <v>2194</v>
      </c>
      <c r="I7" s="7" t="s">
        <v>17</v>
      </c>
      <c r="J7" s="7" t="s">
        <v>2195</v>
      </c>
    </row>
    <row r="8" spans="1:10" x14ac:dyDescent="0.25">
      <c r="A8" s="5" t="s">
        <v>19</v>
      </c>
      <c r="B8" s="6" t="s">
        <v>2196</v>
      </c>
      <c r="C8" s="5" t="s">
        <v>17</v>
      </c>
      <c r="D8" s="5"/>
      <c r="E8" s="5" t="s">
        <v>2197</v>
      </c>
      <c r="F8" s="5" t="s">
        <v>19</v>
      </c>
      <c r="G8" s="5" t="s">
        <v>17</v>
      </c>
      <c r="H8" s="5" t="s">
        <v>17</v>
      </c>
      <c r="I8" s="5" t="s">
        <v>17</v>
      </c>
      <c r="J8" s="5" t="s">
        <v>621</v>
      </c>
    </row>
    <row r="9" spans="1:10" x14ac:dyDescent="0.25" outlineLevel="1" collapsed="1">
      <c r="A9" s="7" t="s">
        <v>19</v>
      </c>
      <c r="B9" s="7" t="s">
        <v>159</v>
      </c>
      <c r="C9" s="7" t="s">
        <v>17</v>
      </c>
      <c r="D9" s="7"/>
      <c r="E9" s="7" t="s">
        <v>2198</v>
      </c>
      <c r="F9" s="7" t="s">
        <v>19</v>
      </c>
      <c r="G9" s="7" t="b">
        <v>1</v>
      </c>
      <c r="H9" s="7" t="s">
        <v>17</v>
      </c>
      <c r="I9" s="7" t="s">
        <v>17</v>
      </c>
      <c r="J9" s="7" t="s">
        <v>1501</v>
      </c>
    </row>
    <row r="10" spans="1:10" x14ac:dyDescent="0.25" outlineLevel="1" collapsed="1">
      <c r="A10" s="7" t="s">
        <v>19</v>
      </c>
      <c r="B10" s="7" t="s">
        <v>16</v>
      </c>
      <c r="C10" s="7" t="s">
        <v>17</v>
      </c>
      <c r="D10" s="7"/>
      <c r="E10" s="7" t="s">
        <v>2199</v>
      </c>
      <c r="F10" s="7" t="s">
        <v>19</v>
      </c>
      <c r="G10" s="7" t="s">
        <v>31</v>
      </c>
      <c r="H10" s="7" t="s">
        <v>17</v>
      </c>
      <c r="I10" s="7" t="s">
        <v>17</v>
      </c>
      <c r="J10" s="7" t="s">
        <v>1504</v>
      </c>
    </row>
    <row r="11" spans="1:10" x14ac:dyDescent="0.25" outlineLevel="1" collapsed="1">
      <c r="A11" s="8" t="s">
        <v>19</v>
      </c>
      <c r="B11" s="9" t="s">
        <v>2200</v>
      </c>
      <c r="C11" s="8" t="s">
        <v>17</v>
      </c>
      <c r="D11" s="8"/>
      <c r="E11" s="8" t="s">
        <v>2201</v>
      </c>
      <c r="F11" s="8" t="s">
        <v>15</v>
      </c>
      <c r="G11" s="8" t="s">
        <v>17</v>
      </c>
      <c r="H11" s="8" t="s">
        <v>17</v>
      </c>
      <c r="I11" s="8" t="s">
        <v>17</v>
      </c>
      <c r="J11" s="8" t="s">
        <v>2202</v>
      </c>
    </row>
    <row r="12" spans="1:10" x14ac:dyDescent="0.25" outlineLevel="2" collapsed="1">
      <c r="A12" s="7" t="s">
        <v>19</v>
      </c>
      <c r="B12" s="7" t="s">
        <v>16</v>
      </c>
      <c r="C12" s="7" t="s">
        <v>17</v>
      </c>
      <c r="D12" s="7"/>
      <c r="E12" s="7" t="s">
        <v>728</v>
      </c>
      <c r="F12" s="7" t="s">
        <v>19</v>
      </c>
      <c r="G12" s="7" t="s">
        <v>31</v>
      </c>
      <c r="H12" s="7" t="s">
        <v>17</v>
      </c>
      <c r="I12" s="7" t="s">
        <v>17</v>
      </c>
      <c r="J12" s="7" t="s">
        <v>730</v>
      </c>
    </row>
    <row r="13" spans="1:10" x14ac:dyDescent="0.25" outlineLevel="2" collapsed="1">
      <c r="A13" s="7" t="s">
        <v>19</v>
      </c>
      <c r="B13" s="7" t="s">
        <v>16</v>
      </c>
      <c r="C13" s="7" t="s">
        <v>17</v>
      </c>
      <c r="D13" s="7"/>
      <c r="E13" s="7" t="s">
        <v>731</v>
      </c>
      <c r="F13" s="7" t="s">
        <v>19</v>
      </c>
      <c r="G13" s="7" t="s">
        <v>31</v>
      </c>
      <c r="H13" s="7" t="s">
        <v>17</v>
      </c>
      <c r="I13" s="7" t="s">
        <v>17</v>
      </c>
      <c r="J13" s="7" t="s">
        <v>733</v>
      </c>
    </row>
    <row r="14" spans="1:10" x14ac:dyDescent="0.25" outlineLevel="2" collapsed="1">
      <c r="A14" s="7" t="s">
        <v>19</v>
      </c>
      <c r="B14" s="7" t="s">
        <v>16</v>
      </c>
      <c r="C14" s="7" t="s">
        <v>17</v>
      </c>
      <c r="D14" s="7"/>
      <c r="E14" s="7" t="s">
        <v>1529</v>
      </c>
      <c r="F14" s="7" t="s">
        <v>19</v>
      </c>
      <c r="G14" s="7" t="s">
        <v>31</v>
      </c>
      <c r="H14" s="7" t="s">
        <v>17</v>
      </c>
      <c r="I14" s="7" t="s">
        <v>17</v>
      </c>
      <c r="J14" s="7" t="s">
        <v>2203</v>
      </c>
    </row>
    <row r="15" spans="1:10" x14ac:dyDescent="0.25" outlineLevel="2" collapsed="1">
      <c r="A15" s="7" t="s">
        <v>19</v>
      </c>
      <c r="B15" s="7" t="s">
        <v>16</v>
      </c>
      <c r="C15" s="7" t="s">
        <v>17</v>
      </c>
      <c r="D15" s="7"/>
      <c r="E15" s="7" t="s">
        <v>1531</v>
      </c>
      <c r="F15" s="7" t="s">
        <v>19</v>
      </c>
      <c r="G15" s="7" t="s">
        <v>31</v>
      </c>
      <c r="H15" s="7" t="s">
        <v>17</v>
      </c>
      <c r="I15" s="7" t="s">
        <v>17</v>
      </c>
      <c r="J15" s="7" t="s">
        <v>2204</v>
      </c>
    </row>
    <row r="16" spans="1:10" x14ac:dyDescent="0.25" outlineLevel="2" collapsed="1">
      <c r="A16" s="7" t="s">
        <v>19</v>
      </c>
      <c r="B16" s="7" t="s">
        <v>16</v>
      </c>
      <c r="C16" s="7" t="s">
        <v>17</v>
      </c>
      <c r="D16" s="7"/>
      <c r="E16" s="7" t="s">
        <v>1533</v>
      </c>
      <c r="F16" s="7" t="s">
        <v>19</v>
      </c>
      <c r="G16" s="7" t="s">
        <v>31</v>
      </c>
      <c r="H16" s="7" t="s">
        <v>17</v>
      </c>
      <c r="I16" s="7" t="s">
        <v>17</v>
      </c>
      <c r="J16" s="7" t="s">
        <v>2205</v>
      </c>
    </row>
    <row r="17" spans="1:10" x14ac:dyDescent="0.25" outlineLevel="2" collapsed="1">
      <c r="A17" s="7" t="s">
        <v>19</v>
      </c>
      <c r="B17" s="7" t="s">
        <v>16</v>
      </c>
      <c r="C17" s="7" t="s">
        <v>17</v>
      </c>
      <c r="D17" s="7"/>
      <c r="E17" s="7" t="s">
        <v>1535</v>
      </c>
      <c r="F17" s="7" t="s">
        <v>19</v>
      </c>
      <c r="G17" s="7" t="s">
        <v>31</v>
      </c>
      <c r="H17" s="7" t="s">
        <v>17</v>
      </c>
      <c r="I17" s="7" t="s">
        <v>17</v>
      </c>
      <c r="J17" s="7" t="s">
        <v>2206</v>
      </c>
    </row>
    <row r="18" spans="1:10" x14ac:dyDescent="0.25" outlineLevel="2" collapsed="1">
      <c r="A18" s="7" t="s">
        <v>19</v>
      </c>
      <c r="B18" s="7" t="s">
        <v>16</v>
      </c>
      <c r="C18" s="7" t="s">
        <v>17</v>
      </c>
      <c r="D18" s="7"/>
      <c r="E18" s="7" t="s">
        <v>1537</v>
      </c>
      <c r="F18" s="7" t="s">
        <v>19</v>
      </c>
      <c r="G18" s="7" t="s">
        <v>31</v>
      </c>
      <c r="H18" s="7" t="s">
        <v>17</v>
      </c>
      <c r="I18" s="7" t="s">
        <v>17</v>
      </c>
      <c r="J18" s="7" t="s">
        <v>2207</v>
      </c>
    </row>
    <row r="19" spans="1:10" x14ac:dyDescent="0.25" outlineLevel="2" collapsed="1">
      <c r="A19" s="7" t="s">
        <v>19</v>
      </c>
      <c r="B19" s="7" t="s">
        <v>16</v>
      </c>
      <c r="C19" s="7" t="s">
        <v>17</v>
      </c>
      <c r="D19" s="7"/>
      <c r="E19" s="7" t="s">
        <v>1539</v>
      </c>
      <c r="F19" s="7" t="s">
        <v>19</v>
      </c>
      <c r="G19" s="7" t="s">
        <v>31</v>
      </c>
      <c r="H19" s="7" t="s">
        <v>17</v>
      </c>
      <c r="I19" s="7" t="s">
        <v>17</v>
      </c>
      <c r="J19" s="7" t="s">
        <v>752</v>
      </c>
    </row>
    <row r="20" spans="1:10" x14ac:dyDescent="0.25" outlineLevel="1" collapsed="1">
      <c r="A20" s="8" t="s">
        <v>19</v>
      </c>
      <c r="B20" s="9" t="s">
        <v>2208</v>
      </c>
      <c r="C20" s="8" t="s">
        <v>17</v>
      </c>
      <c r="D20" s="8"/>
      <c r="E20" s="8" t="s">
        <v>2209</v>
      </c>
      <c r="F20" s="8" t="s">
        <v>15</v>
      </c>
      <c r="G20" s="8" t="s">
        <v>17</v>
      </c>
      <c r="H20" s="8" t="s">
        <v>17</v>
      </c>
      <c r="I20" s="8" t="s">
        <v>17</v>
      </c>
      <c r="J20" s="8" t="s">
        <v>2210</v>
      </c>
    </row>
    <row r="21" spans="1:10" x14ac:dyDescent="0.25" outlineLevel="2" collapsed="1">
      <c r="A21" s="7" t="s">
        <v>19</v>
      </c>
      <c r="B21" s="7" t="s">
        <v>16</v>
      </c>
      <c r="C21" s="7" t="s">
        <v>17</v>
      </c>
      <c r="D21" s="7"/>
      <c r="E21" s="7" t="s">
        <v>728</v>
      </c>
      <c r="F21" s="7" t="s">
        <v>19</v>
      </c>
      <c r="G21" s="7" t="s">
        <v>31</v>
      </c>
      <c r="H21" s="7" t="s">
        <v>17</v>
      </c>
      <c r="I21" s="7" t="s">
        <v>17</v>
      </c>
      <c r="J21" s="7" t="s">
        <v>730</v>
      </c>
    </row>
    <row r="22" spans="1:10" x14ac:dyDescent="0.25" outlineLevel="2" collapsed="1">
      <c r="A22" s="7" t="s">
        <v>19</v>
      </c>
      <c r="B22" s="7" t="s">
        <v>16</v>
      </c>
      <c r="C22" s="7" t="s">
        <v>17</v>
      </c>
      <c r="D22" s="7"/>
      <c r="E22" s="7" t="s">
        <v>731</v>
      </c>
      <c r="F22" s="7" t="s">
        <v>19</v>
      </c>
      <c r="G22" s="7" t="s">
        <v>31</v>
      </c>
      <c r="H22" s="7" t="s">
        <v>17</v>
      </c>
      <c r="I22" s="7" t="s">
        <v>17</v>
      </c>
      <c r="J22" s="7" t="s">
        <v>733</v>
      </c>
    </row>
    <row r="23" spans="1:10" x14ac:dyDescent="0.25" outlineLevel="2" collapsed="1">
      <c r="A23" s="7" t="s">
        <v>19</v>
      </c>
      <c r="B23" s="7" t="s">
        <v>16</v>
      </c>
      <c r="C23" s="7" t="s">
        <v>17</v>
      </c>
      <c r="D23" s="7"/>
      <c r="E23" s="7" t="s">
        <v>1559</v>
      </c>
      <c r="F23" s="7" t="s">
        <v>19</v>
      </c>
      <c r="G23" s="7" t="s">
        <v>31</v>
      </c>
      <c r="H23" s="7" t="s">
        <v>17</v>
      </c>
      <c r="I23" s="7" t="s">
        <v>17</v>
      </c>
      <c r="J23" s="7" t="s">
        <v>2211</v>
      </c>
    </row>
    <row r="24" spans="1:10" x14ac:dyDescent="0.25" outlineLevel="2" collapsed="1">
      <c r="A24" s="7" t="s">
        <v>19</v>
      </c>
      <c r="B24" s="7" t="s">
        <v>16</v>
      </c>
      <c r="C24" s="7" t="s">
        <v>17</v>
      </c>
      <c r="D24" s="7"/>
      <c r="E24" s="7" t="s">
        <v>1533</v>
      </c>
      <c r="F24" s="7" t="s">
        <v>19</v>
      </c>
      <c r="G24" s="7" t="s">
        <v>31</v>
      </c>
      <c r="H24" s="7" t="s">
        <v>17</v>
      </c>
      <c r="I24" s="7" t="s">
        <v>17</v>
      </c>
      <c r="J24" s="7" t="s">
        <v>2205</v>
      </c>
    </row>
    <row r="25" spans="1:10" x14ac:dyDescent="0.25" outlineLevel="2" collapsed="1">
      <c r="A25" s="7" t="s">
        <v>19</v>
      </c>
      <c r="B25" s="7" t="s">
        <v>16</v>
      </c>
      <c r="C25" s="7" t="s">
        <v>17</v>
      </c>
      <c r="D25" s="7"/>
      <c r="E25" s="7" t="s">
        <v>1539</v>
      </c>
      <c r="F25" s="7" t="s">
        <v>19</v>
      </c>
      <c r="G25" s="7" t="s">
        <v>31</v>
      </c>
      <c r="H25" s="7" t="s">
        <v>17</v>
      </c>
      <c r="I25" s="7" t="s">
        <v>17</v>
      </c>
      <c r="J25" s="7" t="s">
        <v>752</v>
      </c>
    </row>
    <row r="26" spans="1:10" x14ac:dyDescent="0.25">
      <c r="A26" s="5" t="s">
        <v>15</v>
      </c>
      <c r="B26" s="6" t="s">
        <v>2212</v>
      </c>
      <c r="C26" s="5" t="s">
        <v>17</v>
      </c>
      <c r="D26" s="5"/>
      <c r="E26" s="5" t="s">
        <v>2213</v>
      </c>
      <c r="F26" s="5" t="s">
        <v>19</v>
      </c>
      <c r="G26" s="5" t="s">
        <v>17</v>
      </c>
      <c r="H26" s="5" t="s">
        <v>17</v>
      </c>
      <c r="I26" s="5" t="s">
        <v>17</v>
      </c>
      <c r="J26" s="5" t="s">
        <v>623</v>
      </c>
    </row>
    <row r="27" spans="1:10" x14ac:dyDescent="0.25" outlineLevel="1" collapsed="1">
      <c r="A27" s="7" t="s">
        <v>15</v>
      </c>
      <c r="B27" s="7" t="s">
        <v>159</v>
      </c>
      <c r="C27" s="7" t="s">
        <v>17</v>
      </c>
      <c r="D27" s="7"/>
      <c r="E27" s="7" t="s">
        <v>2214</v>
      </c>
      <c r="F27" s="7" t="s">
        <v>19</v>
      </c>
      <c r="G27" s="7" t="b">
        <v>0</v>
      </c>
      <c r="H27" s="7" t="s">
        <v>17</v>
      </c>
      <c r="I27" s="7" t="s">
        <v>17</v>
      </c>
      <c r="J27" s="7" t="s">
        <v>2215</v>
      </c>
    </row>
    <row r="28" spans="1:10" x14ac:dyDescent="0.25" outlineLevel="1" collapsed="1">
      <c r="A28" s="7" t="s">
        <v>15</v>
      </c>
      <c r="B28" s="7" t="s">
        <v>16</v>
      </c>
      <c r="C28" s="7" t="s">
        <v>17</v>
      </c>
      <c r="D28" s="7"/>
      <c r="E28" s="7" t="s">
        <v>2216</v>
      </c>
      <c r="F28" s="7" t="s">
        <v>19</v>
      </c>
      <c r="G28" s="7" t="s">
        <v>2217</v>
      </c>
      <c r="H28" s="7" t="s">
        <v>2217</v>
      </c>
      <c r="I28" s="7" t="s">
        <v>17</v>
      </c>
      <c r="J28" s="7" t="s">
        <v>2218</v>
      </c>
    </row>
    <row r="29" spans="1:10" x14ac:dyDescent="0.25" outlineLevel="1" collapsed="1">
      <c r="A29" s="7" t="s">
        <v>19</v>
      </c>
      <c r="B29" s="7" t="s">
        <v>63</v>
      </c>
      <c r="C29" s="7" t="s">
        <v>17</v>
      </c>
      <c r="D29" s="7"/>
      <c r="E29" s="7" t="s">
        <v>1512</v>
      </c>
      <c r="F29" s="7" t="s">
        <v>19</v>
      </c>
      <c r="G29" s="7">
        <v>1</v>
      </c>
      <c r="H29" s="7" t="s">
        <v>17</v>
      </c>
      <c r="I29" s="7" t="s">
        <v>17</v>
      </c>
      <c r="J29" s="7" t="s">
        <v>1513</v>
      </c>
    </row>
    <row r="30" spans="1:10" x14ac:dyDescent="0.25">
      <c r="A30" s="5" t="s">
        <v>19</v>
      </c>
      <c r="B30" s="6" t="s">
        <v>1519</v>
      </c>
      <c r="C30" s="5" t="s">
        <v>17</v>
      </c>
      <c r="D30" s="5"/>
      <c r="E30" s="5" t="s">
        <v>1520</v>
      </c>
      <c r="F30" s="5" t="s">
        <v>15</v>
      </c>
      <c r="G30" s="5" t="s">
        <v>17</v>
      </c>
      <c r="H30" s="5" t="s">
        <v>17</v>
      </c>
      <c r="I30" s="5" t="s">
        <v>17</v>
      </c>
      <c r="J30" s="5" t="s">
        <v>1521</v>
      </c>
    </row>
    <row r="31" spans="1:10" x14ac:dyDescent="0.25" outlineLevel="1" collapsed="1">
      <c r="A31" s="7" t="s">
        <v>19</v>
      </c>
      <c r="B31" s="7" t="s">
        <v>63</v>
      </c>
      <c r="C31" s="7" t="s">
        <v>17</v>
      </c>
      <c r="D31" s="7"/>
      <c r="E31" s="7" t="s">
        <v>1522</v>
      </c>
      <c r="F31" s="7" t="s">
        <v>19</v>
      </c>
      <c r="G31" s="7">
        <v>1</v>
      </c>
      <c r="H31" s="7" t="s">
        <v>17</v>
      </c>
      <c r="I31" s="7" t="s">
        <v>17</v>
      </c>
      <c r="J31" s="7" t="s">
        <v>1523</v>
      </c>
    </row>
    <row r="32" spans="1:10" x14ac:dyDescent="0.25" outlineLevel="1" collapsed="1">
      <c r="A32" s="7" t="s">
        <v>19</v>
      </c>
      <c r="B32" s="7" t="s">
        <v>16</v>
      </c>
      <c r="C32" s="7" t="s">
        <v>17</v>
      </c>
      <c r="D32" s="7"/>
      <c r="E32" s="7" t="s">
        <v>1524</v>
      </c>
      <c r="F32" s="7" t="s">
        <v>19</v>
      </c>
      <c r="G32" s="7" t="s">
        <v>31</v>
      </c>
      <c r="H32" s="7" t="s">
        <v>17</v>
      </c>
      <c r="I32" s="7" t="s">
        <v>17</v>
      </c>
      <c r="J32" s="7" t="s">
        <v>1525</v>
      </c>
    </row>
    <row r="33" spans="1:10" x14ac:dyDescent="0.25">
      <c r="A33" s="5" t="s">
        <v>19</v>
      </c>
      <c r="B33" s="6" t="s">
        <v>2219</v>
      </c>
      <c r="C33" s="5" t="s">
        <v>17</v>
      </c>
      <c r="D33" s="5"/>
      <c r="E33" s="5" t="s">
        <v>1527</v>
      </c>
      <c r="F33" s="5" t="s">
        <v>15</v>
      </c>
      <c r="G33" s="5" t="s">
        <v>17</v>
      </c>
      <c r="H33" s="5" t="s">
        <v>17</v>
      </c>
      <c r="I33" s="5" t="s">
        <v>17</v>
      </c>
      <c r="J33" s="5" t="s">
        <v>1528</v>
      </c>
    </row>
    <row r="34" spans="1:10" x14ac:dyDescent="0.25" outlineLevel="1" collapsed="1">
      <c r="A34" s="7" t="s">
        <v>19</v>
      </c>
      <c r="B34" s="7" t="s">
        <v>16</v>
      </c>
      <c r="C34" s="7" t="s">
        <v>17</v>
      </c>
      <c r="D34" s="7"/>
      <c r="E34" s="7" t="s">
        <v>728</v>
      </c>
      <c r="F34" s="7" t="s">
        <v>19</v>
      </c>
      <c r="G34" s="7" t="s">
        <v>31</v>
      </c>
      <c r="H34" s="7" t="s">
        <v>17</v>
      </c>
      <c r="I34" s="7" t="s">
        <v>17</v>
      </c>
      <c r="J34" s="7" t="s">
        <v>730</v>
      </c>
    </row>
    <row r="35" spans="1:10" x14ac:dyDescent="0.25" outlineLevel="1" collapsed="1">
      <c r="A35" s="7" t="s">
        <v>19</v>
      </c>
      <c r="B35" s="7" t="s">
        <v>16</v>
      </c>
      <c r="C35" s="7" t="s">
        <v>17</v>
      </c>
      <c r="D35" s="7"/>
      <c r="E35" s="7" t="s">
        <v>731</v>
      </c>
      <c r="F35" s="7" t="s">
        <v>19</v>
      </c>
      <c r="G35" s="7" t="s">
        <v>31</v>
      </c>
      <c r="H35" s="7" t="s">
        <v>17</v>
      </c>
      <c r="I35" s="7" t="s">
        <v>17</v>
      </c>
      <c r="J35" s="7" t="s">
        <v>733</v>
      </c>
    </row>
    <row r="36" spans="1:10" x14ac:dyDescent="0.25" outlineLevel="1" collapsed="1">
      <c r="A36" s="7" t="s">
        <v>19</v>
      </c>
      <c r="B36" s="7" t="s">
        <v>63</v>
      </c>
      <c r="C36" s="7" t="s">
        <v>17</v>
      </c>
      <c r="D36" s="7"/>
      <c r="E36" s="7" t="s">
        <v>1529</v>
      </c>
      <c r="F36" s="7" t="s">
        <v>19</v>
      </c>
      <c r="G36" s="7">
        <v>1</v>
      </c>
      <c r="H36" s="7" t="s">
        <v>17</v>
      </c>
      <c r="I36" s="7" t="s">
        <v>17</v>
      </c>
      <c r="J36" s="7" t="s">
        <v>1530</v>
      </c>
    </row>
    <row r="37" spans="1:10" x14ac:dyDescent="0.25" outlineLevel="1" collapsed="1">
      <c r="A37" s="7" t="s">
        <v>19</v>
      </c>
      <c r="B37" s="7" t="s">
        <v>63</v>
      </c>
      <c r="C37" s="7" t="s">
        <v>17</v>
      </c>
      <c r="D37" s="7"/>
      <c r="E37" s="7" t="s">
        <v>1531</v>
      </c>
      <c r="F37" s="7" t="s">
        <v>19</v>
      </c>
      <c r="G37" s="7">
        <v>1</v>
      </c>
      <c r="H37" s="7" t="s">
        <v>17</v>
      </c>
      <c r="I37" s="7" t="s">
        <v>17</v>
      </c>
      <c r="J37" s="7" t="s">
        <v>1532</v>
      </c>
    </row>
    <row r="38" spans="1:10" x14ac:dyDescent="0.25" outlineLevel="1" collapsed="1">
      <c r="A38" s="7" t="s">
        <v>19</v>
      </c>
      <c r="B38" s="7" t="s">
        <v>63</v>
      </c>
      <c r="C38" s="7" t="s">
        <v>17</v>
      </c>
      <c r="D38" s="7"/>
      <c r="E38" s="7" t="s">
        <v>1533</v>
      </c>
      <c r="F38" s="7" t="s">
        <v>19</v>
      </c>
      <c r="G38" s="7">
        <v>1</v>
      </c>
      <c r="H38" s="7" t="s">
        <v>17</v>
      </c>
      <c r="I38" s="7" t="s">
        <v>17</v>
      </c>
      <c r="J38" s="7" t="s">
        <v>1534</v>
      </c>
    </row>
    <row r="39" spans="1:10" x14ac:dyDescent="0.25" outlineLevel="1" collapsed="1">
      <c r="A39" s="7" t="s">
        <v>19</v>
      </c>
      <c r="B39" s="7" t="s">
        <v>16</v>
      </c>
      <c r="C39" s="7" t="s">
        <v>17</v>
      </c>
      <c r="D39" s="7"/>
      <c r="E39" s="7" t="s">
        <v>1535</v>
      </c>
      <c r="F39" s="7" t="s">
        <v>19</v>
      </c>
      <c r="G39" s="7" t="s">
        <v>31</v>
      </c>
      <c r="H39" s="7" t="s">
        <v>17</v>
      </c>
      <c r="I39" s="7" t="s">
        <v>17</v>
      </c>
      <c r="J39" s="7" t="s">
        <v>1536</v>
      </c>
    </row>
    <row r="40" spans="1:10" x14ac:dyDescent="0.25" outlineLevel="1" collapsed="1">
      <c r="A40" s="7" t="s">
        <v>19</v>
      </c>
      <c r="B40" s="7" t="s">
        <v>16</v>
      </c>
      <c r="C40" s="7" t="s">
        <v>17</v>
      </c>
      <c r="D40" s="7"/>
      <c r="E40" s="7" t="s">
        <v>1537</v>
      </c>
      <c r="F40" s="7" t="s">
        <v>19</v>
      </c>
      <c r="G40" s="7" t="s">
        <v>31</v>
      </c>
      <c r="H40" s="7" t="s">
        <v>17</v>
      </c>
      <c r="I40" s="7" t="s">
        <v>17</v>
      </c>
      <c r="J40" s="7" t="s">
        <v>1538</v>
      </c>
    </row>
    <row r="41" spans="1:10" x14ac:dyDescent="0.25" outlineLevel="1" collapsed="1">
      <c r="A41" s="7" t="s">
        <v>19</v>
      </c>
      <c r="B41" s="7" t="s">
        <v>16</v>
      </c>
      <c r="C41" s="7" t="s">
        <v>17</v>
      </c>
      <c r="D41" s="7"/>
      <c r="E41" s="7" t="s">
        <v>1539</v>
      </c>
      <c r="F41" s="7" t="s">
        <v>19</v>
      </c>
      <c r="G41" s="7" t="s">
        <v>31</v>
      </c>
      <c r="H41" s="7" t="s">
        <v>17</v>
      </c>
      <c r="I41" s="7" t="s">
        <v>17</v>
      </c>
      <c r="J41" s="7" t="s">
        <v>752</v>
      </c>
    </row>
    <row r="42" spans="1:10" x14ac:dyDescent="0.25">
      <c r="A42" s="5" t="s">
        <v>19</v>
      </c>
      <c r="B42" s="5" t="s">
        <v>16</v>
      </c>
      <c r="C42" s="5" t="s">
        <v>17</v>
      </c>
      <c r="D42" s="5"/>
      <c r="E42" s="5" t="s">
        <v>1540</v>
      </c>
      <c r="F42" s="5" t="s">
        <v>19</v>
      </c>
      <c r="G42" s="5" t="s">
        <v>31</v>
      </c>
      <c r="H42" s="5" t="s">
        <v>17</v>
      </c>
      <c r="I42" s="5" t="s">
        <v>17</v>
      </c>
      <c r="J42" s="5" t="s">
        <v>1541</v>
      </c>
    </row>
    <row r="43" spans="1:10" x14ac:dyDescent="0.25">
      <c r="A43" s="5" t="s">
        <v>19</v>
      </c>
      <c r="B43" s="5" t="s">
        <v>63</v>
      </c>
      <c r="C43" s="5" t="s">
        <v>17</v>
      </c>
      <c r="D43" s="5"/>
      <c r="E43" s="5" t="s">
        <v>1542</v>
      </c>
      <c r="F43" s="5" t="s">
        <v>19</v>
      </c>
      <c r="G43" s="5">
        <v>1</v>
      </c>
      <c r="H43" s="5" t="s">
        <v>17</v>
      </c>
      <c r="I43" s="5" t="s">
        <v>17</v>
      </c>
      <c r="J43" s="5" t="s">
        <v>1543</v>
      </c>
    </row>
    <row r="44" spans="1:10" x14ac:dyDescent="0.25">
      <c r="A44" s="5" t="s">
        <v>19</v>
      </c>
      <c r="B44" s="5" t="s">
        <v>16</v>
      </c>
      <c r="C44" s="5" t="s">
        <v>17</v>
      </c>
      <c r="D44" s="5"/>
      <c r="E44" s="5" t="s">
        <v>1544</v>
      </c>
      <c r="F44" s="5" t="s">
        <v>19</v>
      </c>
      <c r="G44" s="5" t="s">
        <v>31</v>
      </c>
      <c r="H44" s="5" t="s">
        <v>17</v>
      </c>
      <c r="I44" s="5" t="s">
        <v>17</v>
      </c>
      <c r="J44" s="5" t="s">
        <v>1545</v>
      </c>
    </row>
  </sheetData>
  <mergeCells count="3">
    <mergeCell ref="A1:J1"/>
    <mergeCell ref="B2:J2"/>
    <mergeCell ref="B3:J3"/>
  </mergeCells>
  <hyperlinks>
    <hyperlink ref="B5" r:id="rId1" location="#'4.4.1 Non-Permanence Risk Anal'!A1"/>
    <hyperlink ref="B8" r:id="rId2" location="#'4.4.1.1 Buffer Pool Allocation'!A1"/>
    <hyperlink ref="B11" r:id="rId3" location="#'4.4.2 Buffer pool allocation r'!A1"/>
    <hyperlink ref="B20" r:id="rId4" location="#'4.4.2 Buffer pool allocatio 2'!A1"/>
    <hyperlink ref="B26" r:id="rId5" location="#'4.4.2 Long-Term Average (VCS P'!A1"/>
    <hyperlink ref="B30" r:id="rId6" location="#'Non-permanence risk rating row'!A1"/>
    <hyperlink ref="B33" r:id="rId7" location="#'4.4 Buffer pool allocation (re'!A1"/>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2220</v>
      </c>
      <c r="B1" s="1"/>
      <c r="C1" s="1"/>
      <c r="D1" s="1"/>
      <c r="E1" s="1"/>
      <c r="F1" s="1"/>
      <c r="G1" s="1"/>
      <c r="H1" s="1"/>
      <c r="I1" s="1"/>
      <c r="J1" s="1"/>
    </row>
    <row r="2" spans="1:10" x14ac:dyDescent="0.25">
      <c r="A2" s="2" t="s">
        <v>1</v>
      </c>
      <c r="B2" s="3" t="s">
        <v>2221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1492</v>
      </c>
      <c r="F5" s="5" t="s">
        <v>19</v>
      </c>
      <c r="G5" s="5" t="b">
        <v>0</v>
      </c>
      <c r="H5" s="5" t="s">
        <v>17</v>
      </c>
      <c r="I5" s="5" t="s">
        <v>17</v>
      </c>
      <c r="J5" s="5" t="s">
        <v>1493</v>
      </c>
    </row>
    <row r="6" spans="1:10" x14ac:dyDescent="0.25">
      <c r="A6" s="5" t="s">
        <v>15</v>
      </c>
      <c r="B6" s="5" t="s">
        <v>16</v>
      </c>
      <c r="C6" s="5" t="s">
        <v>17</v>
      </c>
      <c r="D6" s="5"/>
      <c r="E6" s="5" t="s">
        <v>1494</v>
      </c>
      <c r="F6" s="5" t="s">
        <v>19</v>
      </c>
      <c r="G6" s="5" t="s">
        <v>1495</v>
      </c>
      <c r="H6" s="5" t="s">
        <v>1495</v>
      </c>
      <c r="I6" s="5" t="s">
        <v>17</v>
      </c>
      <c r="J6" s="5" t="s">
        <v>1496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2222</v>
      </c>
      <c r="B1" s="1"/>
      <c r="C1" s="1"/>
      <c r="D1" s="1"/>
      <c r="E1" s="1"/>
      <c r="F1" s="1"/>
      <c r="G1" s="1"/>
      <c r="H1" s="1"/>
      <c r="I1" s="1"/>
      <c r="J1" s="1"/>
    </row>
    <row r="2" spans="1:10" x14ac:dyDescent="0.25">
      <c r="A2" s="2" t="s">
        <v>1</v>
      </c>
      <c r="B2" s="3" t="s">
        <v>2223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2224</v>
      </c>
      <c r="F5" s="5" t="s">
        <v>19</v>
      </c>
      <c r="G5" s="5" t="b">
        <v>0</v>
      </c>
      <c r="H5" s="5" t="s">
        <v>17</v>
      </c>
      <c r="I5" s="5" t="s">
        <v>17</v>
      </c>
      <c r="J5" s="5" t="s">
        <v>2225</v>
      </c>
    </row>
    <row r="6" spans="1:10" x14ac:dyDescent="0.25">
      <c r="A6" s="5" t="s">
        <v>15</v>
      </c>
      <c r="B6" s="5" t="s">
        <v>16</v>
      </c>
      <c r="C6" s="5" t="s">
        <v>17</v>
      </c>
      <c r="D6" s="5"/>
      <c r="E6" s="5" t="s">
        <v>2226</v>
      </c>
      <c r="F6" s="5" t="s">
        <v>19</v>
      </c>
      <c r="G6" s="5" t="s">
        <v>2227</v>
      </c>
      <c r="H6" s="5" t="s">
        <v>17</v>
      </c>
      <c r="I6" s="5" t="s">
        <v>17</v>
      </c>
      <c r="J6" s="5" t="s">
        <v>146</v>
      </c>
    </row>
    <row r="7" spans="1:10" x14ac:dyDescent="0.25">
      <c r="A7" s="5" t="s">
        <v>19</v>
      </c>
      <c r="B7" s="5" t="s">
        <v>16</v>
      </c>
      <c r="C7" s="5" t="s">
        <v>17</v>
      </c>
      <c r="D7" s="5"/>
      <c r="E7" s="5" t="s">
        <v>2228</v>
      </c>
      <c r="F7" s="5" t="s">
        <v>19</v>
      </c>
      <c r="G7" s="5" t="s">
        <v>2229</v>
      </c>
      <c r="H7" s="5" t="s">
        <v>17</v>
      </c>
      <c r="I7" s="5" t="s">
        <v>17</v>
      </c>
      <c r="J7" s="5" t="s">
        <v>2230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2231</v>
      </c>
      <c r="B1" s="1"/>
      <c r="C1" s="1"/>
      <c r="D1" s="1"/>
      <c r="E1" s="1"/>
      <c r="F1" s="1"/>
      <c r="G1" s="1"/>
      <c r="H1" s="1"/>
      <c r="I1" s="1"/>
      <c r="J1" s="1"/>
    </row>
    <row r="2" spans="1:10" x14ac:dyDescent="0.25">
      <c r="A2" s="2" t="s">
        <v>1</v>
      </c>
      <c r="B2" s="3" t="s">
        <v>2232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1456</v>
      </c>
      <c r="F5" s="5" t="s">
        <v>19</v>
      </c>
      <c r="G5" s="5" t="s">
        <v>1457</v>
      </c>
      <c r="H5" s="5" t="s">
        <v>17</v>
      </c>
      <c r="I5" s="5" t="s">
        <v>17</v>
      </c>
      <c r="J5" s="5" t="s">
        <v>1458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2233</v>
      </c>
      <c r="B1" s="1"/>
      <c r="C1" s="1"/>
      <c r="D1" s="1"/>
      <c r="E1" s="1"/>
      <c r="F1" s="1"/>
      <c r="G1" s="1"/>
      <c r="H1" s="1"/>
      <c r="I1" s="1"/>
      <c r="J1" s="1"/>
    </row>
    <row r="2" spans="1:10" x14ac:dyDescent="0.25">
      <c r="A2" s="2" t="s">
        <v>1</v>
      </c>
      <c r="B2" s="3" t="s">
        <v>2234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1408</v>
      </c>
      <c r="F5" s="5" t="s">
        <v>19</v>
      </c>
      <c r="G5" s="5" t="b">
        <v>0</v>
      </c>
      <c r="H5" s="5" t="s">
        <v>17</v>
      </c>
      <c r="I5" s="5" t="s">
        <v>17</v>
      </c>
      <c r="J5" s="5" t="s">
        <v>1409</v>
      </c>
    </row>
    <row r="6" spans="1:10" x14ac:dyDescent="0.25">
      <c r="A6" s="5" t="s">
        <v>19</v>
      </c>
      <c r="B6" s="5" t="s">
        <v>16</v>
      </c>
      <c r="C6" s="5" t="s">
        <v>17</v>
      </c>
      <c r="D6" s="5"/>
      <c r="E6" s="5" t="s">
        <v>1395</v>
      </c>
      <c r="F6" s="5" t="s">
        <v>19</v>
      </c>
      <c r="G6" s="5" t="s">
        <v>31</v>
      </c>
      <c r="H6" s="5" t="s">
        <v>17</v>
      </c>
      <c r="I6" s="5" t="s">
        <v>17</v>
      </c>
      <c r="J6" s="5" t="s">
        <v>1396</v>
      </c>
    </row>
    <row r="7" spans="1:10" x14ac:dyDescent="0.25">
      <c r="A7" s="5" t="s">
        <v>19</v>
      </c>
      <c r="B7" s="5" t="s">
        <v>16</v>
      </c>
      <c r="C7" s="5" t="s">
        <v>17</v>
      </c>
      <c r="D7" s="5"/>
      <c r="E7" s="5" t="s">
        <v>1410</v>
      </c>
      <c r="F7" s="5" t="s">
        <v>19</v>
      </c>
      <c r="G7" s="5" t="s">
        <v>31</v>
      </c>
      <c r="H7" s="5" t="s">
        <v>17</v>
      </c>
      <c r="I7" s="5" t="s">
        <v>17</v>
      </c>
      <c r="J7" s="5" t="s">
        <v>1411</v>
      </c>
    </row>
    <row r="8" spans="1:10" x14ac:dyDescent="0.25">
      <c r="A8" s="5" t="s">
        <v>19</v>
      </c>
      <c r="B8" s="5" t="s">
        <v>16</v>
      </c>
      <c r="C8" s="5" t="s">
        <v>17</v>
      </c>
      <c r="D8" s="5"/>
      <c r="E8" s="5" t="s">
        <v>1412</v>
      </c>
      <c r="F8" s="5" t="s">
        <v>19</v>
      </c>
      <c r="G8" s="5" t="s">
        <v>31</v>
      </c>
      <c r="H8" s="5" t="s">
        <v>17</v>
      </c>
      <c r="I8" s="5" t="s">
        <v>17</v>
      </c>
      <c r="J8" s="5" t="s">
        <v>1413</v>
      </c>
    </row>
    <row r="9" spans="1:10" x14ac:dyDescent="0.25">
      <c r="A9" s="5" t="s">
        <v>19</v>
      </c>
      <c r="B9" s="5" t="s">
        <v>16</v>
      </c>
      <c r="C9" s="5" t="s">
        <v>17</v>
      </c>
      <c r="D9" s="5"/>
      <c r="E9" s="5" t="s">
        <v>1414</v>
      </c>
      <c r="F9" s="5" t="s">
        <v>19</v>
      </c>
      <c r="G9" s="5" t="s">
        <v>31</v>
      </c>
      <c r="H9" s="5" t="s">
        <v>17</v>
      </c>
      <c r="I9" s="5" t="s">
        <v>17</v>
      </c>
      <c r="J9" s="5" t="s">
        <v>1415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2235</v>
      </c>
      <c r="B1" s="1"/>
      <c r="C1" s="1"/>
      <c r="D1" s="1"/>
      <c r="E1" s="1"/>
      <c r="F1" s="1"/>
      <c r="G1" s="1"/>
      <c r="H1" s="1"/>
      <c r="I1" s="1"/>
      <c r="J1" s="1"/>
    </row>
    <row r="2" spans="1:10" x14ac:dyDescent="0.25">
      <c r="A2" s="2" t="s">
        <v>1</v>
      </c>
      <c r="B2" s="3" t="s">
        <v>2236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2237</v>
      </c>
      <c r="F5" s="5" t="s">
        <v>19</v>
      </c>
      <c r="G5" s="5" t="s">
        <v>2238</v>
      </c>
      <c r="H5" s="5" t="s">
        <v>17</v>
      </c>
      <c r="I5" s="5" t="s">
        <v>17</v>
      </c>
      <c r="J5" s="5" t="s">
        <v>2239</v>
      </c>
    </row>
    <row r="6" spans="1:10" x14ac:dyDescent="0.25">
      <c r="A6" s="5" t="s">
        <v>19</v>
      </c>
      <c r="B6" s="5" t="s">
        <v>16</v>
      </c>
      <c r="C6" s="5" t="s">
        <v>17</v>
      </c>
      <c r="D6" s="5"/>
      <c r="E6" s="5" t="s">
        <v>2240</v>
      </c>
      <c r="F6" s="5" t="s">
        <v>19</v>
      </c>
      <c r="G6" s="5" t="s">
        <v>31</v>
      </c>
      <c r="H6" s="5" t="s">
        <v>17</v>
      </c>
      <c r="I6" s="5" t="s">
        <v>17</v>
      </c>
      <c r="J6" s="5" t="s">
        <v>2241</v>
      </c>
    </row>
    <row r="7" spans="1:10" x14ac:dyDescent="0.25">
      <c r="A7" s="5" t="s">
        <v>19</v>
      </c>
      <c r="B7" s="5" t="s">
        <v>16</v>
      </c>
      <c r="C7" s="5" t="s">
        <v>17</v>
      </c>
      <c r="D7" s="5"/>
      <c r="E7" s="5" t="s">
        <v>2242</v>
      </c>
      <c r="F7" s="5" t="s">
        <v>19</v>
      </c>
      <c r="G7" s="5" t="s">
        <v>31</v>
      </c>
      <c r="H7" s="5" t="s">
        <v>17</v>
      </c>
      <c r="I7" s="5" t="s">
        <v>17</v>
      </c>
      <c r="J7" s="5" t="s">
        <v>2243</v>
      </c>
    </row>
    <row r="8" spans="1:10" x14ac:dyDescent="0.25">
      <c r="A8" s="5" t="s">
        <v>19</v>
      </c>
      <c r="B8" s="5" t="s">
        <v>16</v>
      </c>
      <c r="C8" s="5" t="s">
        <v>17</v>
      </c>
      <c r="D8" s="5"/>
      <c r="E8" s="5" t="s">
        <v>2244</v>
      </c>
      <c r="F8" s="5" t="s">
        <v>19</v>
      </c>
      <c r="G8" s="5" t="s">
        <v>31</v>
      </c>
      <c r="H8" s="5" t="s">
        <v>17</v>
      </c>
      <c r="I8" s="5" t="s">
        <v>17</v>
      </c>
      <c r="J8" s="5" t="s">
        <v>2245</v>
      </c>
    </row>
    <row r="9" spans="1:10" x14ac:dyDescent="0.25">
      <c r="A9" s="5" t="s">
        <v>19</v>
      </c>
      <c r="B9" s="5" t="s">
        <v>16</v>
      </c>
      <c r="C9" s="5" t="s">
        <v>17</v>
      </c>
      <c r="D9" s="5"/>
      <c r="E9" s="5" t="s">
        <v>2246</v>
      </c>
      <c r="F9" s="5" t="s">
        <v>19</v>
      </c>
      <c r="G9" s="5" t="s">
        <v>31</v>
      </c>
      <c r="H9" s="5" t="s">
        <v>17</v>
      </c>
      <c r="I9" s="5" t="s">
        <v>17</v>
      </c>
      <c r="J9" s="5" t="s">
        <v>2247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3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2248</v>
      </c>
      <c r="B1" s="1"/>
      <c r="C1" s="1"/>
      <c r="D1" s="1"/>
      <c r="E1" s="1"/>
      <c r="F1" s="1"/>
      <c r="G1" s="1"/>
      <c r="H1" s="1"/>
      <c r="I1" s="1"/>
      <c r="J1" s="1"/>
    </row>
    <row r="2" spans="1:10" x14ac:dyDescent="0.25">
      <c r="A2" s="2" t="s">
        <v>1</v>
      </c>
      <c r="B2" s="3" t="s">
        <v>2249</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2250</v>
      </c>
      <c r="D5" s="5"/>
      <c r="E5" s="5" t="s">
        <v>2250</v>
      </c>
      <c r="F5" s="5" t="s">
        <v>19</v>
      </c>
      <c r="G5" s="5" t="s">
        <v>286</v>
      </c>
      <c r="H5" s="5" t="s">
        <v>17</v>
      </c>
      <c r="I5" s="5" t="s">
        <v>17</v>
      </c>
      <c r="J5" s="5" t="s">
        <v>287</v>
      </c>
    </row>
    <row r="6" spans="1:10" x14ac:dyDescent="0.25">
      <c r="A6" s="5" t="s">
        <v>15</v>
      </c>
      <c r="B6" s="5" t="s">
        <v>284</v>
      </c>
      <c r="C6" s="10" t="s">
        <v>2251</v>
      </c>
      <c r="D6" s="5"/>
      <c r="E6" s="5" t="s">
        <v>2251</v>
      </c>
      <c r="F6" s="5" t="s">
        <v>19</v>
      </c>
      <c r="G6" s="5" t="s">
        <v>2252</v>
      </c>
      <c r="H6" s="5" t="s">
        <v>2252</v>
      </c>
      <c r="I6" s="5" t="s">
        <v>17</v>
      </c>
      <c r="J6" s="5" t="s">
        <v>1036</v>
      </c>
    </row>
    <row r="7" spans="1:10" x14ac:dyDescent="0.25">
      <c r="A7" s="5" t="s">
        <v>15</v>
      </c>
      <c r="B7" s="5" t="s">
        <v>16</v>
      </c>
      <c r="C7" s="5" t="s">
        <v>17</v>
      </c>
      <c r="D7" s="5"/>
      <c r="E7" s="5" t="s">
        <v>2253</v>
      </c>
      <c r="F7" s="5" t="s">
        <v>19</v>
      </c>
      <c r="G7" s="5" t="s">
        <v>2254</v>
      </c>
      <c r="H7" s="5" t="s">
        <v>17</v>
      </c>
      <c r="I7" s="5" t="s">
        <v>17</v>
      </c>
      <c r="J7" s="5" t="s">
        <v>290</v>
      </c>
    </row>
    <row r="8" spans="1:10" x14ac:dyDescent="0.25">
      <c r="A8" s="5" t="s">
        <v>15</v>
      </c>
      <c r="B8" s="5" t="s">
        <v>16</v>
      </c>
      <c r="C8" s="5" t="s">
        <v>17</v>
      </c>
      <c r="D8" s="5"/>
      <c r="E8" s="5" t="s">
        <v>2255</v>
      </c>
      <c r="F8" s="5" t="s">
        <v>19</v>
      </c>
      <c r="G8" s="5" t="s">
        <v>282</v>
      </c>
      <c r="H8" s="5" t="s">
        <v>17</v>
      </c>
      <c r="I8" s="5" t="s">
        <v>17</v>
      </c>
      <c r="J8" s="5" t="s">
        <v>2256</v>
      </c>
    </row>
    <row r="9" spans="1:10" x14ac:dyDescent="0.25">
      <c r="A9" s="5" t="s">
        <v>15</v>
      </c>
      <c r="B9" s="5" t="s">
        <v>16</v>
      </c>
      <c r="C9" s="5" t="s">
        <v>17</v>
      </c>
      <c r="D9" s="5"/>
      <c r="E9" s="5" t="s">
        <v>2257</v>
      </c>
      <c r="F9" s="5" t="s">
        <v>19</v>
      </c>
      <c r="G9" s="5" t="s">
        <v>847</v>
      </c>
      <c r="H9" s="5" t="s">
        <v>17</v>
      </c>
      <c r="I9" s="5" t="s">
        <v>17</v>
      </c>
      <c r="J9" s="5" t="s">
        <v>1116</v>
      </c>
    </row>
    <row r="10" spans="1:10" x14ac:dyDescent="0.25">
      <c r="A10" s="5" t="s">
        <v>19</v>
      </c>
      <c r="B10" s="5" t="s">
        <v>291</v>
      </c>
      <c r="C10" s="5" t="s">
        <v>17</v>
      </c>
      <c r="D10" s="5"/>
      <c r="E10" s="5" t="s">
        <v>2258</v>
      </c>
      <c r="F10" s="5" t="s">
        <v>19</v>
      </c>
      <c r="G10" s="5" t="s">
        <v>950</v>
      </c>
      <c r="H10" s="5" t="s">
        <v>17</v>
      </c>
      <c r="I10" s="5" t="s">
        <v>17</v>
      </c>
      <c r="J10" s="5" t="s">
        <v>2259</v>
      </c>
    </row>
    <row r="11" spans="1:10" x14ac:dyDescent="0.25">
      <c r="A11" s="5" t="s">
        <v>19</v>
      </c>
      <c r="B11" s="5" t="s">
        <v>291</v>
      </c>
      <c r="C11" s="5" t="s">
        <v>17</v>
      </c>
      <c r="D11" s="5"/>
      <c r="E11" s="5" t="s">
        <v>2260</v>
      </c>
      <c r="F11" s="5" t="s">
        <v>19</v>
      </c>
      <c r="G11" s="5" t="s">
        <v>950</v>
      </c>
      <c r="H11" s="5" t="s">
        <v>17</v>
      </c>
      <c r="I11" s="5" t="s">
        <v>17</v>
      </c>
      <c r="J11" s="5" t="s">
        <v>2261</v>
      </c>
    </row>
    <row r="12" spans="1:10" x14ac:dyDescent="0.25">
      <c r="A12" s="5" t="s">
        <v>19</v>
      </c>
      <c r="B12" s="5" t="s">
        <v>16</v>
      </c>
      <c r="C12" s="5" t="s">
        <v>17</v>
      </c>
      <c r="D12" s="5"/>
      <c r="E12" s="5" t="s">
        <v>1037</v>
      </c>
      <c r="F12" s="5" t="s">
        <v>19</v>
      </c>
      <c r="G12" s="5" t="s">
        <v>31</v>
      </c>
      <c r="H12" s="5" t="s">
        <v>17</v>
      </c>
      <c r="I12" s="5" t="s">
        <v>17</v>
      </c>
      <c r="J12" s="5" t="s">
        <v>298</v>
      </c>
    </row>
    <row r="13" spans="1:10" x14ac:dyDescent="0.25">
      <c r="A13" s="5" t="s">
        <v>19</v>
      </c>
      <c r="B13" s="5" t="s">
        <v>16</v>
      </c>
      <c r="C13" s="5" t="s">
        <v>17</v>
      </c>
      <c r="D13" s="5"/>
      <c r="E13" s="5" t="s">
        <v>1038</v>
      </c>
      <c r="F13" s="5" t="s">
        <v>19</v>
      </c>
      <c r="G13" s="5" t="s">
        <v>31</v>
      </c>
      <c r="H13" s="5" t="s">
        <v>17</v>
      </c>
      <c r="I13" s="5" t="s">
        <v>17</v>
      </c>
      <c r="J13" s="5" t="s">
        <v>301</v>
      </c>
    </row>
    <row r="14" spans="1:10" x14ac:dyDescent="0.25">
      <c r="A14" s="5" t="s">
        <v>19</v>
      </c>
      <c r="B14" s="5" t="s">
        <v>16</v>
      </c>
      <c r="C14" s="5" t="s">
        <v>17</v>
      </c>
      <c r="D14" s="5"/>
      <c r="E14" s="5" t="s">
        <v>2262</v>
      </c>
      <c r="F14" s="5" t="s">
        <v>19</v>
      </c>
      <c r="G14" s="5" t="s">
        <v>31</v>
      </c>
      <c r="H14" s="5" t="s">
        <v>17</v>
      </c>
      <c r="I14" s="5" t="s">
        <v>17</v>
      </c>
      <c r="J14" s="5" t="s">
        <v>2263</v>
      </c>
    </row>
    <row r="15" spans="1:10" x14ac:dyDescent="0.25">
      <c r="A15" s="5" t="s">
        <v>19</v>
      </c>
      <c r="B15" s="5" t="s">
        <v>16</v>
      </c>
      <c r="C15" s="5" t="s">
        <v>17</v>
      </c>
      <c r="D15" s="5"/>
      <c r="E15" s="5" t="s">
        <v>2264</v>
      </c>
      <c r="F15" s="5" t="s">
        <v>19</v>
      </c>
      <c r="G15" s="5" t="s">
        <v>31</v>
      </c>
      <c r="H15" s="5" t="s">
        <v>17</v>
      </c>
      <c r="I15" s="5" t="s">
        <v>17</v>
      </c>
      <c r="J15" s="5" t="s">
        <v>2265</v>
      </c>
    </row>
    <row r="16" spans="1:10" x14ac:dyDescent="0.25">
      <c r="A16" s="5" t="s">
        <v>19</v>
      </c>
      <c r="B16" s="5" t="s">
        <v>16</v>
      </c>
      <c r="C16" s="5" t="s">
        <v>17</v>
      </c>
      <c r="D16" s="5"/>
      <c r="E16" s="5" t="s">
        <v>1041</v>
      </c>
      <c r="F16" s="5" t="s">
        <v>19</v>
      </c>
      <c r="G16" s="5" t="s">
        <v>31</v>
      </c>
      <c r="H16" s="5" t="s">
        <v>17</v>
      </c>
      <c r="I16" s="5" t="s">
        <v>17</v>
      </c>
      <c r="J16" s="5" t="s">
        <v>1042</v>
      </c>
    </row>
    <row r="17" spans="1:10" x14ac:dyDescent="0.25">
      <c r="A17" s="5" t="s">
        <v>19</v>
      </c>
      <c r="B17" s="5" t="s">
        <v>16</v>
      </c>
      <c r="C17" s="5" t="s">
        <v>17</v>
      </c>
      <c r="D17" s="5"/>
      <c r="E17" s="5" t="s">
        <v>1043</v>
      </c>
      <c r="F17" s="5" t="s">
        <v>19</v>
      </c>
      <c r="G17" s="5" t="s">
        <v>31</v>
      </c>
      <c r="H17" s="5" t="s">
        <v>17</v>
      </c>
      <c r="I17" s="5" t="s">
        <v>17</v>
      </c>
      <c r="J17" s="5" t="s">
        <v>1044</v>
      </c>
    </row>
    <row r="18" spans="1:10" x14ac:dyDescent="0.25">
      <c r="A18" s="5" t="s">
        <v>19</v>
      </c>
      <c r="B18" s="5" t="s">
        <v>16</v>
      </c>
      <c r="C18" s="5" t="s">
        <v>17</v>
      </c>
      <c r="D18" s="5"/>
      <c r="E18" s="5" t="s">
        <v>1045</v>
      </c>
      <c r="F18" s="5" t="s">
        <v>19</v>
      </c>
      <c r="G18" s="5" t="s">
        <v>31</v>
      </c>
      <c r="H18" s="5" t="s">
        <v>17</v>
      </c>
      <c r="I18" s="5" t="s">
        <v>17</v>
      </c>
      <c r="J18" s="5" t="s">
        <v>1046</v>
      </c>
    </row>
    <row r="19" spans="1:10" x14ac:dyDescent="0.25">
      <c r="A19" s="5" t="s">
        <v>19</v>
      </c>
      <c r="B19" s="6" t="s">
        <v>1047</v>
      </c>
      <c r="C19" s="5" t="s">
        <v>17</v>
      </c>
      <c r="D19" s="5"/>
      <c r="E19" s="5" t="s">
        <v>1048</v>
      </c>
      <c r="F19" s="5" t="s">
        <v>15</v>
      </c>
      <c r="G19" s="5" t="s">
        <v>17</v>
      </c>
      <c r="H19" s="5" t="s">
        <v>17</v>
      </c>
      <c r="I19" s="5" t="s">
        <v>17</v>
      </c>
      <c r="J19" s="5" t="s">
        <v>573</v>
      </c>
    </row>
    <row r="20" spans="1:10" x14ac:dyDescent="0.25" outlineLevel="1" collapsed="1">
      <c r="A20" s="7" t="s">
        <v>19</v>
      </c>
      <c r="B20" s="7" t="s">
        <v>16</v>
      </c>
      <c r="C20" s="7" t="s">
        <v>17</v>
      </c>
      <c r="D20" s="7"/>
      <c r="E20" s="7" t="s">
        <v>794</v>
      </c>
      <c r="F20" s="7" t="s">
        <v>19</v>
      </c>
      <c r="G20" s="7" t="s">
        <v>31</v>
      </c>
      <c r="H20" s="7" t="s">
        <v>17</v>
      </c>
      <c r="I20" s="7" t="s">
        <v>17</v>
      </c>
      <c r="J20" s="7" t="s">
        <v>796</v>
      </c>
    </row>
    <row r="21" spans="1:10" x14ac:dyDescent="0.25" outlineLevel="1" collapsed="1">
      <c r="A21" s="7" t="s">
        <v>19</v>
      </c>
      <c r="B21" s="7" t="s">
        <v>16</v>
      </c>
      <c r="C21" s="7" t="s">
        <v>17</v>
      </c>
      <c r="D21" s="7"/>
      <c r="E21" s="7" t="s">
        <v>797</v>
      </c>
      <c r="F21" s="7" t="s">
        <v>19</v>
      </c>
      <c r="G21" s="7" t="s">
        <v>31</v>
      </c>
      <c r="H21" s="7" t="s">
        <v>17</v>
      </c>
      <c r="I21" s="7" t="s">
        <v>17</v>
      </c>
      <c r="J21" s="7" t="s">
        <v>1049</v>
      </c>
    </row>
    <row r="22" spans="1:10" x14ac:dyDescent="0.25" outlineLevel="1" collapsed="1">
      <c r="A22" s="7" t="s">
        <v>19</v>
      </c>
      <c r="B22" s="7" t="s">
        <v>16</v>
      </c>
      <c r="C22" s="7" t="s">
        <v>17</v>
      </c>
      <c r="D22" s="7"/>
      <c r="E22" s="7" t="s">
        <v>1050</v>
      </c>
      <c r="F22" s="7" t="s">
        <v>19</v>
      </c>
      <c r="G22" s="7" t="s">
        <v>31</v>
      </c>
      <c r="H22" s="7" t="s">
        <v>17</v>
      </c>
      <c r="I22" s="7" t="s">
        <v>17</v>
      </c>
      <c r="J22" s="7" t="s">
        <v>1051</v>
      </c>
    </row>
    <row r="23" spans="1:10" x14ac:dyDescent="0.25">
      <c r="A23" s="5" t="s">
        <v>19</v>
      </c>
      <c r="B23" s="6" t="s">
        <v>2266</v>
      </c>
      <c r="C23" s="5" t="s">
        <v>17</v>
      </c>
      <c r="D23" s="5"/>
      <c r="E23" s="5" t="s">
        <v>839</v>
      </c>
      <c r="F23" s="5" t="s">
        <v>15</v>
      </c>
      <c r="G23" s="5" t="s">
        <v>17</v>
      </c>
      <c r="H23" s="5" t="s">
        <v>17</v>
      </c>
      <c r="I23" s="5" t="s">
        <v>17</v>
      </c>
      <c r="J23" s="5" t="s">
        <v>840</v>
      </c>
    </row>
    <row r="24" spans="1:10" x14ac:dyDescent="0.25" outlineLevel="1" collapsed="1">
      <c r="A24" s="7" t="s">
        <v>19</v>
      </c>
      <c r="B24" s="7" t="s">
        <v>16</v>
      </c>
      <c r="C24" s="7" t="s">
        <v>17</v>
      </c>
      <c r="D24" s="7"/>
      <c r="E24" s="7" t="s">
        <v>2267</v>
      </c>
      <c r="F24" s="7" t="s">
        <v>19</v>
      </c>
      <c r="G24" s="7" t="s">
        <v>31</v>
      </c>
      <c r="H24" s="7" t="s">
        <v>17</v>
      </c>
      <c r="I24" s="7" t="s">
        <v>17</v>
      </c>
      <c r="J24" s="7" t="s">
        <v>2268</v>
      </c>
    </row>
    <row r="25" spans="1:10" x14ac:dyDescent="0.25" outlineLevel="1" collapsed="1">
      <c r="A25" s="7" t="s">
        <v>19</v>
      </c>
      <c r="B25" s="7" t="s">
        <v>16</v>
      </c>
      <c r="C25" s="7" t="s">
        <v>17</v>
      </c>
      <c r="D25" s="7"/>
      <c r="E25" s="7" t="s">
        <v>9</v>
      </c>
      <c r="F25" s="7" t="s">
        <v>19</v>
      </c>
      <c r="G25" s="7" t="s">
        <v>31</v>
      </c>
      <c r="H25" s="7" t="s">
        <v>17</v>
      </c>
      <c r="I25" s="7" t="s">
        <v>17</v>
      </c>
      <c r="J25" s="7" t="s">
        <v>843</v>
      </c>
    </row>
    <row r="26" spans="1:10" x14ac:dyDescent="0.25">
      <c r="A26" s="5" t="s">
        <v>15</v>
      </c>
      <c r="B26" s="6" t="s">
        <v>2269</v>
      </c>
      <c r="C26" s="5" t="s">
        <v>17</v>
      </c>
      <c r="D26" s="5"/>
      <c r="E26" s="5" t="s">
        <v>2270</v>
      </c>
      <c r="F26" s="5" t="s">
        <v>19</v>
      </c>
      <c r="G26" s="5" t="s">
        <v>17</v>
      </c>
      <c r="H26" s="5" t="s">
        <v>17</v>
      </c>
      <c r="I26" s="5" t="s">
        <v>17</v>
      </c>
      <c r="J26" s="5" t="s">
        <v>2271</v>
      </c>
    </row>
    <row r="27" spans="1:10" x14ac:dyDescent="0.25" outlineLevel="1" collapsed="1">
      <c r="A27" s="8" t="s">
        <v>15</v>
      </c>
      <c r="B27" s="9" t="s">
        <v>2272</v>
      </c>
      <c r="C27" s="8" t="s">
        <v>17</v>
      </c>
      <c r="D27" s="8"/>
      <c r="E27" s="8" t="s">
        <v>2273</v>
      </c>
      <c r="F27" s="8" t="s">
        <v>19</v>
      </c>
      <c r="G27" s="8" t="s">
        <v>17</v>
      </c>
      <c r="H27" s="8" t="s">
        <v>17</v>
      </c>
      <c r="I27" s="8" t="s">
        <v>17</v>
      </c>
      <c r="J27" s="8" t="s">
        <v>2274</v>
      </c>
    </row>
    <row r="28" spans="1:10" x14ac:dyDescent="0.25" outlineLevel="2" collapsed="1">
      <c r="A28" s="7" t="s">
        <v>15</v>
      </c>
      <c r="B28" s="7" t="s">
        <v>16</v>
      </c>
      <c r="C28" s="7" t="s">
        <v>17</v>
      </c>
      <c r="D28" s="7"/>
      <c r="E28" s="7" t="s">
        <v>2275</v>
      </c>
      <c r="F28" s="7" t="s">
        <v>19</v>
      </c>
      <c r="G28" s="7" t="s">
        <v>2276</v>
      </c>
      <c r="H28" s="7" t="s">
        <v>17</v>
      </c>
      <c r="I28" s="7" t="s">
        <v>17</v>
      </c>
      <c r="J28" s="7" t="s">
        <v>2277</v>
      </c>
    </row>
    <row r="29" spans="1:10" x14ac:dyDescent="0.25" outlineLevel="2" collapsed="1">
      <c r="A29" s="7" t="s">
        <v>19</v>
      </c>
      <c r="B29" s="7" t="s">
        <v>16</v>
      </c>
      <c r="C29" s="7" t="s">
        <v>17</v>
      </c>
      <c r="D29" s="7"/>
      <c r="E29" s="7" t="s">
        <v>2278</v>
      </c>
      <c r="F29" s="7" t="s">
        <v>19</v>
      </c>
      <c r="G29" s="7" t="s">
        <v>2279</v>
      </c>
      <c r="H29" s="7" t="s">
        <v>17</v>
      </c>
      <c r="I29" s="7" t="s">
        <v>17</v>
      </c>
      <c r="J29" s="7" t="s">
        <v>2280</v>
      </c>
    </row>
    <row r="30" spans="1:10" x14ac:dyDescent="0.25" outlineLevel="2" collapsed="1">
      <c r="A30" s="7" t="s">
        <v>19</v>
      </c>
      <c r="B30" s="7" t="s">
        <v>63</v>
      </c>
      <c r="C30" s="7" t="s">
        <v>17</v>
      </c>
      <c r="D30" s="7"/>
      <c r="E30" s="7" t="s">
        <v>2281</v>
      </c>
      <c r="F30" s="7" t="s">
        <v>19</v>
      </c>
      <c r="G30" s="7">
        <v>0</v>
      </c>
      <c r="H30" s="7" t="s">
        <v>17</v>
      </c>
      <c r="I30" s="7" t="s">
        <v>17</v>
      </c>
      <c r="J30" s="7" t="s">
        <v>2282</v>
      </c>
    </row>
    <row r="31" spans="1:10" x14ac:dyDescent="0.25" outlineLevel="2" collapsed="1">
      <c r="A31" s="7" t="s">
        <v>19</v>
      </c>
      <c r="B31" s="7" t="s">
        <v>63</v>
      </c>
      <c r="C31" s="7" t="s">
        <v>17</v>
      </c>
      <c r="D31" s="7"/>
      <c r="E31" s="7" t="s">
        <v>2283</v>
      </c>
      <c r="F31" s="7" t="s">
        <v>19</v>
      </c>
      <c r="G31" s="7">
        <v>0</v>
      </c>
      <c r="H31" s="7" t="s">
        <v>17</v>
      </c>
      <c r="I31" s="7" t="s">
        <v>17</v>
      </c>
      <c r="J31" s="7" t="s">
        <v>2284</v>
      </c>
    </row>
    <row r="32" spans="1:10" x14ac:dyDescent="0.25" outlineLevel="1" collapsed="1">
      <c r="A32" s="8" t="s">
        <v>15</v>
      </c>
      <c r="B32" s="9" t="s">
        <v>251</v>
      </c>
      <c r="C32" s="8" t="s">
        <v>17</v>
      </c>
      <c r="D32" s="8"/>
      <c r="E32" s="8" t="s">
        <v>2285</v>
      </c>
      <c r="F32" s="8" t="s">
        <v>15</v>
      </c>
      <c r="G32" s="8" t="s">
        <v>17</v>
      </c>
      <c r="H32" s="8" t="s">
        <v>17</v>
      </c>
      <c r="I32" s="8" t="s">
        <v>17</v>
      </c>
      <c r="J32" s="8" t="s">
        <v>1064</v>
      </c>
    </row>
    <row r="33" spans="1:10" x14ac:dyDescent="0.25" outlineLevel="2" collapsed="1">
      <c r="A33" s="7" t="s">
        <v>15</v>
      </c>
      <c r="B33" s="7" t="s">
        <v>16</v>
      </c>
      <c r="C33" s="7" t="s">
        <v>17</v>
      </c>
      <c r="D33" s="7"/>
      <c r="E33" s="7" t="s">
        <v>253</v>
      </c>
      <c r="F33" s="7" t="s">
        <v>19</v>
      </c>
      <c r="G33" s="7" t="s">
        <v>254</v>
      </c>
      <c r="H33" s="7" t="s">
        <v>17</v>
      </c>
      <c r="I33" s="7" t="s">
        <v>17</v>
      </c>
      <c r="J33" s="7" t="s">
        <v>255</v>
      </c>
    </row>
    <row r="34" spans="1:10" x14ac:dyDescent="0.25" outlineLevel="2" collapsed="1">
      <c r="A34" s="7" t="s">
        <v>19</v>
      </c>
      <c r="B34" s="7" t="s">
        <v>16</v>
      </c>
      <c r="C34" s="7" t="s">
        <v>17</v>
      </c>
      <c r="D34" s="7"/>
      <c r="E34" s="7" t="s">
        <v>256</v>
      </c>
      <c r="F34" s="7" t="s">
        <v>19</v>
      </c>
      <c r="G34" s="7" t="s">
        <v>257</v>
      </c>
      <c r="H34" s="7" t="s">
        <v>17</v>
      </c>
      <c r="I34" s="7" t="s">
        <v>17</v>
      </c>
      <c r="J34" s="7" t="s">
        <v>258</v>
      </c>
    </row>
    <row r="35" spans="1:10" x14ac:dyDescent="0.25" outlineLevel="2" collapsed="1">
      <c r="A35" s="7" t="s">
        <v>19</v>
      </c>
      <c r="B35" s="7" t="s">
        <v>16</v>
      </c>
      <c r="C35" s="7" t="s">
        <v>17</v>
      </c>
      <c r="D35" s="7"/>
      <c r="E35" s="7" t="s">
        <v>259</v>
      </c>
      <c r="F35" s="7" t="s">
        <v>19</v>
      </c>
      <c r="G35" s="7" t="s">
        <v>260</v>
      </c>
      <c r="H35" s="7" t="s">
        <v>17</v>
      </c>
      <c r="I35" s="7" t="s">
        <v>17</v>
      </c>
      <c r="J35" s="7" t="s">
        <v>261</v>
      </c>
    </row>
    <row r="36" spans="1:10" x14ac:dyDescent="0.25" outlineLevel="2" collapsed="1">
      <c r="A36" s="7" t="s">
        <v>19</v>
      </c>
      <c r="B36" s="7" t="s">
        <v>16</v>
      </c>
      <c r="C36" s="7" t="s">
        <v>17</v>
      </c>
      <c r="D36" s="7"/>
      <c r="E36" s="7" t="s">
        <v>262</v>
      </c>
      <c r="F36" s="7" t="s">
        <v>19</v>
      </c>
      <c r="G36" s="7" t="s">
        <v>31</v>
      </c>
      <c r="H36" s="7" t="s">
        <v>17</v>
      </c>
      <c r="I36" s="7" t="s">
        <v>17</v>
      </c>
      <c r="J36" s="7" t="s">
        <v>263</v>
      </c>
    </row>
    <row r="37" spans="1:10" x14ac:dyDescent="0.25" outlineLevel="2" collapsed="1">
      <c r="A37" s="7" t="s">
        <v>19</v>
      </c>
      <c r="B37" s="7" t="s">
        <v>16</v>
      </c>
      <c r="C37" s="7" t="s">
        <v>17</v>
      </c>
      <c r="D37" s="7"/>
      <c r="E37" s="7" t="s">
        <v>264</v>
      </c>
      <c r="F37" s="7" t="s">
        <v>19</v>
      </c>
      <c r="G37" s="7" t="s">
        <v>31</v>
      </c>
      <c r="H37" s="7" t="s">
        <v>17</v>
      </c>
      <c r="I37" s="7" t="s">
        <v>17</v>
      </c>
      <c r="J37" s="7" t="s">
        <v>265</v>
      </c>
    </row>
    <row r="38" spans="1:10" x14ac:dyDescent="0.25" outlineLevel="2" collapsed="1">
      <c r="A38" s="7" t="s">
        <v>19</v>
      </c>
      <c r="B38" s="7" t="s">
        <v>16</v>
      </c>
      <c r="C38" s="7" t="s">
        <v>17</v>
      </c>
      <c r="D38" s="7"/>
      <c r="E38" s="7" t="s">
        <v>266</v>
      </c>
      <c r="F38" s="7" t="s">
        <v>19</v>
      </c>
      <c r="G38" s="7" t="s">
        <v>31</v>
      </c>
      <c r="H38" s="7" t="s">
        <v>17</v>
      </c>
      <c r="I38" s="7" t="s">
        <v>17</v>
      </c>
      <c r="J38" s="7" t="s">
        <v>267</v>
      </c>
    </row>
    <row r="39" spans="1:10" x14ac:dyDescent="0.25" outlineLevel="2" collapsed="1">
      <c r="A39" s="7" t="s">
        <v>19</v>
      </c>
      <c r="B39" s="7" t="s">
        <v>63</v>
      </c>
      <c r="C39" s="7" t="s">
        <v>17</v>
      </c>
      <c r="D39" s="7"/>
      <c r="E39" s="7" t="s">
        <v>268</v>
      </c>
      <c r="F39" s="7" t="s">
        <v>19</v>
      </c>
      <c r="G39" s="7">
        <v>1</v>
      </c>
      <c r="H39" s="7" t="s">
        <v>17</v>
      </c>
      <c r="I39" s="7" t="s">
        <v>17</v>
      </c>
      <c r="J39" s="7" t="s">
        <v>269</v>
      </c>
    </row>
    <row r="40" spans="1:10" x14ac:dyDescent="0.25" outlineLevel="1" collapsed="1">
      <c r="A40" s="8" t="s">
        <v>15</v>
      </c>
      <c r="B40" s="9" t="s">
        <v>2286</v>
      </c>
      <c r="C40" s="8" t="s">
        <v>17</v>
      </c>
      <c r="D40" s="8"/>
      <c r="E40" s="8" t="s">
        <v>2287</v>
      </c>
      <c r="F40" s="8" t="s">
        <v>19</v>
      </c>
      <c r="G40" s="8" t="s">
        <v>17</v>
      </c>
      <c r="H40" s="8" t="s">
        <v>17</v>
      </c>
      <c r="I40" s="8" t="s">
        <v>17</v>
      </c>
      <c r="J40" s="8" t="s">
        <v>986</v>
      </c>
    </row>
    <row r="41" spans="1:10" x14ac:dyDescent="0.25" outlineLevel="2" collapsed="1">
      <c r="A41" s="7" t="s">
        <v>15</v>
      </c>
      <c r="B41" s="7" t="s">
        <v>16</v>
      </c>
      <c r="C41" s="7" t="s">
        <v>17</v>
      </c>
      <c r="D41" s="7"/>
      <c r="E41" s="7" t="s">
        <v>984</v>
      </c>
      <c r="F41" s="7" t="s">
        <v>19</v>
      </c>
      <c r="G41" s="7" t="s">
        <v>985</v>
      </c>
      <c r="H41" s="7" t="s">
        <v>17</v>
      </c>
      <c r="I41" s="7" t="s">
        <v>17</v>
      </c>
      <c r="J41" s="7" t="s">
        <v>986</v>
      </c>
    </row>
    <row r="42" spans="1:10" x14ac:dyDescent="0.25" outlineLevel="2" collapsed="1">
      <c r="A42" s="7" t="s">
        <v>19</v>
      </c>
      <c r="B42" s="7" t="s">
        <v>16</v>
      </c>
      <c r="C42" s="7" t="s">
        <v>17</v>
      </c>
      <c r="D42" s="7"/>
      <c r="E42" s="7" t="s">
        <v>987</v>
      </c>
      <c r="F42" s="7" t="s">
        <v>19</v>
      </c>
      <c r="G42" s="7" t="s">
        <v>31</v>
      </c>
      <c r="H42" s="7" t="s">
        <v>17</v>
      </c>
      <c r="I42" s="7" t="s">
        <v>17</v>
      </c>
      <c r="J42" s="7" t="s">
        <v>988</v>
      </c>
    </row>
    <row r="43" spans="1:10" x14ac:dyDescent="0.25" outlineLevel="2" collapsed="1">
      <c r="A43" s="7" t="s">
        <v>19</v>
      </c>
      <c r="B43" s="7" t="s">
        <v>16</v>
      </c>
      <c r="C43" s="7" t="s">
        <v>17</v>
      </c>
      <c r="D43" s="7"/>
      <c r="E43" s="7" t="s">
        <v>989</v>
      </c>
      <c r="F43" s="7" t="s">
        <v>19</v>
      </c>
      <c r="G43" s="7" t="s">
        <v>31</v>
      </c>
      <c r="H43" s="7" t="s">
        <v>17</v>
      </c>
      <c r="I43" s="7" t="s">
        <v>17</v>
      </c>
      <c r="J43" s="7" t="s">
        <v>990</v>
      </c>
    </row>
    <row r="44" spans="1:10" x14ac:dyDescent="0.25" outlineLevel="1" collapsed="1">
      <c r="A44" s="8" t="s">
        <v>15</v>
      </c>
      <c r="B44" s="9" t="s">
        <v>2288</v>
      </c>
      <c r="C44" s="8" t="s">
        <v>17</v>
      </c>
      <c r="D44" s="8"/>
      <c r="E44" s="8" t="s">
        <v>2289</v>
      </c>
      <c r="F44" s="8" t="s">
        <v>19</v>
      </c>
      <c r="G44" s="8" t="s">
        <v>17</v>
      </c>
      <c r="H44" s="8" t="s">
        <v>17</v>
      </c>
      <c r="I44" s="8" t="s">
        <v>17</v>
      </c>
      <c r="J44" s="8" t="s">
        <v>2290</v>
      </c>
    </row>
    <row r="45" spans="1:10" x14ac:dyDescent="0.25" outlineLevel="2" collapsed="1">
      <c r="A45" s="7" t="s">
        <v>15</v>
      </c>
      <c r="B45" s="7" t="s">
        <v>16</v>
      </c>
      <c r="C45" s="7" t="s">
        <v>17</v>
      </c>
      <c r="D45" s="7"/>
      <c r="E45" s="7" t="s">
        <v>2291</v>
      </c>
      <c r="F45" s="7" t="s">
        <v>19</v>
      </c>
      <c r="G45" s="7" t="s">
        <v>2292</v>
      </c>
      <c r="H45" s="7" t="s">
        <v>17</v>
      </c>
      <c r="I45" s="7" t="s">
        <v>17</v>
      </c>
      <c r="J45" s="7" t="s">
        <v>2293</v>
      </c>
    </row>
    <row r="46" spans="1:10" x14ac:dyDescent="0.25" outlineLevel="2" collapsed="1">
      <c r="A46" s="7" t="s">
        <v>15</v>
      </c>
      <c r="B46" s="7" t="s">
        <v>16</v>
      </c>
      <c r="C46" s="7" t="s">
        <v>17</v>
      </c>
      <c r="D46" s="7"/>
      <c r="E46" s="7" t="s">
        <v>2294</v>
      </c>
      <c r="F46" s="7" t="s">
        <v>19</v>
      </c>
      <c r="G46" s="7" t="s">
        <v>2295</v>
      </c>
      <c r="H46" s="7" t="s">
        <v>2295</v>
      </c>
      <c r="I46" s="7" t="s">
        <v>17</v>
      </c>
      <c r="J46" s="7" t="s">
        <v>2296</v>
      </c>
    </row>
    <row r="47" spans="1:10" x14ac:dyDescent="0.25" outlineLevel="2" collapsed="1">
      <c r="A47" s="7" t="s">
        <v>15</v>
      </c>
      <c r="B47" s="7" t="s">
        <v>16</v>
      </c>
      <c r="C47" s="7" t="s">
        <v>17</v>
      </c>
      <c r="D47" s="7"/>
      <c r="E47" s="7" t="s">
        <v>2297</v>
      </c>
      <c r="F47" s="7" t="s">
        <v>19</v>
      </c>
      <c r="G47" s="7" t="s">
        <v>2298</v>
      </c>
      <c r="H47" s="7" t="s">
        <v>17</v>
      </c>
      <c r="I47" s="7" t="s">
        <v>17</v>
      </c>
      <c r="J47" s="7" t="s">
        <v>2299</v>
      </c>
    </row>
    <row r="48" spans="1:10" x14ac:dyDescent="0.25" outlineLevel="2" collapsed="1">
      <c r="A48" s="7" t="s">
        <v>15</v>
      </c>
      <c r="B48" s="7" t="s">
        <v>16</v>
      </c>
      <c r="C48" s="7" t="s">
        <v>17</v>
      </c>
      <c r="D48" s="7"/>
      <c r="E48" s="7" t="s">
        <v>2300</v>
      </c>
      <c r="F48" s="7" t="s">
        <v>19</v>
      </c>
      <c r="G48" s="7" t="s">
        <v>2301</v>
      </c>
      <c r="H48" s="7" t="s">
        <v>17</v>
      </c>
      <c r="I48" s="7" t="s">
        <v>17</v>
      </c>
      <c r="J48" s="7" t="s">
        <v>972</v>
      </c>
    </row>
    <row r="49" spans="1:10" x14ac:dyDescent="0.25" outlineLevel="2" collapsed="1">
      <c r="A49" s="7" t="s">
        <v>19</v>
      </c>
      <c r="B49" s="7" t="s">
        <v>16</v>
      </c>
      <c r="C49" s="7" t="s">
        <v>17</v>
      </c>
      <c r="D49" s="7"/>
      <c r="E49" s="7" t="s">
        <v>2302</v>
      </c>
      <c r="F49" s="7" t="s">
        <v>19</v>
      </c>
      <c r="G49" s="7" t="s">
        <v>31</v>
      </c>
      <c r="H49" s="7" t="s">
        <v>17</v>
      </c>
      <c r="I49" s="7" t="s">
        <v>17</v>
      </c>
      <c r="J49" s="7" t="s">
        <v>2303</v>
      </c>
    </row>
    <row r="50" spans="1:10" x14ac:dyDescent="0.25" outlineLevel="2" collapsed="1">
      <c r="A50" s="7" t="s">
        <v>19</v>
      </c>
      <c r="B50" s="7" t="s">
        <v>16</v>
      </c>
      <c r="C50" s="7" t="s">
        <v>17</v>
      </c>
      <c r="D50" s="7"/>
      <c r="E50" s="7" t="s">
        <v>2304</v>
      </c>
      <c r="F50" s="7" t="s">
        <v>19</v>
      </c>
      <c r="G50" s="7" t="s">
        <v>31</v>
      </c>
      <c r="H50" s="7" t="s">
        <v>17</v>
      </c>
      <c r="I50" s="7" t="s">
        <v>17</v>
      </c>
      <c r="J50" s="7" t="s">
        <v>2305</v>
      </c>
    </row>
    <row r="51" spans="1:10" x14ac:dyDescent="0.25" outlineLevel="2" collapsed="1">
      <c r="A51" s="7" t="s">
        <v>19</v>
      </c>
      <c r="B51" s="7" t="s">
        <v>16</v>
      </c>
      <c r="C51" s="7" t="s">
        <v>17</v>
      </c>
      <c r="D51" s="7"/>
      <c r="E51" s="7" t="s">
        <v>2306</v>
      </c>
      <c r="F51" s="7" t="s">
        <v>19</v>
      </c>
      <c r="G51" s="7" t="s">
        <v>31</v>
      </c>
      <c r="H51" s="7" t="s">
        <v>17</v>
      </c>
      <c r="I51" s="7" t="s">
        <v>17</v>
      </c>
      <c r="J51" s="7" t="s">
        <v>2307</v>
      </c>
    </row>
    <row r="52" spans="1:10" x14ac:dyDescent="0.25" outlineLevel="2" collapsed="1">
      <c r="A52" s="7" t="s">
        <v>19</v>
      </c>
      <c r="B52" s="7" t="s">
        <v>16</v>
      </c>
      <c r="C52" s="7" t="s">
        <v>17</v>
      </c>
      <c r="D52" s="7"/>
      <c r="E52" s="7" t="s">
        <v>2308</v>
      </c>
      <c r="F52" s="7" t="s">
        <v>19</v>
      </c>
      <c r="G52" s="7" t="s">
        <v>31</v>
      </c>
      <c r="H52" s="7" t="s">
        <v>17</v>
      </c>
      <c r="I52" s="7" t="s">
        <v>17</v>
      </c>
      <c r="J52" s="7" t="s">
        <v>2309</v>
      </c>
    </row>
    <row r="53" spans="1:10" x14ac:dyDescent="0.25" outlineLevel="2" collapsed="1">
      <c r="A53" s="7" t="s">
        <v>19</v>
      </c>
      <c r="B53" s="7" t="s">
        <v>16</v>
      </c>
      <c r="C53" s="7" t="s">
        <v>17</v>
      </c>
      <c r="D53" s="7"/>
      <c r="E53" s="7" t="s">
        <v>1117</v>
      </c>
      <c r="F53" s="7" t="s">
        <v>19</v>
      </c>
      <c r="G53" s="7" t="s">
        <v>31</v>
      </c>
      <c r="H53" s="7" t="s">
        <v>17</v>
      </c>
      <c r="I53" s="7" t="s">
        <v>17</v>
      </c>
      <c r="J53" s="7" t="s">
        <v>1118</v>
      </c>
    </row>
    <row r="54" spans="1:10" x14ac:dyDescent="0.25" outlineLevel="2" collapsed="1">
      <c r="A54" s="7" t="s">
        <v>19</v>
      </c>
      <c r="B54" s="7" t="s">
        <v>16</v>
      </c>
      <c r="C54" s="7" t="s">
        <v>17</v>
      </c>
      <c r="D54" s="7"/>
      <c r="E54" s="7" t="s">
        <v>2310</v>
      </c>
      <c r="F54" s="7" t="s">
        <v>19</v>
      </c>
      <c r="G54" s="7" t="s">
        <v>31</v>
      </c>
      <c r="H54" s="7" t="s">
        <v>17</v>
      </c>
      <c r="I54" s="7" t="s">
        <v>17</v>
      </c>
      <c r="J54" s="7" t="s">
        <v>2311</v>
      </c>
    </row>
    <row r="55" spans="1:10" x14ac:dyDescent="0.25" outlineLevel="2" collapsed="1">
      <c r="A55" s="7" t="s">
        <v>19</v>
      </c>
      <c r="B55" s="7" t="s">
        <v>16</v>
      </c>
      <c r="C55" s="7" t="s">
        <v>17</v>
      </c>
      <c r="D55" s="7"/>
      <c r="E55" s="7" t="s">
        <v>2312</v>
      </c>
      <c r="F55" s="7" t="s">
        <v>19</v>
      </c>
      <c r="G55" s="7" t="s">
        <v>31</v>
      </c>
      <c r="H55" s="7" t="s">
        <v>17</v>
      </c>
      <c r="I55" s="7" t="s">
        <v>17</v>
      </c>
      <c r="J55" s="7" t="s">
        <v>2313</v>
      </c>
    </row>
    <row r="56" spans="1:10" x14ac:dyDescent="0.25" outlineLevel="2" collapsed="1">
      <c r="A56" s="7" t="s">
        <v>19</v>
      </c>
      <c r="B56" s="7" t="s">
        <v>16</v>
      </c>
      <c r="C56" s="7" t="s">
        <v>17</v>
      </c>
      <c r="D56" s="7"/>
      <c r="E56" s="7" t="s">
        <v>2314</v>
      </c>
      <c r="F56" s="7" t="s">
        <v>19</v>
      </c>
      <c r="G56" s="7" t="s">
        <v>31</v>
      </c>
      <c r="H56" s="7" t="s">
        <v>17</v>
      </c>
      <c r="I56" s="7" t="s">
        <v>17</v>
      </c>
      <c r="J56" s="7" t="s">
        <v>1191</v>
      </c>
    </row>
    <row r="57" spans="1:10" x14ac:dyDescent="0.25" outlineLevel="2" collapsed="1">
      <c r="A57" s="7" t="s">
        <v>19</v>
      </c>
      <c r="B57" s="7" t="s">
        <v>16</v>
      </c>
      <c r="C57" s="7" t="s">
        <v>17</v>
      </c>
      <c r="D57" s="7"/>
      <c r="E57" s="7" t="s">
        <v>2315</v>
      </c>
      <c r="F57" s="7" t="s">
        <v>19</v>
      </c>
      <c r="G57" s="7" t="s">
        <v>31</v>
      </c>
      <c r="H57" s="7" t="s">
        <v>17</v>
      </c>
      <c r="I57" s="7" t="s">
        <v>17</v>
      </c>
      <c r="J57" s="7" t="s">
        <v>1193</v>
      </c>
    </row>
    <row r="58" spans="1:10" x14ac:dyDescent="0.25" outlineLevel="2" collapsed="1">
      <c r="A58" s="7" t="s">
        <v>19</v>
      </c>
      <c r="B58" s="7" t="s">
        <v>16</v>
      </c>
      <c r="C58" s="7" t="s">
        <v>17</v>
      </c>
      <c r="D58" s="7"/>
      <c r="E58" s="7" t="s">
        <v>2316</v>
      </c>
      <c r="F58" s="7" t="s">
        <v>19</v>
      </c>
      <c r="G58" s="7" t="s">
        <v>31</v>
      </c>
      <c r="H58" s="7" t="s">
        <v>17</v>
      </c>
      <c r="I58" s="7" t="s">
        <v>17</v>
      </c>
      <c r="J58" s="7" t="s">
        <v>2317</v>
      </c>
    </row>
    <row r="59" spans="1:10" x14ac:dyDescent="0.25" outlineLevel="2" collapsed="1">
      <c r="A59" s="7" t="s">
        <v>19</v>
      </c>
      <c r="B59" s="7" t="s">
        <v>16</v>
      </c>
      <c r="C59" s="7" t="s">
        <v>17</v>
      </c>
      <c r="D59" s="7"/>
      <c r="E59" s="7" t="s">
        <v>2318</v>
      </c>
      <c r="F59" s="7" t="s">
        <v>19</v>
      </c>
      <c r="G59" s="7" t="s">
        <v>31</v>
      </c>
      <c r="H59" s="7" t="s">
        <v>17</v>
      </c>
      <c r="I59" s="7" t="s">
        <v>17</v>
      </c>
      <c r="J59" s="7" t="s">
        <v>2319</v>
      </c>
    </row>
    <row r="60" spans="1:10" x14ac:dyDescent="0.25" outlineLevel="2" collapsed="1">
      <c r="A60" s="7" t="s">
        <v>19</v>
      </c>
      <c r="B60" s="7" t="s">
        <v>16</v>
      </c>
      <c r="C60" s="7" t="s">
        <v>17</v>
      </c>
      <c r="D60" s="7"/>
      <c r="E60" s="7" t="s">
        <v>2320</v>
      </c>
      <c r="F60" s="7" t="s">
        <v>19</v>
      </c>
      <c r="G60" s="7" t="s">
        <v>31</v>
      </c>
      <c r="H60" s="7" t="s">
        <v>17</v>
      </c>
      <c r="I60" s="7" t="s">
        <v>17</v>
      </c>
      <c r="J60" s="7" t="s">
        <v>2321</v>
      </c>
    </row>
    <row r="61" spans="1:10" x14ac:dyDescent="0.25" outlineLevel="1" collapsed="1">
      <c r="A61" s="8" t="s">
        <v>15</v>
      </c>
      <c r="B61" s="9" t="s">
        <v>2322</v>
      </c>
      <c r="C61" s="8" t="s">
        <v>17</v>
      </c>
      <c r="D61" s="8"/>
      <c r="E61" s="8" t="s">
        <v>2323</v>
      </c>
      <c r="F61" s="8" t="s">
        <v>19</v>
      </c>
      <c r="G61" s="8" t="s">
        <v>17</v>
      </c>
      <c r="H61" s="8" t="s">
        <v>17</v>
      </c>
      <c r="I61" s="8" t="s">
        <v>17</v>
      </c>
      <c r="J61" s="8" t="s">
        <v>2324</v>
      </c>
    </row>
    <row r="62" spans="1:10" x14ac:dyDescent="0.25" outlineLevel="2" collapsed="1">
      <c r="A62" s="8" t="s">
        <v>19</v>
      </c>
      <c r="B62" s="9" t="s">
        <v>1074</v>
      </c>
      <c r="C62" s="8" t="s">
        <v>17</v>
      </c>
      <c r="D62" s="8"/>
      <c r="E62" s="8" t="s">
        <v>2325</v>
      </c>
      <c r="F62" s="8" t="s">
        <v>15</v>
      </c>
      <c r="G62" s="8" t="s">
        <v>17</v>
      </c>
      <c r="H62" s="8" t="s">
        <v>17</v>
      </c>
      <c r="I62" s="8" t="s">
        <v>17</v>
      </c>
      <c r="J62" s="8" t="s">
        <v>1076</v>
      </c>
    </row>
    <row r="63" spans="1:10" x14ac:dyDescent="0.25" outlineLevel="3" collapsed="1">
      <c r="A63" s="7" t="s">
        <v>15</v>
      </c>
      <c r="B63" s="7" t="s">
        <v>16</v>
      </c>
      <c r="C63" s="7" t="s">
        <v>17</v>
      </c>
      <c r="D63" s="7"/>
      <c r="E63" s="7" t="s">
        <v>1077</v>
      </c>
      <c r="F63" s="7" t="s">
        <v>19</v>
      </c>
      <c r="G63" s="7" t="s">
        <v>1078</v>
      </c>
      <c r="H63" s="7" t="s">
        <v>17</v>
      </c>
      <c r="I63" s="7" t="s">
        <v>17</v>
      </c>
      <c r="J63" s="7" t="s">
        <v>1079</v>
      </c>
    </row>
    <row r="64" spans="1:10" x14ac:dyDescent="0.25" outlineLevel="3" collapsed="1">
      <c r="A64" s="7" t="s">
        <v>15</v>
      </c>
      <c r="B64" s="7" t="s">
        <v>16</v>
      </c>
      <c r="C64" s="7" t="s">
        <v>17</v>
      </c>
      <c r="D64" s="7"/>
      <c r="E64" s="7" t="s">
        <v>1080</v>
      </c>
      <c r="F64" s="7" t="s">
        <v>19</v>
      </c>
      <c r="G64" s="7" t="s">
        <v>1081</v>
      </c>
      <c r="H64" s="7" t="s">
        <v>17</v>
      </c>
      <c r="I64" s="7" t="s">
        <v>17</v>
      </c>
      <c r="J64" s="7" t="s">
        <v>1082</v>
      </c>
    </row>
    <row r="65" spans="1:10" x14ac:dyDescent="0.25" outlineLevel="3" collapsed="1">
      <c r="A65" s="7" t="s">
        <v>19</v>
      </c>
      <c r="B65" s="7" t="s">
        <v>16</v>
      </c>
      <c r="C65" s="7" t="s">
        <v>17</v>
      </c>
      <c r="D65" s="7"/>
      <c r="E65" s="7" t="s">
        <v>1083</v>
      </c>
      <c r="F65" s="7" t="s">
        <v>19</v>
      </c>
      <c r="G65" s="7" t="s">
        <v>1084</v>
      </c>
      <c r="H65" s="7" t="s">
        <v>17</v>
      </c>
      <c r="I65" s="7" t="s">
        <v>17</v>
      </c>
      <c r="J65" s="7" t="s">
        <v>1085</v>
      </c>
    </row>
    <row r="66" spans="1:10" x14ac:dyDescent="0.25" outlineLevel="3" collapsed="1">
      <c r="A66" s="7" t="s">
        <v>19</v>
      </c>
      <c r="B66" s="7" t="s">
        <v>16</v>
      </c>
      <c r="C66" s="7" t="s">
        <v>17</v>
      </c>
      <c r="D66" s="7"/>
      <c r="E66" s="7" t="s">
        <v>1086</v>
      </c>
      <c r="F66" s="7" t="s">
        <v>19</v>
      </c>
      <c r="G66" s="7" t="s">
        <v>1087</v>
      </c>
      <c r="H66" s="7" t="s">
        <v>17</v>
      </c>
      <c r="I66" s="7" t="s">
        <v>17</v>
      </c>
      <c r="J66" s="7" t="s">
        <v>1088</v>
      </c>
    </row>
    <row r="67" spans="1:10" x14ac:dyDescent="0.25" outlineLevel="3" collapsed="1">
      <c r="A67" s="7" t="s">
        <v>19</v>
      </c>
      <c r="B67" s="7" t="s">
        <v>16</v>
      </c>
      <c r="C67" s="7" t="s">
        <v>17</v>
      </c>
      <c r="D67" s="7"/>
      <c r="E67" s="7" t="s">
        <v>1089</v>
      </c>
      <c r="F67" s="7" t="s">
        <v>19</v>
      </c>
      <c r="G67" s="7" t="s">
        <v>1090</v>
      </c>
      <c r="H67" s="7" t="s">
        <v>17</v>
      </c>
      <c r="I67" s="7" t="s">
        <v>17</v>
      </c>
      <c r="J67" s="7" t="s">
        <v>1091</v>
      </c>
    </row>
    <row r="68" spans="1:10" x14ac:dyDescent="0.25" outlineLevel="3" collapsed="1">
      <c r="A68" s="7" t="s">
        <v>15</v>
      </c>
      <c r="B68" s="7" t="s">
        <v>16</v>
      </c>
      <c r="C68" s="7" t="s">
        <v>17</v>
      </c>
      <c r="D68" s="7"/>
      <c r="E68" s="7" t="s">
        <v>1092</v>
      </c>
      <c r="F68" s="7" t="s">
        <v>19</v>
      </c>
      <c r="G68" s="7" t="s">
        <v>1093</v>
      </c>
      <c r="H68" s="7" t="s">
        <v>17</v>
      </c>
      <c r="I68" s="7" t="s">
        <v>17</v>
      </c>
      <c r="J68" s="7" t="s">
        <v>1094</v>
      </c>
    </row>
    <row r="69" spans="1:10" x14ac:dyDescent="0.25" outlineLevel="1" collapsed="1">
      <c r="A69" s="8" t="s">
        <v>15</v>
      </c>
      <c r="B69" s="9" t="s">
        <v>2326</v>
      </c>
      <c r="C69" s="8" t="s">
        <v>17</v>
      </c>
      <c r="D69" s="8"/>
      <c r="E69" s="8" t="s">
        <v>2327</v>
      </c>
      <c r="F69" s="8" t="s">
        <v>15</v>
      </c>
      <c r="G69" s="8" t="s">
        <v>17</v>
      </c>
      <c r="H69" s="8" t="s">
        <v>17</v>
      </c>
      <c r="I69" s="8" t="s">
        <v>17</v>
      </c>
      <c r="J69" s="8" t="s">
        <v>2328</v>
      </c>
    </row>
    <row r="70" spans="1:10" x14ac:dyDescent="0.25" outlineLevel="2" collapsed="1">
      <c r="A70" s="7" t="s">
        <v>15</v>
      </c>
      <c r="B70" s="7" t="s">
        <v>16</v>
      </c>
      <c r="C70" s="7" t="s">
        <v>17</v>
      </c>
      <c r="D70" s="7"/>
      <c r="E70" s="7" t="s">
        <v>2329</v>
      </c>
      <c r="F70" s="7" t="s">
        <v>19</v>
      </c>
      <c r="G70" s="7" t="s">
        <v>996</v>
      </c>
      <c r="H70" s="7" t="s">
        <v>17</v>
      </c>
      <c r="I70" s="7" t="s">
        <v>17</v>
      </c>
      <c r="J70" s="7" t="s">
        <v>1079</v>
      </c>
    </row>
    <row r="71" spans="1:10" x14ac:dyDescent="0.25" outlineLevel="2" collapsed="1">
      <c r="A71" s="7" t="s">
        <v>15</v>
      </c>
      <c r="B71" s="7" t="s">
        <v>16</v>
      </c>
      <c r="C71" s="7" t="s">
        <v>17</v>
      </c>
      <c r="D71" s="7"/>
      <c r="E71" s="7" t="s">
        <v>2330</v>
      </c>
      <c r="F71" s="7" t="s">
        <v>19</v>
      </c>
      <c r="G71" s="7" t="s">
        <v>2331</v>
      </c>
      <c r="H71" s="7" t="s">
        <v>17</v>
      </c>
      <c r="I71" s="7" t="s">
        <v>17</v>
      </c>
      <c r="J71" s="7" t="s">
        <v>827</v>
      </c>
    </row>
    <row r="72" spans="1:10" x14ac:dyDescent="0.25" outlineLevel="2" collapsed="1">
      <c r="A72" s="7" t="s">
        <v>15</v>
      </c>
      <c r="B72" s="7" t="s">
        <v>16</v>
      </c>
      <c r="C72" s="7" t="s">
        <v>17</v>
      </c>
      <c r="D72" s="7"/>
      <c r="E72" s="7" t="s">
        <v>2332</v>
      </c>
      <c r="F72" s="7" t="s">
        <v>19</v>
      </c>
      <c r="G72" s="7" t="s">
        <v>2333</v>
      </c>
      <c r="H72" s="7" t="s">
        <v>17</v>
      </c>
      <c r="I72" s="7" t="s">
        <v>17</v>
      </c>
      <c r="J72" s="7" t="s">
        <v>1082</v>
      </c>
    </row>
    <row r="73" spans="1:10" x14ac:dyDescent="0.25" outlineLevel="2" collapsed="1">
      <c r="A73" s="7" t="s">
        <v>19</v>
      </c>
      <c r="B73" s="7" t="s">
        <v>16</v>
      </c>
      <c r="C73" s="7" t="s">
        <v>17</v>
      </c>
      <c r="D73" s="7"/>
      <c r="E73" s="7" t="s">
        <v>2334</v>
      </c>
      <c r="F73" s="7" t="s">
        <v>19</v>
      </c>
      <c r="G73" s="7" t="s">
        <v>2333</v>
      </c>
      <c r="H73" s="7" t="s">
        <v>17</v>
      </c>
      <c r="I73" s="7" t="s">
        <v>17</v>
      </c>
      <c r="J73" s="7" t="s">
        <v>1085</v>
      </c>
    </row>
    <row r="74" spans="1:10" x14ac:dyDescent="0.25" outlineLevel="2" collapsed="1">
      <c r="A74" s="7" t="s">
        <v>19</v>
      </c>
      <c r="B74" s="7" t="s">
        <v>16</v>
      </c>
      <c r="C74" s="7" t="s">
        <v>17</v>
      </c>
      <c r="D74" s="7"/>
      <c r="E74" s="7" t="s">
        <v>2335</v>
      </c>
      <c r="F74" s="7" t="s">
        <v>19</v>
      </c>
      <c r="G74" s="7" t="s">
        <v>2333</v>
      </c>
      <c r="H74" s="7" t="s">
        <v>17</v>
      </c>
      <c r="I74" s="7" t="s">
        <v>17</v>
      </c>
      <c r="J74" s="7" t="s">
        <v>1088</v>
      </c>
    </row>
    <row r="75" spans="1:10" x14ac:dyDescent="0.25" outlineLevel="2" collapsed="1">
      <c r="A75" s="7" t="s">
        <v>19</v>
      </c>
      <c r="B75" s="7" t="s">
        <v>16</v>
      </c>
      <c r="C75" s="7" t="s">
        <v>17</v>
      </c>
      <c r="D75" s="7"/>
      <c r="E75" s="7" t="s">
        <v>2336</v>
      </c>
      <c r="F75" s="7" t="s">
        <v>19</v>
      </c>
      <c r="G75" s="7" t="s">
        <v>2333</v>
      </c>
      <c r="H75" s="7" t="s">
        <v>17</v>
      </c>
      <c r="I75" s="7" t="s">
        <v>17</v>
      </c>
      <c r="J75" s="7" t="s">
        <v>1091</v>
      </c>
    </row>
    <row r="76" spans="1:10" x14ac:dyDescent="0.25" outlineLevel="2" collapsed="1">
      <c r="A76" s="7" t="s">
        <v>15</v>
      </c>
      <c r="B76" s="7" t="s">
        <v>16</v>
      </c>
      <c r="C76" s="7" t="s">
        <v>17</v>
      </c>
      <c r="D76" s="7"/>
      <c r="E76" s="7" t="s">
        <v>2337</v>
      </c>
      <c r="F76" s="7" t="s">
        <v>19</v>
      </c>
      <c r="G76" s="7" t="s">
        <v>2333</v>
      </c>
      <c r="H76" s="7" t="s">
        <v>17</v>
      </c>
      <c r="I76" s="7" t="s">
        <v>17</v>
      </c>
      <c r="J76" s="7" t="s">
        <v>1094</v>
      </c>
    </row>
    <row r="77" spans="1:10" x14ac:dyDescent="0.25" outlineLevel="2" collapsed="1">
      <c r="A77" s="7" t="s">
        <v>19</v>
      </c>
      <c r="B77" s="7" t="s">
        <v>16</v>
      </c>
      <c r="C77" s="7" t="s">
        <v>17</v>
      </c>
      <c r="D77" s="7"/>
      <c r="E77" s="7" t="s">
        <v>1110</v>
      </c>
      <c r="F77" s="7" t="s">
        <v>19</v>
      </c>
      <c r="G77" s="7" t="s">
        <v>31</v>
      </c>
      <c r="H77" s="7" t="s">
        <v>17</v>
      </c>
      <c r="I77" s="7" t="s">
        <v>17</v>
      </c>
      <c r="J77" s="7" t="s">
        <v>1111</v>
      </c>
    </row>
    <row r="78" spans="1:10" x14ac:dyDescent="0.25" outlineLevel="1" collapsed="1">
      <c r="A78" s="8" t="s">
        <v>15</v>
      </c>
      <c r="B78" s="9" t="s">
        <v>2338</v>
      </c>
      <c r="C78" s="8" t="s">
        <v>17</v>
      </c>
      <c r="D78" s="8"/>
      <c r="E78" s="8" t="s">
        <v>2339</v>
      </c>
      <c r="F78" s="8" t="s">
        <v>19</v>
      </c>
      <c r="G78" s="8" t="s">
        <v>17</v>
      </c>
      <c r="H78" s="8" t="s">
        <v>17</v>
      </c>
      <c r="I78" s="8" t="s">
        <v>17</v>
      </c>
      <c r="J78" s="8" t="s">
        <v>2340</v>
      </c>
    </row>
    <row r="79" spans="1:10" x14ac:dyDescent="0.25" outlineLevel="2" collapsed="1">
      <c r="A79" s="8" t="s">
        <v>15</v>
      </c>
      <c r="B79" s="9" t="s">
        <v>2341</v>
      </c>
      <c r="C79" s="8" t="s">
        <v>17</v>
      </c>
      <c r="D79" s="8"/>
      <c r="E79" s="8" t="s">
        <v>2342</v>
      </c>
      <c r="F79" s="8" t="s">
        <v>19</v>
      </c>
      <c r="G79" s="8" t="s">
        <v>17</v>
      </c>
      <c r="H79" s="8" t="s">
        <v>17</v>
      </c>
      <c r="I79" s="8" t="s">
        <v>17</v>
      </c>
      <c r="J79" s="8" t="s">
        <v>2343</v>
      </c>
    </row>
    <row r="80" spans="1:10" x14ac:dyDescent="0.25" outlineLevel="3" collapsed="1">
      <c r="A80" s="7" t="s">
        <v>15</v>
      </c>
      <c r="B80" s="7" t="s">
        <v>16</v>
      </c>
      <c r="C80" s="7" t="s">
        <v>17</v>
      </c>
      <c r="D80" s="7"/>
      <c r="E80" s="7" t="s">
        <v>2344</v>
      </c>
      <c r="F80" s="7" t="s">
        <v>19</v>
      </c>
      <c r="G80" s="7" t="s">
        <v>2345</v>
      </c>
      <c r="H80" s="7" t="s">
        <v>17</v>
      </c>
      <c r="I80" s="7" t="s">
        <v>17</v>
      </c>
      <c r="J80" s="7" t="s">
        <v>2343</v>
      </c>
    </row>
    <row r="81" spans="1:10" x14ac:dyDescent="0.25" outlineLevel="2" collapsed="1">
      <c r="A81" s="8" t="s">
        <v>15</v>
      </c>
      <c r="B81" s="9" t="s">
        <v>2346</v>
      </c>
      <c r="C81" s="8" t="s">
        <v>17</v>
      </c>
      <c r="D81" s="8"/>
      <c r="E81" s="8" t="s">
        <v>2347</v>
      </c>
      <c r="F81" s="8" t="s">
        <v>15</v>
      </c>
      <c r="G81" s="8" t="s">
        <v>17</v>
      </c>
      <c r="H81" s="8" t="s">
        <v>17</v>
      </c>
      <c r="I81" s="8" t="s">
        <v>17</v>
      </c>
      <c r="J81" s="8" t="s">
        <v>659</v>
      </c>
    </row>
    <row r="82" spans="1:10" x14ac:dyDescent="0.25" outlineLevel="3" collapsed="1">
      <c r="A82" s="7" t="s">
        <v>19</v>
      </c>
      <c r="B82" s="7" t="s">
        <v>16</v>
      </c>
      <c r="C82" s="7" t="s">
        <v>17</v>
      </c>
      <c r="D82" s="7"/>
      <c r="E82" s="7" t="s">
        <v>1250</v>
      </c>
      <c r="F82" s="7" t="s">
        <v>19</v>
      </c>
      <c r="G82" s="7" t="s">
        <v>31</v>
      </c>
      <c r="H82" s="7" t="s">
        <v>17</v>
      </c>
      <c r="I82" s="7" t="s">
        <v>17</v>
      </c>
      <c r="J82" s="7" t="s">
        <v>1251</v>
      </c>
    </row>
    <row r="83" spans="1:10" x14ac:dyDescent="0.25" outlineLevel="3" collapsed="1">
      <c r="A83" s="7" t="s">
        <v>19</v>
      </c>
      <c r="B83" s="7" t="s">
        <v>16</v>
      </c>
      <c r="C83" s="7" t="s">
        <v>17</v>
      </c>
      <c r="D83" s="7"/>
      <c r="E83" s="7" t="s">
        <v>1252</v>
      </c>
      <c r="F83" s="7" t="s">
        <v>19</v>
      </c>
      <c r="G83" s="7" t="s">
        <v>31</v>
      </c>
      <c r="H83" s="7" t="s">
        <v>17</v>
      </c>
      <c r="I83" s="7" t="s">
        <v>17</v>
      </c>
      <c r="J83" s="7" t="s">
        <v>1253</v>
      </c>
    </row>
    <row r="84" spans="1:10" x14ac:dyDescent="0.25" outlineLevel="3" collapsed="1">
      <c r="A84" s="7" t="s">
        <v>19</v>
      </c>
      <c r="B84" s="7" t="s">
        <v>16</v>
      </c>
      <c r="C84" s="7" t="s">
        <v>17</v>
      </c>
      <c r="D84" s="7"/>
      <c r="E84" s="7" t="s">
        <v>1254</v>
      </c>
      <c r="F84" s="7" t="s">
        <v>19</v>
      </c>
      <c r="G84" s="7" t="s">
        <v>31</v>
      </c>
      <c r="H84" s="7" t="s">
        <v>17</v>
      </c>
      <c r="I84" s="7" t="s">
        <v>17</v>
      </c>
      <c r="J84" s="7" t="s">
        <v>1255</v>
      </c>
    </row>
    <row r="85" spans="1:10" x14ac:dyDescent="0.25" outlineLevel="3" collapsed="1">
      <c r="A85" s="7" t="s">
        <v>19</v>
      </c>
      <c r="B85" s="7" t="s">
        <v>16</v>
      </c>
      <c r="C85" s="7" t="s">
        <v>17</v>
      </c>
      <c r="D85" s="7"/>
      <c r="E85" s="7" t="s">
        <v>1256</v>
      </c>
      <c r="F85" s="7" t="s">
        <v>19</v>
      </c>
      <c r="G85" s="7" t="s">
        <v>31</v>
      </c>
      <c r="H85" s="7" t="s">
        <v>17</v>
      </c>
      <c r="I85" s="7" t="s">
        <v>17</v>
      </c>
      <c r="J85" s="7" t="s">
        <v>1257</v>
      </c>
    </row>
    <row r="86" spans="1:10" x14ac:dyDescent="0.25" outlineLevel="3" collapsed="1">
      <c r="A86" s="7" t="s">
        <v>19</v>
      </c>
      <c r="B86" s="7" t="s">
        <v>16</v>
      </c>
      <c r="C86" s="7" t="s">
        <v>17</v>
      </c>
      <c r="D86" s="7"/>
      <c r="E86" s="7" t="s">
        <v>1258</v>
      </c>
      <c r="F86" s="7" t="s">
        <v>19</v>
      </c>
      <c r="G86" s="7" t="s">
        <v>31</v>
      </c>
      <c r="H86" s="7" t="s">
        <v>17</v>
      </c>
      <c r="I86" s="7" t="s">
        <v>17</v>
      </c>
      <c r="J86" s="7" t="s">
        <v>1259</v>
      </c>
    </row>
    <row r="87" spans="1:10" x14ac:dyDescent="0.25" outlineLevel="3" collapsed="1">
      <c r="A87" s="7" t="s">
        <v>19</v>
      </c>
      <c r="B87" s="7" t="s">
        <v>16</v>
      </c>
      <c r="C87" s="7" t="s">
        <v>17</v>
      </c>
      <c r="D87" s="7"/>
      <c r="E87" s="7" t="s">
        <v>1260</v>
      </c>
      <c r="F87" s="7" t="s">
        <v>19</v>
      </c>
      <c r="G87" s="7" t="s">
        <v>31</v>
      </c>
      <c r="H87" s="7" t="s">
        <v>17</v>
      </c>
      <c r="I87" s="7" t="s">
        <v>17</v>
      </c>
      <c r="J87" s="7" t="s">
        <v>1261</v>
      </c>
    </row>
    <row r="88" spans="1:10" x14ac:dyDescent="0.25" outlineLevel="3" collapsed="1">
      <c r="A88" s="7" t="s">
        <v>19</v>
      </c>
      <c r="B88" s="7" t="s">
        <v>16</v>
      </c>
      <c r="C88" s="7" t="s">
        <v>17</v>
      </c>
      <c r="D88" s="7"/>
      <c r="E88" s="7" t="s">
        <v>1262</v>
      </c>
      <c r="F88" s="7" t="s">
        <v>19</v>
      </c>
      <c r="G88" s="7" t="s">
        <v>31</v>
      </c>
      <c r="H88" s="7" t="s">
        <v>17</v>
      </c>
      <c r="I88" s="7" t="s">
        <v>17</v>
      </c>
      <c r="J88" s="7" t="s">
        <v>1263</v>
      </c>
    </row>
    <row r="89" spans="1:10" x14ac:dyDescent="0.25" outlineLevel="3" collapsed="1">
      <c r="A89" s="7" t="s">
        <v>19</v>
      </c>
      <c r="B89" s="7" t="s">
        <v>16</v>
      </c>
      <c r="C89" s="7" t="s">
        <v>17</v>
      </c>
      <c r="D89" s="7"/>
      <c r="E89" s="7" t="s">
        <v>1264</v>
      </c>
      <c r="F89" s="7" t="s">
        <v>19</v>
      </c>
      <c r="G89" s="7" t="s">
        <v>31</v>
      </c>
      <c r="H89" s="7" t="s">
        <v>17</v>
      </c>
      <c r="I89" s="7" t="s">
        <v>17</v>
      </c>
      <c r="J89" s="7" t="s">
        <v>1265</v>
      </c>
    </row>
    <row r="90" spans="1:10" x14ac:dyDescent="0.25" outlineLevel="2" collapsed="1">
      <c r="A90" s="8" t="s">
        <v>19</v>
      </c>
      <c r="B90" s="9" t="s">
        <v>2348</v>
      </c>
      <c r="C90" s="8" t="s">
        <v>17</v>
      </c>
      <c r="D90" s="8"/>
      <c r="E90" s="8" t="s">
        <v>1240</v>
      </c>
      <c r="F90" s="8" t="s">
        <v>15</v>
      </c>
      <c r="G90" s="8" t="s">
        <v>17</v>
      </c>
      <c r="H90" s="8" t="s">
        <v>17</v>
      </c>
      <c r="I90" s="8" t="s">
        <v>17</v>
      </c>
      <c r="J90" s="8" t="s">
        <v>1241</v>
      </c>
    </row>
    <row r="91" spans="1:10" x14ac:dyDescent="0.25" outlineLevel="3" collapsed="1">
      <c r="A91" s="7" t="s">
        <v>19</v>
      </c>
      <c r="B91" s="7" t="s">
        <v>16</v>
      </c>
      <c r="C91" s="7" t="s">
        <v>17</v>
      </c>
      <c r="D91" s="7"/>
      <c r="E91" s="7" t="s">
        <v>1242</v>
      </c>
      <c r="F91" s="7" t="s">
        <v>19</v>
      </c>
      <c r="G91" s="7" t="s">
        <v>31</v>
      </c>
      <c r="H91" s="7" t="s">
        <v>17</v>
      </c>
      <c r="I91" s="7" t="s">
        <v>17</v>
      </c>
      <c r="J91" s="7" t="s">
        <v>1243</v>
      </c>
    </row>
    <row r="92" spans="1:10" x14ac:dyDescent="0.25" outlineLevel="3" collapsed="1">
      <c r="A92" s="7" t="s">
        <v>19</v>
      </c>
      <c r="B92" s="7" t="s">
        <v>16</v>
      </c>
      <c r="C92" s="7" t="s">
        <v>17</v>
      </c>
      <c r="D92" s="7"/>
      <c r="E92" s="7" t="s">
        <v>1244</v>
      </c>
      <c r="F92" s="7" t="s">
        <v>19</v>
      </c>
      <c r="G92" s="7" t="s">
        <v>31</v>
      </c>
      <c r="H92" s="7" t="s">
        <v>17</v>
      </c>
      <c r="I92" s="7" t="s">
        <v>17</v>
      </c>
      <c r="J92" s="7" t="s">
        <v>1245</v>
      </c>
    </row>
    <row r="93" spans="1:10" x14ac:dyDescent="0.25" outlineLevel="3" collapsed="1">
      <c r="A93" s="7" t="s">
        <v>19</v>
      </c>
      <c r="B93" s="7" t="s">
        <v>16</v>
      </c>
      <c r="C93" s="7" t="s">
        <v>17</v>
      </c>
      <c r="D93" s="7"/>
      <c r="E93" s="7" t="s">
        <v>2349</v>
      </c>
      <c r="F93" s="7" t="s">
        <v>19</v>
      </c>
      <c r="G93" s="7" t="s">
        <v>31</v>
      </c>
      <c r="H93" s="7" t="s">
        <v>17</v>
      </c>
      <c r="I93" s="7" t="s">
        <v>17</v>
      </c>
      <c r="J93" s="7" t="s">
        <v>2350</v>
      </c>
    </row>
    <row r="94" spans="1:10" x14ac:dyDescent="0.25" outlineLevel="2" collapsed="1">
      <c r="A94" s="7" t="s">
        <v>19</v>
      </c>
      <c r="B94" s="7" t="s">
        <v>16</v>
      </c>
      <c r="C94" s="7" t="s">
        <v>17</v>
      </c>
      <c r="D94" s="7"/>
      <c r="E94" s="7" t="s">
        <v>2351</v>
      </c>
      <c r="F94" s="7" t="s">
        <v>19</v>
      </c>
      <c r="G94" s="7" t="s">
        <v>31</v>
      </c>
      <c r="H94" s="7" t="s">
        <v>17</v>
      </c>
      <c r="I94" s="7" t="s">
        <v>17</v>
      </c>
      <c r="J94" s="7" t="s">
        <v>2352</v>
      </c>
    </row>
    <row r="95" spans="1:10" x14ac:dyDescent="0.25" outlineLevel="2" collapsed="1">
      <c r="A95" s="7" t="s">
        <v>19</v>
      </c>
      <c r="B95" s="7" t="s">
        <v>16</v>
      </c>
      <c r="C95" s="7" t="s">
        <v>17</v>
      </c>
      <c r="D95" s="7"/>
      <c r="E95" s="7" t="s">
        <v>1256</v>
      </c>
      <c r="F95" s="7" t="s">
        <v>19</v>
      </c>
      <c r="G95" s="7" t="s">
        <v>31</v>
      </c>
      <c r="H95" s="7" t="s">
        <v>17</v>
      </c>
      <c r="I95" s="7" t="s">
        <v>17</v>
      </c>
      <c r="J95" s="7" t="s">
        <v>1257</v>
      </c>
    </row>
    <row r="96" spans="1:10" x14ac:dyDescent="0.25" outlineLevel="1" collapsed="1">
      <c r="A96" s="8" t="s">
        <v>15</v>
      </c>
      <c r="B96" s="9" t="s">
        <v>2353</v>
      </c>
      <c r="C96" s="8" t="s">
        <v>17</v>
      </c>
      <c r="D96" s="8"/>
      <c r="E96" s="8" t="s">
        <v>2354</v>
      </c>
      <c r="F96" s="8" t="s">
        <v>15</v>
      </c>
      <c r="G96" s="8" t="s">
        <v>17</v>
      </c>
      <c r="H96" s="8" t="s">
        <v>17</v>
      </c>
      <c r="I96" s="8" t="s">
        <v>17</v>
      </c>
      <c r="J96" s="8" t="s">
        <v>2355</v>
      </c>
    </row>
    <row r="97" spans="1:10" x14ac:dyDescent="0.25" outlineLevel="2" collapsed="1">
      <c r="A97" s="7" t="s">
        <v>15</v>
      </c>
      <c r="B97" s="7" t="s">
        <v>16</v>
      </c>
      <c r="C97" s="7" t="s">
        <v>17</v>
      </c>
      <c r="D97" s="7"/>
      <c r="E97" s="7" t="s">
        <v>2356</v>
      </c>
      <c r="F97" s="7" t="s">
        <v>19</v>
      </c>
      <c r="G97" s="7" t="s">
        <v>847</v>
      </c>
      <c r="H97" s="7" t="s">
        <v>17</v>
      </c>
      <c r="I97" s="7" t="s">
        <v>17</v>
      </c>
      <c r="J97" s="7" t="s">
        <v>2357</v>
      </c>
    </row>
    <row r="98" spans="1:10" x14ac:dyDescent="0.25" outlineLevel="2" collapsed="1">
      <c r="A98" s="7" t="s">
        <v>15</v>
      </c>
      <c r="B98" s="7" t="s">
        <v>16</v>
      </c>
      <c r="C98" s="7" t="s">
        <v>17</v>
      </c>
      <c r="D98" s="7"/>
      <c r="E98" s="7" t="s">
        <v>2358</v>
      </c>
      <c r="F98" s="7" t="s">
        <v>19</v>
      </c>
      <c r="G98" s="7" t="s">
        <v>2359</v>
      </c>
      <c r="H98" s="7" t="s">
        <v>17</v>
      </c>
      <c r="I98" s="7" t="s">
        <v>17</v>
      </c>
      <c r="J98" s="7" t="s">
        <v>2360</v>
      </c>
    </row>
    <row r="99" spans="1:10" x14ac:dyDescent="0.25" outlineLevel="2" collapsed="1">
      <c r="A99" s="7" t="s">
        <v>15</v>
      </c>
      <c r="B99" s="7" t="s">
        <v>16</v>
      </c>
      <c r="C99" s="7" t="s">
        <v>17</v>
      </c>
      <c r="D99" s="7"/>
      <c r="E99" s="7" t="s">
        <v>2361</v>
      </c>
      <c r="F99" s="7" t="s">
        <v>19</v>
      </c>
      <c r="G99" s="7" t="s">
        <v>847</v>
      </c>
      <c r="H99" s="7" t="s">
        <v>17</v>
      </c>
      <c r="I99" s="7" t="s">
        <v>17</v>
      </c>
      <c r="J99" s="7" t="s">
        <v>2362</v>
      </c>
    </row>
    <row r="100" spans="1:10" x14ac:dyDescent="0.25" outlineLevel="1" collapsed="1">
      <c r="A100" s="8" t="s">
        <v>15</v>
      </c>
      <c r="B100" s="9" t="s">
        <v>2363</v>
      </c>
      <c r="C100" s="8" t="s">
        <v>17</v>
      </c>
      <c r="D100" s="8"/>
      <c r="E100" s="8" t="s">
        <v>2364</v>
      </c>
      <c r="F100" s="8" t="s">
        <v>19</v>
      </c>
      <c r="G100" s="8" t="s">
        <v>17</v>
      </c>
      <c r="H100" s="8" t="s">
        <v>17</v>
      </c>
      <c r="I100" s="8" t="s">
        <v>17</v>
      </c>
      <c r="J100" s="8" t="s">
        <v>2365</v>
      </c>
    </row>
    <row r="101" spans="1:10" x14ac:dyDescent="0.25" outlineLevel="2" collapsed="1">
      <c r="A101" s="7" t="s">
        <v>15</v>
      </c>
      <c r="B101" s="7" t="s">
        <v>16</v>
      </c>
      <c r="C101" s="7" t="s">
        <v>17</v>
      </c>
      <c r="D101" s="7"/>
      <c r="E101" s="7" t="s">
        <v>2366</v>
      </c>
      <c r="F101" s="7" t="s">
        <v>19</v>
      </c>
      <c r="G101" s="7" t="s">
        <v>847</v>
      </c>
      <c r="H101" s="7" t="s">
        <v>17</v>
      </c>
      <c r="I101" s="7" t="s">
        <v>17</v>
      </c>
      <c r="J101" s="7" t="s">
        <v>848</v>
      </c>
    </row>
    <row r="102" spans="1:10" x14ac:dyDescent="0.25" outlineLevel="2" collapsed="1">
      <c r="A102" s="7" t="s">
        <v>15</v>
      </c>
      <c r="B102" s="7" t="s">
        <v>16</v>
      </c>
      <c r="C102" s="7" t="s">
        <v>17</v>
      </c>
      <c r="D102" s="7"/>
      <c r="E102" s="7" t="s">
        <v>2367</v>
      </c>
      <c r="F102" s="7" t="s">
        <v>19</v>
      </c>
      <c r="G102" s="7" t="s">
        <v>850</v>
      </c>
      <c r="H102" s="7" t="s">
        <v>17</v>
      </c>
      <c r="I102" s="7" t="s">
        <v>17</v>
      </c>
      <c r="J102" s="7" t="s">
        <v>851</v>
      </c>
    </row>
    <row r="103" spans="1:10" x14ac:dyDescent="0.25" outlineLevel="2" collapsed="1">
      <c r="A103" s="7" t="s">
        <v>19</v>
      </c>
      <c r="B103" s="7" t="s">
        <v>16</v>
      </c>
      <c r="C103" s="7" t="s">
        <v>17</v>
      </c>
      <c r="D103" s="7"/>
      <c r="E103" s="7" t="s">
        <v>2368</v>
      </c>
      <c r="F103" s="7" t="s">
        <v>19</v>
      </c>
      <c r="G103" s="7" t="s">
        <v>2369</v>
      </c>
      <c r="H103" s="7" t="s">
        <v>17</v>
      </c>
      <c r="I103" s="7" t="s">
        <v>17</v>
      </c>
      <c r="J103" s="7" t="s">
        <v>2370</v>
      </c>
    </row>
    <row r="104" spans="1:10" x14ac:dyDescent="0.25" outlineLevel="2" collapsed="1">
      <c r="A104" s="7" t="s">
        <v>15</v>
      </c>
      <c r="B104" s="7" t="s">
        <v>284</v>
      </c>
      <c r="C104" s="11" t="s">
        <v>2371</v>
      </c>
      <c r="D104" s="7"/>
      <c r="E104" s="7" t="s">
        <v>2372</v>
      </c>
      <c r="F104" s="7" t="s">
        <v>19</v>
      </c>
      <c r="G104" s="7" t="s">
        <v>2373</v>
      </c>
      <c r="H104" s="7" t="s">
        <v>2373</v>
      </c>
      <c r="I104" s="7" t="s">
        <v>17</v>
      </c>
      <c r="J104" s="7" t="s">
        <v>855</v>
      </c>
    </row>
    <row r="105" spans="1:10" x14ac:dyDescent="0.25" outlineLevel="2" collapsed="1">
      <c r="A105" s="7" t="s">
        <v>15</v>
      </c>
      <c r="B105" s="7" t="s">
        <v>63</v>
      </c>
      <c r="C105" s="7" t="s">
        <v>17</v>
      </c>
      <c r="D105" s="7"/>
      <c r="E105" s="7" t="s">
        <v>2374</v>
      </c>
      <c r="F105" s="7" t="s">
        <v>19</v>
      </c>
      <c r="G105" s="7">
        <v>0</v>
      </c>
      <c r="H105" s="7" t="s">
        <v>17</v>
      </c>
      <c r="I105" s="7" t="s">
        <v>17</v>
      </c>
      <c r="J105" s="7" t="s">
        <v>853</v>
      </c>
    </row>
    <row r="106" spans="1:10" x14ac:dyDescent="0.25" outlineLevel="2" collapsed="1">
      <c r="A106" s="7" t="s">
        <v>15</v>
      </c>
      <c r="B106" s="7" t="s">
        <v>16</v>
      </c>
      <c r="C106" s="7" t="s">
        <v>17</v>
      </c>
      <c r="D106" s="7"/>
      <c r="E106" s="7" t="s">
        <v>2375</v>
      </c>
      <c r="F106" s="7" t="s">
        <v>19</v>
      </c>
      <c r="G106" s="7" t="s">
        <v>2376</v>
      </c>
      <c r="H106" s="7" t="s">
        <v>17</v>
      </c>
      <c r="I106" s="7" t="s">
        <v>17</v>
      </c>
      <c r="J106" s="7" t="s">
        <v>2377</v>
      </c>
    </row>
    <row r="107" spans="1:10" x14ac:dyDescent="0.25" outlineLevel="1" collapsed="1">
      <c r="A107" s="8" t="s">
        <v>15</v>
      </c>
      <c r="B107" s="9" t="s">
        <v>2378</v>
      </c>
      <c r="C107" s="8" t="s">
        <v>17</v>
      </c>
      <c r="D107" s="8"/>
      <c r="E107" s="8" t="s">
        <v>2379</v>
      </c>
      <c r="F107" s="8" t="s">
        <v>19</v>
      </c>
      <c r="G107" s="8" t="s">
        <v>17</v>
      </c>
      <c r="H107" s="8" t="s">
        <v>17</v>
      </c>
      <c r="I107" s="8" t="s">
        <v>17</v>
      </c>
      <c r="J107" s="8" t="s">
        <v>2380</v>
      </c>
    </row>
    <row r="108" spans="1:10" x14ac:dyDescent="0.25" outlineLevel="2" collapsed="1">
      <c r="A108" s="7" t="s">
        <v>19</v>
      </c>
      <c r="B108" s="7" t="s">
        <v>16</v>
      </c>
      <c r="C108" s="7" t="s">
        <v>17</v>
      </c>
      <c r="D108" s="7"/>
      <c r="E108" s="7" t="s">
        <v>57</v>
      </c>
      <c r="F108" s="7" t="s">
        <v>19</v>
      </c>
      <c r="G108" s="7" t="s">
        <v>58</v>
      </c>
      <c r="H108" s="7" t="s">
        <v>17</v>
      </c>
      <c r="I108" s="7" t="s">
        <v>17</v>
      </c>
      <c r="J108" s="7" t="s">
        <v>59</v>
      </c>
    </row>
    <row r="109" spans="1:10" x14ac:dyDescent="0.25" outlineLevel="2" collapsed="1">
      <c r="A109" s="8" t="s">
        <v>19</v>
      </c>
      <c r="B109" s="9" t="s">
        <v>60</v>
      </c>
      <c r="C109" s="8" t="s">
        <v>17</v>
      </c>
      <c r="D109" s="8"/>
      <c r="E109" s="8" t="s">
        <v>61</v>
      </c>
      <c r="F109" s="8" t="s">
        <v>15</v>
      </c>
      <c r="G109" s="8" t="s">
        <v>17</v>
      </c>
      <c r="H109" s="8" t="s">
        <v>17</v>
      </c>
      <c r="I109" s="8" t="s">
        <v>17</v>
      </c>
      <c r="J109" s="8" t="s">
        <v>62</v>
      </c>
    </row>
    <row r="110" spans="1:10" x14ac:dyDescent="0.25" outlineLevel="3" collapsed="1">
      <c r="A110" s="7" t="s">
        <v>19</v>
      </c>
      <c r="B110" s="7" t="s">
        <v>16</v>
      </c>
      <c r="C110" s="7" t="s">
        <v>17</v>
      </c>
      <c r="D110" s="7"/>
      <c r="E110" s="7" t="s">
        <v>30</v>
      </c>
      <c r="F110" s="7" t="s">
        <v>19</v>
      </c>
      <c r="G110" s="7" t="s">
        <v>31</v>
      </c>
      <c r="H110" s="7" t="s">
        <v>17</v>
      </c>
      <c r="I110" s="7" t="s">
        <v>17</v>
      </c>
      <c r="J110" s="7" t="s">
        <v>32</v>
      </c>
    </row>
    <row r="111" spans="1:10" x14ac:dyDescent="0.25" outlineLevel="3" collapsed="1">
      <c r="A111" s="7" t="s">
        <v>19</v>
      </c>
      <c r="B111" s="7" t="s">
        <v>16</v>
      </c>
      <c r="C111" s="7" t="s">
        <v>17</v>
      </c>
      <c r="D111" s="7"/>
      <c r="E111" s="7" t="s">
        <v>33</v>
      </c>
      <c r="F111" s="7" t="s">
        <v>19</v>
      </c>
      <c r="G111" s="7" t="s">
        <v>31</v>
      </c>
      <c r="H111" s="7" t="s">
        <v>17</v>
      </c>
      <c r="I111" s="7" t="s">
        <v>17</v>
      </c>
      <c r="J111" s="7" t="s">
        <v>34</v>
      </c>
    </row>
    <row r="112" spans="1:10" x14ac:dyDescent="0.25" outlineLevel="3" collapsed="1">
      <c r="A112" s="7" t="s">
        <v>19</v>
      </c>
      <c r="B112" s="7" t="s">
        <v>63</v>
      </c>
      <c r="C112" s="7" t="s">
        <v>17</v>
      </c>
      <c r="D112" s="7"/>
      <c r="E112" s="7" t="s">
        <v>64</v>
      </c>
      <c r="F112" s="7" t="s">
        <v>19</v>
      </c>
      <c r="G112" s="7">
        <v>1</v>
      </c>
      <c r="H112" s="7" t="s">
        <v>17</v>
      </c>
      <c r="I112" s="7" t="s">
        <v>17</v>
      </c>
      <c r="J112" s="7" t="s">
        <v>65</v>
      </c>
    </row>
    <row r="113" spans="1:10" x14ac:dyDescent="0.25" outlineLevel="2" collapsed="1">
      <c r="A113" s="7" t="s">
        <v>19</v>
      </c>
      <c r="B113" s="7" t="s">
        <v>16</v>
      </c>
      <c r="C113" s="7" t="s">
        <v>17</v>
      </c>
      <c r="D113" s="7"/>
      <c r="E113" s="7" t="s">
        <v>66</v>
      </c>
      <c r="F113" s="7" t="s">
        <v>19</v>
      </c>
      <c r="G113" s="7" t="s">
        <v>31</v>
      </c>
      <c r="H113" s="7" t="s">
        <v>17</v>
      </c>
      <c r="I113" s="7" t="s">
        <v>17</v>
      </c>
      <c r="J113" s="7" t="s">
        <v>67</v>
      </c>
    </row>
    <row r="114" spans="1:10" x14ac:dyDescent="0.25" outlineLevel="2" collapsed="1">
      <c r="A114" s="7" t="s">
        <v>19</v>
      </c>
      <c r="B114" s="7" t="s">
        <v>16</v>
      </c>
      <c r="C114" s="7" t="s">
        <v>17</v>
      </c>
      <c r="D114" s="7"/>
      <c r="E114" s="7" t="s">
        <v>68</v>
      </c>
      <c r="F114" s="7" t="s">
        <v>19</v>
      </c>
      <c r="G114" s="7" t="s">
        <v>31</v>
      </c>
      <c r="H114" s="7" t="s">
        <v>17</v>
      </c>
      <c r="I114" s="7" t="s">
        <v>17</v>
      </c>
      <c r="J114" s="7" t="s">
        <v>69</v>
      </c>
    </row>
    <row r="115" spans="1:10" x14ac:dyDescent="0.25" outlineLevel="2" collapsed="1">
      <c r="A115" s="7" t="s">
        <v>19</v>
      </c>
      <c r="B115" s="7" t="s">
        <v>16</v>
      </c>
      <c r="C115" s="7" t="s">
        <v>17</v>
      </c>
      <c r="D115" s="7"/>
      <c r="E115" s="7" t="s">
        <v>70</v>
      </c>
      <c r="F115" s="7" t="s">
        <v>19</v>
      </c>
      <c r="G115" s="7" t="s">
        <v>31</v>
      </c>
      <c r="H115" s="7" t="s">
        <v>17</v>
      </c>
      <c r="I115" s="7" t="s">
        <v>17</v>
      </c>
      <c r="J115" s="7" t="s">
        <v>71</v>
      </c>
    </row>
    <row r="116" spans="1:10" x14ac:dyDescent="0.25" outlineLevel="1" collapsed="1">
      <c r="A116" s="8" t="s">
        <v>15</v>
      </c>
      <c r="B116" s="9" t="s">
        <v>2381</v>
      </c>
      <c r="C116" s="8" t="s">
        <v>17</v>
      </c>
      <c r="D116" s="8"/>
      <c r="E116" s="8" t="s">
        <v>2382</v>
      </c>
      <c r="F116" s="8" t="s">
        <v>19</v>
      </c>
      <c r="G116" s="8" t="s">
        <v>17</v>
      </c>
      <c r="H116" s="8" t="s">
        <v>17</v>
      </c>
      <c r="I116" s="8" t="s">
        <v>17</v>
      </c>
      <c r="J116" s="8" t="s">
        <v>2383</v>
      </c>
    </row>
    <row r="117" spans="1:10" x14ac:dyDescent="0.25" outlineLevel="2" collapsed="1">
      <c r="A117" s="7" t="s">
        <v>15</v>
      </c>
      <c r="B117" s="7" t="s">
        <v>16</v>
      </c>
      <c r="C117" s="7" t="s">
        <v>17</v>
      </c>
      <c r="D117" s="7"/>
      <c r="E117" s="7" t="s">
        <v>2384</v>
      </c>
      <c r="F117" s="7" t="s">
        <v>19</v>
      </c>
      <c r="G117" s="7" t="s">
        <v>2385</v>
      </c>
      <c r="H117" s="7" t="s">
        <v>17</v>
      </c>
      <c r="I117" s="7" t="s">
        <v>17</v>
      </c>
      <c r="J117" s="7" t="s">
        <v>2386</v>
      </c>
    </row>
    <row r="118" spans="1:10" x14ac:dyDescent="0.25" outlineLevel="2" collapsed="1">
      <c r="A118" s="7" t="s">
        <v>19</v>
      </c>
      <c r="B118" s="7" t="s">
        <v>16</v>
      </c>
      <c r="C118" s="7" t="s">
        <v>17</v>
      </c>
      <c r="D118" s="7"/>
      <c r="E118" s="7" t="s">
        <v>2387</v>
      </c>
      <c r="F118" s="7" t="s">
        <v>19</v>
      </c>
      <c r="G118" s="7" t="s">
        <v>2388</v>
      </c>
      <c r="H118" s="7" t="s">
        <v>17</v>
      </c>
      <c r="I118" s="7" t="s">
        <v>17</v>
      </c>
      <c r="J118" s="7" t="s">
        <v>2389</v>
      </c>
    </row>
    <row r="119" spans="1:10" x14ac:dyDescent="0.25" outlineLevel="2" collapsed="1">
      <c r="A119" s="8" t="s">
        <v>19</v>
      </c>
      <c r="B119" s="9" t="s">
        <v>2390</v>
      </c>
      <c r="C119" s="8" t="s">
        <v>17</v>
      </c>
      <c r="D119" s="8"/>
      <c r="E119" s="8" t="s">
        <v>2391</v>
      </c>
      <c r="F119" s="8" t="s">
        <v>15</v>
      </c>
      <c r="G119" s="8" t="s">
        <v>17</v>
      </c>
      <c r="H119" s="8" t="s">
        <v>17</v>
      </c>
      <c r="I119" s="8" t="s">
        <v>17</v>
      </c>
      <c r="J119" s="8" t="s">
        <v>2392</v>
      </c>
    </row>
    <row r="120" spans="1:10" x14ac:dyDescent="0.25" outlineLevel="3" collapsed="1">
      <c r="A120" s="7" t="s">
        <v>19</v>
      </c>
      <c r="B120" s="7" t="s">
        <v>16</v>
      </c>
      <c r="C120" s="7" t="s">
        <v>17</v>
      </c>
      <c r="D120" s="7"/>
      <c r="E120" s="7" t="s">
        <v>2393</v>
      </c>
      <c r="F120" s="7" t="s">
        <v>19</v>
      </c>
      <c r="G120" s="7" t="s">
        <v>31</v>
      </c>
      <c r="H120" s="7" t="s">
        <v>17</v>
      </c>
      <c r="I120" s="7" t="s">
        <v>17</v>
      </c>
      <c r="J120" s="7" t="s">
        <v>2394</v>
      </c>
    </row>
    <row r="121" spans="1:10" x14ac:dyDescent="0.25" outlineLevel="3" collapsed="1">
      <c r="A121" s="7" t="s">
        <v>19</v>
      </c>
      <c r="B121" s="7" t="s">
        <v>16</v>
      </c>
      <c r="C121" s="7" t="s">
        <v>17</v>
      </c>
      <c r="D121" s="7"/>
      <c r="E121" s="7" t="s">
        <v>2395</v>
      </c>
      <c r="F121" s="7" t="s">
        <v>19</v>
      </c>
      <c r="G121" s="7" t="s">
        <v>31</v>
      </c>
      <c r="H121" s="7" t="s">
        <v>17</v>
      </c>
      <c r="I121" s="7" t="s">
        <v>17</v>
      </c>
      <c r="J121" s="7" t="s">
        <v>2396</v>
      </c>
    </row>
    <row r="122" spans="1:10" x14ac:dyDescent="0.25" outlineLevel="2" collapsed="1">
      <c r="A122" s="8" t="s">
        <v>19</v>
      </c>
      <c r="B122" s="9" t="s">
        <v>1372</v>
      </c>
      <c r="C122" s="8" t="s">
        <v>17</v>
      </c>
      <c r="D122" s="8"/>
      <c r="E122" s="8" t="s">
        <v>1373</v>
      </c>
      <c r="F122" s="8" t="s">
        <v>15</v>
      </c>
      <c r="G122" s="8" t="s">
        <v>17</v>
      </c>
      <c r="H122" s="8" t="s">
        <v>17</v>
      </c>
      <c r="I122" s="8" t="s">
        <v>17</v>
      </c>
      <c r="J122" s="8" t="s">
        <v>1374</v>
      </c>
    </row>
    <row r="123" spans="1:10" x14ac:dyDescent="0.25" outlineLevel="3" collapsed="1">
      <c r="A123" s="7" t="s">
        <v>19</v>
      </c>
      <c r="B123" s="7" t="s">
        <v>16</v>
      </c>
      <c r="C123" s="7" t="s">
        <v>17</v>
      </c>
      <c r="D123" s="7"/>
      <c r="E123" s="7" t="s">
        <v>1375</v>
      </c>
      <c r="F123" s="7" t="s">
        <v>19</v>
      </c>
      <c r="G123" s="7" t="s">
        <v>31</v>
      </c>
      <c r="H123" s="7" t="s">
        <v>17</v>
      </c>
      <c r="I123" s="7" t="s">
        <v>17</v>
      </c>
      <c r="J123" s="7" t="s">
        <v>1376</v>
      </c>
    </row>
    <row r="124" spans="1:10" x14ac:dyDescent="0.25" outlineLevel="3" collapsed="1">
      <c r="A124" s="7" t="s">
        <v>19</v>
      </c>
      <c r="B124" s="7" t="s">
        <v>16</v>
      </c>
      <c r="C124" s="7" t="s">
        <v>17</v>
      </c>
      <c r="D124" s="7"/>
      <c r="E124" s="7" t="s">
        <v>1377</v>
      </c>
      <c r="F124" s="7" t="s">
        <v>19</v>
      </c>
      <c r="G124" s="7" t="s">
        <v>31</v>
      </c>
      <c r="H124" s="7" t="s">
        <v>17</v>
      </c>
      <c r="I124" s="7" t="s">
        <v>17</v>
      </c>
      <c r="J124" s="7" t="s">
        <v>1378</v>
      </c>
    </row>
    <row r="125" spans="1:10" x14ac:dyDescent="0.25" outlineLevel="3" collapsed="1">
      <c r="A125" s="7" t="s">
        <v>19</v>
      </c>
      <c r="B125" s="7" t="s">
        <v>16</v>
      </c>
      <c r="C125" s="7" t="s">
        <v>17</v>
      </c>
      <c r="D125" s="7"/>
      <c r="E125" s="7" t="s">
        <v>1379</v>
      </c>
      <c r="F125" s="7" t="s">
        <v>19</v>
      </c>
      <c r="G125" s="7" t="s">
        <v>31</v>
      </c>
      <c r="H125" s="7" t="s">
        <v>17</v>
      </c>
      <c r="I125" s="7" t="s">
        <v>17</v>
      </c>
      <c r="J125" s="7" t="s">
        <v>1380</v>
      </c>
    </row>
    <row r="126" spans="1:10" x14ac:dyDescent="0.25" outlineLevel="2" collapsed="1">
      <c r="A126" s="8" t="s">
        <v>19</v>
      </c>
      <c r="B126" s="9" t="s">
        <v>2397</v>
      </c>
      <c r="C126" s="8" t="s">
        <v>17</v>
      </c>
      <c r="D126" s="8"/>
      <c r="E126" s="8" t="s">
        <v>2398</v>
      </c>
      <c r="F126" s="8" t="s">
        <v>15</v>
      </c>
      <c r="G126" s="8" t="s">
        <v>17</v>
      </c>
      <c r="H126" s="8" t="s">
        <v>17</v>
      </c>
      <c r="I126" s="8" t="s">
        <v>17</v>
      </c>
      <c r="J126" s="8" t="s">
        <v>2399</v>
      </c>
    </row>
    <row r="127" spans="1:10" x14ac:dyDescent="0.25" outlineLevel="3" collapsed="1">
      <c r="A127" s="7" t="s">
        <v>19</v>
      </c>
      <c r="B127" s="7" t="s">
        <v>16</v>
      </c>
      <c r="C127" s="7" t="s">
        <v>17</v>
      </c>
      <c r="D127" s="7"/>
      <c r="E127" s="7" t="s">
        <v>1375</v>
      </c>
      <c r="F127" s="7" t="s">
        <v>19</v>
      </c>
      <c r="G127" s="7" t="s">
        <v>31</v>
      </c>
      <c r="H127" s="7" t="s">
        <v>17</v>
      </c>
      <c r="I127" s="7" t="s">
        <v>17</v>
      </c>
      <c r="J127" s="7" t="s">
        <v>1376</v>
      </c>
    </row>
    <row r="128" spans="1:10" x14ac:dyDescent="0.25" outlineLevel="3" collapsed="1">
      <c r="A128" s="7" t="s">
        <v>19</v>
      </c>
      <c r="B128" s="7" t="s">
        <v>16</v>
      </c>
      <c r="C128" s="7" t="s">
        <v>17</v>
      </c>
      <c r="D128" s="7"/>
      <c r="E128" s="7" t="s">
        <v>2400</v>
      </c>
      <c r="F128" s="7" t="s">
        <v>19</v>
      </c>
      <c r="G128" s="7" t="s">
        <v>31</v>
      </c>
      <c r="H128" s="7" t="s">
        <v>17</v>
      </c>
      <c r="I128" s="7" t="s">
        <v>17</v>
      </c>
      <c r="J128" s="7" t="s">
        <v>2401</v>
      </c>
    </row>
    <row r="129" spans="1:10" x14ac:dyDescent="0.25" outlineLevel="3" collapsed="1">
      <c r="A129" s="7" t="s">
        <v>19</v>
      </c>
      <c r="B129" s="7" t="s">
        <v>16</v>
      </c>
      <c r="C129" s="7" t="s">
        <v>17</v>
      </c>
      <c r="D129" s="7"/>
      <c r="E129" s="7" t="s">
        <v>2402</v>
      </c>
      <c r="F129" s="7" t="s">
        <v>19</v>
      </c>
      <c r="G129" s="7" t="s">
        <v>31</v>
      </c>
      <c r="H129" s="7" t="s">
        <v>17</v>
      </c>
      <c r="I129" s="7" t="s">
        <v>17</v>
      </c>
      <c r="J129" s="7" t="s">
        <v>2403</v>
      </c>
    </row>
    <row r="130" spans="1:10" x14ac:dyDescent="0.25" outlineLevel="3" collapsed="1">
      <c r="A130" s="7" t="s">
        <v>19</v>
      </c>
      <c r="B130" s="7" t="s">
        <v>16</v>
      </c>
      <c r="C130" s="7" t="s">
        <v>17</v>
      </c>
      <c r="D130" s="7"/>
      <c r="E130" s="7" t="s">
        <v>2404</v>
      </c>
      <c r="F130" s="7" t="s">
        <v>19</v>
      </c>
      <c r="G130" s="7" t="s">
        <v>31</v>
      </c>
      <c r="H130" s="7" t="s">
        <v>17</v>
      </c>
      <c r="I130" s="7" t="s">
        <v>17</v>
      </c>
      <c r="J130" s="7" t="s">
        <v>2405</v>
      </c>
    </row>
    <row r="131" spans="1:10" x14ac:dyDescent="0.25" outlineLevel="3" collapsed="1">
      <c r="A131" s="7" t="s">
        <v>19</v>
      </c>
      <c r="B131" s="7" t="s">
        <v>16</v>
      </c>
      <c r="C131" s="7" t="s">
        <v>17</v>
      </c>
      <c r="D131" s="7"/>
      <c r="E131" s="7" t="s">
        <v>2406</v>
      </c>
      <c r="F131" s="7" t="s">
        <v>19</v>
      </c>
      <c r="G131" s="7" t="s">
        <v>31</v>
      </c>
      <c r="H131" s="7" t="s">
        <v>17</v>
      </c>
      <c r="I131" s="7" t="s">
        <v>17</v>
      </c>
      <c r="J131" s="7" t="s">
        <v>2407</v>
      </c>
    </row>
    <row r="132" spans="1:10" x14ac:dyDescent="0.25" outlineLevel="3" collapsed="1">
      <c r="A132" s="7" t="s">
        <v>19</v>
      </c>
      <c r="B132" s="7" t="s">
        <v>16</v>
      </c>
      <c r="C132" s="7" t="s">
        <v>17</v>
      </c>
      <c r="D132" s="7"/>
      <c r="E132" s="7" t="s">
        <v>2408</v>
      </c>
      <c r="F132" s="7" t="s">
        <v>19</v>
      </c>
      <c r="G132" s="7" t="s">
        <v>31</v>
      </c>
      <c r="H132" s="7" t="s">
        <v>17</v>
      </c>
      <c r="I132" s="7" t="s">
        <v>17</v>
      </c>
      <c r="J132" s="7" t="s">
        <v>2409</v>
      </c>
    </row>
    <row r="133" spans="1:10" x14ac:dyDescent="0.25" outlineLevel="1" collapsed="1">
      <c r="A133" s="8" t="s">
        <v>15</v>
      </c>
      <c r="B133" s="9" t="s">
        <v>2410</v>
      </c>
      <c r="C133" s="8" t="s">
        <v>17</v>
      </c>
      <c r="D133" s="8"/>
      <c r="E133" s="8" t="s">
        <v>2411</v>
      </c>
      <c r="F133" s="8" t="s">
        <v>19</v>
      </c>
      <c r="G133" s="8" t="s">
        <v>17</v>
      </c>
      <c r="H133" s="8" t="s">
        <v>17</v>
      </c>
      <c r="I133" s="8" t="s">
        <v>17</v>
      </c>
      <c r="J133" s="8" t="s">
        <v>2412</v>
      </c>
    </row>
    <row r="134" spans="1:10" x14ac:dyDescent="0.25" outlineLevel="2" collapsed="1">
      <c r="A134" s="7" t="s">
        <v>15</v>
      </c>
      <c r="B134" s="7" t="s">
        <v>16</v>
      </c>
      <c r="C134" s="7" t="s">
        <v>17</v>
      </c>
      <c r="D134" s="7"/>
      <c r="E134" s="7" t="s">
        <v>2237</v>
      </c>
      <c r="F134" s="7" t="s">
        <v>19</v>
      </c>
      <c r="G134" s="7" t="s">
        <v>2238</v>
      </c>
      <c r="H134" s="7" t="s">
        <v>17</v>
      </c>
      <c r="I134" s="7" t="s">
        <v>17</v>
      </c>
      <c r="J134" s="7" t="s">
        <v>2239</v>
      </c>
    </row>
    <row r="135" spans="1:10" x14ac:dyDescent="0.25" outlineLevel="2" collapsed="1">
      <c r="A135" s="7" t="s">
        <v>19</v>
      </c>
      <c r="B135" s="7" t="s">
        <v>16</v>
      </c>
      <c r="C135" s="7" t="s">
        <v>17</v>
      </c>
      <c r="D135" s="7"/>
      <c r="E135" s="7" t="s">
        <v>2240</v>
      </c>
      <c r="F135" s="7" t="s">
        <v>19</v>
      </c>
      <c r="G135" s="7" t="s">
        <v>31</v>
      </c>
      <c r="H135" s="7" t="s">
        <v>17</v>
      </c>
      <c r="I135" s="7" t="s">
        <v>17</v>
      </c>
      <c r="J135" s="7" t="s">
        <v>2241</v>
      </c>
    </row>
    <row r="136" spans="1:10" x14ac:dyDescent="0.25" outlineLevel="2" collapsed="1">
      <c r="A136" s="7" t="s">
        <v>19</v>
      </c>
      <c r="B136" s="7" t="s">
        <v>16</v>
      </c>
      <c r="C136" s="7" t="s">
        <v>17</v>
      </c>
      <c r="D136" s="7"/>
      <c r="E136" s="7" t="s">
        <v>2242</v>
      </c>
      <c r="F136" s="7" t="s">
        <v>19</v>
      </c>
      <c r="G136" s="7" t="s">
        <v>31</v>
      </c>
      <c r="H136" s="7" t="s">
        <v>17</v>
      </c>
      <c r="I136" s="7" t="s">
        <v>17</v>
      </c>
      <c r="J136" s="7" t="s">
        <v>2243</v>
      </c>
    </row>
    <row r="137" spans="1:10" x14ac:dyDescent="0.25" outlineLevel="2" collapsed="1">
      <c r="A137" s="7" t="s">
        <v>19</v>
      </c>
      <c r="B137" s="7" t="s">
        <v>16</v>
      </c>
      <c r="C137" s="7" t="s">
        <v>17</v>
      </c>
      <c r="D137" s="7"/>
      <c r="E137" s="7" t="s">
        <v>2244</v>
      </c>
      <c r="F137" s="7" t="s">
        <v>19</v>
      </c>
      <c r="G137" s="7" t="s">
        <v>31</v>
      </c>
      <c r="H137" s="7" t="s">
        <v>17</v>
      </c>
      <c r="I137" s="7" t="s">
        <v>17</v>
      </c>
      <c r="J137" s="7" t="s">
        <v>2245</v>
      </c>
    </row>
    <row r="138" spans="1:10" x14ac:dyDescent="0.25" outlineLevel="2" collapsed="1">
      <c r="A138" s="7" t="s">
        <v>19</v>
      </c>
      <c r="B138" s="7" t="s">
        <v>16</v>
      </c>
      <c r="C138" s="7" t="s">
        <v>17</v>
      </c>
      <c r="D138" s="7"/>
      <c r="E138" s="7" t="s">
        <v>2246</v>
      </c>
      <c r="F138" s="7" t="s">
        <v>19</v>
      </c>
      <c r="G138" s="7" t="s">
        <v>31</v>
      </c>
      <c r="H138" s="7" t="s">
        <v>17</v>
      </c>
      <c r="I138" s="7" t="s">
        <v>17</v>
      </c>
      <c r="J138" s="7" t="s">
        <v>2247</v>
      </c>
    </row>
    <row r="139" spans="1:10" x14ac:dyDescent="0.25" outlineLevel="1" collapsed="1">
      <c r="A139" s="8" t="s">
        <v>15</v>
      </c>
      <c r="B139" s="9" t="s">
        <v>2413</v>
      </c>
      <c r="C139" s="8" t="s">
        <v>17</v>
      </c>
      <c r="D139" s="8"/>
      <c r="E139" s="8" t="s">
        <v>2414</v>
      </c>
      <c r="F139" s="8" t="s">
        <v>19</v>
      </c>
      <c r="G139" s="8" t="s">
        <v>17</v>
      </c>
      <c r="H139" s="8" t="s">
        <v>17</v>
      </c>
      <c r="I139" s="8" t="s">
        <v>17</v>
      </c>
      <c r="J139" s="8" t="s">
        <v>2415</v>
      </c>
    </row>
    <row r="140" spans="1:10" x14ac:dyDescent="0.25" outlineLevel="2" collapsed="1">
      <c r="A140" s="7" t="s">
        <v>15</v>
      </c>
      <c r="B140" s="7" t="s">
        <v>16</v>
      </c>
      <c r="C140" s="7" t="s">
        <v>17</v>
      </c>
      <c r="D140" s="7"/>
      <c r="E140" s="7" t="s">
        <v>2087</v>
      </c>
      <c r="F140" s="7" t="s">
        <v>19</v>
      </c>
      <c r="G140" s="7" t="s">
        <v>2088</v>
      </c>
      <c r="H140" s="7" t="s">
        <v>17</v>
      </c>
      <c r="I140" s="7" t="s">
        <v>17</v>
      </c>
      <c r="J140" s="7" t="s">
        <v>2089</v>
      </c>
    </row>
    <row r="141" spans="1:10" x14ac:dyDescent="0.25" outlineLevel="2" collapsed="1">
      <c r="A141" s="8" t="s">
        <v>19</v>
      </c>
      <c r="B141" s="9" t="s">
        <v>2090</v>
      </c>
      <c r="C141" s="8" t="s">
        <v>17</v>
      </c>
      <c r="D141" s="8"/>
      <c r="E141" s="8" t="s">
        <v>2091</v>
      </c>
      <c r="F141" s="8" t="s">
        <v>15</v>
      </c>
      <c r="G141" s="8" t="s">
        <v>17</v>
      </c>
      <c r="H141" s="8" t="s">
        <v>17</v>
      </c>
      <c r="I141" s="8" t="s">
        <v>17</v>
      </c>
      <c r="J141" s="8" t="s">
        <v>2092</v>
      </c>
    </row>
    <row r="142" spans="1:10" x14ac:dyDescent="0.25" outlineLevel="3" collapsed="1">
      <c r="A142" s="7" t="s">
        <v>19</v>
      </c>
      <c r="B142" s="7" t="s">
        <v>16</v>
      </c>
      <c r="C142" s="7" t="s">
        <v>17</v>
      </c>
      <c r="D142" s="7"/>
      <c r="E142" s="7" t="s">
        <v>2091</v>
      </c>
      <c r="F142" s="7" t="s">
        <v>19</v>
      </c>
      <c r="G142" s="7" t="s">
        <v>31</v>
      </c>
      <c r="H142" s="7" t="s">
        <v>17</v>
      </c>
      <c r="I142" s="7" t="s">
        <v>17</v>
      </c>
      <c r="J142" s="7" t="s">
        <v>2092</v>
      </c>
    </row>
    <row r="143" spans="1:10" x14ac:dyDescent="0.25" outlineLevel="3" collapsed="1">
      <c r="A143" s="7" t="s">
        <v>19</v>
      </c>
      <c r="B143" s="7" t="s">
        <v>16</v>
      </c>
      <c r="C143" s="7" t="s">
        <v>17</v>
      </c>
      <c r="D143" s="7"/>
      <c r="E143" s="7" t="s">
        <v>2093</v>
      </c>
      <c r="F143" s="7" t="s">
        <v>19</v>
      </c>
      <c r="G143" s="7" t="s">
        <v>31</v>
      </c>
      <c r="H143" s="7" t="s">
        <v>17</v>
      </c>
      <c r="I143" s="7" t="s">
        <v>17</v>
      </c>
      <c r="J143" s="7" t="s">
        <v>2094</v>
      </c>
    </row>
    <row r="144" spans="1:10" x14ac:dyDescent="0.25" outlineLevel="3" collapsed="1">
      <c r="A144" s="7" t="s">
        <v>19</v>
      </c>
      <c r="B144" s="7" t="s">
        <v>16</v>
      </c>
      <c r="C144" s="7" t="s">
        <v>17</v>
      </c>
      <c r="D144" s="7"/>
      <c r="E144" s="7" t="s">
        <v>2095</v>
      </c>
      <c r="F144" s="7" t="s">
        <v>19</v>
      </c>
      <c r="G144" s="7" t="s">
        <v>31</v>
      </c>
      <c r="H144" s="7" t="s">
        <v>17</v>
      </c>
      <c r="I144" s="7" t="s">
        <v>17</v>
      </c>
      <c r="J144" s="7" t="s">
        <v>2096</v>
      </c>
    </row>
    <row r="145" spans="1:10" x14ac:dyDescent="0.25" outlineLevel="3" collapsed="1">
      <c r="A145" s="7" t="s">
        <v>19</v>
      </c>
      <c r="B145" s="7" t="s">
        <v>16</v>
      </c>
      <c r="C145" s="7" t="s">
        <v>17</v>
      </c>
      <c r="D145" s="7"/>
      <c r="E145" s="7" t="s">
        <v>2097</v>
      </c>
      <c r="F145" s="7" t="s">
        <v>19</v>
      </c>
      <c r="G145" s="7" t="s">
        <v>31</v>
      </c>
      <c r="H145" s="7" t="s">
        <v>17</v>
      </c>
      <c r="I145" s="7" t="s">
        <v>17</v>
      </c>
      <c r="J145" s="7" t="s">
        <v>2098</v>
      </c>
    </row>
    <row r="146" spans="1:10" x14ac:dyDescent="0.25" outlineLevel="2" collapsed="1">
      <c r="A146" s="8" t="s">
        <v>19</v>
      </c>
      <c r="B146" s="9" t="s">
        <v>2099</v>
      </c>
      <c r="C146" s="8" t="s">
        <v>17</v>
      </c>
      <c r="D146" s="8"/>
      <c r="E146" s="8" t="s">
        <v>2100</v>
      </c>
      <c r="F146" s="8" t="s">
        <v>15</v>
      </c>
      <c r="G146" s="8" t="s">
        <v>17</v>
      </c>
      <c r="H146" s="8" t="s">
        <v>17</v>
      </c>
      <c r="I146" s="8" t="s">
        <v>17</v>
      </c>
      <c r="J146" s="8" t="s">
        <v>2101</v>
      </c>
    </row>
    <row r="147" spans="1:10" x14ac:dyDescent="0.25" outlineLevel="3" collapsed="1">
      <c r="A147" s="7" t="s">
        <v>19</v>
      </c>
      <c r="B147" s="7" t="s">
        <v>16</v>
      </c>
      <c r="C147" s="7" t="s">
        <v>17</v>
      </c>
      <c r="D147" s="7"/>
      <c r="E147" s="7" t="s">
        <v>291</v>
      </c>
      <c r="F147" s="7" t="s">
        <v>19</v>
      </c>
      <c r="G147" s="7" t="s">
        <v>31</v>
      </c>
      <c r="H147" s="7" t="s">
        <v>17</v>
      </c>
      <c r="I147" s="7" t="s">
        <v>17</v>
      </c>
      <c r="J147" s="7" t="s">
        <v>371</v>
      </c>
    </row>
    <row r="148" spans="1:10" x14ac:dyDescent="0.25" outlineLevel="3" collapsed="1">
      <c r="A148" s="7" t="s">
        <v>19</v>
      </c>
      <c r="B148" s="7" t="s">
        <v>16</v>
      </c>
      <c r="C148" s="7" t="s">
        <v>17</v>
      </c>
      <c r="D148" s="7"/>
      <c r="E148" s="7" t="s">
        <v>1349</v>
      </c>
      <c r="F148" s="7" t="s">
        <v>19</v>
      </c>
      <c r="G148" s="7" t="s">
        <v>31</v>
      </c>
      <c r="H148" s="7" t="s">
        <v>17</v>
      </c>
      <c r="I148" s="7" t="s">
        <v>17</v>
      </c>
      <c r="J148" s="7" t="s">
        <v>1350</v>
      </c>
    </row>
    <row r="149" spans="1:10" x14ac:dyDescent="0.25" outlineLevel="3" collapsed="1">
      <c r="A149" s="7" t="s">
        <v>19</v>
      </c>
      <c r="B149" s="7" t="s">
        <v>16</v>
      </c>
      <c r="C149" s="7" t="s">
        <v>17</v>
      </c>
      <c r="D149" s="7"/>
      <c r="E149" s="7" t="s">
        <v>9</v>
      </c>
      <c r="F149" s="7" t="s">
        <v>19</v>
      </c>
      <c r="G149" s="7" t="s">
        <v>31</v>
      </c>
      <c r="H149" s="7" t="s">
        <v>17</v>
      </c>
      <c r="I149" s="7" t="s">
        <v>17</v>
      </c>
      <c r="J149" s="7" t="s">
        <v>843</v>
      </c>
    </row>
    <row r="150" spans="1:10" x14ac:dyDescent="0.25" outlineLevel="1" collapsed="1">
      <c r="A150" s="8" t="s">
        <v>15</v>
      </c>
      <c r="B150" s="9" t="s">
        <v>2416</v>
      </c>
      <c r="C150" s="8" t="s">
        <v>17</v>
      </c>
      <c r="D150" s="8"/>
      <c r="E150" s="8" t="s">
        <v>2417</v>
      </c>
      <c r="F150" s="8" t="s">
        <v>19</v>
      </c>
      <c r="G150" s="8" t="s">
        <v>17</v>
      </c>
      <c r="H150" s="8" t="s">
        <v>17</v>
      </c>
      <c r="I150" s="8" t="s">
        <v>17</v>
      </c>
      <c r="J150" s="8" t="s">
        <v>2418</v>
      </c>
    </row>
    <row r="151" spans="1:10" x14ac:dyDescent="0.25" outlineLevel="2" collapsed="1">
      <c r="A151" s="7" t="s">
        <v>15</v>
      </c>
      <c r="B151" s="7" t="s">
        <v>16</v>
      </c>
      <c r="C151" s="7" t="s">
        <v>17</v>
      </c>
      <c r="D151" s="7"/>
      <c r="E151" s="7" t="s">
        <v>1125</v>
      </c>
      <c r="F151" s="7" t="s">
        <v>19</v>
      </c>
      <c r="G151" s="7" t="s">
        <v>1126</v>
      </c>
      <c r="H151" s="7" t="s">
        <v>17</v>
      </c>
      <c r="I151" s="7" t="s">
        <v>17</v>
      </c>
      <c r="J151" s="7" t="s">
        <v>1127</v>
      </c>
    </row>
    <row r="152" spans="1:10" x14ac:dyDescent="0.25" outlineLevel="2" collapsed="1">
      <c r="A152" s="8" t="s">
        <v>19</v>
      </c>
      <c r="B152" s="9" t="s">
        <v>1128</v>
      </c>
      <c r="C152" s="8" t="s">
        <v>17</v>
      </c>
      <c r="D152" s="8"/>
      <c r="E152" s="8" t="s">
        <v>2419</v>
      </c>
      <c r="F152" s="8" t="s">
        <v>15</v>
      </c>
      <c r="G152" s="8" t="s">
        <v>17</v>
      </c>
      <c r="H152" s="8" t="s">
        <v>17</v>
      </c>
      <c r="I152" s="8" t="s">
        <v>17</v>
      </c>
      <c r="J152" s="8" t="s">
        <v>1130</v>
      </c>
    </row>
    <row r="153" spans="1:10" x14ac:dyDescent="0.25" outlineLevel="3" collapsed="1">
      <c r="A153" s="7" t="s">
        <v>15</v>
      </c>
      <c r="B153" s="7" t="s">
        <v>16</v>
      </c>
      <c r="C153" s="7" t="s">
        <v>17</v>
      </c>
      <c r="D153" s="7"/>
      <c r="E153" s="7" t="s">
        <v>1131</v>
      </c>
      <c r="F153" s="7" t="s">
        <v>19</v>
      </c>
      <c r="G153" s="7" t="s">
        <v>1132</v>
      </c>
      <c r="H153" s="7" t="s">
        <v>17</v>
      </c>
      <c r="I153" s="7" t="s">
        <v>17</v>
      </c>
      <c r="J153" s="7" t="s">
        <v>1133</v>
      </c>
    </row>
    <row r="154" spans="1:10" x14ac:dyDescent="0.25" outlineLevel="3" collapsed="1">
      <c r="A154" s="7" t="s">
        <v>19</v>
      </c>
      <c r="B154" s="7" t="s">
        <v>16</v>
      </c>
      <c r="C154" s="7" t="s">
        <v>17</v>
      </c>
      <c r="D154" s="7"/>
      <c r="E154" s="7" t="s">
        <v>1134</v>
      </c>
      <c r="F154" s="7" t="s">
        <v>19</v>
      </c>
      <c r="G154" s="7" t="s">
        <v>1135</v>
      </c>
      <c r="H154" s="7" t="s">
        <v>17</v>
      </c>
      <c r="I154" s="7" t="s">
        <v>17</v>
      </c>
      <c r="J154" s="7" t="s">
        <v>1136</v>
      </c>
    </row>
    <row r="155" spans="1:10" x14ac:dyDescent="0.25" outlineLevel="3" collapsed="1">
      <c r="A155" s="7" t="s">
        <v>15</v>
      </c>
      <c r="B155" s="7" t="s">
        <v>63</v>
      </c>
      <c r="C155" s="7" t="s">
        <v>17</v>
      </c>
      <c r="D155" s="7"/>
      <c r="E155" s="7" t="s">
        <v>1137</v>
      </c>
      <c r="F155" s="7" t="s">
        <v>19</v>
      </c>
      <c r="G155" s="7">
        <v>-3.35</v>
      </c>
      <c r="H155" s="7" t="s">
        <v>17</v>
      </c>
      <c r="I155" s="7" t="s">
        <v>17</v>
      </c>
      <c r="J155" s="7" t="s">
        <v>1138</v>
      </c>
    </row>
    <row r="156" spans="1:10" x14ac:dyDescent="0.25" outlineLevel="3" collapsed="1">
      <c r="A156" s="7" t="s">
        <v>15</v>
      </c>
      <c r="B156" s="7" t="s">
        <v>63</v>
      </c>
      <c r="C156" s="7" t="s">
        <v>17</v>
      </c>
      <c r="D156" s="7"/>
      <c r="E156" s="7" t="s">
        <v>1139</v>
      </c>
      <c r="F156" s="7" t="s">
        <v>19</v>
      </c>
      <c r="G156" s="7">
        <v>37.34</v>
      </c>
      <c r="H156" s="7" t="s">
        <v>17</v>
      </c>
      <c r="I156" s="7" t="s">
        <v>17</v>
      </c>
      <c r="J156" s="7" t="s">
        <v>1140</v>
      </c>
    </row>
    <row r="157" spans="1:10" x14ac:dyDescent="0.25" outlineLevel="3" collapsed="1">
      <c r="A157" s="7" t="s">
        <v>19</v>
      </c>
      <c r="B157" s="7" t="s">
        <v>16</v>
      </c>
      <c r="C157" s="7" t="s">
        <v>17</v>
      </c>
      <c r="D157" s="7"/>
      <c r="E157" s="7" t="s">
        <v>1141</v>
      </c>
      <c r="F157" s="7" t="s">
        <v>19</v>
      </c>
      <c r="G157" s="7" t="s">
        <v>1142</v>
      </c>
      <c r="H157" s="7" t="s">
        <v>17</v>
      </c>
      <c r="I157" s="7" t="s">
        <v>17</v>
      </c>
      <c r="J157" s="7" t="s">
        <v>1143</v>
      </c>
    </row>
    <row r="158" spans="1:10" x14ac:dyDescent="0.25" outlineLevel="3" collapsed="1">
      <c r="A158" s="7" t="s">
        <v>19</v>
      </c>
      <c r="B158" s="7" t="s">
        <v>16</v>
      </c>
      <c r="C158" s="7" t="s">
        <v>17</v>
      </c>
      <c r="D158" s="7"/>
      <c r="E158" s="7" t="s">
        <v>1144</v>
      </c>
      <c r="F158" s="7" t="s">
        <v>19</v>
      </c>
      <c r="G158" s="7" t="s">
        <v>1145</v>
      </c>
      <c r="H158" s="7" t="s">
        <v>17</v>
      </c>
      <c r="I158" s="7" t="s">
        <v>17</v>
      </c>
      <c r="J158" s="7" t="s">
        <v>1146</v>
      </c>
    </row>
    <row r="159" spans="1:10" x14ac:dyDescent="0.25" outlineLevel="2" collapsed="1">
      <c r="A159" s="7" t="s">
        <v>19</v>
      </c>
      <c r="B159" s="7" t="s">
        <v>16</v>
      </c>
      <c r="C159" s="7" t="s">
        <v>17</v>
      </c>
      <c r="D159" s="7"/>
      <c r="E159" s="7" t="s">
        <v>1147</v>
      </c>
      <c r="F159" s="7" t="s">
        <v>19</v>
      </c>
      <c r="G159" s="7" t="s">
        <v>31</v>
      </c>
      <c r="H159" s="7" t="s">
        <v>17</v>
      </c>
      <c r="I159" s="7" t="s">
        <v>17</v>
      </c>
      <c r="J159" s="7" t="s">
        <v>1148</v>
      </c>
    </row>
    <row r="160" spans="1:10" x14ac:dyDescent="0.25" outlineLevel="2" collapsed="1">
      <c r="A160" s="7" t="s">
        <v>19</v>
      </c>
      <c r="B160" s="7" t="s">
        <v>16</v>
      </c>
      <c r="C160" s="7" t="s">
        <v>17</v>
      </c>
      <c r="D160" s="7"/>
      <c r="E160" s="7" t="s">
        <v>1149</v>
      </c>
      <c r="F160" s="7" t="s">
        <v>19</v>
      </c>
      <c r="G160" s="7" t="s">
        <v>31</v>
      </c>
      <c r="H160" s="7" t="s">
        <v>17</v>
      </c>
      <c r="I160" s="7" t="s">
        <v>17</v>
      </c>
      <c r="J160" s="7" t="s">
        <v>1150</v>
      </c>
    </row>
    <row r="161" spans="1:10" x14ac:dyDescent="0.25" outlineLevel="2" collapsed="1">
      <c r="A161" s="7" t="s">
        <v>19</v>
      </c>
      <c r="B161" s="7" t="s">
        <v>16</v>
      </c>
      <c r="C161" s="7" t="s">
        <v>17</v>
      </c>
      <c r="D161" s="7"/>
      <c r="E161" s="7" t="s">
        <v>1151</v>
      </c>
      <c r="F161" s="7" t="s">
        <v>19</v>
      </c>
      <c r="G161" s="7" t="s">
        <v>31</v>
      </c>
      <c r="H161" s="7" t="s">
        <v>17</v>
      </c>
      <c r="I161" s="7" t="s">
        <v>17</v>
      </c>
      <c r="J161" s="7" t="s">
        <v>1152</v>
      </c>
    </row>
    <row r="162" spans="1:10" x14ac:dyDescent="0.25" outlineLevel="1" collapsed="1">
      <c r="A162" s="8" t="s">
        <v>15</v>
      </c>
      <c r="B162" s="9" t="s">
        <v>2420</v>
      </c>
      <c r="C162" s="8" t="s">
        <v>17</v>
      </c>
      <c r="D162" s="8"/>
      <c r="E162" s="8" t="s">
        <v>2421</v>
      </c>
      <c r="F162" s="8" t="s">
        <v>19</v>
      </c>
      <c r="G162" s="8" t="s">
        <v>17</v>
      </c>
      <c r="H162" s="8" t="s">
        <v>17</v>
      </c>
      <c r="I162" s="8" t="s">
        <v>17</v>
      </c>
      <c r="J162" s="8" t="s">
        <v>2422</v>
      </c>
    </row>
    <row r="163" spans="1:10" x14ac:dyDescent="0.25" outlineLevel="2" collapsed="1">
      <c r="A163" s="8" t="s">
        <v>19</v>
      </c>
      <c r="B163" s="9" t="s">
        <v>2423</v>
      </c>
      <c r="C163" s="8" t="s">
        <v>17</v>
      </c>
      <c r="D163" s="8"/>
      <c r="E163" s="8" t="s">
        <v>2424</v>
      </c>
      <c r="F163" s="8" t="s">
        <v>15</v>
      </c>
      <c r="G163" s="8" t="s">
        <v>17</v>
      </c>
      <c r="H163" s="8" t="s">
        <v>17</v>
      </c>
      <c r="I163" s="8" t="s">
        <v>17</v>
      </c>
      <c r="J163" s="8" t="s">
        <v>2425</v>
      </c>
    </row>
    <row r="164" spans="1:10" x14ac:dyDescent="0.25" outlineLevel="3" collapsed="1">
      <c r="A164" s="7" t="s">
        <v>19</v>
      </c>
      <c r="B164" s="7" t="s">
        <v>16</v>
      </c>
      <c r="C164" s="7" t="s">
        <v>17</v>
      </c>
      <c r="D164" s="7"/>
      <c r="E164" s="7" t="s">
        <v>2426</v>
      </c>
      <c r="F164" s="7" t="s">
        <v>19</v>
      </c>
      <c r="G164" s="7" t="s">
        <v>31</v>
      </c>
      <c r="H164" s="7" t="s">
        <v>17</v>
      </c>
      <c r="I164" s="7" t="s">
        <v>17</v>
      </c>
      <c r="J164" s="7" t="s">
        <v>2427</v>
      </c>
    </row>
    <row r="165" spans="1:10" x14ac:dyDescent="0.25" outlineLevel="3" collapsed="1">
      <c r="A165" s="7" t="s">
        <v>19</v>
      </c>
      <c r="B165" s="7" t="s">
        <v>16</v>
      </c>
      <c r="C165" s="7" t="s">
        <v>17</v>
      </c>
      <c r="D165" s="7"/>
      <c r="E165" s="7" t="s">
        <v>2428</v>
      </c>
      <c r="F165" s="7" t="s">
        <v>19</v>
      </c>
      <c r="G165" s="7" t="s">
        <v>31</v>
      </c>
      <c r="H165" s="7" t="s">
        <v>17</v>
      </c>
      <c r="I165" s="7" t="s">
        <v>17</v>
      </c>
      <c r="J165" s="7" t="s">
        <v>2429</v>
      </c>
    </row>
    <row r="166" spans="1:10" x14ac:dyDescent="0.25" outlineLevel="1" collapsed="1">
      <c r="A166" s="8" t="s">
        <v>15</v>
      </c>
      <c r="B166" s="9" t="s">
        <v>2430</v>
      </c>
      <c r="C166" s="8" t="s">
        <v>17</v>
      </c>
      <c r="D166" s="8"/>
      <c r="E166" s="8" t="s">
        <v>2431</v>
      </c>
      <c r="F166" s="8" t="s">
        <v>19</v>
      </c>
      <c r="G166" s="8" t="s">
        <v>17</v>
      </c>
      <c r="H166" s="8" t="s">
        <v>17</v>
      </c>
      <c r="I166" s="8" t="s">
        <v>17</v>
      </c>
      <c r="J166" s="8" t="s">
        <v>2432</v>
      </c>
    </row>
    <row r="167" spans="1:10" x14ac:dyDescent="0.25" outlineLevel="2" collapsed="1">
      <c r="A167" s="7" t="s">
        <v>15</v>
      </c>
      <c r="B167" s="7" t="s">
        <v>16</v>
      </c>
      <c r="C167" s="7" t="s">
        <v>17</v>
      </c>
      <c r="D167" s="7"/>
      <c r="E167" s="7" t="s">
        <v>2433</v>
      </c>
      <c r="F167" s="7" t="s">
        <v>19</v>
      </c>
      <c r="G167" s="7" t="s">
        <v>2434</v>
      </c>
      <c r="H167" s="7" t="s">
        <v>17</v>
      </c>
      <c r="I167" s="7" t="s">
        <v>17</v>
      </c>
      <c r="J167" s="7" t="s">
        <v>26</v>
      </c>
    </row>
    <row r="168" spans="1:10" x14ac:dyDescent="0.25" outlineLevel="2" collapsed="1">
      <c r="A168" s="7" t="s">
        <v>15</v>
      </c>
      <c r="B168" s="7" t="s">
        <v>16</v>
      </c>
      <c r="C168" s="7" t="s">
        <v>17</v>
      </c>
      <c r="D168" s="7"/>
      <c r="E168" s="7" t="s">
        <v>2435</v>
      </c>
      <c r="F168" s="7" t="s">
        <v>19</v>
      </c>
      <c r="G168" s="7" t="s">
        <v>2436</v>
      </c>
      <c r="H168" s="7" t="s">
        <v>17</v>
      </c>
      <c r="I168" s="7" t="s">
        <v>17</v>
      </c>
      <c r="J168" s="7" t="s">
        <v>2437</v>
      </c>
    </row>
    <row r="169" spans="1:10" x14ac:dyDescent="0.25" outlineLevel="2" collapsed="1">
      <c r="A169" s="8" t="s">
        <v>19</v>
      </c>
      <c r="B169" s="9" t="s">
        <v>27</v>
      </c>
      <c r="C169" s="8" t="s">
        <v>17</v>
      </c>
      <c r="D169" s="8"/>
      <c r="E169" s="8" t="s">
        <v>28</v>
      </c>
      <c r="F169" s="8" t="s">
        <v>15</v>
      </c>
      <c r="G169" s="8" t="s">
        <v>17</v>
      </c>
      <c r="H169" s="8" t="s">
        <v>17</v>
      </c>
      <c r="I169" s="8" t="s">
        <v>17</v>
      </c>
      <c r="J169" s="8" t="s">
        <v>29</v>
      </c>
    </row>
    <row r="170" spans="1:10" x14ac:dyDescent="0.25" outlineLevel="3" collapsed="1">
      <c r="A170" s="7" t="s">
        <v>19</v>
      </c>
      <c r="B170" s="7" t="s">
        <v>16</v>
      </c>
      <c r="C170" s="7" t="s">
        <v>17</v>
      </c>
      <c r="D170" s="7"/>
      <c r="E170" s="7" t="s">
        <v>30</v>
      </c>
      <c r="F170" s="7" t="s">
        <v>19</v>
      </c>
      <c r="G170" s="7" t="s">
        <v>31</v>
      </c>
      <c r="H170" s="7" t="s">
        <v>17</v>
      </c>
      <c r="I170" s="7" t="s">
        <v>17</v>
      </c>
      <c r="J170" s="7" t="s">
        <v>32</v>
      </c>
    </row>
    <row r="171" spans="1:10" x14ac:dyDescent="0.25" outlineLevel="3" collapsed="1">
      <c r="A171" s="7" t="s">
        <v>19</v>
      </c>
      <c r="B171" s="7" t="s">
        <v>16</v>
      </c>
      <c r="C171" s="7" t="s">
        <v>17</v>
      </c>
      <c r="D171" s="7"/>
      <c r="E171" s="7" t="s">
        <v>33</v>
      </c>
      <c r="F171" s="7" t="s">
        <v>19</v>
      </c>
      <c r="G171" s="7" t="s">
        <v>31</v>
      </c>
      <c r="H171" s="7" t="s">
        <v>17</v>
      </c>
      <c r="I171" s="7" t="s">
        <v>17</v>
      </c>
      <c r="J171" s="7" t="s">
        <v>34</v>
      </c>
    </row>
    <row r="172" spans="1:10" x14ac:dyDescent="0.25" outlineLevel="3" collapsed="1">
      <c r="A172" s="7" t="s">
        <v>19</v>
      </c>
      <c r="B172" s="7" t="s">
        <v>16</v>
      </c>
      <c r="C172" s="7" t="s">
        <v>17</v>
      </c>
      <c r="D172" s="7"/>
      <c r="E172" s="7" t="s">
        <v>35</v>
      </c>
      <c r="F172" s="7" t="s">
        <v>19</v>
      </c>
      <c r="G172" s="7" t="s">
        <v>31</v>
      </c>
      <c r="H172" s="7" t="s">
        <v>17</v>
      </c>
      <c r="I172" s="7" t="s">
        <v>17</v>
      </c>
      <c r="J172" s="7" t="s">
        <v>36</v>
      </c>
    </row>
    <row r="173" spans="1:10" x14ac:dyDescent="0.25" outlineLevel="3" collapsed="1">
      <c r="A173" s="7" t="s">
        <v>19</v>
      </c>
      <c r="B173" s="7" t="s">
        <v>16</v>
      </c>
      <c r="C173" s="7" t="s">
        <v>17</v>
      </c>
      <c r="D173" s="7"/>
      <c r="E173" s="7" t="s">
        <v>37</v>
      </c>
      <c r="F173" s="7" t="s">
        <v>19</v>
      </c>
      <c r="G173" s="7" t="s">
        <v>31</v>
      </c>
      <c r="H173" s="7" t="s">
        <v>17</v>
      </c>
      <c r="I173" s="7" t="s">
        <v>17</v>
      </c>
      <c r="J173" s="7" t="s">
        <v>38</v>
      </c>
    </row>
    <row r="174" spans="1:10" x14ac:dyDescent="0.25" outlineLevel="3" collapsed="1">
      <c r="A174" s="7" t="s">
        <v>19</v>
      </c>
      <c r="B174" s="7" t="s">
        <v>16</v>
      </c>
      <c r="C174" s="7" t="s">
        <v>17</v>
      </c>
      <c r="D174" s="7"/>
      <c r="E174" s="7" t="s">
        <v>39</v>
      </c>
      <c r="F174" s="7" t="s">
        <v>19</v>
      </c>
      <c r="G174" s="7" t="s">
        <v>31</v>
      </c>
      <c r="H174" s="7" t="s">
        <v>17</v>
      </c>
      <c r="I174" s="7" t="s">
        <v>17</v>
      </c>
      <c r="J174" s="7" t="s">
        <v>40</v>
      </c>
    </row>
    <row r="175" spans="1:10" x14ac:dyDescent="0.25" outlineLevel="2" collapsed="1">
      <c r="A175" s="7" t="s">
        <v>19</v>
      </c>
      <c r="B175" s="7" t="s">
        <v>16</v>
      </c>
      <c r="C175" s="7" t="s">
        <v>17</v>
      </c>
      <c r="D175" s="7"/>
      <c r="E175" s="7" t="s">
        <v>41</v>
      </c>
      <c r="F175" s="7" t="s">
        <v>19</v>
      </c>
      <c r="G175" s="7" t="s">
        <v>31</v>
      </c>
      <c r="H175" s="7" t="s">
        <v>17</v>
      </c>
      <c r="I175" s="7" t="s">
        <v>17</v>
      </c>
      <c r="J175" s="7" t="s">
        <v>42</v>
      </c>
    </row>
    <row r="176" spans="1:10" x14ac:dyDescent="0.25" outlineLevel="2" collapsed="1">
      <c r="A176" s="7" t="s">
        <v>19</v>
      </c>
      <c r="B176" s="7" t="s">
        <v>16</v>
      </c>
      <c r="C176" s="7" t="s">
        <v>17</v>
      </c>
      <c r="D176" s="7"/>
      <c r="E176" s="7" t="s">
        <v>43</v>
      </c>
      <c r="F176" s="7" t="s">
        <v>19</v>
      </c>
      <c r="G176" s="7" t="s">
        <v>31</v>
      </c>
      <c r="H176" s="7" t="s">
        <v>17</v>
      </c>
      <c r="I176" s="7" t="s">
        <v>17</v>
      </c>
      <c r="J176" s="7" t="s">
        <v>44</v>
      </c>
    </row>
    <row r="177" spans="1:10" x14ac:dyDescent="0.25" outlineLevel="2" collapsed="1">
      <c r="A177" s="7" t="s">
        <v>19</v>
      </c>
      <c r="B177" s="7" t="s">
        <v>16</v>
      </c>
      <c r="C177" s="7" t="s">
        <v>17</v>
      </c>
      <c r="D177" s="7"/>
      <c r="E177" s="7" t="s">
        <v>45</v>
      </c>
      <c r="F177" s="7" t="s">
        <v>19</v>
      </c>
      <c r="G177" s="7" t="s">
        <v>31</v>
      </c>
      <c r="H177" s="7" t="s">
        <v>17</v>
      </c>
      <c r="I177" s="7" t="s">
        <v>17</v>
      </c>
      <c r="J177" s="7" t="s">
        <v>46</v>
      </c>
    </row>
    <row r="178" spans="1:10" x14ac:dyDescent="0.25" outlineLevel="2" collapsed="1">
      <c r="A178" s="7" t="s">
        <v>19</v>
      </c>
      <c r="B178" s="7" t="s">
        <v>16</v>
      </c>
      <c r="C178" s="7" t="s">
        <v>17</v>
      </c>
      <c r="D178" s="7"/>
      <c r="E178" s="7" t="s">
        <v>2438</v>
      </c>
      <c r="F178" s="7" t="s">
        <v>19</v>
      </c>
      <c r="G178" s="7" t="s">
        <v>31</v>
      </c>
      <c r="H178" s="7" t="s">
        <v>17</v>
      </c>
      <c r="I178" s="7" t="s">
        <v>17</v>
      </c>
      <c r="J178" s="7" t="s">
        <v>48</v>
      </c>
    </row>
    <row r="179" spans="1:10" x14ac:dyDescent="0.25" outlineLevel="2" collapsed="1">
      <c r="A179" s="7" t="s">
        <v>19</v>
      </c>
      <c r="B179" s="7" t="s">
        <v>16</v>
      </c>
      <c r="C179" s="7" t="s">
        <v>17</v>
      </c>
      <c r="D179" s="7"/>
      <c r="E179" s="7" t="s">
        <v>49</v>
      </c>
      <c r="F179" s="7" t="s">
        <v>19</v>
      </c>
      <c r="G179" s="7" t="s">
        <v>31</v>
      </c>
      <c r="H179" s="7" t="s">
        <v>17</v>
      </c>
      <c r="I179" s="7" t="s">
        <v>17</v>
      </c>
      <c r="J179" s="7" t="s">
        <v>50</v>
      </c>
    </row>
    <row r="180" spans="1:10" x14ac:dyDescent="0.25" outlineLevel="2" collapsed="1">
      <c r="A180" s="7" t="s">
        <v>19</v>
      </c>
      <c r="B180" s="7" t="s">
        <v>16</v>
      </c>
      <c r="C180" s="7" t="s">
        <v>17</v>
      </c>
      <c r="D180" s="7"/>
      <c r="E180" s="7" t="s">
        <v>51</v>
      </c>
      <c r="F180" s="7" t="s">
        <v>19</v>
      </c>
      <c r="G180" s="7" t="s">
        <v>31</v>
      </c>
      <c r="H180" s="7" t="s">
        <v>17</v>
      </c>
      <c r="I180" s="7" t="s">
        <v>17</v>
      </c>
      <c r="J180" s="7" t="s">
        <v>52</v>
      </c>
    </row>
    <row r="181" spans="1:10" x14ac:dyDescent="0.25" outlineLevel="2" collapsed="1">
      <c r="A181" s="7" t="s">
        <v>19</v>
      </c>
      <c r="B181" s="7" t="s">
        <v>16</v>
      </c>
      <c r="C181" s="7" t="s">
        <v>17</v>
      </c>
      <c r="D181" s="7"/>
      <c r="E181" s="7" t="s">
        <v>2439</v>
      </c>
      <c r="F181" s="7" t="s">
        <v>19</v>
      </c>
      <c r="G181" s="7" t="s">
        <v>31</v>
      </c>
      <c r="H181" s="7" t="s">
        <v>17</v>
      </c>
      <c r="I181" s="7" t="s">
        <v>17</v>
      </c>
      <c r="J181" s="7" t="s">
        <v>54</v>
      </c>
    </row>
    <row r="182" spans="1:10" x14ac:dyDescent="0.25" outlineLevel="2" collapsed="1">
      <c r="A182" s="7" t="s">
        <v>19</v>
      </c>
      <c r="B182" s="7" t="s">
        <v>16</v>
      </c>
      <c r="C182" s="7" t="s">
        <v>17</v>
      </c>
      <c r="D182" s="7"/>
      <c r="E182" s="7" t="s">
        <v>2440</v>
      </c>
      <c r="F182" s="7" t="s">
        <v>19</v>
      </c>
      <c r="G182" s="7" t="s">
        <v>31</v>
      </c>
      <c r="H182" s="7" t="s">
        <v>17</v>
      </c>
      <c r="I182" s="7" t="s">
        <v>17</v>
      </c>
      <c r="J182" s="7" t="s">
        <v>2441</v>
      </c>
    </row>
    <row r="183" spans="1:10" x14ac:dyDescent="0.25" outlineLevel="2" collapsed="1">
      <c r="A183" s="7" t="s">
        <v>19</v>
      </c>
      <c r="B183" s="7" t="s">
        <v>16</v>
      </c>
      <c r="C183" s="7" t="s">
        <v>17</v>
      </c>
      <c r="D183" s="7"/>
      <c r="E183" s="7" t="s">
        <v>2442</v>
      </c>
      <c r="F183" s="7" t="s">
        <v>19</v>
      </c>
      <c r="G183" s="7" t="s">
        <v>31</v>
      </c>
      <c r="H183" s="7" t="s">
        <v>17</v>
      </c>
      <c r="I183" s="7" t="s">
        <v>17</v>
      </c>
      <c r="J183" s="7" t="s">
        <v>2443</v>
      </c>
    </row>
    <row r="184" spans="1:10" x14ac:dyDescent="0.25" outlineLevel="2" collapsed="1">
      <c r="A184" s="7" t="s">
        <v>19</v>
      </c>
      <c r="B184" s="7" t="s">
        <v>16</v>
      </c>
      <c r="C184" s="7" t="s">
        <v>17</v>
      </c>
      <c r="D184" s="7"/>
      <c r="E184" s="7" t="s">
        <v>2444</v>
      </c>
      <c r="F184" s="7" t="s">
        <v>19</v>
      </c>
      <c r="G184" s="7" t="s">
        <v>31</v>
      </c>
      <c r="H184" s="7" t="s">
        <v>17</v>
      </c>
      <c r="I184" s="7" t="s">
        <v>17</v>
      </c>
      <c r="J184" s="7" t="s">
        <v>2445</v>
      </c>
    </row>
    <row r="185" spans="1:10" x14ac:dyDescent="0.25" outlineLevel="2" collapsed="1">
      <c r="A185" s="7" t="s">
        <v>19</v>
      </c>
      <c r="B185" s="7" t="s">
        <v>16</v>
      </c>
      <c r="C185" s="7" t="s">
        <v>17</v>
      </c>
      <c r="D185" s="7"/>
      <c r="E185" s="7" t="s">
        <v>2446</v>
      </c>
      <c r="F185" s="7" t="s">
        <v>19</v>
      </c>
      <c r="G185" s="7" t="s">
        <v>31</v>
      </c>
      <c r="H185" s="7" t="s">
        <v>17</v>
      </c>
      <c r="I185" s="7" t="s">
        <v>17</v>
      </c>
      <c r="J185" s="7" t="s">
        <v>2447</v>
      </c>
    </row>
    <row r="186" spans="1:10" x14ac:dyDescent="0.25" outlineLevel="1" collapsed="1">
      <c r="A186" s="8" t="s">
        <v>15</v>
      </c>
      <c r="B186" s="9" t="s">
        <v>2448</v>
      </c>
      <c r="C186" s="8" t="s">
        <v>17</v>
      </c>
      <c r="D186" s="8"/>
      <c r="E186" s="8" t="s">
        <v>2449</v>
      </c>
      <c r="F186" s="8" t="s">
        <v>19</v>
      </c>
      <c r="G186" s="8" t="s">
        <v>17</v>
      </c>
      <c r="H186" s="8" t="s">
        <v>17</v>
      </c>
      <c r="I186" s="8" t="s">
        <v>17</v>
      </c>
      <c r="J186" s="8" t="s">
        <v>2450</v>
      </c>
    </row>
    <row r="187" spans="1:10" x14ac:dyDescent="0.25" outlineLevel="2" collapsed="1">
      <c r="A187" s="7" t="s">
        <v>15</v>
      </c>
      <c r="B187" s="7" t="s">
        <v>16</v>
      </c>
      <c r="C187" s="7" t="s">
        <v>17</v>
      </c>
      <c r="D187" s="7"/>
      <c r="E187" s="7" t="s">
        <v>2451</v>
      </c>
      <c r="F187" s="7" t="s">
        <v>19</v>
      </c>
      <c r="G187" s="7" t="s">
        <v>2452</v>
      </c>
      <c r="H187" s="7" t="s">
        <v>17</v>
      </c>
      <c r="I187" s="7" t="s">
        <v>17</v>
      </c>
      <c r="J187" s="7" t="s">
        <v>2453</v>
      </c>
    </row>
    <row r="188" spans="1:10" x14ac:dyDescent="0.25" outlineLevel="2" collapsed="1">
      <c r="A188" s="7" t="s">
        <v>15</v>
      </c>
      <c r="B188" s="7" t="s">
        <v>16</v>
      </c>
      <c r="C188" s="7" t="s">
        <v>17</v>
      </c>
      <c r="D188" s="7"/>
      <c r="E188" s="7" t="s">
        <v>2454</v>
      </c>
      <c r="F188" s="7" t="s">
        <v>19</v>
      </c>
      <c r="G188" s="7" t="s">
        <v>2455</v>
      </c>
      <c r="H188" s="7" t="s">
        <v>17</v>
      </c>
      <c r="I188" s="7" t="s">
        <v>17</v>
      </c>
      <c r="J188" s="7" t="s">
        <v>1164</v>
      </c>
    </row>
    <row r="189" spans="1:10" x14ac:dyDescent="0.25" outlineLevel="2" collapsed="1">
      <c r="A189" s="7" t="s">
        <v>19</v>
      </c>
      <c r="B189" s="7" t="s">
        <v>16</v>
      </c>
      <c r="C189" s="7" t="s">
        <v>17</v>
      </c>
      <c r="D189" s="7"/>
      <c r="E189" s="7" t="s">
        <v>2456</v>
      </c>
      <c r="F189" s="7" t="s">
        <v>19</v>
      </c>
      <c r="G189" s="7" t="s">
        <v>2457</v>
      </c>
      <c r="H189" s="7" t="s">
        <v>17</v>
      </c>
      <c r="I189" s="7" t="s">
        <v>17</v>
      </c>
      <c r="J189" s="7" t="s">
        <v>1167</v>
      </c>
    </row>
    <row r="190" spans="1:10" x14ac:dyDescent="0.25" outlineLevel="2" collapsed="1">
      <c r="A190" s="7" t="s">
        <v>19</v>
      </c>
      <c r="B190" s="7" t="s">
        <v>16</v>
      </c>
      <c r="C190" s="7" t="s">
        <v>17</v>
      </c>
      <c r="D190" s="7"/>
      <c r="E190" s="7" t="s">
        <v>1168</v>
      </c>
      <c r="F190" s="7" t="s">
        <v>19</v>
      </c>
      <c r="G190" s="7" t="s">
        <v>31</v>
      </c>
      <c r="H190" s="7" t="s">
        <v>17</v>
      </c>
      <c r="I190" s="7" t="s">
        <v>17</v>
      </c>
      <c r="J190" s="7" t="s">
        <v>1169</v>
      </c>
    </row>
    <row r="191" spans="1:10" x14ac:dyDescent="0.25" outlineLevel="2" collapsed="1">
      <c r="A191" s="7" t="s">
        <v>19</v>
      </c>
      <c r="B191" s="7" t="s">
        <v>16</v>
      </c>
      <c r="C191" s="7" t="s">
        <v>17</v>
      </c>
      <c r="D191" s="7"/>
      <c r="E191" s="7" t="s">
        <v>1170</v>
      </c>
      <c r="F191" s="7" t="s">
        <v>19</v>
      </c>
      <c r="G191" s="7" t="s">
        <v>31</v>
      </c>
      <c r="H191" s="7" t="s">
        <v>17</v>
      </c>
      <c r="I191" s="7" t="s">
        <v>17</v>
      </c>
      <c r="J191" s="7" t="s">
        <v>44</v>
      </c>
    </row>
    <row r="192" spans="1:10" x14ac:dyDescent="0.25" outlineLevel="2" collapsed="1">
      <c r="A192" s="7" t="s">
        <v>19</v>
      </c>
      <c r="B192" s="7" t="s">
        <v>16</v>
      </c>
      <c r="C192" s="7" t="s">
        <v>17</v>
      </c>
      <c r="D192" s="7"/>
      <c r="E192" s="7" t="s">
        <v>1171</v>
      </c>
      <c r="F192" s="7" t="s">
        <v>19</v>
      </c>
      <c r="G192" s="7" t="s">
        <v>31</v>
      </c>
      <c r="H192" s="7" t="s">
        <v>17</v>
      </c>
      <c r="I192" s="7" t="s">
        <v>17</v>
      </c>
      <c r="J192" s="7" t="s">
        <v>1172</v>
      </c>
    </row>
    <row r="193" spans="1:10" x14ac:dyDescent="0.25" outlineLevel="2" collapsed="1">
      <c r="A193" s="7" t="s">
        <v>19</v>
      </c>
      <c r="B193" s="7" t="s">
        <v>16</v>
      </c>
      <c r="C193" s="7" t="s">
        <v>17</v>
      </c>
      <c r="D193" s="7"/>
      <c r="E193" s="7" t="s">
        <v>1173</v>
      </c>
      <c r="F193" s="7" t="s">
        <v>19</v>
      </c>
      <c r="G193" s="7" t="s">
        <v>31</v>
      </c>
      <c r="H193" s="7" t="s">
        <v>17</v>
      </c>
      <c r="I193" s="7" t="s">
        <v>17</v>
      </c>
      <c r="J193" s="7" t="s">
        <v>1174</v>
      </c>
    </row>
    <row r="194" spans="1:10" x14ac:dyDescent="0.25" outlineLevel="2" collapsed="1">
      <c r="A194" s="7" t="s">
        <v>19</v>
      </c>
      <c r="B194" s="7" t="s">
        <v>16</v>
      </c>
      <c r="C194" s="7" t="s">
        <v>17</v>
      </c>
      <c r="D194" s="7"/>
      <c r="E194" s="7" t="s">
        <v>1175</v>
      </c>
      <c r="F194" s="7" t="s">
        <v>19</v>
      </c>
      <c r="G194" s="7" t="s">
        <v>31</v>
      </c>
      <c r="H194" s="7" t="s">
        <v>17</v>
      </c>
      <c r="I194" s="7" t="s">
        <v>17</v>
      </c>
      <c r="J194" s="7" t="s">
        <v>1176</v>
      </c>
    </row>
    <row r="195" spans="1:10" x14ac:dyDescent="0.25" outlineLevel="2" collapsed="1">
      <c r="A195" s="7" t="s">
        <v>19</v>
      </c>
      <c r="B195" s="7" t="s">
        <v>16</v>
      </c>
      <c r="C195" s="7" t="s">
        <v>17</v>
      </c>
      <c r="D195" s="7"/>
      <c r="E195" s="7" t="s">
        <v>1177</v>
      </c>
      <c r="F195" s="7" t="s">
        <v>19</v>
      </c>
      <c r="G195" s="7" t="s">
        <v>31</v>
      </c>
      <c r="H195" s="7" t="s">
        <v>17</v>
      </c>
      <c r="I195" s="7" t="s">
        <v>17</v>
      </c>
      <c r="J195" s="7" t="s">
        <v>46</v>
      </c>
    </row>
    <row r="196" spans="1:10" x14ac:dyDescent="0.25" outlineLevel="2" collapsed="1">
      <c r="A196" s="7" t="s">
        <v>19</v>
      </c>
      <c r="B196" s="7" t="s">
        <v>16</v>
      </c>
      <c r="C196" s="7" t="s">
        <v>17</v>
      </c>
      <c r="D196" s="7"/>
      <c r="E196" s="7" t="s">
        <v>1178</v>
      </c>
      <c r="F196" s="7" t="s">
        <v>19</v>
      </c>
      <c r="G196" s="7" t="s">
        <v>31</v>
      </c>
      <c r="H196" s="7" t="s">
        <v>17</v>
      </c>
      <c r="I196" s="7" t="s">
        <v>17</v>
      </c>
      <c r="J196" s="7" t="s">
        <v>1179</v>
      </c>
    </row>
    <row r="197" spans="1:10" x14ac:dyDescent="0.25" outlineLevel="2" collapsed="1">
      <c r="A197" s="7" t="s">
        <v>19</v>
      </c>
      <c r="B197" s="7" t="s">
        <v>16</v>
      </c>
      <c r="C197" s="7" t="s">
        <v>17</v>
      </c>
      <c r="D197" s="7"/>
      <c r="E197" s="7" t="s">
        <v>1180</v>
      </c>
      <c r="F197" s="7" t="s">
        <v>19</v>
      </c>
      <c r="G197" s="7" t="s">
        <v>31</v>
      </c>
      <c r="H197" s="7" t="s">
        <v>17</v>
      </c>
      <c r="I197" s="7" t="s">
        <v>17</v>
      </c>
      <c r="J197" s="7" t="s">
        <v>1181</v>
      </c>
    </row>
    <row r="198" spans="1:10" x14ac:dyDescent="0.25" outlineLevel="2" collapsed="1">
      <c r="A198" s="7" t="s">
        <v>19</v>
      </c>
      <c r="B198" s="7" t="s">
        <v>16</v>
      </c>
      <c r="C198" s="7" t="s">
        <v>17</v>
      </c>
      <c r="D198" s="7"/>
      <c r="E198" s="7" t="s">
        <v>1182</v>
      </c>
      <c r="F198" s="7" t="s">
        <v>19</v>
      </c>
      <c r="G198" s="7" t="s">
        <v>31</v>
      </c>
      <c r="H198" s="7" t="s">
        <v>17</v>
      </c>
      <c r="I198" s="7" t="s">
        <v>17</v>
      </c>
      <c r="J198" s="7" t="s">
        <v>1183</v>
      </c>
    </row>
    <row r="199" spans="1:10" x14ac:dyDescent="0.25" outlineLevel="2" collapsed="1">
      <c r="A199" s="7" t="s">
        <v>19</v>
      </c>
      <c r="B199" s="7" t="s">
        <v>16</v>
      </c>
      <c r="C199" s="7" t="s">
        <v>17</v>
      </c>
      <c r="D199" s="7"/>
      <c r="E199" s="7" t="s">
        <v>1184</v>
      </c>
      <c r="F199" s="7" t="s">
        <v>19</v>
      </c>
      <c r="G199" s="7" t="s">
        <v>31</v>
      </c>
      <c r="H199" s="7" t="s">
        <v>17</v>
      </c>
      <c r="I199" s="7" t="s">
        <v>17</v>
      </c>
      <c r="J199" s="7" t="s">
        <v>1185</v>
      </c>
    </row>
    <row r="200" spans="1:10" x14ac:dyDescent="0.25" outlineLevel="2" collapsed="1">
      <c r="A200" s="7" t="s">
        <v>19</v>
      </c>
      <c r="B200" s="7" t="s">
        <v>16</v>
      </c>
      <c r="C200" s="7" t="s">
        <v>17</v>
      </c>
      <c r="D200" s="7"/>
      <c r="E200" s="7" t="s">
        <v>1186</v>
      </c>
      <c r="F200" s="7" t="s">
        <v>19</v>
      </c>
      <c r="G200" s="7" t="s">
        <v>31</v>
      </c>
      <c r="H200" s="7" t="s">
        <v>17</v>
      </c>
      <c r="I200" s="7" t="s">
        <v>17</v>
      </c>
      <c r="J200" s="7" t="s">
        <v>1187</v>
      </c>
    </row>
    <row r="201" spans="1:10" x14ac:dyDescent="0.25" outlineLevel="2" collapsed="1">
      <c r="A201" s="7" t="s">
        <v>19</v>
      </c>
      <c r="B201" s="7" t="s">
        <v>16</v>
      </c>
      <c r="C201" s="7" t="s">
        <v>17</v>
      </c>
      <c r="D201" s="7"/>
      <c r="E201" s="7" t="s">
        <v>1188</v>
      </c>
      <c r="F201" s="7" t="s">
        <v>19</v>
      </c>
      <c r="G201" s="7" t="s">
        <v>31</v>
      </c>
      <c r="H201" s="7" t="s">
        <v>17</v>
      </c>
      <c r="I201" s="7" t="s">
        <v>17</v>
      </c>
      <c r="J201" s="7" t="s">
        <v>1189</v>
      </c>
    </row>
    <row r="202" spans="1:10" x14ac:dyDescent="0.25" outlineLevel="2" collapsed="1">
      <c r="A202" s="7" t="s">
        <v>19</v>
      </c>
      <c r="B202" s="7" t="s">
        <v>16</v>
      </c>
      <c r="C202" s="7" t="s">
        <v>17</v>
      </c>
      <c r="D202" s="7"/>
      <c r="E202" s="7" t="s">
        <v>1190</v>
      </c>
      <c r="F202" s="7" t="s">
        <v>19</v>
      </c>
      <c r="G202" s="7" t="s">
        <v>31</v>
      </c>
      <c r="H202" s="7" t="s">
        <v>17</v>
      </c>
      <c r="I202" s="7" t="s">
        <v>17</v>
      </c>
      <c r="J202" s="7" t="s">
        <v>1191</v>
      </c>
    </row>
    <row r="203" spans="1:10" x14ac:dyDescent="0.25" outlineLevel="2" collapsed="1">
      <c r="A203" s="7" t="s">
        <v>19</v>
      </c>
      <c r="B203" s="7" t="s">
        <v>16</v>
      </c>
      <c r="C203" s="7" t="s">
        <v>17</v>
      </c>
      <c r="D203" s="7"/>
      <c r="E203" s="7" t="s">
        <v>1192</v>
      </c>
      <c r="F203" s="7" t="s">
        <v>19</v>
      </c>
      <c r="G203" s="7" t="s">
        <v>31</v>
      </c>
      <c r="H203" s="7" t="s">
        <v>17</v>
      </c>
      <c r="I203" s="7" t="s">
        <v>17</v>
      </c>
      <c r="J203" s="7" t="s">
        <v>1193</v>
      </c>
    </row>
    <row r="204" spans="1:10" x14ac:dyDescent="0.25" outlineLevel="1" collapsed="1">
      <c r="A204" s="8" t="s">
        <v>15</v>
      </c>
      <c r="B204" s="9" t="s">
        <v>2458</v>
      </c>
      <c r="C204" s="8" t="s">
        <v>17</v>
      </c>
      <c r="D204" s="8"/>
      <c r="E204" s="8" t="s">
        <v>2459</v>
      </c>
      <c r="F204" s="8" t="s">
        <v>19</v>
      </c>
      <c r="G204" s="8" t="s">
        <v>17</v>
      </c>
      <c r="H204" s="8" t="s">
        <v>17</v>
      </c>
      <c r="I204" s="8" t="s">
        <v>17</v>
      </c>
      <c r="J204" s="8" t="s">
        <v>2460</v>
      </c>
    </row>
    <row r="205" spans="1:10" x14ac:dyDescent="0.25" outlineLevel="2" collapsed="1">
      <c r="A205" s="8" t="s">
        <v>19</v>
      </c>
      <c r="B205" s="9" t="s">
        <v>2157</v>
      </c>
      <c r="C205" s="8" t="s">
        <v>17</v>
      </c>
      <c r="D205" s="8"/>
      <c r="E205" s="8" t="s">
        <v>1198</v>
      </c>
      <c r="F205" s="8" t="s">
        <v>15</v>
      </c>
      <c r="G205" s="8" t="s">
        <v>17</v>
      </c>
      <c r="H205" s="8" t="s">
        <v>17</v>
      </c>
      <c r="I205" s="8" t="s">
        <v>17</v>
      </c>
      <c r="J205" s="8" t="s">
        <v>1199</v>
      </c>
    </row>
    <row r="206" spans="1:10" x14ac:dyDescent="0.25" outlineLevel="3" collapsed="1">
      <c r="A206" s="7" t="s">
        <v>19</v>
      </c>
      <c r="B206" s="7" t="s">
        <v>16</v>
      </c>
      <c r="C206" s="7" t="s">
        <v>17</v>
      </c>
      <c r="D206" s="7"/>
      <c r="E206" s="7" t="s">
        <v>1200</v>
      </c>
      <c r="F206" s="7" t="s">
        <v>19</v>
      </c>
      <c r="G206" s="7" t="s">
        <v>31</v>
      </c>
      <c r="H206" s="7" t="s">
        <v>17</v>
      </c>
      <c r="I206" s="7" t="s">
        <v>17</v>
      </c>
      <c r="J206" s="7" t="s">
        <v>1201</v>
      </c>
    </row>
    <row r="207" spans="1:10" x14ac:dyDescent="0.25" outlineLevel="3" collapsed="1">
      <c r="A207" s="7" t="s">
        <v>19</v>
      </c>
      <c r="B207" s="7" t="s">
        <v>16</v>
      </c>
      <c r="C207" s="7" t="s">
        <v>17</v>
      </c>
      <c r="D207" s="7"/>
      <c r="E207" s="7" t="s">
        <v>1202</v>
      </c>
      <c r="F207" s="7" t="s">
        <v>19</v>
      </c>
      <c r="G207" s="7" t="s">
        <v>31</v>
      </c>
      <c r="H207" s="7" t="s">
        <v>17</v>
      </c>
      <c r="I207" s="7" t="s">
        <v>17</v>
      </c>
      <c r="J207" s="7" t="s">
        <v>1203</v>
      </c>
    </row>
    <row r="208" spans="1:10" x14ac:dyDescent="0.25" outlineLevel="3" collapsed="1">
      <c r="A208" s="7" t="s">
        <v>19</v>
      </c>
      <c r="B208" s="7" t="s">
        <v>16</v>
      </c>
      <c r="C208" s="7" t="s">
        <v>17</v>
      </c>
      <c r="D208" s="7"/>
      <c r="E208" s="7" t="s">
        <v>1204</v>
      </c>
      <c r="F208" s="7" t="s">
        <v>19</v>
      </c>
      <c r="G208" s="7" t="s">
        <v>31</v>
      </c>
      <c r="H208" s="7" t="s">
        <v>17</v>
      </c>
      <c r="I208" s="7" t="s">
        <v>17</v>
      </c>
      <c r="J208" s="7" t="s">
        <v>1205</v>
      </c>
    </row>
    <row r="209" spans="1:10" x14ac:dyDescent="0.25" outlineLevel="3" collapsed="1">
      <c r="A209" s="7" t="s">
        <v>19</v>
      </c>
      <c r="B209" s="7" t="s">
        <v>16</v>
      </c>
      <c r="C209" s="7" t="s">
        <v>17</v>
      </c>
      <c r="D209" s="7"/>
      <c r="E209" s="7" t="s">
        <v>1206</v>
      </c>
      <c r="F209" s="7" t="s">
        <v>19</v>
      </c>
      <c r="G209" s="7" t="s">
        <v>31</v>
      </c>
      <c r="H209" s="7" t="s">
        <v>17</v>
      </c>
      <c r="I209" s="7" t="s">
        <v>17</v>
      </c>
      <c r="J209" s="7" t="s">
        <v>1207</v>
      </c>
    </row>
    <row r="210" spans="1:10" x14ac:dyDescent="0.25" outlineLevel="3" collapsed="1">
      <c r="A210" s="7" t="s">
        <v>19</v>
      </c>
      <c r="B210" s="7" t="s">
        <v>16</v>
      </c>
      <c r="C210" s="7" t="s">
        <v>17</v>
      </c>
      <c r="D210" s="7"/>
      <c r="E210" s="7" t="s">
        <v>2158</v>
      </c>
      <c r="F210" s="7" t="s">
        <v>19</v>
      </c>
      <c r="G210" s="7" t="s">
        <v>31</v>
      </c>
      <c r="H210" s="7" t="s">
        <v>17</v>
      </c>
      <c r="I210" s="7" t="s">
        <v>17</v>
      </c>
      <c r="J210" s="7" t="s">
        <v>2159</v>
      </c>
    </row>
    <row r="211" spans="1:10" x14ac:dyDescent="0.25" outlineLevel="3" collapsed="1">
      <c r="A211" s="7" t="s">
        <v>19</v>
      </c>
      <c r="B211" s="7" t="s">
        <v>16</v>
      </c>
      <c r="C211" s="7" t="s">
        <v>17</v>
      </c>
      <c r="D211" s="7"/>
      <c r="E211" s="7" t="s">
        <v>1210</v>
      </c>
      <c r="F211" s="7" t="s">
        <v>19</v>
      </c>
      <c r="G211" s="7" t="s">
        <v>31</v>
      </c>
      <c r="H211" s="7" t="s">
        <v>17</v>
      </c>
      <c r="I211" s="7" t="s">
        <v>17</v>
      </c>
      <c r="J211" s="7" t="s">
        <v>1211</v>
      </c>
    </row>
    <row r="212" spans="1:10" x14ac:dyDescent="0.25" outlineLevel="1" collapsed="1">
      <c r="A212" s="8" t="s">
        <v>15</v>
      </c>
      <c r="B212" s="9" t="s">
        <v>2461</v>
      </c>
      <c r="C212" s="8" t="s">
        <v>17</v>
      </c>
      <c r="D212" s="8"/>
      <c r="E212" s="8" t="s">
        <v>2462</v>
      </c>
      <c r="F212" s="8" t="s">
        <v>19</v>
      </c>
      <c r="G212" s="8" t="s">
        <v>17</v>
      </c>
      <c r="H212" s="8" t="s">
        <v>17</v>
      </c>
      <c r="I212" s="8" t="s">
        <v>17</v>
      </c>
      <c r="J212" s="8" t="s">
        <v>2463</v>
      </c>
    </row>
    <row r="213" spans="1:10" x14ac:dyDescent="0.25" outlineLevel="2" collapsed="1">
      <c r="A213" s="7" t="s">
        <v>19</v>
      </c>
      <c r="B213" s="7" t="s">
        <v>16</v>
      </c>
      <c r="C213" s="7" t="s">
        <v>17</v>
      </c>
      <c r="D213" s="7"/>
      <c r="E213" s="7" t="s">
        <v>2464</v>
      </c>
      <c r="F213" s="7" t="s">
        <v>19</v>
      </c>
      <c r="G213" s="7" t="s">
        <v>2465</v>
      </c>
      <c r="H213" s="7" t="s">
        <v>17</v>
      </c>
      <c r="I213" s="7" t="s">
        <v>17</v>
      </c>
      <c r="J213" s="7" t="s">
        <v>2466</v>
      </c>
    </row>
    <row r="214" spans="1:10" x14ac:dyDescent="0.25" outlineLevel="2" collapsed="1">
      <c r="A214" s="7" t="s">
        <v>19</v>
      </c>
      <c r="B214" s="7" t="s">
        <v>16</v>
      </c>
      <c r="C214" s="7" t="s">
        <v>17</v>
      </c>
      <c r="D214" s="7"/>
      <c r="E214" s="7" t="s">
        <v>2467</v>
      </c>
      <c r="F214" s="7" t="s">
        <v>19</v>
      </c>
      <c r="G214" s="7" t="s">
        <v>2468</v>
      </c>
      <c r="H214" s="7" t="s">
        <v>17</v>
      </c>
      <c r="I214" s="7" t="s">
        <v>17</v>
      </c>
      <c r="J214" s="7" t="s">
        <v>2469</v>
      </c>
    </row>
    <row r="215" spans="1:10" x14ac:dyDescent="0.25" outlineLevel="2" collapsed="1">
      <c r="A215" s="7" t="s">
        <v>19</v>
      </c>
      <c r="B215" s="7" t="s">
        <v>16</v>
      </c>
      <c r="C215" s="7" t="s">
        <v>17</v>
      </c>
      <c r="D215" s="7"/>
      <c r="E215" s="7" t="s">
        <v>2470</v>
      </c>
      <c r="F215" s="7" t="s">
        <v>19</v>
      </c>
      <c r="G215" s="7" t="s">
        <v>2471</v>
      </c>
      <c r="H215" s="7" t="s">
        <v>17</v>
      </c>
      <c r="I215" s="7" t="s">
        <v>17</v>
      </c>
      <c r="J215" s="7" t="s">
        <v>2472</v>
      </c>
    </row>
    <row r="216" spans="1:10" x14ac:dyDescent="0.25" outlineLevel="2" collapsed="1">
      <c r="A216" s="8" t="s">
        <v>15</v>
      </c>
      <c r="B216" s="9" t="s">
        <v>2473</v>
      </c>
      <c r="C216" s="8" t="s">
        <v>17</v>
      </c>
      <c r="D216" s="8"/>
      <c r="E216" s="8" t="s">
        <v>2474</v>
      </c>
      <c r="F216" s="8" t="s">
        <v>15</v>
      </c>
      <c r="G216" s="8" t="s">
        <v>17</v>
      </c>
      <c r="H216" s="8" t="s">
        <v>17</v>
      </c>
      <c r="I216" s="8" t="s">
        <v>17</v>
      </c>
      <c r="J216" s="8" t="s">
        <v>2475</v>
      </c>
    </row>
    <row r="217" spans="1:10" x14ac:dyDescent="0.25" outlineLevel="3" collapsed="1">
      <c r="A217" s="7" t="s">
        <v>19</v>
      </c>
      <c r="B217" s="7" t="s">
        <v>16</v>
      </c>
      <c r="C217" s="7" t="s">
        <v>17</v>
      </c>
      <c r="D217" s="7"/>
      <c r="E217" s="7" t="s">
        <v>2476</v>
      </c>
      <c r="F217" s="7" t="s">
        <v>19</v>
      </c>
      <c r="G217" s="7" t="s">
        <v>996</v>
      </c>
      <c r="H217" s="7" t="s">
        <v>17</v>
      </c>
      <c r="I217" s="7" t="s">
        <v>17</v>
      </c>
      <c r="J217" s="7" t="s">
        <v>796</v>
      </c>
    </row>
    <row r="218" spans="1:10" x14ac:dyDescent="0.25" outlineLevel="3" collapsed="1">
      <c r="A218" s="7" t="s">
        <v>19</v>
      </c>
      <c r="B218" s="7" t="s">
        <v>16</v>
      </c>
      <c r="C218" s="7" t="s">
        <v>17</v>
      </c>
      <c r="D218" s="7"/>
      <c r="E218" s="7" t="s">
        <v>2477</v>
      </c>
      <c r="F218" s="7" t="s">
        <v>19</v>
      </c>
      <c r="G218" s="7" t="s">
        <v>2478</v>
      </c>
      <c r="H218" s="7" t="s">
        <v>17</v>
      </c>
      <c r="I218" s="7" t="s">
        <v>17</v>
      </c>
      <c r="J218" s="7" t="s">
        <v>2479</v>
      </c>
    </row>
    <row r="219" spans="1:10" x14ac:dyDescent="0.25" outlineLevel="3" collapsed="1">
      <c r="A219" s="7" t="s">
        <v>19</v>
      </c>
      <c r="B219" s="7" t="s">
        <v>16</v>
      </c>
      <c r="C219" s="7" t="s">
        <v>17</v>
      </c>
      <c r="D219" s="7"/>
      <c r="E219" s="7" t="s">
        <v>2480</v>
      </c>
      <c r="F219" s="7" t="s">
        <v>19</v>
      </c>
      <c r="G219" s="7" t="s">
        <v>2481</v>
      </c>
      <c r="H219" s="7" t="s">
        <v>17</v>
      </c>
      <c r="I219" s="7" t="s">
        <v>17</v>
      </c>
      <c r="J219" s="7" t="s">
        <v>2482</v>
      </c>
    </row>
    <row r="220" spans="1:10" x14ac:dyDescent="0.25">
      <c r="A220" s="5" t="s">
        <v>15</v>
      </c>
      <c r="B220" s="6" t="s">
        <v>2483</v>
      </c>
      <c r="C220" s="5" t="s">
        <v>17</v>
      </c>
      <c r="D220" s="5"/>
      <c r="E220" s="5" t="s">
        <v>2484</v>
      </c>
      <c r="F220" s="5" t="s">
        <v>19</v>
      </c>
      <c r="G220" s="5" t="s">
        <v>17</v>
      </c>
      <c r="H220" s="5" t="s">
        <v>17</v>
      </c>
      <c r="I220" s="5" t="s">
        <v>17</v>
      </c>
      <c r="J220" s="5" t="s">
        <v>2485</v>
      </c>
    </row>
    <row r="221" spans="1:10" x14ac:dyDescent="0.25" outlineLevel="1" collapsed="1">
      <c r="A221" s="8" t="s">
        <v>15</v>
      </c>
      <c r="B221" s="9" t="s">
        <v>129</v>
      </c>
      <c r="C221" s="8" t="s">
        <v>17</v>
      </c>
      <c r="D221" s="8"/>
      <c r="E221" s="8" t="s">
        <v>130</v>
      </c>
      <c r="F221" s="8" t="s">
        <v>19</v>
      </c>
      <c r="G221" s="8" t="s">
        <v>17</v>
      </c>
      <c r="H221" s="8" t="s">
        <v>17</v>
      </c>
      <c r="I221" s="8" t="s">
        <v>17</v>
      </c>
      <c r="J221" s="8" t="s">
        <v>131</v>
      </c>
    </row>
    <row r="222" spans="1:10" x14ac:dyDescent="0.25" outlineLevel="2" collapsed="1">
      <c r="A222" s="8" t="s">
        <v>19</v>
      </c>
      <c r="B222" s="9" t="s">
        <v>132</v>
      </c>
      <c r="C222" s="8" t="s">
        <v>17</v>
      </c>
      <c r="D222" s="8"/>
      <c r="E222" s="8" t="s">
        <v>133</v>
      </c>
      <c r="F222" s="8" t="s">
        <v>15</v>
      </c>
      <c r="G222" s="8" t="s">
        <v>17</v>
      </c>
      <c r="H222" s="8" t="s">
        <v>17</v>
      </c>
      <c r="I222" s="8" t="s">
        <v>17</v>
      </c>
      <c r="J222" s="8" t="s">
        <v>134</v>
      </c>
    </row>
    <row r="223" spans="1:10" x14ac:dyDescent="0.25" outlineLevel="3" collapsed="1">
      <c r="A223" s="7" t="s">
        <v>19</v>
      </c>
      <c r="B223" s="7" t="s">
        <v>16</v>
      </c>
      <c r="C223" s="7" t="s">
        <v>17</v>
      </c>
      <c r="D223" s="7"/>
      <c r="E223" s="7" t="s">
        <v>135</v>
      </c>
      <c r="F223" s="7" t="s">
        <v>19</v>
      </c>
      <c r="G223" s="7" t="s">
        <v>31</v>
      </c>
      <c r="H223" s="7" t="s">
        <v>17</v>
      </c>
      <c r="I223" s="7" t="s">
        <v>17</v>
      </c>
      <c r="J223" s="7" t="s">
        <v>136</v>
      </c>
    </row>
    <row r="224" spans="1:10" x14ac:dyDescent="0.25" outlineLevel="3" collapsed="1">
      <c r="A224" s="7" t="s">
        <v>19</v>
      </c>
      <c r="B224" s="7" t="s">
        <v>16</v>
      </c>
      <c r="C224" s="7" t="s">
        <v>17</v>
      </c>
      <c r="D224" s="7"/>
      <c r="E224" s="7" t="s">
        <v>137</v>
      </c>
      <c r="F224" s="7" t="s">
        <v>19</v>
      </c>
      <c r="G224" s="7" t="s">
        <v>31</v>
      </c>
      <c r="H224" s="7" t="s">
        <v>17</v>
      </c>
      <c r="I224" s="7" t="s">
        <v>17</v>
      </c>
      <c r="J224" s="7" t="s">
        <v>138</v>
      </c>
    </row>
    <row r="225" spans="1:10" x14ac:dyDescent="0.25" outlineLevel="3" collapsed="1">
      <c r="A225" s="7" t="s">
        <v>19</v>
      </c>
      <c r="B225" s="7" t="s">
        <v>16</v>
      </c>
      <c r="C225" s="7" t="s">
        <v>17</v>
      </c>
      <c r="D225" s="7"/>
      <c r="E225" s="7" t="s">
        <v>139</v>
      </c>
      <c r="F225" s="7" t="s">
        <v>19</v>
      </c>
      <c r="G225" s="7" t="s">
        <v>31</v>
      </c>
      <c r="H225" s="7" t="s">
        <v>17</v>
      </c>
      <c r="I225" s="7" t="s">
        <v>17</v>
      </c>
      <c r="J225" s="7" t="s">
        <v>140</v>
      </c>
    </row>
    <row r="226" spans="1:10" x14ac:dyDescent="0.25" outlineLevel="3" collapsed="1">
      <c r="A226" s="7" t="s">
        <v>19</v>
      </c>
      <c r="B226" s="7" t="s">
        <v>16</v>
      </c>
      <c r="C226" s="7" t="s">
        <v>17</v>
      </c>
      <c r="D226" s="7"/>
      <c r="E226" s="7" t="s">
        <v>141</v>
      </c>
      <c r="F226" s="7" t="s">
        <v>19</v>
      </c>
      <c r="G226" s="7" t="s">
        <v>31</v>
      </c>
      <c r="H226" s="7" t="s">
        <v>17</v>
      </c>
      <c r="I226" s="7" t="s">
        <v>17</v>
      </c>
      <c r="J226" s="7" t="s">
        <v>142</v>
      </c>
    </row>
    <row r="227" spans="1:10" x14ac:dyDescent="0.25" outlineLevel="3" collapsed="1">
      <c r="A227" s="7" t="s">
        <v>19</v>
      </c>
      <c r="B227" s="7" t="s">
        <v>16</v>
      </c>
      <c r="C227" s="7" t="s">
        <v>17</v>
      </c>
      <c r="D227" s="7"/>
      <c r="E227" s="7" t="s">
        <v>143</v>
      </c>
      <c r="F227" s="7" t="s">
        <v>19</v>
      </c>
      <c r="G227" s="7" t="s">
        <v>31</v>
      </c>
      <c r="H227" s="7" t="s">
        <v>17</v>
      </c>
      <c r="I227" s="7" t="s">
        <v>17</v>
      </c>
      <c r="J227" s="7" t="s">
        <v>144</v>
      </c>
    </row>
    <row r="228" spans="1:10" x14ac:dyDescent="0.25" outlineLevel="3" collapsed="1">
      <c r="A228" s="7" t="s">
        <v>19</v>
      </c>
      <c r="B228" s="7" t="s">
        <v>16</v>
      </c>
      <c r="C228" s="7" t="s">
        <v>17</v>
      </c>
      <c r="D228" s="7"/>
      <c r="E228" s="7" t="s">
        <v>145</v>
      </c>
      <c r="F228" s="7" t="s">
        <v>19</v>
      </c>
      <c r="G228" s="7" t="s">
        <v>31</v>
      </c>
      <c r="H228" s="7" t="s">
        <v>17</v>
      </c>
      <c r="I228" s="7" t="s">
        <v>17</v>
      </c>
      <c r="J228" s="7" t="s">
        <v>146</v>
      </c>
    </row>
    <row r="229" spans="1:10" x14ac:dyDescent="0.25" outlineLevel="3" collapsed="1">
      <c r="A229" s="7" t="s">
        <v>19</v>
      </c>
      <c r="B229" s="7" t="s">
        <v>16</v>
      </c>
      <c r="C229" s="7" t="s">
        <v>17</v>
      </c>
      <c r="D229" s="7"/>
      <c r="E229" s="7" t="s">
        <v>147</v>
      </c>
      <c r="F229" s="7" t="s">
        <v>19</v>
      </c>
      <c r="G229" s="7" t="s">
        <v>31</v>
      </c>
      <c r="H229" s="7" t="s">
        <v>17</v>
      </c>
      <c r="I229" s="7" t="s">
        <v>17</v>
      </c>
      <c r="J229" s="7" t="s">
        <v>148</v>
      </c>
    </row>
    <row r="230" spans="1:10" x14ac:dyDescent="0.25" outlineLevel="3" collapsed="1">
      <c r="A230" s="7" t="s">
        <v>19</v>
      </c>
      <c r="B230" s="7" t="s">
        <v>16</v>
      </c>
      <c r="C230" s="7" t="s">
        <v>17</v>
      </c>
      <c r="D230" s="7"/>
      <c r="E230" s="7" t="s">
        <v>149</v>
      </c>
      <c r="F230" s="7" t="s">
        <v>19</v>
      </c>
      <c r="G230" s="7" t="s">
        <v>31</v>
      </c>
      <c r="H230" s="7" t="s">
        <v>17</v>
      </c>
      <c r="I230" s="7" t="s">
        <v>17</v>
      </c>
      <c r="J230" s="7" t="s">
        <v>150</v>
      </c>
    </row>
    <row r="231" spans="1:10" x14ac:dyDescent="0.25" outlineLevel="1" collapsed="1">
      <c r="A231" s="8" t="s">
        <v>15</v>
      </c>
      <c r="B231" s="9" t="s">
        <v>151</v>
      </c>
      <c r="C231" s="8" t="s">
        <v>17</v>
      </c>
      <c r="D231" s="8"/>
      <c r="E231" s="8" t="s">
        <v>152</v>
      </c>
      <c r="F231" s="8" t="s">
        <v>15</v>
      </c>
      <c r="G231" s="8" t="s">
        <v>17</v>
      </c>
      <c r="H231" s="8" t="s">
        <v>17</v>
      </c>
      <c r="I231" s="8" t="s">
        <v>17</v>
      </c>
      <c r="J231" s="8" t="s">
        <v>153</v>
      </c>
    </row>
    <row r="232" spans="1:10" x14ac:dyDescent="0.25" outlineLevel="2" collapsed="1">
      <c r="A232" s="7" t="s">
        <v>15</v>
      </c>
      <c r="B232" s="7" t="s">
        <v>16</v>
      </c>
      <c r="C232" s="7" t="s">
        <v>17</v>
      </c>
      <c r="D232" s="7"/>
      <c r="E232" s="7" t="s">
        <v>154</v>
      </c>
      <c r="F232" s="7" t="s">
        <v>19</v>
      </c>
      <c r="G232" s="7" t="s">
        <v>155</v>
      </c>
      <c r="H232" s="7" t="s">
        <v>17</v>
      </c>
      <c r="I232" s="7" t="s">
        <v>17</v>
      </c>
      <c r="J232" s="7" t="s">
        <v>136</v>
      </c>
    </row>
    <row r="233" spans="1:10" x14ac:dyDescent="0.25" outlineLevel="2" collapsed="1">
      <c r="A233" s="7" t="s">
        <v>15</v>
      </c>
      <c r="B233" s="7" t="s">
        <v>16</v>
      </c>
      <c r="C233" s="7" t="s">
        <v>17</v>
      </c>
      <c r="D233" s="7"/>
      <c r="E233" s="7" t="s">
        <v>156</v>
      </c>
      <c r="F233" s="7" t="s">
        <v>19</v>
      </c>
      <c r="G233" s="7" t="s">
        <v>157</v>
      </c>
      <c r="H233" s="7" t="s">
        <v>17</v>
      </c>
      <c r="I233" s="7" t="s">
        <v>17</v>
      </c>
      <c r="J233" s="7" t="s">
        <v>158</v>
      </c>
    </row>
    <row r="234" spans="1:10" x14ac:dyDescent="0.25" outlineLevel="2" collapsed="1">
      <c r="A234" s="7" t="s">
        <v>15</v>
      </c>
      <c r="B234" s="7" t="s">
        <v>159</v>
      </c>
      <c r="C234" s="7" t="s">
        <v>17</v>
      </c>
      <c r="D234" s="7"/>
      <c r="E234" s="7" t="s">
        <v>160</v>
      </c>
      <c r="F234" s="7" t="s">
        <v>19</v>
      </c>
      <c r="G234" s="7" t="b">
        <v>0</v>
      </c>
      <c r="H234" s="7" t="s">
        <v>17</v>
      </c>
      <c r="I234" s="7" t="s">
        <v>17</v>
      </c>
      <c r="J234" s="7" t="s">
        <v>161</v>
      </c>
    </row>
    <row r="235" spans="1:10" x14ac:dyDescent="0.25" outlineLevel="2" collapsed="1">
      <c r="A235" s="7" t="s">
        <v>19</v>
      </c>
      <c r="B235" s="7" t="s">
        <v>16</v>
      </c>
      <c r="C235" s="7" t="s">
        <v>17</v>
      </c>
      <c r="D235" s="7"/>
      <c r="E235" s="7" t="s">
        <v>162</v>
      </c>
      <c r="F235" s="7" t="s">
        <v>19</v>
      </c>
      <c r="G235" s="7" t="s">
        <v>31</v>
      </c>
      <c r="H235" s="7" t="s">
        <v>17</v>
      </c>
      <c r="I235" s="7" t="s">
        <v>17</v>
      </c>
      <c r="J235" s="7" t="s">
        <v>163</v>
      </c>
    </row>
    <row r="236" spans="1:10" x14ac:dyDescent="0.25" outlineLevel="2" collapsed="1">
      <c r="A236" s="7" t="s">
        <v>19</v>
      </c>
      <c r="B236" s="7" t="s">
        <v>16</v>
      </c>
      <c r="C236" s="7" t="s">
        <v>17</v>
      </c>
      <c r="D236" s="7"/>
      <c r="E236" s="7" t="s">
        <v>164</v>
      </c>
      <c r="F236" s="7" t="s">
        <v>19</v>
      </c>
      <c r="G236" s="7" t="s">
        <v>31</v>
      </c>
      <c r="H236" s="7" t="s">
        <v>17</v>
      </c>
      <c r="I236" s="7" t="s">
        <v>17</v>
      </c>
      <c r="J236" s="7" t="s">
        <v>165</v>
      </c>
    </row>
    <row r="237" spans="1:10" x14ac:dyDescent="0.25" outlineLevel="2" collapsed="1">
      <c r="A237" s="7" t="s">
        <v>19</v>
      </c>
      <c r="B237" s="7" t="s">
        <v>16</v>
      </c>
      <c r="C237" s="7" t="s">
        <v>17</v>
      </c>
      <c r="D237" s="7"/>
      <c r="E237" s="7" t="s">
        <v>166</v>
      </c>
      <c r="F237" s="7" t="s">
        <v>19</v>
      </c>
      <c r="G237" s="7" t="s">
        <v>31</v>
      </c>
      <c r="H237" s="7" t="s">
        <v>17</v>
      </c>
      <c r="I237" s="7" t="s">
        <v>17</v>
      </c>
      <c r="J237" s="7" t="s">
        <v>167</v>
      </c>
    </row>
    <row r="238" spans="1:10" x14ac:dyDescent="0.25" outlineLevel="1" collapsed="1">
      <c r="A238" s="8" t="s">
        <v>15</v>
      </c>
      <c r="B238" s="9" t="s">
        <v>168</v>
      </c>
      <c r="C238" s="8" t="s">
        <v>17</v>
      </c>
      <c r="D238" s="8"/>
      <c r="E238" s="8" t="s">
        <v>169</v>
      </c>
      <c r="F238" s="8" t="s">
        <v>15</v>
      </c>
      <c r="G238" s="8" t="s">
        <v>17</v>
      </c>
      <c r="H238" s="8" t="s">
        <v>17</v>
      </c>
      <c r="I238" s="8" t="s">
        <v>17</v>
      </c>
      <c r="J238" s="8" t="s">
        <v>170</v>
      </c>
    </row>
    <row r="239" spans="1:10" x14ac:dyDescent="0.25" outlineLevel="2" collapsed="1">
      <c r="A239" s="7" t="s">
        <v>15</v>
      </c>
      <c r="B239" s="7" t="s">
        <v>16</v>
      </c>
      <c r="C239" s="7" t="s">
        <v>17</v>
      </c>
      <c r="D239" s="7"/>
      <c r="E239" s="7" t="s">
        <v>171</v>
      </c>
      <c r="F239" s="7" t="s">
        <v>19</v>
      </c>
      <c r="G239" s="7" t="s">
        <v>172</v>
      </c>
      <c r="H239" s="7" t="s">
        <v>17</v>
      </c>
      <c r="I239" s="7" t="s">
        <v>17</v>
      </c>
      <c r="J239" s="7" t="s">
        <v>173</v>
      </c>
    </row>
    <row r="240" spans="1:10" x14ac:dyDescent="0.25" outlineLevel="2" collapsed="1">
      <c r="A240" s="7" t="s">
        <v>15</v>
      </c>
      <c r="B240" s="7" t="s">
        <v>16</v>
      </c>
      <c r="C240" s="7" t="s">
        <v>17</v>
      </c>
      <c r="D240" s="7"/>
      <c r="E240" s="7" t="s">
        <v>174</v>
      </c>
      <c r="F240" s="7" t="s">
        <v>19</v>
      </c>
      <c r="G240" s="7" t="s">
        <v>175</v>
      </c>
      <c r="H240" s="7" t="s">
        <v>17</v>
      </c>
      <c r="I240" s="7" t="s">
        <v>17</v>
      </c>
      <c r="J240" s="7" t="s">
        <v>176</v>
      </c>
    </row>
    <row r="241" spans="1:10" x14ac:dyDescent="0.25" outlineLevel="2" collapsed="1">
      <c r="A241" s="7" t="s">
        <v>19</v>
      </c>
      <c r="B241" s="7" t="s">
        <v>16</v>
      </c>
      <c r="C241" s="7" t="s">
        <v>17</v>
      </c>
      <c r="D241" s="7"/>
      <c r="E241" s="7" t="s">
        <v>177</v>
      </c>
      <c r="F241" s="7" t="s">
        <v>19</v>
      </c>
      <c r="G241" s="7" t="s">
        <v>178</v>
      </c>
      <c r="H241" s="7" t="s">
        <v>17</v>
      </c>
      <c r="I241" s="7" t="s">
        <v>17</v>
      </c>
      <c r="J241" s="7" t="s">
        <v>179</v>
      </c>
    </row>
    <row r="242" spans="1:10" x14ac:dyDescent="0.25" outlineLevel="2" collapsed="1">
      <c r="A242" s="7" t="s">
        <v>19</v>
      </c>
      <c r="B242" s="7" t="s">
        <v>16</v>
      </c>
      <c r="C242" s="7" t="s">
        <v>17</v>
      </c>
      <c r="D242" s="7"/>
      <c r="E242" s="7" t="s">
        <v>180</v>
      </c>
      <c r="F242" s="7" t="s">
        <v>19</v>
      </c>
      <c r="G242" s="7" t="s">
        <v>181</v>
      </c>
      <c r="H242" s="7" t="s">
        <v>17</v>
      </c>
      <c r="I242" s="7" t="s">
        <v>17</v>
      </c>
      <c r="J242" s="7" t="s">
        <v>182</v>
      </c>
    </row>
    <row r="243" spans="1:10" x14ac:dyDescent="0.25" outlineLevel="1" collapsed="1">
      <c r="A243" s="8" t="s">
        <v>15</v>
      </c>
      <c r="B243" s="9" t="s">
        <v>183</v>
      </c>
      <c r="C243" s="8" t="s">
        <v>17</v>
      </c>
      <c r="D243" s="8"/>
      <c r="E243" s="8" t="s">
        <v>184</v>
      </c>
      <c r="F243" s="8" t="s">
        <v>19</v>
      </c>
      <c r="G243" s="8" t="s">
        <v>17</v>
      </c>
      <c r="H243" s="8" t="s">
        <v>17</v>
      </c>
      <c r="I243" s="8" t="s">
        <v>17</v>
      </c>
      <c r="J243" s="8" t="s">
        <v>185</v>
      </c>
    </row>
    <row r="244" spans="1:10" x14ac:dyDescent="0.25" outlineLevel="2" collapsed="1">
      <c r="A244" s="8" t="s">
        <v>15</v>
      </c>
      <c r="B244" s="9" t="s">
        <v>186</v>
      </c>
      <c r="C244" s="8" t="s">
        <v>17</v>
      </c>
      <c r="D244" s="8"/>
      <c r="E244" s="8" t="s">
        <v>187</v>
      </c>
      <c r="F244" s="8" t="s">
        <v>19</v>
      </c>
      <c r="G244" s="8" t="s">
        <v>17</v>
      </c>
      <c r="H244" s="8" t="s">
        <v>17</v>
      </c>
      <c r="I244" s="8" t="s">
        <v>17</v>
      </c>
      <c r="J244" s="8" t="s">
        <v>188</v>
      </c>
    </row>
    <row r="245" spans="1:10" x14ac:dyDescent="0.25" outlineLevel="3" collapsed="1">
      <c r="A245" s="7" t="s">
        <v>15</v>
      </c>
      <c r="B245" s="7" t="s">
        <v>16</v>
      </c>
      <c r="C245" s="7" t="s">
        <v>17</v>
      </c>
      <c r="D245" s="7"/>
      <c r="E245" s="7" t="s">
        <v>189</v>
      </c>
      <c r="F245" s="7" t="s">
        <v>19</v>
      </c>
      <c r="G245" s="7" t="s">
        <v>190</v>
      </c>
      <c r="H245" s="7" t="s">
        <v>17</v>
      </c>
      <c r="I245" s="7" t="s">
        <v>17</v>
      </c>
      <c r="J245" s="7" t="s">
        <v>191</v>
      </c>
    </row>
    <row r="246" spans="1:10" x14ac:dyDescent="0.25" outlineLevel="3" collapsed="1">
      <c r="A246" s="7" t="s">
        <v>15</v>
      </c>
      <c r="B246" s="7" t="s">
        <v>16</v>
      </c>
      <c r="C246" s="7" t="s">
        <v>17</v>
      </c>
      <c r="D246" s="7"/>
      <c r="E246" s="7" t="s">
        <v>192</v>
      </c>
      <c r="F246" s="7" t="s">
        <v>19</v>
      </c>
      <c r="G246" s="7" t="s">
        <v>193</v>
      </c>
      <c r="H246" s="7" t="s">
        <v>17</v>
      </c>
      <c r="I246" s="7" t="s">
        <v>17</v>
      </c>
      <c r="J246" s="7" t="s">
        <v>194</v>
      </c>
    </row>
    <row r="247" spans="1:10" x14ac:dyDescent="0.25" outlineLevel="3" collapsed="1">
      <c r="A247" s="7" t="s">
        <v>15</v>
      </c>
      <c r="B247" s="7" t="s">
        <v>16</v>
      </c>
      <c r="C247" s="7" t="s">
        <v>17</v>
      </c>
      <c r="D247" s="7"/>
      <c r="E247" s="7" t="s">
        <v>195</v>
      </c>
      <c r="F247" s="7" t="s">
        <v>19</v>
      </c>
      <c r="G247" s="7" t="s">
        <v>196</v>
      </c>
      <c r="H247" s="7" t="s">
        <v>17</v>
      </c>
      <c r="I247" s="7" t="s">
        <v>17</v>
      </c>
      <c r="J247" s="7" t="s">
        <v>197</v>
      </c>
    </row>
    <row r="248" spans="1:10" x14ac:dyDescent="0.25" outlineLevel="3" collapsed="1">
      <c r="A248" s="7" t="s">
        <v>19</v>
      </c>
      <c r="B248" s="7" t="s">
        <v>16</v>
      </c>
      <c r="C248" s="7" t="s">
        <v>17</v>
      </c>
      <c r="D248" s="7"/>
      <c r="E248" s="7" t="s">
        <v>198</v>
      </c>
      <c r="F248" s="7" t="s">
        <v>19</v>
      </c>
      <c r="G248" s="7" t="s">
        <v>199</v>
      </c>
      <c r="H248" s="7" t="s">
        <v>17</v>
      </c>
      <c r="I248" s="7" t="s">
        <v>17</v>
      </c>
      <c r="J248" s="7" t="s">
        <v>200</v>
      </c>
    </row>
    <row r="249" spans="1:10" x14ac:dyDescent="0.25" outlineLevel="3" collapsed="1">
      <c r="A249" s="7" t="s">
        <v>15</v>
      </c>
      <c r="B249" s="7" t="s">
        <v>16</v>
      </c>
      <c r="C249" s="7" t="s">
        <v>17</v>
      </c>
      <c r="D249" s="7"/>
      <c r="E249" s="7" t="s">
        <v>201</v>
      </c>
      <c r="F249" s="7" t="s">
        <v>19</v>
      </c>
      <c r="G249" s="7" t="s">
        <v>202</v>
      </c>
      <c r="H249" s="7" t="s">
        <v>17</v>
      </c>
      <c r="I249" s="7" t="s">
        <v>17</v>
      </c>
      <c r="J249" s="7" t="s">
        <v>203</v>
      </c>
    </row>
    <row r="250" spans="1:10" x14ac:dyDescent="0.25" outlineLevel="2" collapsed="1">
      <c r="A250" s="7" t="s">
        <v>19</v>
      </c>
      <c r="B250" s="7" t="s">
        <v>16</v>
      </c>
      <c r="C250" s="7" t="s">
        <v>17</v>
      </c>
      <c r="D250" s="7"/>
      <c r="E250" s="7" t="s">
        <v>204</v>
      </c>
      <c r="F250" s="7" t="s">
        <v>19</v>
      </c>
      <c r="G250" s="7" t="s">
        <v>31</v>
      </c>
      <c r="H250" s="7" t="s">
        <v>17</v>
      </c>
      <c r="I250" s="7" t="s">
        <v>17</v>
      </c>
      <c r="J250" s="7" t="s">
        <v>205</v>
      </c>
    </row>
    <row r="251" spans="1:10" x14ac:dyDescent="0.25" outlineLevel="2" collapsed="1">
      <c r="A251" s="7" t="s">
        <v>19</v>
      </c>
      <c r="B251" s="7" t="s">
        <v>16</v>
      </c>
      <c r="C251" s="7" t="s">
        <v>17</v>
      </c>
      <c r="D251" s="7"/>
      <c r="E251" s="7" t="s">
        <v>206</v>
      </c>
      <c r="F251" s="7" t="s">
        <v>19</v>
      </c>
      <c r="G251" s="7" t="s">
        <v>31</v>
      </c>
      <c r="H251" s="7" t="s">
        <v>17</v>
      </c>
      <c r="I251" s="7" t="s">
        <v>17</v>
      </c>
      <c r="J251" s="7" t="s">
        <v>207</v>
      </c>
    </row>
    <row r="252" spans="1:10" x14ac:dyDescent="0.25" outlineLevel="2" collapsed="1">
      <c r="A252" s="7" t="s">
        <v>19</v>
      </c>
      <c r="B252" s="7" t="s">
        <v>16</v>
      </c>
      <c r="C252" s="7" t="s">
        <v>17</v>
      </c>
      <c r="D252" s="7"/>
      <c r="E252" s="7" t="s">
        <v>208</v>
      </c>
      <c r="F252" s="7" t="s">
        <v>19</v>
      </c>
      <c r="G252" s="7" t="s">
        <v>31</v>
      </c>
      <c r="H252" s="7" t="s">
        <v>17</v>
      </c>
      <c r="I252" s="7" t="s">
        <v>17</v>
      </c>
      <c r="J252" s="7" t="s">
        <v>209</v>
      </c>
    </row>
    <row r="253" spans="1:10" x14ac:dyDescent="0.25" outlineLevel="2" collapsed="1">
      <c r="A253" s="7" t="s">
        <v>19</v>
      </c>
      <c r="B253" s="7" t="s">
        <v>16</v>
      </c>
      <c r="C253" s="7" t="s">
        <v>17</v>
      </c>
      <c r="D253" s="7"/>
      <c r="E253" s="7" t="s">
        <v>210</v>
      </c>
      <c r="F253" s="7" t="s">
        <v>19</v>
      </c>
      <c r="G253" s="7" t="s">
        <v>31</v>
      </c>
      <c r="H253" s="7" t="s">
        <v>17</v>
      </c>
      <c r="I253" s="7" t="s">
        <v>17</v>
      </c>
      <c r="J253" s="7" t="s">
        <v>211</v>
      </c>
    </row>
    <row r="254" spans="1:10" x14ac:dyDescent="0.25" outlineLevel="1" collapsed="1">
      <c r="A254" s="8" t="s">
        <v>15</v>
      </c>
      <c r="B254" s="9" t="s">
        <v>212</v>
      </c>
      <c r="C254" s="8" t="s">
        <v>17</v>
      </c>
      <c r="D254" s="8"/>
      <c r="E254" s="8" t="s">
        <v>213</v>
      </c>
      <c r="F254" s="8" t="s">
        <v>19</v>
      </c>
      <c r="G254" s="8" t="s">
        <v>17</v>
      </c>
      <c r="H254" s="8" t="s">
        <v>17</v>
      </c>
      <c r="I254" s="8" t="s">
        <v>17</v>
      </c>
      <c r="J254" s="8" t="s">
        <v>214</v>
      </c>
    </row>
    <row r="255" spans="1:10" x14ac:dyDescent="0.25" outlineLevel="2" collapsed="1">
      <c r="A255" s="8" t="s">
        <v>15</v>
      </c>
      <c r="B255" s="9" t="s">
        <v>215</v>
      </c>
      <c r="C255" s="8" t="s">
        <v>17</v>
      </c>
      <c r="D255" s="8"/>
      <c r="E255" s="8" t="s">
        <v>216</v>
      </c>
      <c r="F255" s="8" t="s">
        <v>19</v>
      </c>
      <c r="G255" s="8" t="s">
        <v>17</v>
      </c>
      <c r="H255" s="8" t="s">
        <v>17</v>
      </c>
      <c r="I255" s="8" t="s">
        <v>17</v>
      </c>
      <c r="J255" s="8" t="s">
        <v>217</v>
      </c>
    </row>
    <row r="256" spans="1:10" x14ac:dyDescent="0.25" outlineLevel="3" collapsed="1">
      <c r="A256" s="7" t="s">
        <v>15</v>
      </c>
      <c r="B256" s="7" t="s">
        <v>159</v>
      </c>
      <c r="C256" s="7" t="s">
        <v>17</v>
      </c>
      <c r="D256" s="7"/>
      <c r="E256" s="7" t="s">
        <v>218</v>
      </c>
      <c r="F256" s="7" t="s">
        <v>19</v>
      </c>
      <c r="G256" s="7" t="b">
        <v>0</v>
      </c>
      <c r="H256" s="7" t="s">
        <v>17</v>
      </c>
      <c r="I256" s="7" t="s">
        <v>17</v>
      </c>
      <c r="J256" s="7" t="s">
        <v>219</v>
      </c>
    </row>
    <row r="257" spans="1:10" x14ac:dyDescent="0.25" outlineLevel="3" collapsed="1">
      <c r="A257" s="7" t="s">
        <v>15</v>
      </c>
      <c r="B257" s="7" t="s">
        <v>16</v>
      </c>
      <c r="C257" s="7" t="s">
        <v>17</v>
      </c>
      <c r="D257" s="7"/>
      <c r="E257" s="7" t="s">
        <v>220</v>
      </c>
      <c r="F257" s="7" t="s">
        <v>19</v>
      </c>
      <c r="G257" s="7" t="s">
        <v>221</v>
      </c>
      <c r="H257" s="7" t="s">
        <v>221</v>
      </c>
      <c r="I257" s="7" t="s">
        <v>17</v>
      </c>
      <c r="J257" s="7" t="s">
        <v>222</v>
      </c>
    </row>
    <row r="258" spans="1:10" x14ac:dyDescent="0.25" outlineLevel="2" collapsed="1">
      <c r="A258" s="8" t="s">
        <v>15</v>
      </c>
      <c r="B258" s="9" t="s">
        <v>223</v>
      </c>
      <c r="C258" s="8" t="s">
        <v>17</v>
      </c>
      <c r="D258" s="8"/>
      <c r="E258" s="8" t="s">
        <v>224</v>
      </c>
      <c r="F258" s="8" t="s">
        <v>19</v>
      </c>
      <c r="G258" s="8" t="s">
        <v>17</v>
      </c>
      <c r="H258" s="8" t="s">
        <v>17</v>
      </c>
      <c r="I258" s="8" t="s">
        <v>17</v>
      </c>
      <c r="J258" s="8" t="s">
        <v>225</v>
      </c>
    </row>
    <row r="259" spans="1:10" x14ac:dyDescent="0.25" outlineLevel="3" collapsed="1">
      <c r="A259" s="7" t="s">
        <v>15</v>
      </c>
      <c r="B259" s="7" t="s">
        <v>16</v>
      </c>
      <c r="C259" s="7" t="s">
        <v>17</v>
      </c>
      <c r="D259" s="7"/>
      <c r="E259" s="7" t="s">
        <v>226</v>
      </c>
      <c r="F259" s="7" t="s">
        <v>19</v>
      </c>
      <c r="G259" s="7" t="s">
        <v>227</v>
      </c>
      <c r="H259" s="7" t="s">
        <v>17</v>
      </c>
      <c r="I259" s="7" t="s">
        <v>17</v>
      </c>
      <c r="J259" s="7" t="s">
        <v>225</v>
      </c>
    </row>
    <row r="260" spans="1:10" x14ac:dyDescent="0.25" outlineLevel="2" collapsed="1">
      <c r="A260" s="8" t="s">
        <v>15</v>
      </c>
      <c r="B260" s="9" t="s">
        <v>228</v>
      </c>
      <c r="C260" s="8" t="s">
        <v>17</v>
      </c>
      <c r="D260" s="8"/>
      <c r="E260" s="8" t="s">
        <v>229</v>
      </c>
      <c r="F260" s="8" t="s">
        <v>19</v>
      </c>
      <c r="G260" s="8" t="s">
        <v>17</v>
      </c>
      <c r="H260" s="8" t="s">
        <v>17</v>
      </c>
      <c r="I260" s="8" t="s">
        <v>17</v>
      </c>
      <c r="J260" s="8" t="s">
        <v>230</v>
      </c>
    </row>
    <row r="261" spans="1:10" x14ac:dyDescent="0.25" outlineLevel="3" collapsed="1">
      <c r="A261" s="7" t="s">
        <v>15</v>
      </c>
      <c r="B261" s="7" t="s">
        <v>159</v>
      </c>
      <c r="C261" s="7" t="s">
        <v>17</v>
      </c>
      <c r="D261" s="7"/>
      <c r="E261" s="7" t="s">
        <v>231</v>
      </c>
      <c r="F261" s="7" t="s">
        <v>19</v>
      </c>
      <c r="G261" s="7" t="b">
        <v>0</v>
      </c>
      <c r="H261" s="7" t="s">
        <v>17</v>
      </c>
      <c r="I261" s="7" t="s">
        <v>17</v>
      </c>
      <c r="J261" s="7" t="s">
        <v>232</v>
      </c>
    </row>
    <row r="262" spans="1:10" x14ac:dyDescent="0.25" outlineLevel="3" collapsed="1">
      <c r="A262" s="7" t="s">
        <v>19</v>
      </c>
      <c r="B262" s="7" t="s">
        <v>16</v>
      </c>
      <c r="C262" s="7" t="s">
        <v>17</v>
      </c>
      <c r="D262" s="7"/>
      <c r="E262" s="7" t="s">
        <v>233</v>
      </c>
      <c r="F262" s="7" t="s">
        <v>19</v>
      </c>
      <c r="G262" s="7" t="s">
        <v>234</v>
      </c>
      <c r="H262" s="7" t="s">
        <v>17</v>
      </c>
      <c r="I262" s="7" t="s">
        <v>17</v>
      </c>
      <c r="J262" s="7" t="s">
        <v>235</v>
      </c>
    </row>
    <row r="263" spans="1:10" x14ac:dyDescent="0.25" outlineLevel="3" collapsed="1">
      <c r="A263" s="7" t="s">
        <v>19</v>
      </c>
      <c r="B263" s="7" t="s">
        <v>16</v>
      </c>
      <c r="C263" s="7" t="s">
        <v>17</v>
      </c>
      <c r="D263" s="7"/>
      <c r="E263" s="7" t="s">
        <v>236</v>
      </c>
      <c r="F263" s="7" t="s">
        <v>19</v>
      </c>
      <c r="G263" s="7" t="s">
        <v>237</v>
      </c>
      <c r="H263" s="7" t="s">
        <v>17</v>
      </c>
      <c r="I263" s="7" t="s">
        <v>17</v>
      </c>
      <c r="J263" s="7" t="s">
        <v>238</v>
      </c>
    </row>
    <row r="264" spans="1:10" x14ac:dyDescent="0.25">
      <c r="A264" s="5" t="s">
        <v>15</v>
      </c>
      <c r="B264" s="6" t="s">
        <v>2486</v>
      </c>
      <c r="C264" s="5" t="s">
        <v>17</v>
      </c>
      <c r="D264" s="5"/>
      <c r="E264" s="5" t="s">
        <v>2487</v>
      </c>
      <c r="F264" s="5" t="s">
        <v>19</v>
      </c>
      <c r="G264" s="5" t="s">
        <v>17</v>
      </c>
      <c r="H264" s="5" t="s">
        <v>17</v>
      </c>
      <c r="I264" s="5" t="s">
        <v>17</v>
      </c>
      <c r="J264" s="5" t="s">
        <v>2488</v>
      </c>
    </row>
    <row r="265" spans="1:10" x14ac:dyDescent="0.25" outlineLevel="1" collapsed="1">
      <c r="A265" s="8" t="s">
        <v>15</v>
      </c>
      <c r="B265" s="9" t="s">
        <v>2489</v>
      </c>
      <c r="C265" s="8" t="s">
        <v>17</v>
      </c>
      <c r="D265" s="8"/>
      <c r="E265" s="8" t="s">
        <v>2490</v>
      </c>
      <c r="F265" s="8" t="s">
        <v>19</v>
      </c>
      <c r="G265" s="8" t="s">
        <v>17</v>
      </c>
      <c r="H265" s="8" t="s">
        <v>17</v>
      </c>
      <c r="I265" s="8" t="s">
        <v>17</v>
      </c>
      <c r="J265" s="8" t="s">
        <v>1322</v>
      </c>
    </row>
    <row r="266" spans="1:10" x14ac:dyDescent="0.25" outlineLevel="2" collapsed="1">
      <c r="A266" s="8" t="s">
        <v>19</v>
      </c>
      <c r="B266" s="9" t="s">
        <v>1320</v>
      </c>
      <c r="C266" s="8" t="s">
        <v>17</v>
      </c>
      <c r="D266" s="8"/>
      <c r="E266" s="8" t="s">
        <v>1321</v>
      </c>
      <c r="F266" s="8" t="s">
        <v>15</v>
      </c>
      <c r="G266" s="8" t="s">
        <v>17</v>
      </c>
      <c r="H266" s="8" t="s">
        <v>17</v>
      </c>
      <c r="I266" s="8" t="s">
        <v>17</v>
      </c>
      <c r="J266" s="8" t="s">
        <v>1322</v>
      </c>
    </row>
    <row r="267" spans="1:10" x14ac:dyDescent="0.25" outlineLevel="3" collapsed="1">
      <c r="A267" s="7" t="s">
        <v>19</v>
      </c>
      <c r="B267" s="7" t="s">
        <v>16</v>
      </c>
      <c r="C267" s="7" t="s">
        <v>17</v>
      </c>
      <c r="D267" s="7"/>
      <c r="E267" s="7" t="s">
        <v>478</v>
      </c>
      <c r="F267" s="7" t="s">
        <v>19</v>
      </c>
      <c r="G267" s="7" t="s">
        <v>31</v>
      </c>
      <c r="H267" s="7" t="s">
        <v>17</v>
      </c>
      <c r="I267" s="7" t="s">
        <v>17</v>
      </c>
      <c r="J267" s="7" t="s">
        <v>1323</v>
      </c>
    </row>
    <row r="268" spans="1:10" x14ac:dyDescent="0.25" outlineLevel="3" collapsed="1">
      <c r="A268" s="7" t="s">
        <v>19</v>
      </c>
      <c r="B268" s="7" t="s">
        <v>16</v>
      </c>
      <c r="C268" s="7" t="s">
        <v>17</v>
      </c>
      <c r="D268" s="7"/>
      <c r="E268" s="7" t="s">
        <v>1324</v>
      </c>
      <c r="F268" s="7" t="s">
        <v>19</v>
      </c>
      <c r="G268" s="7" t="s">
        <v>31</v>
      </c>
      <c r="H268" s="7" t="s">
        <v>17</v>
      </c>
      <c r="I268" s="7" t="s">
        <v>17</v>
      </c>
      <c r="J268" s="7" t="s">
        <v>1325</v>
      </c>
    </row>
    <row r="269" spans="1:10" x14ac:dyDescent="0.25" outlineLevel="3" collapsed="1">
      <c r="A269" s="7" t="s">
        <v>19</v>
      </c>
      <c r="B269" s="7" t="s">
        <v>16</v>
      </c>
      <c r="C269" s="7" t="s">
        <v>17</v>
      </c>
      <c r="D269" s="7"/>
      <c r="E269" s="7" t="s">
        <v>1326</v>
      </c>
      <c r="F269" s="7" t="s">
        <v>19</v>
      </c>
      <c r="G269" s="7" t="s">
        <v>31</v>
      </c>
      <c r="H269" s="7" t="s">
        <v>17</v>
      </c>
      <c r="I269" s="7" t="s">
        <v>17</v>
      </c>
      <c r="J269" s="7" t="s">
        <v>1327</v>
      </c>
    </row>
    <row r="270" spans="1:10" x14ac:dyDescent="0.25" outlineLevel="3" collapsed="1">
      <c r="A270" s="7" t="s">
        <v>19</v>
      </c>
      <c r="B270" s="7" t="s">
        <v>16</v>
      </c>
      <c r="C270" s="7" t="s">
        <v>17</v>
      </c>
      <c r="D270" s="7"/>
      <c r="E270" s="7" t="s">
        <v>1328</v>
      </c>
      <c r="F270" s="7" t="s">
        <v>19</v>
      </c>
      <c r="G270" s="7" t="s">
        <v>31</v>
      </c>
      <c r="H270" s="7" t="s">
        <v>17</v>
      </c>
      <c r="I270" s="7" t="s">
        <v>17</v>
      </c>
      <c r="J270" s="7" t="s">
        <v>824</v>
      </c>
    </row>
    <row r="271" spans="1:10" x14ac:dyDescent="0.25" outlineLevel="1" collapsed="1">
      <c r="A271" s="8" t="s">
        <v>15</v>
      </c>
      <c r="B271" s="9" t="s">
        <v>2491</v>
      </c>
      <c r="C271" s="8" t="s">
        <v>17</v>
      </c>
      <c r="D271" s="8"/>
      <c r="E271" s="8" t="s">
        <v>2492</v>
      </c>
      <c r="F271" s="8" t="s">
        <v>19</v>
      </c>
      <c r="G271" s="8" t="s">
        <v>17</v>
      </c>
      <c r="H271" s="8" t="s">
        <v>17</v>
      </c>
      <c r="I271" s="8" t="s">
        <v>17</v>
      </c>
      <c r="J271" s="8" t="s">
        <v>2493</v>
      </c>
    </row>
    <row r="272" spans="1:10" x14ac:dyDescent="0.25" outlineLevel="2" collapsed="1">
      <c r="A272" s="8" t="s">
        <v>15</v>
      </c>
      <c r="B272" s="9" t="s">
        <v>860</v>
      </c>
      <c r="C272" s="8" t="s">
        <v>17</v>
      </c>
      <c r="D272" s="8"/>
      <c r="E272" s="8" t="s">
        <v>861</v>
      </c>
      <c r="F272" s="8" t="s">
        <v>19</v>
      </c>
      <c r="G272" s="8" t="s">
        <v>17</v>
      </c>
      <c r="H272" s="8" t="s">
        <v>17</v>
      </c>
      <c r="I272" s="8" t="s">
        <v>17</v>
      </c>
      <c r="J272" s="8" t="s">
        <v>862</v>
      </c>
    </row>
    <row r="273" spans="1:10" x14ac:dyDescent="0.25" outlineLevel="3" collapsed="1">
      <c r="A273" s="7" t="s">
        <v>15</v>
      </c>
      <c r="B273" s="7" t="s">
        <v>16</v>
      </c>
      <c r="C273" s="7" t="s">
        <v>17</v>
      </c>
      <c r="D273" s="7"/>
      <c r="E273" s="7" t="s">
        <v>863</v>
      </c>
      <c r="F273" s="7" t="s">
        <v>19</v>
      </c>
      <c r="G273" s="7" t="s">
        <v>864</v>
      </c>
      <c r="H273" s="7" t="s">
        <v>864</v>
      </c>
      <c r="I273" s="7" t="s">
        <v>17</v>
      </c>
      <c r="J273" s="7" t="s">
        <v>865</v>
      </c>
    </row>
    <row r="274" spans="1:10" x14ac:dyDescent="0.25" outlineLevel="2" collapsed="1">
      <c r="A274" s="8" t="s">
        <v>15</v>
      </c>
      <c r="B274" s="9" t="s">
        <v>866</v>
      </c>
      <c r="C274" s="8" t="s">
        <v>17</v>
      </c>
      <c r="D274" s="8"/>
      <c r="E274" s="8" t="s">
        <v>867</v>
      </c>
      <c r="F274" s="8" t="s">
        <v>19</v>
      </c>
      <c r="G274" s="8" t="s">
        <v>17</v>
      </c>
      <c r="H274" s="8" t="s">
        <v>17</v>
      </c>
      <c r="I274" s="8" t="s">
        <v>17</v>
      </c>
      <c r="J274" s="8" t="s">
        <v>868</v>
      </c>
    </row>
    <row r="275" spans="1:10" x14ac:dyDescent="0.25" outlineLevel="3" collapsed="1">
      <c r="A275" s="7" t="s">
        <v>15</v>
      </c>
      <c r="B275" s="7" t="s">
        <v>284</v>
      </c>
      <c r="C275" s="11" t="s">
        <v>869</v>
      </c>
      <c r="D275" s="7"/>
      <c r="E275" s="7" t="s">
        <v>870</v>
      </c>
      <c r="F275" s="7" t="s">
        <v>19</v>
      </c>
      <c r="G275" s="7" t="s">
        <v>871</v>
      </c>
      <c r="H275" s="7" t="s">
        <v>17</v>
      </c>
      <c r="I275" s="7" t="s">
        <v>17</v>
      </c>
      <c r="J275" s="7" t="s">
        <v>872</v>
      </c>
    </row>
    <row r="276" spans="1:10" x14ac:dyDescent="0.25" outlineLevel="3" collapsed="1">
      <c r="A276" s="7" t="s">
        <v>15</v>
      </c>
      <c r="B276" s="7" t="s">
        <v>16</v>
      </c>
      <c r="C276" s="7" t="s">
        <v>17</v>
      </c>
      <c r="D276" s="7"/>
      <c r="E276" s="7" t="s">
        <v>873</v>
      </c>
      <c r="F276" s="7" t="s">
        <v>19</v>
      </c>
      <c r="G276" s="7" t="s">
        <v>31</v>
      </c>
      <c r="H276" s="7" t="s">
        <v>17</v>
      </c>
      <c r="I276" s="7" t="s">
        <v>17</v>
      </c>
      <c r="J276" s="7" t="s">
        <v>874</v>
      </c>
    </row>
    <row r="277" spans="1:10" x14ac:dyDescent="0.25" outlineLevel="3" collapsed="1">
      <c r="A277" s="7" t="s">
        <v>15</v>
      </c>
      <c r="B277" s="7" t="s">
        <v>284</v>
      </c>
      <c r="C277" s="11" t="s">
        <v>875</v>
      </c>
      <c r="D277" s="7"/>
      <c r="E277" s="7" t="s">
        <v>876</v>
      </c>
      <c r="F277" s="7" t="s">
        <v>19</v>
      </c>
      <c r="G277" s="7" t="s">
        <v>877</v>
      </c>
      <c r="H277" s="7" t="s">
        <v>17</v>
      </c>
      <c r="I277" s="7" t="s">
        <v>17</v>
      </c>
      <c r="J277" s="7" t="s">
        <v>878</v>
      </c>
    </row>
    <row r="278" spans="1:10" x14ac:dyDescent="0.25" outlineLevel="3" collapsed="1">
      <c r="A278" s="7" t="s">
        <v>15</v>
      </c>
      <c r="B278" s="7" t="s">
        <v>16</v>
      </c>
      <c r="C278" s="7" t="s">
        <v>17</v>
      </c>
      <c r="D278" s="7"/>
      <c r="E278" s="7" t="s">
        <v>879</v>
      </c>
      <c r="F278" s="7" t="s">
        <v>19</v>
      </c>
      <c r="G278" s="7" t="s">
        <v>31</v>
      </c>
      <c r="H278" s="7" t="s">
        <v>17</v>
      </c>
      <c r="I278" s="7" t="s">
        <v>17</v>
      </c>
      <c r="J278" s="7" t="s">
        <v>880</v>
      </c>
    </row>
    <row r="279" spans="1:10" x14ac:dyDescent="0.25" outlineLevel="3" collapsed="1">
      <c r="A279" s="7" t="s">
        <v>15</v>
      </c>
      <c r="B279" s="7" t="s">
        <v>284</v>
      </c>
      <c r="C279" s="11" t="s">
        <v>881</v>
      </c>
      <c r="D279" s="7"/>
      <c r="E279" s="7" t="s">
        <v>882</v>
      </c>
      <c r="F279" s="7" t="s">
        <v>19</v>
      </c>
      <c r="G279" s="7" t="s">
        <v>883</v>
      </c>
      <c r="H279" s="7" t="s">
        <v>17</v>
      </c>
      <c r="I279" s="7" t="s">
        <v>17</v>
      </c>
      <c r="J279" s="7" t="s">
        <v>884</v>
      </c>
    </row>
    <row r="280" spans="1:10" x14ac:dyDescent="0.25" outlineLevel="3" collapsed="1">
      <c r="A280" s="7" t="s">
        <v>15</v>
      </c>
      <c r="B280" s="7" t="s">
        <v>16</v>
      </c>
      <c r="C280" s="7" t="s">
        <v>17</v>
      </c>
      <c r="D280" s="7"/>
      <c r="E280" s="7" t="s">
        <v>885</v>
      </c>
      <c r="F280" s="7" t="s">
        <v>19</v>
      </c>
      <c r="G280" s="7" t="s">
        <v>31</v>
      </c>
      <c r="H280" s="7" t="s">
        <v>17</v>
      </c>
      <c r="I280" s="7" t="s">
        <v>17</v>
      </c>
      <c r="J280" s="7" t="s">
        <v>886</v>
      </c>
    </row>
    <row r="281" spans="1:10" x14ac:dyDescent="0.25" outlineLevel="3" collapsed="1">
      <c r="A281" s="7" t="s">
        <v>15</v>
      </c>
      <c r="B281" s="7" t="s">
        <v>284</v>
      </c>
      <c r="C281" s="11" t="s">
        <v>887</v>
      </c>
      <c r="D281" s="7"/>
      <c r="E281" s="7" t="s">
        <v>888</v>
      </c>
      <c r="F281" s="7" t="s">
        <v>19</v>
      </c>
      <c r="G281" s="7" t="s">
        <v>889</v>
      </c>
      <c r="H281" s="7" t="s">
        <v>17</v>
      </c>
      <c r="I281" s="7" t="s">
        <v>17</v>
      </c>
      <c r="J281" s="7" t="s">
        <v>890</v>
      </c>
    </row>
    <row r="282" spans="1:10" x14ac:dyDescent="0.25" outlineLevel="3" collapsed="1">
      <c r="A282" s="7" t="s">
        <v>15</v>
      </c>
      <c r="B282" s="7" t="s">
        <v>16</v>
      </c>
      <c r="C282" s="7" t="s">
        <v>17</v>
      </c>
      <c r="D282" s="7"/>
      <c r="E282" s="7" t="s">
        <v>891</v>
      </c>
      <c r="F282" s="7" t="s">
        <v>19</v>
      </c>
      <c r="G282" s="7" t="s">
        <v>31</v>
      </c>
      <c r="H282" s="7" t="s">
        <v>17</v>
      </c>
      <c r="I282" s="7" t="s">
        <v>17</v>
      </c>
      <c r="J282" s="7" t="s">
        <v>892</v>
      </c>
    </row>
    <row r="283" spans="1:10" x14ac:dyDescent="0.25" outlineLevel="3" collapsed="1">
      <c r="A283" s="7" t="s">
        <v>15</v>
      </c>
      <c r="B283" s="7" t="s">
        <v>284</v>
      </c>
      <c r="C283" s="11" t="s">
        <v>893</v>
      </c>
      <c r="D283" s="7"/>
      <c r="E283" s="7" t="s">
        <v>894</v>
      </c>
      <c r="F283" s="7" t="s">
        <v>19</v>
      </c>
      <c r="G283" s="7" t="s">
        <v>895</v>
      </c>
      <c r="H283" s="7" t="s">
        <v>17</v>
      </c>
      <c r="I283" s="7" t="s">
        <v>17</v>
      </c>
      <c r="J283" s="7" t="s">
        <v>896</v>
      </c>
    </row>
    <row r="284" spans="1:10" x14ac:dyDescent="0.25" outlineLevel="3" collapsed="1">
      <c r="A284" s="7" t="s">
        <v>15</v>
      </c>
      <c r="B284" s="7" t="s">
        <v>16</v>
      </c>
      <c r="C284" s="7" t="s">
        <v>17</v>
      </c>
      <c r="D284" s="7"/>
      <c r="E284" s="7" t="s">
        <v>897</v>
      </c>
      <c r="F284" s="7" t="s">
        <v>19</v>
      </c>
      <c r="G284" s="7" t="s">
        <v>31</v>
      </c>
      <c r="H284" s="7" t="s">
        <v>17</v>
      </c>
      <c r="I284" s="7" t="s">
        <v>17</v>
      </c>
      <c r="J284" s="7" t="s">
        <v>898</v>
      </c>
    </row>
    <row r="285" spans="1:10" x14ac:dyDescent="0.25" outlineLevel="3" collapsed="1">
      <c r="A285" s="7" t="s">
        <v>15</v>
      </c>
      <c r="B285" s="7" t="s">
        <v>284</v>
      </c>
      <c r="C285" s="11" t="s">
        <v>899</v>
      </c>
      <c r="D285" s="7"/>
      <c r="E285" s="7" t="s">
        <v>900</v>
      </c>
      <c r="F285" s="7" t="s">
        <v>19</v>
      </c>
      <c r="G285" s="7" t="s">
        <v>889</v>
      </c>
      <c r="H285" s="7" t="s">
        <v>17</v>
      </c>
      <c r="I285" s="7" t="s">
        <v>17</v>
      </c>
      <c r="J285" s="7" t="s">
        <v>901</v>
      </c>
    </row>
    <row r="286" spans="1:10" x14ac:dyDescent="0.25" outlineLevel="3" collapsed="1">
      <c r="A286" s="7" t="s">
        <v>15</v>
      </c>
      <c r="B286" s="7" t="s">
        <v>16</v>
      </c>
      <c r="C286" s="7" t="s">
        <v>17</v>
      </c>
      <c r="D286" s="7"/>
      <c r="E286" s="7" t="s">
        <v>902</v>
      </c>
      <c r="F286" s="7" t="s">
        <v>19</v>
      </c>
      <c r="G286" s="7" t="s">
        <v>31</v>
      </c>
      <c r="H286" s="7" t="s">
        <v>17</v>
      </c>
      <c r="I286" s="7" t="s">
        <v>17</v>
      </c>
      <c r="J286" s="7" t="s">
        <v>903</v>
      </c>
    </row>
    <row r="287" spans="1:10" x14ac:dyDescent="0.25" outlineLevel="3" collapsed="1">
      <c r="A287" s="7" t="s">
        <v>15</v>
      </c>
      <c r="B287" s="7" t="s">
        <v>284</v>
      </c>
      <c r="C287" s="11" t="s">
        <v>904</v>
      </c>
      <c r="D287" s="7"/>
      <c r="E287" s="7" t="s">
        <v>905</v>
      </c>
      <c r="F287" s="7" t="s">
        <v>19</v>
      </c>
      <c r="G287" s="7" t="s">
        <v>906</v>
      </c>
      <c r="H287" s="7" t="s">
        <v>17</v>
      </c>
      <c r="I287" s="7" t="s">
        <v>17</v>
      </c>
      <c r="J287" s="7" t="s">
        <v>907</v>
      </c>
    </row>
    <row r="288" spans="1:10" x14ac:dyDescent="0.25" outlineLevel="3" collapsed="1">
      <c r="A288" s="7" t="s">
        <v>15</v>
      </c>
      <c r="B288" s="7" t="s">
        <v>16</v>
      </c>
      <c r="C288" s="7" t="s">
        <v>17</v>
      </c>
      <c r="D288" s="7"/>
      <c r="E288" s="7" t="s">
        <v>908</v>
      </c>
      <c r="F288" s="7" t="s">
        <v>19</v>
      </c>
      <c r="G288" s="7" t="s">
        <v>31</v>
      </c>
      <c r="H288" s="7" t="s">
        <v>17</v>
      </c>
      <c r="I288" s="7" t="s">
        <v>17</v>
      </c>
      <c r="J288" s="7" t="s">
        <v>909</v>
      </c>
    </row>
    <row r="289" spans="1:10" x14ac:dyDescent="0.25" outlineLevel="3" collapsed="1">
      <c r="A289" s="7" t="s">
        <v>15</v>
      </c>
      <c r="B289" s="7" t="s">
        <v>16</v>
      </c>
      <c r="C289" s="7" t="s">
        <v>17</v>
      </c>
      <c r="D289" s="7"/>
      <c r="E289" s="7" t="s">
        <v>910</v>
      </c>
      <c r="F289" s="7" t="s">
        <v>19</v>
      </c>
      <c r="G289" s="7" t="s">
        <v>911</v>
      </c>
      <c r="H289" s="7" t="s">
        <v>17</v>
      </c>
      <c r="I289" s="7" t="s">
        <v>17</v>
      </c>
      <c r="J289" s="7" t="s">
        <v>912</v>
      </c>
    </row>
    <row r="290" spans="1:10" x14ac:dyDescent="0.25" outlineLevel="3" collapsed="1">
      <c r="A290" s="7" t="s">
        <v>15</v>
      </c>
      <c r="B290" s="7" t="s">
        <v>16</v>
      </c>
      <c r="C290" s="7" t="s">
        <v>17</v>
      </c>
      <c r="D290" s="7"/>
      <c r="E290" s="7" t="s">
        <v>913</v>
      </c>
      <c r="F290" s="7" t="s">
        <v>19</v>
      </c>
      <c r="G290" s="7" t="s">
        <v>914</v>
      </c>
      <c r="H290" s="7" t="s">
        <v>17</v>
      </c>
      <c r="I290" s="7" t="s">
        <v>17</v>
      </c>
      <c r="J290" s="7" t="s">
        <v>915</v>
      </c>
    </row>
    <row r="291" spans="1:10" x14ac:dyDescent="0.25" outlineLevel="3" collapsed="1">
      <c r="A291" s="8" t="s">
        <v>15</v>
      </c>
      <c r="B291" s="9" t="s">
        <v>916</v>
      </c>
      <c r="C291" s="8" t="s">
        <v>17</v>
      </c>
      <c r="D291" s="8"/>
      <c r="E291" s="8" t="s">
        <v>917</v>
      </c>
      <c r="F291" s="8" t="s">
        <v>15</v>
      </c>
      <c r="G291" s="8" t="s">
        <v>17</v>
      </c>
      <c r="H291" s="8" t="s">
        <v>17</v>
      </c>
      <c r="I291" s="8" t="s">
        <v>17</v>
      </c>
      <c r="J291" s="8" t="s">
        <v>918</v>
      </c>
    </row>
    <row r="292" spans="1:10" x14ac:dyDescent="0.25" outlineLevel="4" collapsed="1">
      <c r="A292" s="7" t="s">
        <v>15</v>
      </c>
      <c r="B292" s="7" t="s">
        <v>16</v>
      </c>
      <c r="C292" s="7" t="s">
        <v>17</v>
      </c>
      <c r="D292" s="7"/>
      <c r="E292" s="7" t="s">
        <v>919</v>
      </c>
      <c r="F292" s="7" t="s">
        <v>19</v>
      </c>
      <c r="G292" s="7" t="s">
        <v>920</v>
      </c>
      <c r="H292" s="7" t="s">
        <v>17</v>
      </c>
      <c r="I292" s="7" t="s">
        <v>17</v>
      </c>
      <c r="J292" s="7" t="s">
        <v>921</v>
      </c>
    </row>
    <row r="293" spans="1:10" x14ac:dyDescent="0.25" outlineLevel="4" collapsed="1">
      <c r="A293" s="7" t="s">
        <v>15</v>
      </c>
      <c r="B293" s="7" t="s">
        <v>159</v>
      </c>
      <c r="C293" s="7" t="s">
        <v>17</v>
      </c>
      <c r="D293" s="7"/>
      <c r="E293" s="7" t="s">
        <v>922</v>
      </c>
      <c r="F293" s="7" t="s">
        <v>19</v>
      </c>
      <c r="G293" s="7" t="b">
        <v>0</v>
      </c>
      <c r="H293" s="7" t="s">
        <v>17</v>
      </c>
      <c r="I293" s="7" t="s">
        <v>17</v>
      </c>
      <c r="J293" s="7" t="s">
        <v>923</v>
      </c>
    </row>
    <row r="294" spans="1:10" x14ac:dyDescent="0.25" outlineLevel="4" collapsed="1">
      <c r="A294" s="7" t="s">
        <v>19</v>
      </c>
      <c r="B294" s="7" t="s">
        <v>16</v>
      </c>
      <c r="C294" s="7" t="s">
        <v>17</v>
      </c>
      <c r="D294" s="7"/>
      <c r="E294" s="7" t="s">
        <v>924</v>
      </c>
      <c r="F294" s="7" t="s">
        <v>19</v>
      </c>
      <c r="G294" s="7" t="s">
        <v>925</v>
      </c>
      <c r="H294" s="7" t="s">
        <v>17</v>
      </c>
      <c r="I294" s="7" t="s">
        <v>17</v>
      </c>
      <c r="J294" s="7" t="s">
        <v>926</v>
      </c>
    </row>
    <row r="295" spans="1:10" x14ac:dyDescent="0.25" outlineLevel="4" collapsed="1">
      <c r="A295" s="7" t="s">
        <v>15</v>
      </c>
      <c r="B295" s="7" t="s">
        <v>16</v>
      </c>
      <c r="C295" s="7" t="s">
        <v>17</v>
      </c>
      <c r="D295" s="7"/>
      <c r="E295" s="7" t="s">
        <v>927</v>
      </c>
      <c r="F295" s="7" t="s">
        <v>19</v>
      </c>
      <c r="G295" s="7" t="s">
        <v>928</v>
      </c>
      <c r="H295" s="7" t="s">
        <v>17</v>
      </c>
      <c r="I295" s="7" t="s">
        <v>17</v>
      </c>
      <c r="J295" s="7" t="s">
        <v>929</v>
      </c>
    </row>
    <row r="296" spans="1:10" x14ac:dyDescent="0.25" outlineLevel="3" collapsed="1">
      <c r="A296" s="8" t="s">
        <v>15</v>
      </c>
      <c r="B296" s="9" t="s">
        <v>930</v>
      </c>
      <c r="C296" s="8" t="s">
        <v>17</v>
      </c>
      <c r="D296" s="8"/>
      <c r="E296" s="8" t="s">
        <v>931</v>
      </c>
      <c r="F296" s="8" t="s">
        <v>15</v>
      </c>
      <c r="G296" s="8" t="s">
        <v>17</v>
      </c>
      <c r="H296" s="8" t="s">
        <v>17</v>
      </c>
      <c r="I296" s="8" t="s">
        <v>17</v>
      </c>
      <c r="J296" s="8" t="s">
        <v>932</v>
      </c>
    </row>
    <row r="297" spans="1:10" x14ac:dyDescent="0.25" outlineLevel="4" collapsed="1">
      <c r="A297" s="7" t="s">
        <v>15</v>
      </c>
      <c r="B297" s="7" t="s">
        <v>16</v>
      </c>
      <c r="C297" s="7" t="s">
        <v>17</v>
      </c>
      <c r="D297" s="7"/>
      <c r="E297" s="7" t="s">
        <v>933</v>
      </c>
      <c r="F297" s="7" t="s">
        <v>19</v>
      </c>
      <c r="G297" s="7" t="s">
        <v>920</v>
      </c>
      <c r="H297" s="7" t="s">
        <v>17</v>
      </c>
      <c r="I297" s="7" t="s">
        <v>17</v>
      </c>
      <c r="J297" s="7" t="s">
        <v>934</v>
      </c>
    </row>
    <row r="298" spans="1:10" x14ac:dyDescent="0.25" outlineLevel="4" collapsed="1">
      <c r="A298" s="7" t="s">
        <v>15</v>
      </c>
      <c r="B298" s="7" t="s">
        <v>159</v>
      </c>
      <c r="C298" s="7" t="s">
        <v>17</v>
      </c>
      <c r="D298" s="7"/>
      <c r="E298" s="7" t="s">
        <v>935</v>
      </c>
      <c r="F298" s="7" t="s">
        <v>19</v>
      </c>
      <c r="G298" s="7" t="b">
        <v>0</v>
      </c>
      <c r="H298" s="7" t="s">
        <v>17</v>
      </c>
      <c r="I298" s="7" t="s">
        <v>17</v>
      </c>
      <c r="J298" s="7" t="s">
        <v>936</v>
      </c>
    </row>
    <row r="299" spans="1:10" x14ac:dyDescent="0.25" outlineLevel="4" collapsed="1">
      <c r="A299" s="7" t="s">
        <v>19</v>
      </c>
      <c r="B299" s="7" t="s">
        <v>16</v>
      </c>
      <c r="C299" s="7" t="s">
        <v>17</v>
      </c>
      <c r="D299" s="7"/>
      <c r="E299" s="7" t="s">
        <v>937</v>
      </c>
      <c r="F299" s="7" t="s">
        <v>19</v>
      </c>
      <c r="G299" s="7" t="s">
        <v>938</v>
      </c>
      <c r="H299" s="7" t="s">
        <v>17</v>
      </c>
      <c r="I299" s="7" t="s">
        <v>17</v>
      </c>
      <c r="J299" s="7" t="s">
        <v>939</v>
      </c>
    </row>
    <row r="300" spans="1:10" x14ac:dyDescent="0.25" outlineLevel="4" collapsed="1">
      <c r="A300" s="7" t="s">
        <v>15</v>
      </c>
      <c r="B300" s="7" t="s">
        <v>16</v>
      </c>
      <c r="C300" s="7" t="s">
        <v>17</v>
      </c>
      <c r="D300" s="7"/>
      <c r="E300" s="7" t="s">
        <v>940</v>
      </c>
      <c r="F300" s="7" t="s">
        <v>19</v>
      </c>
      <c r="G300" s="7" t="s">
        <v>941</v>
      </c>
      <c r="H300" s="7" t="s">
        <v>17</v>
      </c>
      <c r="I300" s="7" t="s">
        <v>17</v>
      </c>
      <c r="J300" s="7" t="s">
        <v>942</v>
      </c>
    </row>
    <row r="301" spans="1:10" x14ac:dyDescent="0.25" outlineLevel="4" collapsed="1">
      <c r="A301" s="7" t="s">
        <v>19</v>
      </c>
      <c r="B301" s="7" t="s">
        <v>16</v>
      </c>
      <c r="C301" s="7" t="s">
        <v>17</v>
      </c>
      <c r="D301" s="7"/>
      <c r="E301" s="7" t="s">
        <v>943</v>
      </c>
      <c r="F301" s="7" t="s">
        <v>19</v>
      </c>
      <c r="G301" s="7" t="s">
        <v>31</v>
      </c>
      <c r="H301" s="7" t="s">
        <v>17</v>
      </c>
      <c r="I301" s="7" t="s">
        <v>17</v>
      </c>
      <c r="J301" s="7" t="s">
        <v>944</v>
      </c>
    </row>
    <row r="302" spans="1:10" x14ac:dyDescent="0.25" outlineLevel="4" collapsed="1">
      <c r="A302" s="7" t="s">
        <v>19</v>
      </c>
      <c r="B302" s="7" t="s">
        <v>63</v>
      </c>
      <c r="C302" s="7" t="s">
        <v>17</v>
      </c>
      <c r="D302" s="7">
        <f>EXACT(G298,true)</f>
      </c>
      <c r="E302" s="7" t="s">
        <v>945</v>
      </c>
      <c r="F302" s="7" t="s">
        <v>19</v>
      </c>
      <c r="G302" s="7">
        <v>1</v>
      </c>
      <c r="H302" s="7" t="s">
        <v>17</v>
      </c>
      <c r="I302" s="7" t="s">
        <v>17</v>
      </c>
      <c r="J302" s="7" t="s">
        <v>946</v>
      </c>
    </row>
    <row r="303" spans="1:10" x14ac:dyDescent="0.25" outlineLevel="4" collapsed="1">
      <c r="A303" s="7" t="s">
        <v>19</v>
      </c>
      <c r="B303" s="7" t="s">
        <v>63</v>
      </c>
      <c r="C303" s="7" t="s">
        <v>17</v>
      </c>
      <c r="D303" s="7">
        <f>EXACT(G298,true)</f>
      </c>
      <c r="E303" s="7" t="s">
        <v>947</v>
      </c>
      <c r="F303" s="7" t="s">
        <v>19</v>
      </c>
      <c r="G303" s="7">
        <v>1</v>
      </c>
      <c r="H303" s="7" t="s">
        <v>17</v>
      </c>
      <c r="I303" s="7" t="s">
        <v>17</v>
      </c>
      <c r="J303" s="7" t="s">
        <v>948</v>
      </c>
    </row>
    <row r="304" spans="1:10" x14ac:dyDescent="0.25" outlineLevel="4" collapsed="1">
      <c r="A304" s="7" t="s">
        <v>19</v>
      </c>
      <c r="B304" s="7" t="s">
        <v>291</v>
      </c>
      <c r="C304" s="7" t="s">
        <v>17</v>
      </c>
      <c r="D304" s="7">
        <f>EXACT(G298,true)</f>
      </c>
      <c r="E304" s="7" t="s">
        <v>949</v>
      </c>
      <c r="F304" s="7" t="s">
        <v>19</v>
      </c>
      <c r="G304" s="7" t="s">
        <v>950</v>
      </c>
      <c r="H304" s="7" t="s">
        <v>17</v>
      </c>
      <c r="I304" s="7" t="s">
        <v>17</v>
      </c>
      <c r="J304" s="7" t="s">
        <v>951</v>
      </c>
    </row>
    <row r="305" spans="1:10" x14ac:dyDescent="0.25" outlineLevel="4" collapsed="1">
      <c r="A305" s="8" t="s">
        <v>19</v>
      </c>
      <c r="B305" s="9" t="s">
        <v>952</v>
      </c>
      <c r="C305" s="8" t="s">
        <v>17</v>
      </c>
      <c r="D305" s="8"/>
      <c r="E305" s="8" t="s">
        <v>953</v>
      </c>
      <c r="F305" s="8" t="s">
        <v>15</v>
      </c>
      <c r="G305" s="8" t="s">
        <v>17</v>
      </c>
      <c r="H305" s="8" t="s">
        <v>17</v>
      </c>
      <c r="I305" s="8" t="s">
        <v>17</v>
      </c>
      <c r="J305" s="8" t="s">
        <v>954</v>
      </c>
    </row>
    <row r="306" spans="1:10" x14ac:dyDescent="0.25" outlineLevel="5" collapsed="1">
      <c r="A306" s="7" t="s">
        <v>15</v>
      </c>
      <c r="B306" s="7" t="s">
        <v>16</v>
      </c>
      <c r="C306" s="7" t="s">
        <v>17</v>
      </c>
      <c r="D306" s="7"/>
      <c r="E306" s="7" t="s">
        <v>955</v>
      </c>
      <c r="F306" s="7" t="s">
        <v>19</v>
      </c>
      <c r="G306" s="7" t="s">
        <v>956</v>
      </c>
      <c r="H306" s="7" t="s">
        <v>17</v>
      </c>
      <c r="I306" s="7" t="s">
        <v>17</v>
      </c>
      <c r="J306" s="7" t="s">
        <v>957</v>
      </c>
    </row>
    <row r="307" spans="1:10" x14ac:dyDescent="0.25" outlineLevel="5" collapsed="1">
      <c r="A307" s="7" t="s">
        <v>15</v>
      </c>
      <c r="B307" s="7" t="s">
        <v>284</v>
      </c>
      <c r="C307" s="11" t="s">
        <v>958</v>
      </c>
      <c r="D307" s="7"/>
      <c r="E307" s="7" t="s">
        <v>959</v>
      </c>
      <c r="F307" s="7" t="s">
        <v>19</v>
      </c>
      <c r="G307" s="7" t="s">
        <v>960</v>
      </c>
      <c r="H307" s="7" t="s">
        <v>17</v>
      </c>
      <c r="I307" s="7" t="s">
        <v>17</v>
      </c>
      <c r="J307" s="7" t="s">
        <v>961</v>
      </c>
    </row>
    <row r="308" spans="1:10" x14ac:dyDescent="0.25" outlineLevel="5" collapsed="1">
      <c r="A308" s="7" t="s">
        <v>15</v>
      </c>
      <c r="B308" s="7" t="s">
        <v>16</v>
      </c>
      <c r="C308" s="7" t="s">
        <v>17</v>
      </c>
      <c r="D308" s="7"/>
      <c r="E308" s="7" t="s">
        <v>962</v>
      </c>
      <c r="F308" s="7" t="s">
        <v>19</v>
      </c>
      <c r="G308" s="7" t="s">
        <v>963</v>
      </c>
      <c r="H308" s="7" t="s">
        <v>17</v>
      </c>
      <c r="I308" s="7" t="s">
        <v>17</v>
      </c>
      <c r="J308" s="7" t="s">
        <v>964</v>
      </c>
    </row>
    <row r="309" spans="1:10" x14ac:dyDescent="0.25" outlineLevel="5" collapsed="1">
      <c r="A309" s="7" t="s">
        <v>19</v>
      </c>
      <c r="B309" s="7" t="s">
        <v>291</v>
      </c>
      <c r="C309" s="7" t="s">
        <v>17</v>
      </c>
      <c r="D309" s="7"/>
      <c r="E309" s="7" t="s">
        <v>965</v>
      </c>
      <c r="F309" s="7" t="s">
        <v>19</v>
      </c>
      <c r="G309" s="7" t="s">
        <v>293</v>
      </c>
      <c r="H309" s="7" t="s">
        <v>17</v>
      </c>
      <c r="I309" s="7" t="s">
        <v>17</v>
      </c>
      <c r="J309" s="7" t="s">
        <v>966</v>
      </c>
    </row>
    <row r="310" spans="1:10" x14ac:dyDescent="0.25" outlineLevel="5" collapsed="1">
      <c r="A310" s="7" t="s">
        <v>19</v>
      </c>
      <c r="B310" s="7" t="s">
        <v>16</v>
      </c>
      <c r="C310" s="7" t="s">
        <v>17</v>
      </c>
      <c r="D310" s="7"/>
      <c r="E310" s="7" t="s">
        <v>967</v>
      </c>
      <c r="F310" s="7" t="s">
        <v>19</v>
      </c>
      <c r="G310" s="7" t="s">
        <v>968</v>
      </c>
      <c r="H310" s="7" t="s">
        <v>17</v>
      </c>
      <c r="I310" s="7" t="s">
        <v>17</v>
      </c>
      <c r="J310" s="7" t="s">
        <v>843</v>
      </c>
    </row>
    <row r="311" spans="1:10" x14ac:dyDescent="0.25" outlineLevel="2" collapsed="1">
      <c r="A311" s="7" t="s">
        <v>19</v>
      </c>
      <c r="B311" s="7" t="s">
        <v>16</v>
      </c>
      <c r="C311" s="7" t="s">
        <v>17</v>
      </c>
      <c r="D311" s="7"/>
      <c r="E311" s="7" t="s">
        <v>969</v>
      </c>
      <c r="F311" s="7" t="s">
        <v>19</v>
      </c>
      <c r="G311" s="7" t="s">
        <v>31</v>
      </c>
      <c r="H311" s="7" t="s">
        <v>17</v>
      </c>
      <c r="I311" s="7" t="s">
        <v>17</v>
      </c>
      <c r="J311" s="7" t="s">
        <v>970</v>
      </c>
    </row>
    <row r="312" spans="1:10" x14ac:dyDescent="0.25" outlineLevel="2" collapsed="1">
      <c r="A312" s="7" t="s">
        <v>19</v>
      </c>
      <c r="B312" s="7" t="s">
        <v>16</v>
      </c>
      <c r="C312" s="7" t="s">
        <v>17</v>
      </c>
      <c r="D312" s="7"/>
      <c r="E312" s="7" t="s">
        <v>971</v>
      </c>
      <c r="F312" s="7" t="s">
        <v>19</v>
      </c>
      <c r="G312" s="7" t="s">
        <v>31</v>
      </c>
      <c r="H312" s="7" t="s">
        <v>17</v>
      </c>
      <c r="I312" s="7" t="s">
        <v>17</v>
      </c>
      <c r="J312" s="7" t="s">
        <v>972</v>
      </c>
    </row>
    <row r="313" spans="1:10" x14ac:dyDescent="0.25" outlineLevel="2" collapsed="1">
      <c r="A313" s="8" t="s">
        <v>19</v>
      </c>
      <c r="B313" s="9" t="s">
        <v>973</v>
      </c>
      <c r="C313" s="8" t="s">
        <v>17</v>
      </c>
      <c r="D313" s="8"/>
      <c r="E313" s="8" t="s">
        <v>974</v>
      </c>
      <c r="F313" s="8" t="s">
        <v>15</v>
      </c>
      <c r="G313" s="8" t="s">
        <v>17</v>
      </c>
      <c r="H313" s="8" t="s">
        <v>17</v>
      </c>
      <c r="I313" s="8" t="s">
        <v>17</v>
      </c>
      <c r="J313" s="8" t="s">
        <v>975</v>
      </c>
    </row>
    <row r="314" spans="1:10" x14ac:dyDescent="0.25" outlineLevel="3" collapsed="1">
      <c r="A314" s="7" t="s">
        <v>19</v>
      </c>
      <c r="B314" s="7" t="s">
        <v>16</v>
      </c>
      <c r="C314" s="7" t="s">
        <v>17</v>
      </c>
      <c r="D314" s="7"/>
      <c r="E314" s="7" t="s">
        <v>976</v>
      </c>
      <c r="F314" s="7" t="s">
        <v>19</v>
      </c>
      <c r="G314" s="7" t="s">
        <v>31</v>
      </c>
      <c r="H314" s="7" t="s">
        <v>17</v>
      </c>
      <c r="I314" s="7" t="s">
        <v>17</v>
      </c>
      <c r="J314" s="7" t="s">
        <v>977</v>
      </c>
    </row>
    <row r="315" spans="1:10" x14ac:dyDescent="0.25" outlineLevel="3" collapsed="1">
      <c r="A315" s="7" t="s">
        <v>19</v>
      </c>
      <c r="B315" s="7" t="s">
        <v>16</v>
      </c>
      <c r="C315" s="7" t="s">
        <v>17</v>
      </c>
      <c r="D315" s="7"/>
      <c r="E315" s="7" t="s">
        <v>978</v>
      </c>
      <c r="F315" s="7" t="s">
        <v>19</v>
      </c>
      <c r="G315" s="7" t="s">
        <v>31</v>
      </c>
      <c r="H315" s="7" t="s">
        <v>17</v>
      </c>
      <c r="I315" s="7" t="s">
        <v>17</v>
      </c>
      <c r="J315" s="7" t="s">
        <v>979</v>
      </c>
    </row>
    <row r="316" spans="1:10" x14ac:dyDescent="0.25" outlineLevel="3" collapsed="1">
      <c r="A316" s="7" t="s">
        <v>19</v>
      </c>
      <c r="B316" s="7" t="s">
        <v>16</v>
      </c>
      <c r="C316" s="7" t="s">
        <v>17</v>
      </c>
      <c r="D316" s="7"/>
      <c r="E316" s="7" t="s">
        <v>980</v>
      </c>
      <c r="F316" s="7" t="s">
        <v>19</v>
      </c>
      <c r="G316" s="7" t="s">
        <v>31</v>
      </c>
      <c r="H316" s="7" t="s">
        <v>17</v>
      </c>
      <c r="I316" s="7" t="s">
        <v>17</v>
      </c>
      <c r="J316" s="7" t="s">
        <v>981</v>
      </c>
    </row>
    <row r="317" spans="1:10" x14ac:dyDescent="0.25" outlineLevel="1" collapsed="1">
      <c r="A317" s="8" t="s">
        <v>15</v>
      </c>
      <c r="B317" s="9" t="s">
        <v>2494</v>
      </c>
      <c r="C317" s="8" t="s">
        <v>17</v>
      </c>
      <c r="D317" s="8"/>
      <c r="E317" s="8" t="s">
        <v>2495</v>
      </c>
      <c r="F317" s="8" t="s">
        <v>19</v>
      </c>
      <c r="G317" s="8" t="s">
        <v>17</v>
      </c>
      <c r="H317" s="8" t="s">
        <v>17</v>
      </c>
      <c r="I317" s="8" t="s">
        <v>17</v>
      </c>
      <c r="J317" s="8" t="s">
        <v>2496</v>
      </c>
    </row>
    <row r="318" spans="1:10" x14ac:dyDescent="0.25" outlineLevel="2" collapsed="1">
      <c r="A318" s="7" t="s">
        <v>19</v>
      </c>
      <c r="B318" s="7" t="s">
        <v>16</v>
      </c>
      <c r="C318" s="7" t="s">
        <v>17</v>
      </c>
      <c r="D318" s="7"/>
      <c r="E318" s="7" t="s">
        <v>2497</v>
      </c>
      <c r="F318" s="7" t="s">
        <v>19</v>
      </c>
      <c r="G318" s="7" t="s">
        <v>2498</v>
      </c>
      <c r="H318" s="7" t="s">
        <v>17</v>
      </c>
      <c r="I318" s="7" t="s">
        <v>17</v>
      </c>
      <c r="J318" s="7" t="s">
        <v>2499</v>
      </c>
    </row>
    <row r="319" spans="1:10" x14ac:dyDescent="0.25" outlineLevel="2" collapsed="1">
      <c r="A319" s="8" t="s">
        <v>19</v>
      </c>
      <c r="B319" s="9" t="s">
        <v>2500</v>
      </c>
      <c r="C319" s="8" t="s">
        <v>17</v>
      </c>
      <c r="D319" s="8"/>
      <c r="E319" s="8" t="s">
        <v>2501</v>
      </c>
      <c r="F319" s="8" t="s">
        <v>15</v>
      </c>
      <c r="G319" s="8" t="s">
        <v>17</v>
      </c>
      <c r="H319" s="8" t="s">
        <v>17</v>
      </c>
      <c r="I319" s="8" t="s">
        <v>17</v>
      </c>
      <c r="J319" s="8" t="s">
        <v>2502</v>
      </c>
    </row>
    <row r="320" spans="1:10" x14ac:dyDescent="0.25" outlineLevel="3" collapsed="1">
      <c r="A320" s="7" t="s">
        <v>15</v>
      </c>
      <c r="B320" s="7" t="s">
        <v>16</v>
      </c>
      <c r="C320" s="7" t="s">
        <v>17</v>
      </c>
      <c r="D320" s="7"/>
      <c r="E320" s="7" t="s">
        <v>2503</v>
      </c>
      <c r="F320" s="7" t="s">
        <v>19</v>
      </c>
      <c r="G320" s="7" t="s">
        <v>2504</v>
      </c>
      <c r="H320" s="7" t="s">
        <v>17</v>
      </c>
      <c r="I320" s="7" t="s">
        <v>17</v>
      </c>
      <c r="J320" s="7" t="s">
        <v>2505</v>
      </c>
    </row>
    <row r="321" spans="1:10" x14ac:dyDescent="0.25" outlineLevel="3" collapsed="1">
      <c r="A321" s="7" t="s">
        <v>15</v>
      </c>
      <c r="B321" s="7" t="s">
        <v>16</v>
      </c>
      <c r="C321" s="7" t="s">
        <v>17</v>
      </c>
      <c r="D321" s="7"/>
      <c r="E321" s="7" t="s">
        <v>2506</v>
      </c>
      <c r="F321" s="7" t="s">
        <v>19</v>
      </c>
      <c r="G321" s="7" t="s">
        <v>2507</v>
      </c>
      <c r="H321" s="7" t="s">
        <v>17</v>
      </c>
      <c r="I321" s="7" t="s">
        <v>17</v>
      </c>
      <c r="J321" s="7" t="s">
        <v>2508</v>
      </c>
    </row>
    <row r="322" spans="1:10" x14ac:dyDescent="0.25" outlineLevel="3" collapsed="1">
      <c r="A322" s="7" t="s">
        <v>15</v>
      </c>
      <c r="B322" s="7" t="s">
        <v>16</v>
      </c>
      <c r="C322" s="7" t="s">
        <v>17</v>
      </c>
      <c r="D322" s="7"/>
      <c r="E322" s="7" t="s">
        <v>2509</v>
      </c>
      <c r="F322" s="7" t="s">
        <v>19</v>
      </c>
      <c r="G322" s="7" t="s">
        <v>15</v>
      </c>
      <c r="H322" s="7" t="s">
        <v>17</v>
      </c>
      <c r="I322" s="7" t="s">
        <v>17</v>
      </c>
      <c r="J322" s="7" t="s">
        <v>2510</v>
      </c>
    </row>
    <row r="323" spans="1:10" x14ac:dyDescent="0.25" outlineLevel="3" collapsed="1">
      <c r="A323" s="7" t="s">
        <v>15</v>
      </c>
      <c r="B323" s="7" t="s">
        <v>16</v>
      </c>
      <c r="C323" s="7" t="s">
        <v>17</v>
      </c>
      <c r="D323" s="7"/>
      <c r="E323" s="7" t="s">
        <v>2511</v>
      </c>
      <c r="F323" s="7" t="s">
        <v>19</v>
      </c>
      <c r="G323" s="7" t="s">
        <v>2512</v>
      </c>
      <c r="H323" s="7" t="s">
        <v>17</v>
      </c>
      <c r="I323" s="7" t="s">
        <v>17</v>
      </c>
      <c r="J323" s="7" t="s">
        <v>1191</v>
      </c>
    </row>
    <row r="324" spans="1:10" x14ac:dyDescent="0.25" outlineLevel="3" collapsed="1">
      <c r="A324" s="7" t="s">
        <v>19</v>
      </c>
      <c r="B324" s="7" t="s">
        <v>16</v>
      </c>
      <c r="C324" s="7" t="s">
        <v>17</v>
      </c>
      <c r="D324" s="7"/>
      <c r="E324" s="7" t="s">
        <v>2513</v>
      </c>
      <c r="F324" s="7" t="s">
        <v>19</v>
      </c>
      <c r="G324" s="7" t="s">
        <v>31</v>
      </c>
      <c r="H324" s="7" t="s">
        <v>17</v>
      </c>
      <c r="I324" s="7" t="s">
        <v>17</v>
      </c>
      <c r="J324" s="7" t="s">
        <v>2514</v>
      </c>
    </row>
    <row r="325" spans="1:10" x14ac:dyDescent="0.25" outlineLevel="3" collapsed="1">
      <c r="A325" s="7" t="s">
        <v>19</v>
      </c>
      <c r="B325" s="7" t="s">
        <v>16</v>
      </c>
      <c r="C325" s="7" t="s">
        <v>17</v>
      </c>
      <c r="D325" s="7"/>
      <c r="E325" s="7" t="s">
        <v>2515</v>
      </c>
      <c r="F325" s="7" t="s">
        <v>19</v>
      </c>
      <c r="G325" s="7" t="s">
        <v>31</v>
      </c>
      <c r="H325" s="7" t="s">
        <v>17</v>
      </c>
      <c r="I325" s="7" t="s">
        <v>17</v>
      </c>
      <c r="J325" s="7" t="s">
        <v>2516</v>
      </c>
    </row>
    <row r="326" spans="1:10" x14ac:dyDescent="0.25" outlineLevel="3" collapsed="1">
      <c r="A326" s="7" t="s">
        <v>19</v>
      </c>
      <c r="B326" s="7" t="s">
        <v>16</v>
      </c>
      <c r="C326" s="7" t="s">
        <v>17</v>
      </c>
      <c r="D326" s="7"/>
      <c r="E326" s="7" t="s">
        <v>478</v>
      </c>
      <c r="F326" s="7" t="s">
        <v>19</v>
      </c>
      <c r="G326" s="7" t="s">
        <v>31</v>
      </c>
      <c r="H326" s="7" t="s">
        <v>17</v>
      </c>
      <c r="I326" s="7" t="s">
        <v>17</v>
      </c>
      <c r="J326" s="7" t="s">
        <v>1323</v>
      </c>
    </row>
    <row r="327" spans="1:10" x14ac:dyDescent="0.25" outlineLevel="2" collapsed="1">
      <c r="A327" s="8" t="s">
        <v>15</v>
      </c>
      <c r="B327" s="9" t="s">
        <v>2517</v>
      </c>
      <c r="C327" s="8" t="s">
        <v>17</v>
      </c>
      <c r="D327" s="8"/>
      <c r="E327" s="8" t="s">
        <v>2518</v>
      </c>
      <c r="F327" s="8" t="s">
        <v>19</v>
      </c>
      <c r="G327" s="8" t="s">
        <v>17</v>
      </c>
      <c r="H327" s="8" t="s">
        <v>17</v>
      </c>
      <c r="I327" s="8" t="s">
        <v>17</v>
      </c>
      <c r="J327" s="8" t="s">
        <v>1516</v>
      </c>
    </row>
    <row r="328" spans="1:10" x14ac:dyDescent="0.25" outlineLevel="3" collapsed="1">
      <c r="A328" s="7" t="s">
        <v>15</v>
      </c>
      <c r="B328" s="7" t="s">
        <v>159</v>
      </c>
      <c r="C328" s="7" t="s">
        <v>17</v>
      </c>
      <c r="D328" s="7"/>
      <c r="E328" s="7" t="s">
        <v>2519</v>
      </c>
      <c r="F328" s="7" t="s">
        <v>19</v>
      </c>
      <c r="G328" s="7" t="b">
        <v>0</v>
      </c>
      <c r="H328" s="7" t="s">
        <v>17</v>
      </c>
      <c r="I328" s="7" t="s">
        <v>17</v>
      </c>
      <c r="J328" s="7" t="s">
        <v>2520</v>
      </c>
    </row>
    <row r="329" spans="1:10" x14ac:dyDescent="0.25" outlineLevel="3" collapsed="1">
      <c r="A329" s="7" t="s">
        <v>15</v>
      </c>
      <c r="B329" s="7" t="s">
        <v>16</v>
      </c>
      <c r="C329" s="7" t="s">
        <v>17</v>
      </c>
      <c r="D329" s="7"/>
      <c r="E329" s="7" t="s">
        <v>2521</v>
      </c>
      <c r="F329" s="7" t="s">
        <v>19</v>
      </c>
      <c r="G329" s="7" t="s">
        <v>2522</v>
      </c>
      <c r="H329" s="7" t="s">
        <v>2522</v>
      </c>
      <c r="I329" s="7" t="s">
        <v>17</v>
      </c>
      <c r="J329" s="7" t="s">
        <v>2523</v>
      </c>
    </row>
    <row r="330" spans="1:10" x14ac:dyDescent="0.25" outlineLevel="2" collapsed="1">
      <c r="A330" s="7" t="s">
        <v>19</v>
      </c>
      <c r="B330" s="7" t="s">
        <v>16</v>
      </c>
      <c r="C330" s="7" t="s">
        <v>17</v>
      </c>
      <c r="D330" s="7"/>
      <c r="E330" s="7" t="s">
        <v>2524</v>
      </c>
      <c r="F330" s="7" t="s">
        <v>19</v>
      </c>
      <c r="G330" s="7" t="s">
        <v>31</v>
      </c>
      <c r="H330" s="7" t="s">
        <v>17</v>
      </c>
      <c r="I330" s="7" t="s">
        <v>17</v>
      </c>
      <c r="J330" s="7" t="s">
        <v>2525</v>
      </c>
    </row>
    <row r="331" spans="1:10" x14ac:dyDescent="0.25" outlineLevel="2" collapsed="1">
      <c r="A331" s="7" t="s">
        <v>19</v>
      </c>
      <c r="B331" s="7" t="s">
        <v>16</v>
      </c>
      <c r="C331" s="7" t="s">
        <v>17</v>
      </c>
      <c r="D331" s="7"/>
      <c r="E331" s="7" t="s">
        <v>2526</v>
      </c>
      <c r="F331" s="7" t="s">
        <v>19</v>
      </c>
      <c r="G331" s="7" t="s">
        <v>31</v>
      </c>
      <c r="H331" s="7" t="s">
        <v>17</v>
      </c>
      <c r="I331" s="7" t="s">
        <v>17</v>
      </c>
      <c r="J331" s="7" t="s">
        <v>2527</v>
      </c>
    </row>
    <row r="332" spans="1:10" x14ac:dyDescent="0.25" outlineLevel="2" collapsed="1">
      <c r="A332" s="8" t="s">
        <v>19</v>
      </c>
      <c r="B332" s="9" t="s">
        <v>2528</v>
      </c>
      <c r="C332" s="8" t="s">
        <v>17</v>
      </c>
      <c r="D332" s="8"/>
      <c r="E332" s="8" t="s">
        <v>2529</v>
      </c>
      <c r="F332" s="8" t="s">
        <v>15</v>
      </c>
      <c r="G332" s="8" t="s">
        <v>17</v>
      </c>
      <c r="H332" s="8" t="s">
        <v>17</v>
      </c>
      <c r="I332" s="8" t="s">
        <v>17</v>
      </c>
      <c r="J332" s="8" t="s">
        <v>2530</v>
      </c>
    </row>
    <row r="333" spans="1:10" x14ac:dyDescent="0.25" outlineLevel="3" collapsed="1">
      <c r="A333" s="7" t="s">
        <v>19</v>
      </c>
      <c r="B333" s="7" t="s">
        <v>16</v>
      </c>
      <c r="C333" s="7" t="s">
        <v>17</v>
      </c>
      <c r="D333" s="7"/>
      <c r="E333" s="7" t="s">
        <v>2531</v>
      </c>
      <c r="F333" s="7" t="s">
        <v>19</v>
      </c>
      <c r="G333" s="7" t="s">
        <v>31</v>
      </c>
      <c r="H333" s="7" t="s">
        <v>17</v>
      </c>
      <c r="I333" s="7" t="s">
        <v>17</v>
      </c>
      <c r="J333" s="7" t="s">
        <v>2532</v>
      </c>
    </row>
    <row r="334" spans="1:10" x14ac:dyDescent="0.25" outlineLevel="3" collapsed="1">
      <c r="A334" s="7" t="s">
        <v>19</v>
      </c>
      <c r="B334" s="7" t="s">
        <v>16</v>
      </c>
      <c r="C334" s="7" t="s">
        <v>17</v>
      </c>
      <c r="D334" s="7"/>
      <c r="E334" s="7" t="s">
        <v>1345</v>
      </c>
      <c r="F334" s="7" t="s">
        <v>19</v>
      </c>
      <c r="G334" s="7" t="s">
        <v>31</v>
      </c>
      <c r="H334" s="7" t="s">
        <v>17</v>
      </c>
      <c r="I334" s="7" t="s">
        <v>17</v>
      </c>
      <c r="J334" s="7" t="s">
        <v>1346</v>
      </c>
    </row>
    <row r="335" spans="1:10" x14ac:dyDescent="0.25" outlineLevel="3" collapsed="1">
      <c r="A335" s="7" t="s">
        <v>19</v>
      </c>
      <c r="B335" s="7" t="s">
        <v>16</v>
      </c>
      <c r="C335" s="7" t="s">
        <v>17</v>
      </c>
      <c r="D335" s="7"/>
      <c r="E335" s="7" t="s">
        <v>1347</v>
      </c>
      <c r="F335" s="7" t="s">
        <v>19</v>
      </c>
      <c r="G335" s="7" t="s">
        <v>31</v>
      </c>
      <c r="H335" s="7" t="s">
        <v>17</v>
      </c>
      <c r="I335" s="7" t="s">
        <v>17</v>
      </c>
      <c r="J335" s="7" t="s">
        <v>1348</v>
      </c>
    </row>
    <row r="336" spans="1:10" x14ac:dyDescent="0.25" outlineLevel="3" collapsed="1">
      <c r="A336" s="7" t="s">
        <v>19</v>
      </c>
      <c r="B336" s="7" t="s">
        <v>16</v>
      </c>
      <c r="C336" s="7" t="s">
        <v>17</v>
      </c>
      <c r="D336" s="7"/>
      <c r="E336" s="7" t="s">
        <v>2533</v>
      </c>
      <c r="F336" s="7" t="s">
        <v>19</v>
      </c>
      <c r="G336" s="7" t="s">
        <v>31</v>
      </c>
      <c r="H336" s="7" t="s">
        <v>17</v>
      </c>
      <c r="I336" s="7" t="s">
        <v>17</v>
      </c>
      <c r="J336" s="7" t="s">
        <v>2534</v>
      </c>
    </row>
    <row r="337" spans="1:10" x14ac:dyDescent="0.25" outlineLevel="2" collapsed="1">
      <c r="A337" s="8" t="s">
        <v>19</v>
      </c>
      <c r="B337" s="9" t="s">
        <v>2535</v>
      </c>
      <c r="C337" s="8" t="s">
        <v>17</v>
      </c>
      <c r="D337" s="8"/>
      <c r="E337" s="8" t="s">
        <v>2536</v>
      </c>
      <c r="F337" s="8" t="s">
        <v>15</v>
      </c>
      <c r="G337" s="8" t="s">
        <v>17</v>
      </c>
      <c r="H337" s="8" t="s">
        <v>17</v>
      </c>
      <c r="I337" s="8" t="s">
        <v>17</v>
      </c>
      <c r="J337" s="8" t="s">
        <v>2537</v>
      </c>
    </row>
    <row r="338" spans="1:10" x14ac:dyDescent="0.25" outlineLevel="3" collapsed="1">
      <c r="A338" s="7" t="s">
        <v>19</v>
      </c>
      <c r="B338" s="7" t="s">
        <v>16</v>
      </c>
      <c r="C338" s="7" t="s">
        <v>17</v>
      </c>
      <c r="D338" s="7"/>
      <c r="E338" s="7" t="s">
        <v>2538</v>
      </c>
      <c r="F338" s="7" t="s">
        <v>19</v>
      </c>
      <c r="G338" s="7" t="s">
        <v>31</v>
      </c>
      <c r="H338" s="7" t="s">
        <v>17</v>
      </c>
      <c r="I338" s="7" t="s">
        <v>17</v>
      </c>
      <c r="J338" s="7" t="s">
        <v>2539</v>
      </c>
    </row>
    <row r="339" spans="1:10" x14ac:dyDescent="0.25" outlineLevel="3" collapsed="1">
      <c r="A339" s="7" t="s">
        <v>19</v>
      </c>
      <c r="B339" s="7" t="s">
        <v>16</v>
      </c>
      <c r="C339" s="7" t="s">
        <v>17</v>
      </c>
      <c r="D339" s="7"/>
      <c r="E339" s="7" t="s">
        <v>2540</v>
      </c>
      <c r="F339" s="7" t="s">
        <v>19</v>
      </c>
      <c r="G339" s="7" t="s">
        <v>31</v>
      </c>
      <c r="H339" s="7" t="s">
        <v>17</v>
      </c>
      <c r="I339" s="7" t="s">
        <v>17</v>
      </c>
      <c r="J339" s="7" t="s">
        <v>606</v>
      </c>
    </row>
    <row r="340" spans="1:10" x14ac:dyDescent="0.25" outlineLevel="3" collapsed="1">
      <c r="A340" s="7" t="s">
        <v>19</v>
      </c>
      <c r="B340" s="7" t="s">
        <v>16</v>
      </c>
      <c r="C340" s="7" t="s">
        <v>17</v>
      </c>
      <c r="D340" s="7"/>
      <c r="E340" s="7" t="s">
        <v>2541</v>
      </c>
      <c r="F340" s="7" t="s">
        <v>19</v>
      </c>
      <c r="G340" s="7" t="s">
        <v>31</v>
      </c>
      <c r="H340" s="7" t="s">
        <v>17</v>
      </c>
      <c r="I340" s="7" t="s">
        <v>17</v>
      </c>
      <c r="J340" s="7" t="s">
        <v>2542</v>
      </c>
    </row>
    <row r="341" spans="1:10" x14ac:dyDescent="0.25" outlineLevel="1" collapsed="1">
      <c r="A341" s="8" t="s">
        <v>15</v>
      </c>
      <c r="B341" s="9" t="s">
        <v>2543</v>
      </c>
      <c r="C341" s="8" t="s">
        <v>17</v>
      </c>
      <c r="D341" s="8"/>
      <c r="E341" s="8" t="s">
        <v>2544</v>
      </c>
      <c r="F341" s="8" t="s">
        <v>19</v>
      </c>
      <c r="G341" s="8" t="s">
        <v>17</v>
      </c>
      <c r="H341" s="8" t="s">
        <v>17</v>
      </c>
      <c r="I341" s="8" t="s">
        <v>17</v>
      </c>
      <c r="J341" s="8" t="s">
        <v>2403</v>
      </c>
    </row>
    <row r="342" spans="1:10" x14ac:dyDescent="0.25" outlineLevel="2" collapsed="1">
      <c r="A342" s="7" t="s">
        <v>15</v>
      </c>
      <c r="B342" s="7" t="s">
        <v>16</v>
      </c>
      <c r="C342" s="7" t="s">
        <v>17</v>
      </c>
      <c r="D342" s="7"/>
      <c r="E342" s="7" t="s">
        <v>2545</v>
      </c>
      <c r="F342" s="7" t="s">
        <v>19</v>
      </c>
      <c r="G342" s="7" t="s">
        <v>2546</v>
      </c>
      <c r="H342" s="7" t="s">
        <v>17</v>
      </c>
      <c r="I342" s="7" t="s">
        <v>17</v>
      </c>
      <c r="J342" s="7" t="s">
        <v>2403</v>
      </c>
    </row>
    <row r="343" spans="1:10" x14ac:dyDescent="0.25" outlineLevel="2" collapsed="1">
      <c r="A343" s="7" t="s">
        <v>15</v>
      </c>
      <c r="B343" s="7" t="s">
        <v>16</v>
      </c>
      <c r="C343" s="7" t="s">
        <v>17</v>
      </c>
      <c r="D343" s="7"/>
      <c r="E343" s="7" t="s">
        <v>2547</v>
      </c>
      <c r="F343" s="7" t="s">
        <v>19</v>
      </c>
      <c r="G343" s="7" t="s">
        <v>2548</v>
      </c>
      <c r="H343" s="7" t="s">
        <v>17</v>
      </c>
      <c r="I343" s="7" t="s">
        <v>17</v>
      </c>
      <c r="J343" s="7" t="s">
        <v>2549</v>
      </c>
    </row>
    <row r="344" spans="1:10" x14ac:dyDescent="0.25" outlineLevel="2" collapsed="1">
      <c r="A344" s="7" t="s">
        <v>15</v>
      </c>
      <c r="B344" s="7" t="s">
        <v>16</v>
      </c>
      <c r="C344" s="7" t="s">
        <v>17</v>
      </c>
      <c r="D344" s="7"/>
      <c r="E344" s="7" t="s">
        <v>2550</v>
      </c>
      <c r="F344" s="7" t="s">
        <v>19</v>
      </c>
      <c r="G344" s="7" t="s">
        <v>2551</v>
      </c>
      <c r="H344" s="7" t="s">
        <v>17</v>
      </c>
      <c r="I344" s="7" t="s">
        <v>17</v>
      </c>
      <c r="J344" s="7" t="s">
        <v>2552</v>
      </c>
    </row>
    <row r="345" spans="1:10" x14ac:dyDescent="0.25" outlineLevel="2" collapsed="1">
      <c r="A345" s="7" t="s">
        <v>15</v>
      </c>
      <c r="B345" s="7" t="s">
        <v>16</v>
      </c>
      <c r="C345" s="7" t="s">
        <v>17</v>
      </c>
      <c r="D345" s="7"/>
      <c r="E345" s="7" t="s">
        <v>2553</v>
      </c>
      <c r="F345" s="7" t="s">
        <v>19</v>
      </c>
      <c r="G345" s="7" t="s">
        <v>2554</v>
      </c>
      <c r="H345" s="7" t="s">
        <v>17</v>
      </c>
      <c r="I345" s="7" t="s">
        <v>17</v>
      </c>
      <c r="J345" s="7" t="s">
        <v>2555</v>
      </c>
    </row>
    <row r="346" spans="1:10" x14ac:dyDescent="0.25" outlineLevel="2" collapsed="1">
      <c r="A346" s="8" t="s">
        <v>15</v>
      </c>
      <c r="B346" s="9" t="s">
        <v>2556</v>
      </c>
      <c r="C346" s="8" t="s">
        <v>17</v>
      </c>
      <c r="D346" s="8"/>
      <c r="E346" s="8" t="s">
        <v>2557</v>
      </c>
      <c r="F346" s="8" t="s">
        <v>19</v>
      </c>
      <c r="G346" s="8" t="s">
        <v>17</v>
      </c>
      <c r="H346" s="8" t="s">
        <v>17</v>
      </c>
      <c r="I346" s="8" t="s">
        <v>17</v>
      </c>
      <c r="J346" s="8" t="s">
        <v>518</v>
      </c>
    </row>
    <row r="347" spans="1:10" x14ac:dyDescent="0.25" outlineLevel="3" collapsed="1">
      <c r="A347" s="7" t="s">
        <v>15</v>
      </c>
      <c r="B347" s="7" t="s">
        <v>16</v>
      </c>
      <c r="C347" s="7" t="s">
        <v>17</v>
      </c>
      <c r="D347" s="7"/>
      <c r="E347" s="7" t="s">
        <v>2558</v>
      </c>
      <c r="F347" s="7" t="s">
        <v>19</v>
      </c>
      <c r="G347" s="7" t="s">
        <v>2559</v>
      </c>
      <c r="H347" s="7" t="s">
        <v>17</v>
      </c>
      <c r="I347" s="7" t="s">
        <v>17</v>
      </c>
      <c r="J347" s="7" t="s">
        <v>2560</v>
      </c>
    </row>
    <row r="348" spans="1:10" x14ac:dyDescent="0.25" outlineLevel="3" collapsed="1">
      <c r="A348" s="7" t="s">
        <v>15</v>
      </c>
      <c r="B348" s="7" t="s">
        <v>16</v>
      </c>
      <c r="C348" s="7" t="s">
        <v>17</v>
      </c>
      <c r="D348" s="7"/>
      <c r="E348" s="7" t="s">
        <v>2561</v>
      </c>
      <c r="F348" s="7" t="s">
        <v>19</v>
      </c>
      <c r="G348" s="7" t="s">
        <v>2562</v>
      </c>
      <c r="H348" s="7" t="s">
        <v>17</v>
      </c>
      <c r="I348" s="7" t="s">
        <v>17</v>
      </c>
      <c r="J348" s="7" t="s">
        <v>2563</v>
      </c>
    </row>
    <row r="349" spans="1:10" x14ac:dyDescent="0.25" outlineLevel="3" collapsed="1">
      <c r="A349" s="7" t="s">
        <v>15</v>
      </c>
      <c r="B349" s="7" t="s">
        <v>159</v>
      </c>
      <c r="C349" s="7" t="s">
        <v>17</v>
      </c>
      <c r="D349" s="7"/>
      <c r="E349" s="7" t="s">
        <v>2564</v>
      </c>
      <c r="F349" s="7" t="s">
        <v>19</v>
      </c>
      <c r="G349" s="7" t="b">
        <v>1</v>
      </c>
      <c r="H349" s="7" t="s">
        <v>17</v>
      </c>
      <c r="I349" s="7" t="s">
        <v>17</v>
      </c>
      <c r="J349" s="7" t="s">
        <v>2565</v>
      </c>
    </row>
    <row r="350" spans="1:10" x14ac:dyDescent="0.25" outlineLevel="2" collapsed="1">
      <c r="A350" s="7" t="s">
        <v>15</v>
      </c>
      <c r="B350" s="7" t="s">
        <v>16</v>
      </c>
      <c r="C350" s="7" t="s">
        <v>17</v>
      </c>
      <c r="D350" s="7"/>
      <c r="E350" s="7" t="s">
        <v>2566</v>
      </c>
      <c r="F350" s="7" t="s">
        <v>19</v>
      </c>
      <c r="G350" s="7" t="s">
        <v>2567</v>
      </c>
      <c r="H350" s="7" t="s">
        <v>17</v>
      </c>
      <c r="I350" s="7" t="s">
        <v>17</v>
      </c>
      <c r="J350" s="7" t="s">
        <v>2568</v>
      </c>
    </row>
    <row r="351" spans="1:10" x14ac:dyDescent="0.25" outlineLevel="1" collapsed="1">
      <c r="A351" s="8" t="s">
        <v>15</v>
      </c>
      <c r="B351" s="9" t="s">
        <v>2569</v>
      </c>
      <c r="C351" s="8" t="s">
        <v>17</v>
      </c>
      <c r="D351" s="8"/>
      <c r="E351" s="8" t="s">
        <v>2570</v>
      </c>
      <c r="F351" s="8" t="s">
        <v>19</v>
      </c>
      <c r="G351" s="8" t="s">
        <v>17</v>
      </c>
      <c r="H351" s="8" t="s">
        <v>17</v>
      </c>
      <c r="I351" s="8" t="s">
        <v>17</v>
      </c>
      <c r="J351" s="8" t="s">
        <v>2405</v>
      </c>
    </row>
    <row r="352" spans="1:10" x14ac:dyDescent="0.25" outlineLevel="2" collapsed="1">
      <c r="A352" s="7" t="s">
        <v>15</v>
      </c>
      <c r="B352" s="12" t="s">
        <v>2571</v>
      </c>
      <c r="C352" s="7" t="s">
        <v>17</v>
      </c>
      <c r="D352" s="7"/>
      <c r="E352" s="7" t="s">
        <v>2572</v>
      </c>
      <c r="F352" s="7" t="s">
        <v>19</v>
      </c>
      <c r="G352" s="7" t="s">
        <v>17</v>
      </c>
      <c r="H352" s="7" t="s">
        <v>17</v>
      </c>
      <c r="I352" s="7" t="s">
        <v>17</v>
      </c>
      <c r="J352" s="7" t="s">
        <v>2573</v>
      </c>
    </row>
    <row r="353" spans="1:10" x14ac:dyDescent="0.25" outlineLevel="2" collapsed="1">
      <c r="A353" s="8" t="s">
        <v>15</v>
      </c>
      <c r="B353" s="9" t="s">
        <v>2574</v>
      </c>
      <c r="C353" s="8" t="s">
        <v>17</v>
      </c>
      <c r="D353" s="8"/>
      <c r="E353" s="8" t="s">
        <v>2575</v>
      </c>
      <c r="F353" s="8" t="s">
        <v>19</v>
      </c>
      <c r="G353" s="8" t="s">
        <v>17</v>
      </c>
      <c r="H353" s="8" t="s">
        <v>17</v>
      </c>
      <c r="I353" s="8" t="s">
        <v>17</v>
      </c>
      <c r="J353" s="8" t="s">
        <v>2576</v>
      </c>
    </row>
    <row r="354" spans="1:10" x14ac:dyDescent="0.25" outlineLevel="3" collapsed="1">
      <c r="A354" s="7" t="s">
        <v>15</v>
      </c>
      <c r="B354" s="7" t="s">
        <v>16</v>
      </c>
      <c r="C354" s="7" t="s">
        <v>17</v>
      </c>
      <c r="D354" s="7"/>
      <c r="E354" s="7" t="s">
        <v>2577</v>
      </c>
      <c r="F354" s="7" t="s">
        <v>19</v>
      </c>
      <c r="G354" s="7" t="s">
        <v>2578</v>
      </c>
      <c r="H354" s="7" t="s">
        <v>17</v>
      </c>
      <c r="I354" s="7" t="s">
        <v>17</v>
      </c>
      <c r="J354" s="7" t="s">
        <v>2579</v>
      </c>
    </row>
    <row r="355" spans="1:10" x14ac:dyDescent="0.25" outlineLevel="3" collapsed="1">
      <c r="A355" s="7" t="s">
        <v>19</v>
      </c>
      <c r="B355" s="7" t="s">
        <v>16</v>
      </c>
      <c r="C355" s="7" t="s">
        <v>17</v>
      </c>
      <c r="D355" s="7"/>
      <c r="E355" s="7" t="s">
        <v>2580</v>
      </c>
      <c r="F355" s="7" t="s">
        <v>19</v>
      </c>
      <c r="G355" s="7" t="s">
        <v>2581</v>
      </c>
      <c r="H355" s="7" t="s">
        <v>17</v>
      </c>
      <c r="I355" s="7" t="s">
        <v>17</v>
      </c>
      <c r="J355" s="7" t="s">
        <v>2582</v>
      </c>
    </row>
    <row r="356" spans="1:10" x14ac:dyDescent="0.25" outlineLevel="2" collapsed="1">
      <c r="A356" s="8" t="s">
        <v>19</v>
      </c>
      <c r="B356" s="9" t="s">
        <v>2583</v>
      </c>
      <c r="C356" s="8" t="s">
        <v>17</v>
      </c>
      <c r="D356" s="8"/>
      <c r="E356" s="8" t="s">
        <v>2584</v>
      </c>
      <c r="F356" s="8" t="s">
        <v>15</v>
      </c>
      <c r="G356" s="8" t="s">
        <v>17</v>
      </c>
      <c r="H356" s="8" t="s">
        <v>17</v>
      </c>
      <c r="I356" s="8" t="s">
        <v>17</v>
      </c>
      <c r="J356" s="8" t="s">
        <v>2585</v>
      </c>
    </row>
    <row r="357" spans="1:10" x14ac:dyDescent="0.25" outlineLevel="3" collapsed="1">
      <c r="A357" s="7" t="s">
        <v>19</v>
      </c>
      <c r="B357" s="7" t="s">
        <v>16</v>
      </c>
      <c r="C357" s="7" t="s">
        <v>17</v>
      </c>
      <c r="D357" s="7"/>
      <c r="E357" s="7" t="s">
        <v>2426</v>
      </c>
      <c r="F357" s="7" t="s">
        <v>19</v>
      </c>
      <c r="G357" s="7" t="s">
        <v>31</v>
      </c>
      <c r="H357" s="7" t="s">
        <v>17</v>
      </c>
      <c r="I357" s="7" t="s">
        <v>17</v>
      </c>
      <c r="J357" s="7" t="s">
        <v>2427</v>
      </c>
    </row>
    <row r="358" spans="1:10" x14ac:dyDescent="0.25" outlineLevel="3" collapsed="1">
      <c r="A358" s="7" t="s">
        <v>19</v>
      </c>
      <c r="B358" s="7" t="s">
        <v>16</v>
      </c>
      <c r="C358" s="7" t="s">
        <v>17</v>
      </c>
      <c r="D358" s="7"/>
      <c r="E358" s="7" t="s">
        <v>2586</v>
      </c>
      <c r="F358" s="7" t="s">
        <v>19</v>
      </c>
      <c r="G358" s="7" t="s">
        <v>31</v>
      </c>
      <c r="H358" s="7" t="s">
        <v>17</v>
      </c>
      <c r="I358" s="7" t="s">
        <v>17</v>
      </c>
      <c r="J358" s="7" t="s">
        <v>2587</v>
      </c>
    </row>
    <row r="359" spans="1:10" x14ac:dyDescent="0.25" outlineLevel="2" collapsed="1">
      <c r="A359" s="7" t="s">
        <v>19</v>
      </c>
      <c r="B359" s="7" t="s">
        <v>16</v>
      </c>
      <c r="C359" s="7" t="s">
        <v>17</v>
      </c>
      <c r="D359" s="7"/>
      <c r="E359" s="7" t="s">
        <v>2588</v>
      </c>
      <c r="F359" s="7" t="s">
        <v>19</v>
      </c>
      <c r="G359" s="7" t="s">
        <v>31</v>
      </c>
      <c r="H359" s="7" t="s">
        <v>17</v>
      </c>
      <c r="I359" s="7" t="s">
        <v>17</v>
      </c>
      <c r="J359" s="7" t="s">
        <v>2589</v>
      </c>
    </row>
    <row r="360" spans="1:10" x14ac:dyDescent="0.25" outlineLevel="1" collapsed="1">
      <c r="A360" s="8" t="s">
        <v>15</v>
      </c>
      <c r="B360" s="9" t="s">
        <v>2590</v>
      </c>
      <c r="C360" s="8" t="s">
        <v>17</v>
      </c>
      <c r="D360" s="8"/>
      <c r="E360" s="8" t="s">
        <v>2591</v>
      </c>
      <c r="F360" s="8" t="s">
        <v>19</v>
      </c>
      <c r="G360" s="8" t="s">
        <v>17</v>
      </c>
      <c r="H360" s="8" t="s">
        <v>17</v>
      </c>
      <c r="I360" s="8" t="s">
        <v>17</v>
      </c>
      <c r="J360" s="8" t="s">
        <v>491</v>
      </c>
    </row>
    <row r="361" spans="1:10" x14ac:dyDescent="0.25" outlineLevel="2" collapsed="1">
      <c r="A361" s="7" t="s">
        <v>15</v>
      </c>
      <c r="B361" s="7" t="s">
        <v>159</v>
      </c>
      <c r="C361" s="7" t="s">
        <v>17</v>
      </c>
      <c r="D361" s="7"/>
      <c r="E361" s="7" t="s">
        <v>2592</v>
      </c>
      <c r="F361" s="7" t="s">
        <v>19</v>
      </c>
      <c r="G361" s="7" t="b">
        <v>0</v>
      </c>
      <c r="H361" s="7" t="s">
        <v>17</v>
      </c>
      <c r="I361" s="7" t="s">
        <v>17</v>
      </c>
      <c r="J361" s="7" t="s">
        <v>2593</v>
      </c>
    </row>
    <row r="362" spans="1:10" x14ac:dyDescent="0.25" outlineLevel="2" collapsed="1">
      <c r="A362" s="8" t="s">
        <v>19</v>
      </c>
      <c r="B362" s="9" t="s">
        <v>1384</v>
      </c>
      <c r="C362" s="8" t="s">
        <v>17</v>
      </c>
      <c r="D362" s="8"/>
      <c r="E362" s="8" t="s">
        <v>1385</v>
      </c>
      <c r="F362" s="8" t="s">
        <v>15</v>
      </c>
      <c r="G362" s="8" t="s">
        <v>17</v>
      </c>
      <c r="H362" s="8" t="s">
        <v>17</v>
      </c>
      <c r="I362" s="8" t="s">
        <v>17</v>
      </c>
      <c r="J362" s="8" t="s">
        <v>1386</v>
      </c>
    </row>
    <row r="363" spans="1:10" x14ac:dyDescent="0.25" outlineLevel="3" collapsed="1">
      <c r="A363" s="7" t="s">
        <v>19</v>
      </c>
      <c r="B363" s="7" t="s">
        <v>16</v>
      </c>
      <c r="C363" s="7" t="s">
        <v>17</v>
      </c>
      <c r="D363" s="7"/>
      <c r="E363" s="7" t="s">
        <v>474</v>
      </c>
      <c r="F363" s="7" t="s">
        <v>19</v>
      </c>
      <c r="G363" s="7" t="s">
        <v>31</v>
      </c>
      <c r="H363" s="7" t="s">
        <v>17</v>
      </c>
      <c r="I363" s="7" t="s">
        <v>17</v>
      </c>
      <c r="J363" s="7" t="s">
        <v>476</v>
      </c>
    </row>
    <row r="364" spans="1:10" x14ac:dyDescent="0.25" outlineLevel="3" collapsed="1">
      <c r="A364" s="7" t="s">
        <v>19</v>
      </c>
      <c r="B364" s="7" t="s">
        <v>16</v>
      </c>
      <c r="C364" s="7" t="s">
        <v>17</v>
      </c>
      <c r="D364" s="7"/>
      <c r="E364" s="7" t="s">
        <v>1387</v>
      </c>
      <c r="F364" s="7" t="s">
        <v>19</v>
      </c>
      <c r="G364" s="7" t="s">
        <v>31</v>
      </c>
      <c r="H364" s="7" t="s">
        <v>17</v>
      </c>
      <c r="I364" s="7" t="s">
        <v>17</v>
      </c>
      <c r="J364" s="7" t="s">
        <v>1388</v>
      </c>
    </row>
    <row r="365" spans="1:10" x14ac:dyDescent="0.25" outlineLevel="3" collapsed="1">
      <c r="A365" s="7" t="s">
        <v>19</v>
      </c>
      <c r="B365" s="7" t="s">
        <v>16</v>
      </c>
      <c r="C365" s="7" t="s">
        <v>17</v>
      </c>
      <c r="D365" s="7"/>
      <c r="E365" s="7" t="s">
        <v>1389</v>
      </c>
      <c r="F365" s="7" t="s">
        <v>19</v>
      </c>
      <c r="G365" s="7" t="s">
        <v>31</v>
      </c>
      <c r="H365" s="7" t="s">
        <v>17</v>
      </c>
      <c r="I365" s="7" t="s">
        <v>17</v>
      </c>
      <c r="J365" s="7" t="s">
        <v>1390</v>
      </c>
    </row>
    <row r="366" spans="1:10" x14ac:dyDescent="0.25" outlineLevel="3" collapsed="1">
      <c r="A366" s="7" t="s">
        <v>19</v>
      </c>
      <c r="B366" s="7" t="s">
        <v>16</v>
      </c>
      <c r="C366" s="7" t="s">
        <v>17</v>
      </c>
      <c r="D366" s="7"/>
      <c r="E366" s="7" t="s">
        <v>1391</v>
      </c>
      <c r="F366" s="7" t="s">
        <v>19</v>
      </c>
      <c r="G366" s="7" t="s">
        <v>31</v>
      </c>
      <c r="H366" s="7" t="s">
        <v>17</v>
      </c>
      <c r="I366" s="7" t="s">
        <v>17</v>
      </c>
      <c r="J366" s="7" t="s">
        <v>1392</v>
      </c>
    </row>
    <row r="367" spans="1:10" x14ac:dyDescent="0.25" outlineLevel="3" collapsed="1">
      <c r="A367" s="7" t="s">
        <v>19</v>
      </c>
      <c r="B367" s="7" t="s">
        <v>16</v>
      </c>
      <c r="C367" s="7" t="s">
        <v>17</v>
      </c>
      <c r="D367" s="7"/>
      <c r="E367" s="7" t="s">
        <v>1393</v>
      </c>
      <c r="F367" s="7" t="s">
        <v>19</v>
      </c>
      <c r="G367" s="7" t="s">
        <v>31</v>
      </c>
      <c r="H367" s="7" t="s">
        <v>17</v>
      </c>
      <c r="I367" s="7" t="s">
        <v>17</v>
      </c>
      <c r="J367" s="7" t="s">
        <v>1394</v>
      </c>
    </row>
    <row r="368" spans="1:10" x14ac:dyDescent="0.25" outlineLevel="3" collapsed="1">
      <c r="A368" s="7" t="s">
        <v>19</v>
      </c>
      <c r="B368" s="7" t="s">
        <v>16</v>
      </c>
      <c r="C368" s="7" t="s">
        <v>17</v>
      </c>
      <c r="D368" s="7"/>
      <c r="E368" s="7" t="s">
        <v>1395</v>
      </c>
      <c r="F368" s="7" t="s">
        <v>19</v>
      </c>
      <c r="G368" s="7" t="s">
        <v>31</v>
      </c>
      <c r="H368" s="7" t="s">
        <v>17</v>
      </c>
      <c r="I368" s="7" t="s">
        <v>17</v>
      </c>
      <c r="J368" s="7" t="s">
        <v>1396</v>
      </c>
    </row>
    <row r="369" spans="1:10" x14ac:dyDescent="0.25">
      <c r="A369" s="5" t="s">
        <v>15</v>
      </c>
      <c r="B369" s="6" t="s">
        <v>2594</v>
      </c>
      <c r="C369" s="5" t="s">
        <v>17</v>
      </c>
      <c r="D369" s="5"/>
      <c r="E369" s="5" t="s">
        <v>2595</v>
      </c>
      <c r="F369" s="5" t="s">
        <v>19</v>
      </c>
      <c r="G369" s="5" t="s">
        <v>17</v>
      </c>
      <c r="H369" s="5" t="s">
        <v>17</v>
      </c>
      <c r="I369" s="5" t="s">
        <v>17</v>
      </c>
      <c r="J369" s="5" t="s">
        <v>2596</v>
      </c>
    </row>
    <row r="370" spans="1:10" x14ac:dyDescent="0.25" outlineLevel="1" collapsed="1">
      <c r="A370" s="7" t="s">
        <v>15</v>
      </c>
      <c r="B370" s="12" t="s">
        <v>2597</v>
      </c>
      <c r="C370" s="7" t="s">
        <v>17</v>
      </c>
      <c r="D370" s="7"/>
      <c r="E370" s="7" t="s">
        <v>2598</v>
      </c>
      <c r="F370" s="7" t="s">
        <v>19</v>
      </c>
      <c r="G370" s="7" t="s">
        <v>17</v>
      </c>
      <c r="H370" s="7" t="s">
        <v>17</v>
      </c>
      <c r="I370" s="7" t="s">
        <v>17</v>
      </c>
      <c r="J370" s="7" t="s">
        <v>1571</v>
      </c>
    </row>
    <row r="371" spans="1:10" x14ac:dyDescent="0.25" outlineLevel="1" collapsed="1">
      <c r="A371" s="7" t="s">
        <v>15</v>
      </c>
      <c r="B371" s="12" t="s">
        <v>2599</v>
      </c>
      <c r="C371" s="7" t="s">
        <v>17</v>
      </c>
      <c r="D371" s="7"/>
      <c r="E371" s="7" t="s">
        <v>2600</v>
      </c>
      <c r="F371" s="7" t="s">
        <v>19</v>
      </c>
      <c r="G371" s="7" t="s">
        <v>17</v>
      </c>
      <c r="H371" s="7" t="s">
        <v>17</v>
      </c>
      <c r="I371" s="7" t="s">
        <v>17</v>
      </c>
      <c r="J371" s="7" t="s">
        <v>1573</v>
      </c>
    </row>
    <row r="372" spans="1:10" x14ac:dyDescent="0.25" outlineLevel="1" collapsed="1">
      <c r="A372" s="8" t="s">
        <v>15</v>
      </c>
      <c r="B372" s="9" t="s">
        <v>2601</v>
      </c>
      <c r="C372" s="8" t="s">
        <v>17</v>
      </c>
      <c r="D372" s="8"/>
      <c r="E372" s="8" t="s">
        <v>2602</v>
      </c>
      <c r="F372" s="8" t="s">
        <v>19</v>
      </c>
      <c r="G372" s="8" t="s">
        <v>17</v>
      </c>
      <c r="H372" s="8" t="s">
        <v>17</v>
      </c>
      <c r="I372" s="8" t="s">
        <v>17</v>
      </c>
      <c r="J372" s="8" t="s">
        <v>741</v>
      </c>
    </row>
    <row r="373" spans="1:10" x14ac:dyDescent="0.25" outlineLevel="2" collapsed="1">
      <c r="A373" s="7" t="s">
        <v>15</v>
      </c>
      <c r="B373" s="7" t="s">
        <v>16</v>
      </c>
      <c r="C373" s="7" t="s">
        <v>17</v>
      </c>
      <c r="D373" s="7"/>
      <c r="E373" s="7" t="s">
        <v>2603</v>
      </c>
      <c r="F373" s="7" t="s">
        <v>19</v>
      </c>
      <c r="G373" s="7" t="s">
        <v>2604</v>
      </c>
      <c r="H373" s="7" t="s">
        <v>2605</v>
      </c>
      <c r="I373" s="7" t="s">
        <v>17</v>
      </c>
      <c r="J373" s="7" t="s">
        <v>2606</v>
      </c>
    </row>
    <row r="374" spans="1:10" x14ac:dyDescent="0.25" outlineLevel="1" collapsed="1">
      <c r="A374" s="8" t="s">
        <v>15</v>
      </c>
      <c r="B374" s="9" t="s">
        <v>2607</v>
      </c>
      <c r="C374" s="8" t="s">
        <v>17</v>
      </c>
      <c r="D374" s="8"/>
      <c r="E374" s="8" t="s">
        <v>2608</v>
      </c>
      <c r="F374" s="8" t="s">
        <v>19</v>
      </c>
      <c r="G374" s="8" t="s">
        <v>17</v>
      </c>
      <c r="H374" s="8" t="s">
        <v>17</v>
      </c>
      <c r="I374" s="8" t="s">
        <v>17</v>
      </c>
      <c r="J374" s="8" t="s">
        <v>1488</v>
      </c>
    </row>
    <row r="375" spans="1:10" x14ac:dyDescent="0.25" outlineLevel="2" collapsed="1">
      <c r="A375" s="8" t="s">
        <v>15</v>
      </c>
      <c r="B375" s="9" t="s">
        <v>2189</v>
      </c>
      <c r="C375" s="8" t="s">
        <v>17</v>
      </c>
      <c r="D375" s="8"/>
      <c r="E375" s="8" t="s">
        <v>2190</v>
      </c>
      <c r="F375" s="8" t="s">
        <v>19</v>
      </c>
      <c r="G375" s="8" t="s">
        <v>17</v>
      </c>
      <c r="H375" s="8" t="s">
        <v>17</v>
      </c>
      <c r="I375" s="8" t="s">
        <v>17</v>
      </c>
      <c r="J375" s="8" t="s">
        <v>1491</v>
      </c>
    </row>
    <row r="376" spans="1:10" x14ac:dyDescent="0.25" outlineLevel="3" collapsed="1">
      <c r="A376" s="7" t="s">
        <v>15</v>
      </c>
      <c r="B376" s="7" t="s">
        <v>159</v>
      </c>
      <c r="C376" s="7" t="s">
        <v>17</v>
      </c>
      <c r="D376" s="7"/>
      <c r="E376" s="7" t="s">
        <v>2191</v>
      </c>
      <c r="F376" s="7" t="s">
        <v>19</v>
      </c>
      <c r="G376" s="7" t="b">
        <v>0</v>
      </c>
      <c r="H376" s="7" t="s">
        <v>17</v>
      </c>
      <c r="I376" s="7" t="s">
        <v>17</v>
      </c>
      <c r="J376" s="7" t="s">
        <v>2192</v>
      </c>
    </row>
    <row r="377" spans="1:10" x14ac:dyDescent="0.25" outlineLevel="3" collapsed="1">
      <c r="A377" s="7" t="s">
        <v>15</v>
      </c>
      <c r="B377" s="7" t="s">
        <v>16</v>
      </c>
      <c r="C377" s="7" t="s">
        <v>17</v>
      </c>
      <c r="D377" s="7"/>
      <c r="E377" s="7" t="s">
        <v>2193</v>
      </c>
      <c r="F377" s="7" t="s">
        <v>19</v>
      </c>
      <c r="G377" s="7" t="s">
        <v>2194</v>
      </c>
      <c r="H377" s="7" t="s">
        <v>2194</v>
      </c>
      <c r="I377" s="7" t="s">
        <v>17</v>
      </c>
      <c r="J377" s="7" t="s">
        <v>2195</v>
      </c>
    </row>
    <row r="378" spans="1:10" x14ac:dyDescent="0.25" outlineLevel="2" collapsed="1">
      <c r="A378" s="8" t="s">
        <v>19</v>
      </c>
      <c r="B378" s="9" t="s">
        <v>2196</v>
      </c>
      <c r="C378" s="8" t="s">
        <v>17</v>
      </c>
      <c r="D378" s="8"/>
      <c r="E378" s="8" t="s">
        <v>2197</v>
      </c>
      <c r="F378" s="8" t="s">
        <v>19</v>
      </c>
      <c r="G378" s="8" t="s">
        <v>17</v>
      </c>
      <c r="H378" s="8" t="s">
        <v>17</v>
      </c>
      <c r="I378" s="8" t="s">
        <v>17</v>
      </c>
      <c r="J378" s="8" t="s">
        <v>621</v>
      </c>
    </row>
    <row r="379" spans="1:10" x14ac:dyDescent="0.25" outlineLevel="3" collapsed="1">
      <c r="A379" s="7" t="s">
        <v>19</v>
      </c>
      <c r="B379" s="7" t="s">
        <v>159</v>
      </c>
      <c r="C379" s="7" t="s">
        <v>17</v>
      </c>
      <c r="D379" s="7"/>
      <c r="E379" s="7" t="s">
        <v>2198</v>
      </c>
      <c r="F379" s="7" t="s">
        <v>19</v>
      </c>
      <c r="G379" s="7" t="b">
        <v>1</v>
      </c>
      <c r="H379" s="7" t="s">
        <v>17</v>
      </c>
      <c r="I379" s="7" t="s">
        <v>17</v>
      </c>
      <c r="J379" s="7" t="s">
        <v>1501</v>
      </c>
    </row>
    <row r="380" spans="1:10" x14ac:dyDescent="0.25" outlineLevel="3" collapsed="1">
      <c r="A380" s="7" t="s">
        <v>19</v>
      </c>
      <c r="B380" s="7" t="s">
        <v>16</v>
      </c>
      <c r="C380" s="7" t="s">
        <v>17</v>
      </c>
      <c r="D380" s="7"/>
      <c r="E380" s="7" t="s">
        <v>2199</v>
      </c>
      <c r="F380" s="7" t="s">
        <v>19</v>
      </c>
      <c r="G380" s="7" t="s">
        <v>31</v>
      </c>
      <c r="H380" s="7" t="s">
        <v>17</v>
      </c>
      <c r="I380" s="7" t="s">
        <v>17</v>
      </c>
      <c r="J380" s="7" t="s">
        <v>1504</v>
      </c>
    </row>
    <row r="381" spans="1:10" x14ac:dyDescent="0.25" outlineLevel="3" collapsed="1">
      <c r="A381" s="8" t="s">
        <v>19</v>
      </c>
      <c r="B381" s="9" t="s">
        <v>2200</v>
      </c>
      <c r="C381" s="8" t="s">
        <v>17</v>
      </c>
      <c r="D381" s="8"/>
      <c r="E381" s="8" t="s">
        <v>2201</v>
      </c>
      <c r="F381" s="8" t="s">
        <v>15</v>
      </c>
      <c r="G381" s="8" t="s">
        <v>17</v>
      </c>
      <c r="H381" s="8" t="s">
        <v>17</v>
      </c>
      <c r="I381" s="8" t="s">
        <v>17</v>
      </c>
      <c r="J381" s="8" t="s">
        <v>2202</v>
      </c>
    </row>
    <row r="382" spans="1:10" x14ac:dyDescent="0.25" outlineLevel="4" collapsed="1">
      <c r="A382" s="7" t="s">
        <v>19</v>
      </c>
      <c r="B382" s="7" t="s">
        <v>16</v>
      </c>
      <c r="C382" s="7" t="s">
        <v>17</v>
      </c>
      <c r="D382" s="7"/>
      <c r="E382" s="7" t="s">
        <v>728</v>
      </c>
      <c r="F382" s="7" t="s">
        <v>19</v>
      </c>
      <c r="G382" s="7" t="s">
        <v>31</v>
      </c>
      <c r="H382" s="7" t="s">
        <v>17</v>
      </c>
      <c r="I382" s="7" t="s">
        <v>17</v>
      </c>
      <c r="J382" s="7" t="s">
        <v>730</v>
      </c>
    </row>
    <row r="383" spans="1:10" x14ac:dyDescent="0.25" outlineLevel="4" collapsed="1">
      <c r="A383" s="7" t="s">
        <v>19</v>
      </c>
      <c r="B383" s="7" t="s">
        <v>16</v>
      </c>
      <c r="C383" s="7" t="s">
        <v>17</v>
      </c>
      <c r="D383" s="7"/>
      <c r="E383" s="7" t="s">
        <v>731</v>
      </c>
      <c r="F383" s="7" t="s">
        <v>19</v>
      </c>
      <c r="G383" s="7" t="s">
        <v>31</v>
      </c>
      <c r="H383" s="7" t="s">
        <v>17</v>
      </c>
      <c r="I383" s="7" t="s">
        <v>17</v>
      </c>
      <c r="J383" s="7" t="s">
        <v>733</v>
      </c>
    </row>
    <row r="384" spans="1:10" x14ac:dyDescent="0.25" outlineLevel="4" collapsed="1">
      <c r="A384" s="7" t="s">
        <v>19</v>
      </c>
      <c r="B384" s="7" t="s">
        <v>16</v>
      </c>
      <c r="C384" s="7" t="s">
        <v>17</v>
      </c>
      <c r="D384" s="7"/>
      <c r="E384" s="7" t="s">
        <v>1529</v>
      </c>
      <c r="F384" s="7" t="s">
        <v>19</v>
      </c>
      <c r="G384" s="7" t="s">
        <v>31</v>
      </c>
      <c r="H384" s="7" t="s">
        <v>17</v>
      </c>
      <c r="I384" s="7" t="s">
        <v>17</v>
      </c>
      <c r="J384" s="7" t="s">
        <v>2203</v>
      </c>
    </row>
    <row r="385" spans="1:10" x14ac:dyDescent="0.25" outlineLevel="4" collapsed="1">
      <c r="A385" s="7" t="s">
        <v>19</v>
      </c>
      <c r="B385" s="7" t="s">
        <v>16</v>
      </c>
      <c r="C385" s="7" t="s">
        <v>17</v>
      </c>
      <c r="D385" s="7"/>
      <c r="E385" s="7" t="s">
        <v>1531</v>
      </c>
      <c r="F385" s="7" t="s">
        <v>19</v>
      </c>
      <c r="G385" s="7" t="s">
        <v>31</v>
      </c>
      <c r="H385" s="7" t="s">
        <v>17</v>
      </c>
      <c r="I385" s="7" t="s">
        <v>17</v>
      </c>
      <c r="J385" s="7" t="s">
        <v>2204</v>
      </c>
    </row>
    <row r="386" spans="1:10" x14ac:dyDescent="0.25" outlineLevel="4" collapsed="1">
      <c r="A386" s="7" t="s">
        <v>19</v>
      </c>
      <c r="B386" s="7" t="s">
        <v>16</v>
      </c>
      <c r="C386" s="7" t="s">
        <v>17</v>
      </c>
      <c r="D386" s="7"/>
      <c r="E386" s="7" t="s">
        <v>1533</v>
      </c>
      <c r="F386" s="7" t="s">
        <v>19</v>
      </c>
      <c r="G386" s="7" t="s">
        <v>31</v>
      </c>
      <c r="H386" s="7" t="s">
        <v>17</v>
      </c>
      <c r="I386" s="7" t="s">
        <v>17</v>
      </c>
      <c r="J386" s="7" t="s">
        <v>2205</v>
      </c>
    </row>
    <row r="387" spans="1:10" x14ac:dyDescent="0.25" outlineLevel="4" collapsed="1">
      <c r="A387" s="7" t="s">
        <v>19</v>
      </c>
      <c r="B387" s="7" t="s">
        <v>16</v>
      </c>
      <c r="C387" s="7" t="s">
        <v>17</v>
      </c>
      <c r="D387" s="7"/>
      <c r="E387" s="7" t="s">
        <v>1535</v>
      </c>
      <c r="F387" s="7" t="s">
        <v>19</v>
      </c>
      <c r="G387" s="7" t="s">
        <v>31</v>
      </c>
      <c r="H387" s="7" t="s">
        <v>17</v>
      </c>
      <c r="I387" s="7" t="s">
        <v>17</v>
      </c>
      <c r="J387" s="7" t="s">
        <v>2206</v>
      </c>
    </row>
    <row r="388" spans="1:10" x14ac:dyDescent="0.25" outlineLevel="4" collapsed="1">
      <c r="A388" s="7" t="s">
        <v>19</v>
      </c>
      <c r="B388" s="7" t="s">
        <v>16</v>
      </c>
      <c r="C388" s="7" t="s">
        <v>17</v>
      </c>
      <c r="D388" s="7"/>
      <c r="E388" s="7" t="s">
        <v>1537</v>
      </c>
      <c r="F388" s="7" t="s">
        <v>19</v>
      </c>
      <c r="G388" s="7" t="s">
        <v>31</v>
      </c>
      <c r="H388" s="7" t="s">
        <v>17</v>
      </c>
      <c r="I388" s="7" t="s">
        <v>17</v>
      </c>
      <c r="J388" s="7" t="s">
        <v>2207</v>
      </c>
    </row>
    <row r="389" spans="1:10" x14ac:dyDescent="0.25" outlineLevel="4" collapsed="1">
      <c r="A389" s="7" t="s">
        <v>19</v>
      </c>
      <c r="B389" s="7" t="s">
        <v>16</v>
      </c>
      <c r="C389" s="7" t="s">
        <v>17</v>
      </c>
      <c r="D389" s="7"/>
      <c r="E389" s="7" t="s">
        <v>1539</v>
      </c>
      <c r="F389" s="7" t="s">
        <v>19</v>
      </c>
      <c r="G389" s="7" t="s">
        <v>31</v>
      </c>
      <c r="H389" s="7" t="s">
        <v>17</v>
      </c>
      <c r="I389" s="7" t="s">
        <v>17</v>
      </c>
      <c r="J389" s="7" t="s">
        <v>752</v>
      </c>
    </row>
    <row r="390" spans="1:10" x14ac:dyDescent="0.25" outlineLevel="3" collapsed="1">
      <c r="A390" s="8" t="s">
        <v>19</v>
      </c>
      <c r="B390" s="9" t="s">
        <v>2208</v>
      </c>
      <c r="C390" s="8" t="s">
        <v>17</v>
      </c>
      <c r="D390" s="8"/>
      <c r="E390" s="8" t="s">
        <v>2209</v>
      </c>
      <c r="F390" s="8" t="s">
        <v>15</v>
      </c>
      <c r="G390" s="8" t="s">
        <v>17</v>
      </c>
      <c r="H390" s="8" t="s">
        <v>17</v>
      </c>
      <c r="I390" s="8" t="s">
        <v>17</v>
      </c>
      <c r="J390" s="8" t="s">
        <v>2210</v>
      </c>
    </row>
    <row r="391" spans="1:10" x14ac:dyDescent="0.25" outlineLevel="4" collapsed="1">
      <c r="A391" s="7" t="s">
        <v>19</v>
      </c>
      <c r="B391" s="7" t="s">
        <v>16</v>
      </c>
      <c r="C391" s="7" t="s">
        <v>17</v>
      </c>
      <c r="D391" s="7"/>
      <c r="E391" s="7" t="s">
        <v>728</v>
      </c>
      <c r="F391" s="7" t="s">
        <v>19</v>
      </c>
      <c r="G391" s="7" t="s">
        <v>31</v>
      </c>
      <c r="H391" s="7" t="s">
        <v>17</v>
      </c>
      <c r="I391" s="7" t="s">
        <v>17</v>
      </c>
      <c r="J391" s="7" t="s">
        <v>730</v>
      </c>
    </row>
    <row r="392" spans="1:10" x14ac:dyDescent="0.25" outlineLevel="4" collapsed="1">
      <c r="A392" s="7" t="s">
        <v>19</v>
      </c>
      <c r="B392" s="7" t="s">
        <v>16</v>
      </c>
      <c r="C392" s="7" t="s">
        <v>17</v>
      </c>
      <c r="D392" s="7"/>
      <c r="E392" s="7" t="s">
        <v>731</v>
      </c>
      <c r="F392" s="7" t="s">
        <v>19</v>
      </c>
      <c r="G392" s="7" t="s">
        <v>31</v>
      </c>
      <c r="H392" s="7" t="s">
        <v>17</v>
      </c>
      <c r="I392" s="7" t="s">
        <v>17</v>
      </c>
      <c r="J392" s="7" t="s">
        <v>733</v>
      </c>
    </row>
    <row r="393" spans="1:10" x14ac:dyDescent="0.25" outlineLevel="4" collapsed="1">
      <c r="A393" s="7" t="s">
        <v>19</v>
      </c>
      <c r="B393" s="7" t="s">
        <v>16</v>
      </c>
      <c r="C393" s="7" t="s">
        <v>17</v>
      </c>
      <c r="D393" s="7"/>
      <c r="E393" s="7" t="s">
        <v>1559</v>
      </c>
      <c r="F393" s="7" t="s">
        <v>19</v>
      </c>
      <c r="G393" s="7" t="s">
        <v>31</v>
      </c>
      <c r="H393" s="7" t="s">
        <v>17</v>
      </c>
      <c r="I393" s="7" t="s">
        <v>17</v>
      </c>
      <c r="J393" s="7" t="s">
        <v>2211</v>
      </c>
    </row>
    <row r="394" spans="1:10" x14ac:dyDescent="0.25" outlineLevel="4" collapsed="1">
      <c r="A394" s="7" t="s">
        <v>19</v>
      </c>
      <c r="B394" s="7" t="s">
        <v>16</v>
      </c>
      <c r="C394" s="7" t="s">
        <v>17</v>
      </c>
      <c r="D394" s="7"/>
      <c r="E394" s="7" t="s">
        <v>1533</v>
      </c>
      <c r="F394" s="7" t="s">
        <v>19</v>
      </c>
      <c r="G394" s="7" t="s">
        <v>31</v>
      </c>
      <c r="H394" s="7" t="s">
        <v>17</v>
      </c>
      <c r="I394" s="7" t="s">
        <v>17</v>
      </c>
      <c r="J394" s="7" t="s">
        <v>2205</v>
      </c>
    </row>
    <row r="395" spans="1:10" x14ac:dyDescent="0.25" outlineLevel="4" collapsed="1">
      <c r="A395" s="7" t="s">
        <v>19</v>
      </c>
      <c r="B395" s="7" t="s">
        <v>16</v>
      </c>
      <c r="C395" s="7" t="s">
        <v>17</v>
      </c>
      <c r="D395" s="7"/>
      <c r="E395" s="7" t="s">
        <v>1539</v>
      </c>
      <c r="F395" s="7" t="s">
        <v>19</v>
      </c>
      <c r="G395" s="7" t="s">
        <v>31</v>
      </c>
      <c r="H395" s="7" t="s">
        <v>17</v>
      </c>
      <c r="I395" s="7" t="s">
        <v>17</v>
      </c>
      <c r="J395" s="7" t="s">
        <v>752</v>
      </c>
    </row>
    <row r="396" spans="1:10" x14ac:dyDescent="0.25" outlineLevel="2" collapsed="1">
      <c r="A396" s="8" t="s">
        <v>15</v>
      </c>
      <c r="B396" s="9" t="s">
        <v>2212</v>
      </c>
      <c r="C396" s="8" t="s">
        <v>17</v>
      </c>
      <c r="D396" s="8"/>
      <c r="E396" s="8" t="s">
        <v>2213</v>
      </c>
      <c r="F396" s="8" t="s">
        <v>19</v>
      </c>
      <c r="G396" s="8" t="s">
        <v>17</v>
      </c>
      <c r="H396" s="8" t="s">
        <v>17</v>
      </c>
      <c r="I396" s="8" t="s">
        <v>17</v>
      </c>
      <c r="J396" s="8" t="s">
        <v>623</v>
      </c>
    </row>
    <row r="397" spans="1:10" x14ac:dyDescent="0.25" outlineLevel="3" collapsed="1">
      <c r="A397" s="7" t="s">
        <v>15</v>
      </c>
      <c r="B397" s="7" t="s">
        <v>159</v>
      </c>
      <c r="C397" s="7" t="s">
        <v>17</v>
      </c>
      <c r="D397" s="7"/>
      <c r="E397" s="7" t="s">
        <v>2214</v>
      </c>
      <c r="F397" s="7" t="s">
        <v>19</v>
      </c>
      <c r="G397" s="7" t="b">
        <v>0</v>
      </c>
      <c r="H397" s="7" t="s">
        <v>17</v>
      </c>
      <c r="I397" s="7" t="s">
        <v>17</v>
      </c>
      <c r="J397" s="7" t="s">
        <v>2215</v>
      </c>
    </row>
    <row r="398" spans="1:10" x14ac:dyDescent="0.25" outlineLevel="3" collapsed="1">
      <c r="A398" s="7" t="s">
        <v>15</v>
      </c>
      <c r="B398" s="7" t="s">
        <v>16</v>
      </c>
      <c r="C398" s="7" t="s">
        <v>17</v>
      </c>
      <c r="D398" s="7"/>
      <c r="E398" s="7" t="s">
        <v>2216</v>
      </c>
      <c r="F398" s="7" t="s">
        <v>19</v>
      </c>
      <c r="G398" s="7" t="s">
        <v>2217</v>
      </c>
      <c r="H398" s="7" t="s">
        <v>2217</v>
      </c>
      <c r="I398" s="7" t="s">
        <v>17</v>
      </c>
      <c r="J398" s="7" t="s">
        <v>2218</v>
      </c>
    </row>
    <row r="399" spans="1:10" x14ac:dyDescent="0.25" outlineLevel="3" collapsed="1">
      <c r="A399" s="7" t="s">
        <v>19</v>
      </c>
      <c r="B399" s="7" t="s">
        <v>63</v>
      </c>
      <c r="C399" s="7" t="s">
        <v>17</v>
      </c>
      <c r="D399" s="7"/>
      <c r="E399" s="7" t="s">
        <v>1512</v>
      </c>
      <c r="F399" s="7" t="s">
        <v>19</v>
      </c>
      <c r="G399" s="7">
        <v>1</v>
      </c>
      <c r="H399" s="7" t="s">
        <v>17</v>
      </c>
      <c r="I399" s="7" t="s">
        <v>17</v>
      </c>
      <c r="J399" s="7" t="s">
        <v>1513</v>
      </c>
    </row>
    <row r="400" spans="1:10" x14ac:dyDescent="0.25" outlineLevel="2" collapsed="1">
      <c r="A400" s="8" t="s">
        <v>19</v>
      </c>
      <c r="B400" s="9" t="s">
        <v>1519</v>
      </c>
      <c r="C400" s="8" t="s">
        <v>17</v>
      </c>
      <c r="D400" s="8"/>
      <c r="E400" s="8" t="s">
        <v>1520</v>
      </c>
      <c r="F400" s="8" t="s">
        <v>15</v>
      </c>
      <c r="G400" s="8" t="s">
        <v>17</v>
      </c>
      <c r="H400" s="8" t="s">
        <v>17</v>
      </c>
      <c r="I400" s="8" t="s">
        <v>17</v>
      </c>
      <c r="J400" s="8" t="s">
        <v>1521</v>
      </c>
    </row>
    <row r="401" spans="1:10" x14ac:dyDescent="0.25" outlineLevel="3" collapsed="1">
      <c r="A401" s="7" t="s">
        <v>19</v>
      </c>
      <c r="B401" s="7" t="s">
        <v>63</v>
      </c>
      <c r="C401" s="7" t="s">
        <v>17</v>
      </c>
      <c r="D401" s="7"/>
      <c r="E401" s="7" t="s">
        <v>1522</v>
      </c>
      <c r="F401" s="7" t="s">
        <v>19</v>
      </c>
      <c r="G401" s="7">
        <v>1</v>
      </c>
      <c r="H401" s="7" t="s">
        <v>17</v>
      </c>
      <c r="I401" s="7" t="s">
        <v>17</v>
      </c>
      <c r="J401" s="7" t="s">
        <v>1523</v>
      </c>
    </row>
    <row r="402" spans="1:10" x14ac:dyDescent="0.25" outlineLevel="3" collapsed="1">
      <c r="A402" s="7" t="s">
        <v>19</v>
      </c>
      <c r="B402" s="7" t="s">
        <v>16</v>
      </c>
      <c r="C402" s="7" t="s">
        <v>17</v>
      </c>
      <c r="D402" s="7"/>
      <c r="E402" s="7" t="s">
        <v>1524</v>
      </c>
      <c r="F402" s="7" t="s">
        <v>19</v>
      </c>
      <c r="G402" s="7" t="s">
        <v>31</v>
      </c>
      <c r="H402" s="7" t="s">
        <v>17</v>
      </c>
      <c r="I402" s="7" t="s">
        <v>17</v>
      </c>
      <c r="J402" s="7" t="s">
        <v>1525</v>
      </c>
    </row>
    <row r="403" spans="1:10" x14ac:dyDescent="0.25" outlineLevel="2" collapsed="1">
      <c r="A403" s="8" t="s">
        <v>19</v>
      </c>
      <c r="B403" s="9" t="s">
        <v>2219</v>
      </c>
      <c r="C403" s="8" t="s">
        <v>17</v>
      </c>
      <c r="D403" s="8"/>
      <c r="E403" s="8" t="s">
        <v>1527</v>
      </c>
      <c r="F403" s="8" t="s">
        <v>15</v>
      </c>
      <c r="G403" s="8" t="s">
        <v>17</v>
      </c>
      <c r="H403" s="8" t="s">
        <v>17</v>
      </c>
      <c r="I403" s="8" t="s">
        <v>17</v>
      </c>
      <c r="J403" s="8" t="s">
        <v>1528</v>
      </c>
    </row>
    <row r="404" spans="1:10" x14ac:dyDescent="0.25" outlineLevel="3" collapsed="1">
      <c r="A404" s="7" t="s">
        <v>19</v>
      </c>
      <c r="B404" s="7" t="s">
        <v>16</v>
      </c>
      <c r="C404" s="7" t="s">
        <v>17</v>
      </c>
      <c r="D404" s="7"/>
      <c r="E404" s="7" t="s">
        <v>728</v>
      </c>
      <c r="F404" s="7" t="s">
        <v>19</v>
      </c>
      <c r="G404" s="7" t="s">
        <v>31</v>
      </c>
      <c r="H404" s="7" t="s">
        <v>17</v>
      </c>
      <c r="I404" s="7" t="s">
        <v>17</v>
      </c>
      <c r="J404" s="7" t="s">
        <v>730</v>
      </c>
    </row>
    <row r="405" spans="1:10" x14ac:dyDescent="0.25" outlineLevel="3" collapsed="1">
      <c r="A405" s="7" t="s">
        <v>19</v>
      </c>
      <c r="B405" s="7" t="s">
        <v>16</v>
      </c>
      <c r="C405" s="7" t="s">
        <v>17</v>
      </c>
      <c r="D405" s="7"/>
      <c r="E405" s="7" t="s">
        <v>731</v>
      </c>
      <c r="F405" s="7" t="s">
        <v>19</v>
      </c>
      <c r="G405" s="7" t="s">
        <v>31</v>
      </c>
      <c r="H405" s="7" t="s">
        <v>17</v>
      </c>
      <c r="I405" s="7" t="s">
        <v>17</v>
      </c>
      <c r="J405" s="7" t="s">
        <v>733</v>
      </c>
    </row>
    <row r="406" spans="1:10" x14ac:dyDescent="0.25" outlineLevel="3" collapsed="1">
      <c r="A406" s="7" t="s">
        <v>19</v>
      </c>
      <c r="B406" s="7" t="s">
        <v>63</v>
      </c>
      <c r="C406" s="7" t="s">
        <v>17</v>
      </c>
      <c r="D406" s="7"/>
      <c r="E406" s="7" t="s">
        <v>1529</v>
      </c>
      <c r="F406" s="7" t="s">
        <v>19</v>
      </c>
      <c r="G406" s="7">
        <v>1</v>
      </c>
      <c r="H406" s="7" t="s">
        <v>17</v>
      </c>
      <c r="I406" s="7" t="s">
        <v>17</v>
      </c>
      <c r="J406" s="7" t="s">
        <v>1530</v>
      </c>
    </row>
    <row r="407" spans="1:10" x14ac:dyDescent="0.25" outlineLevel="3" collapsed="1">
      <c r="A407" s="7" t="s">
        <v>19</v>
      </c>
      <c r="B407" s="7" t="s">
        <v>63</v>
      </c>
      <c r="C407" s="7" t="s">
        <v>17</v>
      </c>
      <c r="D407" s="7"/>
      <c r="E407" s="7" t="s">
        <v>1531</v>
      </c>
      <c r="F407" s="7" t="s">
        <v>19</v>
      </c>
      <c r="G407" s="7">
        <v>1</v>
      </c>
      <c r="H407" s="7" t="s">
        <v>17</v>
      </c>
      <c r="I407" s="7" t="s">
        <v>17</v>
      </c>
      <c r="J407" s="7" t="s">
        <v>1532</v>
      </c>
    </row>
    <row r="408" spans="1:10" x14ac:dyDescent="0.25" outlineLevel="3" collapsed="1">
      <c r="A408" s="7" t="s">
        <v>19</v>
      </c>
      <c r="B408" s="7" t="s">
        <v>63</v>
      </c>
      <c r="C408" s="7" t="s">
        <v>17</v>
      </c>
      <c r="D408" s="7"/>
      <c r="E408" s="7" t="s">
        <v>1533</v>
      </c>
      <c r="F408" s="7" t="s">
        <v>19</v>
      </c>
      <c r="G408" s="7">
        <v>1</v>
      </c>
      <c r="H408" s="7" t="s">
        <v>17</v>
      </c>
      <c r="I408" s="7" t="s">
        <v>17</v>
      </c>
      <c r="J408" s="7" t="s">
        <v>1534</v>
      </c>
    </row>
    <row r="409" spans="1:10" x14ac:dyDescent="0.25" outlineLevel="3" collapsed="1">
      <c r="A409" s="7" t="s">
        <v>19</v>
      </c>
      <c r="B409" s="7" t="s">
        <v>16</v>
      </c>
      <c r="C409" s="7" t="s">
        <v>17</v>
      </c>
      <c r="D409" s="7"/>
      <c r="E409" s="7" t="s">
        <v>1535</v>
      </c>
      <c r="F409" s="7" t="s">
        <v>19</v>
      </c>
      <c r="G409" s="7" t="s">
        <v>31</v>
      </c>
      <c r="H409" s="7" t="s">
        <v>17</v>
      </c>
      <c r="I409" s="7" t="s">
        <v>17</v>
      </c>
      <c r="J409" s="7" t="s">
        <v>1536</v>
      </c>
    </row>
    <row r="410" spans="1:10" x14ac:dyDescent="0.25" outlineLevel="3" collapsed="1">
      <c r="A410" s="7" t="s">
        <v>19</v>
      </c>
      <c r="B410" s="7" t="s">
        <v>16</v>
      </c>
      <c r="C410" s="7" t="s">
        <v>17</v>
      </c>
      <c r="D410" s="7"/>
      <c r="E410" s="7" t="s">
        <v>1537</v>
      </c>
      <c r="F410" s="7" t="s">
        <v>19</v>
      </c>
      <c r="G410" s="7" t="s">
        <v>31</v>
      </c>
      <c r="H410" s="7" t="s">
        <v>17</v>
      </c>
      <c r="I410" s="7" t="s">
        <v>17</v>
      </c>
      <c r="J410" s="7" t="s">
        <v>1538</v>
      </c>
    </row>
    <row r="411" spans="1:10" x14ac:dyDescent="0.25" outlineLevel="3" collapsed="1">
      <c r="A411" s="7" t="s">
        <v>19</v>
      </c>
      <c r="B411" s="7" t="s">
        <v>16</v>
      </c>
      <c r="C411" s="7" t="s">
        <v>17</v>
      </c>
      <c r="D411" s="7"/>
      <c r="E411" s="7" t="s">
        <v>1539</v>
      </c>
      <c r="F411" s="7" t="s">
        <v>19</v>
      </c>
      <c r="G411" s="7" t="s">
        <v>31</v>
      </c>
      <c r="H411" s="7" t="s">
        <v>17</v>
      </c>
      <c r="I411" s="7" t="s">
        <v>17</v>
      </c>
      <c r="J411" s="7" t="s">
        <v>752</v>
      </c>
    </row>
    <row r="412" spans="1:10" x14ac:dyDescent="0.25" outlineLevel="2" collapsed="1">
      <c r="A412" s="7" t="s">
        <v>19</v>
      </c>
      <c r="B412" s="7" t="s">
        <v>16</v>
      </c>
      <c r="C412" s="7" t="s">
        <v>17</v>
      </c>
      <c r="D412" s="7"/>
      <c r="E412" s="7" t="s">
        <v>1540</v>
      </c>
      <c r="F412" s="7" t="s">
        <v>19</v>
      </c>
      <c r="G412" s="7" t="s">
        <v>31</v>
      </c>
      <c r="H412" s="7" t="s">
        <v>17</v>
      </c>
      <c r="I412" s="7" t="s">
        <v>17</v>
      </c>
      <c r="J412" s="7" t="s">
        <v>1541</v>
      </c>
    </row>
    <row r="413" spans="1:10" x14ac:dyDescent="0.25" outlineLevel="2" collapsed="1">
      <c r="A413" s="7" t="s">
        <v>19</v>
      </c>
      <c r="B413" s="7" t="s">
        <v>63</v>
      </c>
      <c r="C413" s="7" t="s">
        <v>17</v>
      </c>
      <c r="D413" s="7"/>
      <c r="E413" s="7" t="s">
        <v>1542</v>
      </c>
      <c r="F413" s="7" t="s">
        <v>19</v>
      </c>
      <c r="G413" s="7">
        <v>1</v>
      </c>
      <c r="H413" s="7" t="s">
        <v>17</v>
      </c>
      <c r="I413" s="7" t="s">
        <v>17</v>
      </c>
      <c r="J413" s="7" t="s">
        <v>1543</v>
      </c>
    </row>
    <row r="414" spans="1:10" x14ac:dyDescent="0.25" outlineLevel="2" collapsed="1">
      <c r="A414" s="7" t="s">
        <v>19</v>
      </c>
      <c r="B414" s="7" t="s">
        <v>16</v>
      </c>
      <c r="C414" s="7" t="s">
        <v>17</v>
      </c>
      <c r="D414" s="7"/>
      <c r="E414" s="7" t="s">
        <v>1544</v>
      </c>
      <c r="F414" s="7" t="s">
        <v>19</v>
      </c>
      <c r="G414" s="7" t="s">
        <v>31</v>
      </c>
      <c r="H414" s="7" t="s">
        <v>17</v>
      </c>
      <c r="I414" s="7" t="s">
        <v>17</v>
      </c>
      <c r="J414" s="7" t="s">
        <v>1545</v>
      </c>
    </row>
    <row r="415" spans="1:10" x14ac:dyDescent="0.25" outlineLevel="1" collapsed="1">
      <c r="A415" s="8" t="s">
        <v>15</v>
      </c>
      <c r="B415" s="9" t="s">
        <v>2609</v>
      </c>
      <c r="C415" s="8" t="s">
        <v>17</v>
      </c>
      <c r="D415" s="8"/>
      <c r="E415" s="8" t="s">
        <v>2610</v>
      </c>
      <c r="F415" s="8" t="s">
        <v>19</v>
      </c>
      <c r="G415" s="8" t="s">
        <v>17</v>
      </c>
      <c r="H415" s="8" t="s">
        <v>17</v>
      </c>
      <c r="I415" s="8" t="s">
        <v>17</v>
      </c>
      <c r="J415" s="8" t="s">
        <v>2611</v>
      </c>
    </row>
    <row r="416" spans="1:10" x14ac:dyDescent="0.25" outlineLevel="2" collapsed="1">
      <c r="A416" s="8" t="s">
        <v>15</v>
      </c>
      <c r="B416" s="9" t="s">
        <v>2015</v>
      </c>
      <c r="C416" s="8" t="s">
        <v>17</v>
      </c>
      <c r="D416" s="8"/>
      <c r="E416" s="8" t="s">
        <v>2016</v>
      </c>
      <c r="F416" s="8" t="s">
        <v>19</v>
      </c>
      <c r="G416" s="8" t="s">
        <v>17</v>
      </c>
      <c r="H416" s="8" t="s">
        <v>17</v>
      </c>
      <c r="I416" s="8" t="s">
        <v>17</v>
      </c>
      <c r="J416" s="8" t="s">
        <v>606</v>
      </c>
    </row>
    <row r="417" spans="1:10" x14ac:dyDescent="0.25" outlineLevel="3" collapsed="1">
      <c r="A417" s="7" t="s">
        <v>19</v>
      </c>
      <c r="B417" s="7" t="s">
        <v>16</v>
      </c>
      <c r="C417" s="7" t="s">
        <v>17</v>
      </c>
      <c r="D417" s="7"/>
      <c r="E417" s="7" t="s">
        <v>2017</v>
      </c>
      <c r="F417" s="7" t="s">
        <v>19</v>
      </c>
      <c r="G417" s="7" t="s">
        <v>2018</v>
      </c>
      <c r="H417" s="7" t="s">
        <v>17</v>
      </c>
      <c r="I417" s="7" t="s">
        <v>17</v>
      </c>
      <c r="J417" s="7" t="s">
        <v>2019</v>
      </c>
    </row>
    <row r="418" spans="1:10" x14ac:dyDescent="0.25" outlineLevel="2" collapsed="1">
      <c r="A418" s="7" t="s">
        <v>15</v>
      </c>
      <c r="B418" s="12" t="s">
        <v>2020</v>
      </c>
      <c r="C418" s="7" t="s">
        <v>17</v>
      </c>
      <c r="D418" s="7"/>
      <c r="E418" s="7" t="s">
        <v>2021</v>
      </c>
      <c r="F418" s="7" t="s">
        <v>19</v>
      </c>
      <c r="G418" s="7" t="s">
        <v>17</v>
      </c>
      <c r="H418" s="7" t="s">
        <v>17</v>
      </c>
      <c r="I418" s="7" t="s">
        <v>17</v>
      </c>
      <c r="J418" s="7" t="s">
        <v>336</v>
      </c>
    </row>
    <row r="419" spans="1:10" x14ac:dyDescent="0.25" outlineLevel="2" collapsed="1">
      <c r="A419" s="8" t="s">
        <v>19</v>
      </c>
      <c r="B419" s="9" t="s">
        <v>2022</v>
      </c>
      <c r="C419" s="8" t="s">
        <v>17</v>
      </c>
      <c r="D419" s="8"/>
      <c r="E419" s="8" t="s">
        <v>2023</v>
      </c>
      <c r="F419" s="8" t="s">
        <v>15</v>
      </c>
      <c r="G419" s="8" t="s">
        <v>17</v>
      </c>
      <c r="H419" s="8" t="s">
        <v>17</v>
      </c>
      <c r="I419" s="8" t="s">
        <v>17</v>
      </c>
      <c r="J419" s="8" t="s">
        <v>2024</v>
      </c>
    </row>
    <row r="420" spans="1:10" x14ac:dyDescent="0.25" outlineLevel="3" collapsed="1">
      <c r="A420" s="7" t="s">
        <v>19</v>
      </c>
      <c r="B420" s="7" t="s">
        <v>16</v>
      </c>
      <c r="C420" s="7" t="s">
        <v>17</v>
      </c>
      <c r="D420" s="7"/>
      <c r="E420" s="7" t="s">
        <v>30</v>
      </c>
      <c r="F420" s="7" t="s">
        <v>19</v>
      </c>
      <c r="G420" s="7" t="s">
        <v>31</v>
      </c>
      <c r="H420" s="7" t="s">
        <v>17</v>
      </c>
      <c r="I420" s="7" t="s">
        <v>17</v>
      </c>
      <c r="J420" s="7" t="s">
        <v>32</v>
      </c>
    </row>
    <row r="421" spans="1:10" x14ac:dyDescent="0.25" outlineLevel="3" collapsed="1">
      <c r="A421" s="7" t="s">
        <v>19</v>
      </c>
      <c r="B421" s="7" t="s">
        <v>16</v>
      </c>
      <c r="C421" s="7" t="s">
        <v>17</v>
      </c>
      <c r="D421" s="7"/>
      <c r="E421" s="7" t="s">
        <v>33</v>
      </c>
      <c r="F421" s="7" t="s">
        <v>19</v>
      </c>
      <c r="G421" s="7" t="s">
        <v>31</v>
      </c>
      <c r="H421" s="7" t="s">
        <v>17</v>
      </c>
      <c r="I421" s="7" t="s">
        <v>17</v>
      </c>
      <c r="J421" s="7" t="s">
        <v>34</v>
      </c>
    </row>
    <row r="422" spans="1:10" x14ac:dyDescent="0.25" outlineLevel="3" collapsed="1">
      <c r="A422" s="7" t="s">
        <v>19</v>
      </c>
      <c r="B422" s="7" t="s">
        <v>63</v>
      </c>
      <c r="C422" s="7" t="s">
        <v>17</v>
      </c>
      <c r="D422" s="7"/>
      <c r="E422" s="7" t="s">
        <v>2025</v>
      </c>
      <c r="F422" s="7" t="s">
        <v>19</v>
      </c>
      <c r="G422" s="7">
        <v>1</v>
      </c>
      <c r="H422" s="7" t="s">
        <v>17</v>
      </c>
      <c r="I422" s="7" t="s">
        <v>17</v>
      </c>
      <c r="J422" s="7" t="s">
        <v>2026</v>
      </c>
    </row>
    <row r="423" spans="1:10" x14ac:dyDescent="0.25" outlineLevel="3" collapsed="1">
      <c r="A423" s="7" t="s">
        <v>19</v>
      </c>
      <c r="B423" s="7" t="s">
        <v>63</v>
      </c>
      <c r="C423" s="7" t="s">
        <v>17</v>
      </c>
      <c r="D423" s="7"/>
      <c r="E423" s="7" t="s">
        <v>2027</v>
      </c>
      <c r="F423" s="7" t="s">
        <v>19</v>
      </c>
      <c r="G423" s="7">
        <v>1</v>
      </c>
      <c r="H423" s="7" t="s">
        <v>17</v>
      </c>
      <c r="I423" s="7" t="s">
        <v>17</v>
      </c>
      <c r="J423" s="7" t="s">
        <v>2028</v>
      </c>
    </row>
    <row r="424" spans="1:10" x14ac:dyDescent="0.25" outlineLevel="3" collapsed="1">
      <c r="A424" s="7" t="s">
        <v>19</v>
      </c>
      <c r="B424" s="7" t="s">
        <v>63</v>
      </c>
      <c r="C424" s="7" t="s">
        <v>17</v>
      </c>
      <c r="D424" s="7"/>
      <c r="E424" s="7" t="s">
        <v>2029</v>
      </c>
      <c r="F424" s="7" t="s">
        <v>19</v>
      </c>
      <c r="G424" s="7">
        <v>1</v>
      </c>
      <c r="H424" s="7" t="s">
        <v>17</v>
      </c>
      <c r="I424" s="7" t="s">
        <v>17</v>
      </c>
      <c r="J424" s="7" t="s">
        <v>2030</v>
      </c>
    </row>
    <row r="425" spans="1:10" x14ac:dyDescent="0.25" outlineLevel="3" collapsed="1">
      <c r="A425" s="7" t="s">
        <v>19</v>
      </c>
      <c r="B425" s="7" t="s">
        <v>63</v>
      </c>
      <c r="C425" s="7" t="s">
        <v>17</v>
      </c>
      <c r="D425" s="7"/>
      <c r="E425" s="7" t="s">
        <v>2031</v>
      </c>
      <c r="F425" s="7" t="s">
        <v>19</v>
      </c>
      <c r="G425" s="7">
        <v>1</v>
      </c>
      <c r="H425" s="7" t="s">
        <v>17</v>
      </c>
      <c r="I425" s="7" t="s">
        <v>17</v>
      </c>
      <c r="J425" s="7" t="s">
        <v>2032</v>
      </c>
    </row>
    <row r="426" spans="1:10" x14ac:dyDescent="0.25" outlineLevel="3" collapsed="1">
      <c r="A426" s="7" t="s">
        <v>19</v>
      </c>
      <c r="B426" s="7" t="s">
        <v>63</v>
      </c>
      <c r="C426" s="7" t="s">
        <v>17</v>
      </c>
      <c r="D426" s="7"/>
      <c r="E426" s="7" t="s">
        <v>2033</v>
      </c>
      <c r="F426" s="7" t="s">
        <v>19</v>
      </c>
      <c r="G426" s="7">
        <v>1</v>
      </c>
      <c r="H426" s="7" t="s">
        <v>17</v>
      </c>
      <c r="I426" s="7" t="s">
        <v>17</v>
      </c>
      <c r="J426" s="7" t="s">
        <v>2034</v>
      </c>
    </row>
    <row r="427" spans="1:10" x14ac:dyDescent="0.25" outlineLevel="3" collapsed="1">
      <c r="A427" s="7" t="s">
        <v>19</v>
      </c>
      <c r="B427" s="7" t="s">
        <v>63</v>
      </c>
      <c r="C427" s="7" t="s">
        <v>17</v>
      </c>
      <c r="D427" s="7"/>
      <c r="E427" s="7" t="s">
        <v>2035</v>
      </c>
      <c r="F427" s="7" t="s">
        <v>19</v>
      </c>
      <c r="G427" s="7">
        <v>1</v>
      </c>
      <c r="H427" s="7" t="s">
        <v>17</v>
      </c>
      <c r="I427" s="7" t="s">
        <v>17</v>
      </c>
      <c r="J427" s="7" t="s">
        <v>2036</v>
      </c>
    </row>
    <row r="428" spans="1:10" x14ac:dyDescent="0.25" outlineLevel="3" collapsed="1">
      <c r="A428" s="7" t="s">
        <v>19</v>
      </c>
      <c r="B428" s="7" t="s">
        <v>63</v>
      </c>
      <c r="C428" s="7" t="s">
        <v>17</v>
      </c>
      <c r="D428" s="7"/>
      <c r="E428" s="7" t="s">
        <v>751</v>
      </c>
      <c r="F428" s="7" t="s">
        <v>19</v>
      </c>
      <c r="G428" s="7">
        <v>1</v>
      </c>
      <c r="H428" s="7" t="s">
        <v>17</v>
      </c>
      <c r="I428" s="7" t="s">
        <v>17</v>
      </c>
      <c r="J428" s="7" t="s">
        <v>1579</v>
      </c>
    </row>
    <row r="429" spans="1:10" x14ac:dyDescent="0.25" outlineLevel="3" collapsed="1">
      <c r="A429" s="7" t="s">
        <v>19</v>
      </c>
      <c r="B429" s="7" t="s">
        <v>63</v>
      </c>
      <c r="C429" s="7" t="s">
        <v>17</v>
      </c>
      <c r="D429" s="7"/>
      <c r="E429" s="7" t="s">
        <v>2037</v>
      </c>
      <c r="F429" s="7" t="s">
        <v>19</v>
      </c>
      <c r="G429" s="7">
        <v>1</v>
      </c>
      <c r="H429" s="7" t="s">
        <v>17</v>
      </c>
      <c r="I429" s="7" t="s">
        <v>17</v>
      </c>
      <c r="J429" s="7" t="s">
        <v>2038</v>
      </c>
    </row>
    <row r="430" spans="1:10" x14ac:dyDescent="0.25" outlineLevel="3" collapsed="1">
      <c r="A430" s="7" t="s">
        <v>19</v>
      </c>
      <c r="B430" s="7" t="s">
        <v>63</v>
      </c>
      <c r="C430" s="7" t="s">
        <v>17</v>
      </c>
      <c r="D430" s="7"/>
      <c r="E430" s="7" t="s">
        <v>2039</v>
      </c>
      <c r="F430" s="7" t="s">
        <v>19</v>
      </c>
      <c r="G430" s="7">
        <v>1</v>
      </c>
      <c r="H430" s="7" t="s">
        <v>17</v>
      </c>
      <c r="I430" s="7" t="s">
        <v>17</v>
      </c>
      <c r="J430" s="7" t="s">
        <v>2040</v>
      </c>
    </row>
    <row r="431" spans="1:10" x14ac:dyDescent="0.25" outlineLevel="3" collapsed="1">
      <c r="A431" s="7" t="s">
        <v>19</v>
      </c>
      <c r="B431" s="7" t="s">
        <v>63</v>
      </c>
      <c r="C431" s="7" t="s">
        <v>17</v>
      </c>
      <c r="D431" s="7"/>
      <c r="E431" s="7" t="s">
        <v>2041</v>
      </c>
      <c r="F431" s="7" t="s">
        <v>19</v>
      </c>
      <c r="G431" s="7">
        <v>1</v>
      </c>
      <c r="H431" s="7" t="s">
        <v>17</v>
      </c>
      <c r="I431" s="7" t="s">
        <v>17</v>
      </c>
      <c r="J431" s="7" t="s">
        <v>2042</v>
      </c>
    </row>
    <row r="432" spans="1:10" x14ac:dyDescent="0.25">
      <c r="A432" s="5" t="s">
        <v>15</v>
      </c>
      <c r="B432" s="6" t="s">
        <v>113</v>
      </c>
      <c r="C432" s="5" t="s">
        <v>17</v>
      </c>
      <c r="D432" s="5"/>
      <c r="E432" s="5" t="s">
        <v>2612</v>
      </c>
      <c r="F432" s="5" t="s">
        <v>19</v>
      </c>
      <c r="G432" s="5" t="s">
        <v>17</v>
      </c>
      <c r="H432" s="5" t="s">
        <v>17</v>
      </c>
      <c r="I432" s="5" t="s">
        <v>17</v>
      </c>
      <c r="J432" s="5" t="s">
        <v>2613</v>
      </c>
    </row>
    <row r="433" spans="1:10" x14ac:dyDescent="0.25" outlineLevel="1" collapsed="1">
      <c r="A433" s="8" t="s">
        <v>15</v>
      </c>
      <c r="B433" s="9" t="s">
        <v>115</v>
      </c>
      <c r="C433" s="8" t="s">
        <v>17</v>
      </c>
      <c r="D433" s="8"/>
      <c r="E433" s="8" t="s">
        <v>116</v>
      </c>
      <c r="F433" s="8" t="s">
        <v>19</v>
      </c>
      <c r="G433" s="8" t="s">
        <v>17</v>
      </c>
      <c r="H433" s="8" t="s">
        <v>17</v>
      </c>
      <c r="I433" s="8" t="s">
        <v>17</v>
      </c>
      <c r="J433" s="8" t="s">
        <v>117</v>
      </c>
    </row>
    <row r="434" spans="1:10" x14ac:dyDescent="0.25" outlineLevel="2" collapsed="1">
      <c r="A434" s="8" t="s">
        <v>15</v>
      </c>
      <c r="B434" s="9" t="s">
        <v>118</v>
      </c>
      <c r="C434" s="8" t="s">
        <v>17</v>
      </c>
      <c r="D434" s="8"/>
      <c r="E434" s="8" t="s">
        <v>119</v>
      </c>
      <c r="F434" s="8" t="s">
        <v>19</v>
      </c>
      <c r="G434" s="8" t="s">
        <v>17</v>
      </c>
      <c r="H434" s="8" t="s">
        <v>17</v>
      </c>
      <c r="I434" s="8" t="s">
        <v>17</v>
      </c>
      <c r="J434" s="8" t="s">
        <v>120</v>
      </c>
    </row>
    <row r="435" spans="1:10" x14ac:dyDescent="0.25" outlineLevel="3" collapsed="1">
      <c r="A435" s="7" t="s">
        <v>15</v>
      </c>
      <c r="B435" s="7" t="s">
        <v>16</v>
      </c>
      <c r="C435" s="7" t="s">
        <v>17</v>
      </c>
      <c r="D435" s="7"/>
      <c r="E435" s="7" t="s">
        <v>121</v>
      </c>
      <c r="F435" s="7" t="s">
        <v>19</v>
      </c>
      <c r="G435" s="7" t="s">
        <v>122</v>
      </c>
      <c r="H435" s="7" t="s">
        <v>122</v>
      </c>
      <c r="I435" s="7" t="s">
        <v>17</v>
      </c>
      <c r="J435" s="7" t="s">
        <v>123</v>
      </c>
    </row>
    <row r="436" spans="1:10" x14ac:dyDescent="0.25" outlineLevel="1" collapsed="1">
      <c r="A436" s="8" t="s">
        <v>15</v>
      </c>
      <c r="B436" s="9" t="s">
        <v>124</v>
      </c>
      <c r="C436" s="8" t="s">
        <v>17</v>
      </c>
      <c r="D436" s="8"/>
      <c r="E436" s="8" t="s">
        <v>125</v>
      </c>
      <c r="F436" s="8" t="s">
        <v>19</v>
      </c>
      <c r="G436" s="8" t="s">
        <v>17</v>
      </c>
      <c r="H436" s="8" t="s">
        <v>17</v>
      </c>
      <c r="I436" s="8" t="s">
        <v>17</v>
      </c>
      <c r="J436" s="8" t="s">
        <v>126</v>
      </c>
    </row>
    <row r="437" spans="1:10" x14ac:dyDescent="0.25" outlineLevel="2" collapsed="1">
      <c r="A437" s="8" t="s">
        <v>15</v>
      </c>
      <c r="B437" s="9" t="s">
        <v>74</v>
      </c>
      <c r="C437" s="8" t="s">
        <v>17</v>
      </c>
      <c r="D437" s="8"/>
      <c r="E437" s="8" t="s">
        <v>75</v>
      </c>
      <c r="F437" s="8" t="s">
        <v>19</v>
      </c>
      <c r="G437" s="8" t="s">
        <v>17</v>
      </c>
      <c r="H437" s="8" t="s">
        <v>17</v>
      </c>
      <c r="I437" s="8" t="s">
        <v>17</v>
      </c>
      <c r="J437" s="8" t="s">
        <v>76</v>
      </c>
    </row>
    <row r="438" spans="1:10" x14ac:dyDescent="0.25" outlineLevel="3" collapsed="1">
      <c r="A438" s="7" t="s">
        <v>15</v>
      </c>
      <c r="B438" s="7" t="s">
        <v>16</v>
      </c>
      <c r="C438" s="7" t="s">
        <v>17</v>
      </c>
      <c r="D438" s="7"/>
      <c r="E438" s="7" t="s">
        <v>77</v>
      </c>
      <c r="F438" s="7" t="s">
        <v>19</v>
      </c>
      <c r="G438" s="7" t="s">
        <v>78</v>
      </c>
      <c r="H438" s="7" t="s">
        <v>17</v>
      </c>
      <c r="I438" s="7" t="s">
        <v>17</v>
      </c>
      <c r="J438" s="7" t="s">
        <v>79</v>
      </c>
    </row>
    <row r="439" spans="1:10" x14ac:dyDescent="0.25" outlineLevel="3" collapsed="1">
      <c r="A439" s="7" t="s">
        <v>19</v>
      </c>
      <c r="B439" s="7" t="s">
        <v>16</v>
      </c>
      <c r="C439" s="7" t="s">
        <v>17</v>
      </c>
      <c r="D439" s="7"/>
      <c r="E439" s="7" t="s">
        <v>80</v>
      </c>
      <c r="F439" s="7" t="s">
        <v>19</v>
      </c>
      <c r="G439" s="7" t="s">
        <v>81</v>
      </c>
      <c r="H439" s="7" t="s">
        <v>17</v>
      </c>
      <c r="I439" s="7" t="s">
        <v>17</v>
      </c>
      <c r="J439" s="7" t="s">
        <v>82</v>
      </c>
    </row>
    <row r="440" spans="1:10" x14ac:dyDescent="0.25" outlineLevel="2" collapsed="1">
      <c r="A440" s="8" t="s">
        <v>15</v>
      </c>
      <c r="B440" s="9" t="s">
        <v>83</v>
      </c>
      <c r="C440" s="8" t="s">
        <v>17</v>
      </c>
      <c r="D440" s="8"/>
      <c r="E440" s="8" t="s">
        <v>84</v>
      </c>
      <c r="F440" s="8" t="s">
        <v>19</v>
      </c>
      <c r="G440" s="8" t="s">
        <v>17</v>
      </c>
      <c r="H440" s="8" t="s">
        <v>17</v>
      </c>
      <c r="I440" s="8" t="s">
        <v>17</v>
      </c>
      <c r="J440" s="8" t="s">
        <v>85</v>
      </c>
    </row>
    <row r="441" spans="1:10" x14ac:dyDescent="0.25" outlineLevel="3" collapsed="1">
      <c r="A441" s="7" t="s">
        <v>15</v>
      </c>
      <c r="B441" s="7" t="s">
        <v>16</v>
      </c>
      <c r="C441" s="7" t="s">
        <v>17</v>
      </c>
      <c r="D441" s="7"/>
      <c r="E441" s="7" t="s">
        <v>86</v>
      </c>
      <c r="F441" s="7" t="s">
        <v>19</v>
      </c>
      <c r="G441" s="7" t="s">
        <v>87</v>
      </c>
      <c r="H441" s="7" t="s">
        <v>17</v>
      </c>
      <c r="I441" s="7" t="s">
        <v>17</v>
      </c>
      <c r="J441" s="7" t="s">
        <v>88</v>
      </c>
    </row>
    <row r="442" spans="1:10" x14ac:dyDescent="0.25" outlineLevel="2" collapsed="1">
      <c r="A442" s="8" t="s">
        <v>15</v>
      </c>
      <c r="B442" s="9" t="s">
        <v>89</v>
      </c>
      <c r="C442" s="8" t="s">
        <v>17</v>
      </c>
      <c r="D442" s="8"/>
      <c r="E442" s="8" t="s">
        <v>90</v>
      </c>
      <c r="F442" s="8" t="s">
        <v>19</v>
      </c>
      <c r="G442" s="8" t="s">
        <v>17</v>
      </c>
      <c r="H442" s="8" t="s">
        <v>17</v>
      </c>
      <c r="I442" s="8" t="s">
        <v>17</v>
      </c>
      <c r="J442" s="8" t="s">
        <v>91</v>
      </c>
    </row>
    <row r="443" spans="1:10" x14ac:dyDescent="0.25" outlineLevel="3" collapsed="1">
      <c r="A443" s="7" t="s">
        <v>15</v>
      </c>
      <c r="B443" s="7" t="s">
        <v>16</v>
      </c>
      <c r="C443" s="7" t="s">
        <v>17</v>
      </c>
      <c r="D443" s="7"/>
      <c r="E443" s="7" t="s">
        <v>92</v>
      </c>
      <c r="F443" s="7" t="s">
        <v>19</v>
      </c>
      <c r="G443" s="7" t="s">
        <v>93</v>
      </c>
      <c r="H443" s="7" t="s">
        <v>17</v>
      </c>
      <c r="I443" s="7" t="s">
        <v>17</v>
      </c>
      <c r="J443" s="7" t="s">
        <v>94</v>
      </c>
    </row>
    <row r="444" spans="1:10" x14ac:dyDescent="0.25" outlineLevel="2" collapsed="1">
      <c r="A444" s="8" t="s">
        <v>15</v>
      </c>
      <c r="B444" s="9" t="s">
        <v>95</v>
      </c>
      <c r="C444" s="8" t="s">
        <v>17</v>
      </c>
      <c r="D444" s="8"/>
      <c r="E444" s="8" t="s">
        <v>96</v>
      </c>
      <c r="F444" s="8" t="s">
        <v>19</v>
      </c>
      <c r="G444" s="8" t="s">
        <v>17</v>
      </c>
      <c r="H444" s="8" t="s">
        <v>17</v>
      </c>
      <c r="I444" s="8" t="s">
        <v>17</v>
      </c>
      <c r="J444" s="8" t="s">
        <v>97</v>
      </c>
    </row>
    <row r="445" spans="1:10" x14ac:dyDescent="0.25" outlineLevel="3" collapsed="1">
      <c r="A445" s="7" t="s">
        <v>15</v>
      </c>
      <c r="B445" s="7" t="s">
        <v>16</v>
      </c>
      <c r="C445" s="7" t="s">
        <v>17</v>
      </c>
      <c r="D445" s="7"/>
      <c r="E445" s="7" t="s">
        <v>98</v>
      </c>
      <c r="F445" s="7" t="s">
        <v>19</v>
      </c>
      <c r="G445" s="7" t="s">
        <v>99</v>
      </c>
      <c r="H445" s="7" t="s">
        <v>17</v>
      </c>
      <c r="I445" s="7" t="s">
        <v>17</v>
      </c>
      <c r="J445" s="7" t="s">
        <v>100</v>
      </c>
    </row>
    <row r="446" spans="1:10" x14ac:dyDescent="0.25" outlineLevel="2" collapsed="1">
      <c r="A446" s="8" t="s">
        <v>15</v>
      </c>
      <c r="B446" s="9" t="s">
        <v>101</v>
      </c>
      <c r="C446" s="8" t="s">
        <v>17</v>
      </c>
      <c r="D446" s="8"/>
      <c r="E446" s="8" t="s">
        <v>102</v>
      </c>
      <c r="F446" s="8" t="s">
        <v>19</v>
      </c>
      <c r="G446" s="8" t="s">
        <v>17</v>
      </c>
      <c r="H446" s="8" t="s">
        <v>17</v>
      </c>
      <c r="I446" s="8" t="s">
        <v>17</v>
      </c>
      <c r="J446" s="8" t="s">
        <v>103</v>
      </c>
    </row>
    <row r="447" spans="1:10" x14ac:dyDescent="0.25" outlineLevel="3" collapsed="1">
      <c r="A447" s="7" t="s">
        <v>19</v>
      </c>
      <c r="B447" s="7" t="s">
        <v>16</v>
      </c>
      <c r="C447" s="7" t="s">
        <v>17</v>
      </c>
      <c r="D447" s="7"/>
      <c r="E447" s="7" t="s">
        <v>104</v>
      </c>
      <c r="F447" s="7" t="s">
        <v>19</v>
      </c>
      <c r="G447" s="7" t="s">
        <v>105</v>
      </c>
      <c r="H447" s="7" t="s">
        <v>17</v>
      </c>
      <c r="I447" s="7" t="s">
        <v>17</v>
      </c>
      <c r="J447" s="7" t="s">
        <v>106</v>
      </c>
    </row>
    <row r="448" spans="1:10" x14ac:dyDescent="0.25" outlineLevel="2" collapsed="1">
      <c r="A448" s="8" t="s">
        <v>15</v>
      </c>
      <c r="B448" s="9" t="s">
        <v>107</v>
      </c>
      <c r="C448" s="8" t="s">
        <v>17</v>
      </c>
      <c r="D448" s="8"/>
      <c r="E448" s="8" t="s">
        <v>108</v>
      </c>
      <c r="F448" s="8" t="s">
        <v>19</v>
      </c>
      <c r="G448" s="8" t="s">
        <v>17</v>
      </c>
      <c r="H448" s="8" t="s">
        <v>17</v>
      </c>
      <c r="I448" s="8" t="s">
        <v>17</v>
      </c>
      <c r="J448" s="8" t="s">
        <v>109</v>
      </c>
    </row>
    <row r="449" spans="1:10" x14ac:dyDescent="0.25" outlineLevel="3" collapsed="1">
      <c r="A449" s="7" t="s">
        <v>19</v>
      </c>
      <c r="B449" s="7" t="s">
        <v>16</v>
      </c>
      <c r="C449" s="7" t="s">
        <v>17</v>
      </c>
      <c r="D449" s="7"/>
      <c r="E449" s="7" t="s">
        <v>110</v>
      </c>
      <c r="F449" s="7" t="s">
        <v>19</v>
      </c>
      <c r="G449" s="7" t="s">
        <v>111</v>
      </c>
      <c r="H449" s="7" t="s">
        <v>17</v>
      </c>
      <c r="I449" s="7" t="s">
        <v>17</v>
      </c>
      <c r="J449" s="7" t="s">
        <v>112</v>
      </c>
    </row>
    <row r="450" spans="1:10" x14ac:dyDescent="0.25">
      <c r="A450" s="5" t="s">
        <v>15</v>
      </c>
      <c r="B450" s="6" t="s">
        <v>2614</v>
      </c>
      <c r="C450" s="5" t="s">
        <v>17</v>
      </c>
      <c r="D450" s="5"/>
      <c r="E450" s="5" t="s">
        <v>2615</v>
      </c>
      <c r="F450" s="5" t="s">
        <v>19</v>
      </c>
      <c r="G450" s="5" t="s">
        <v>17</v>
      </c>
      <c r="H450" s="5" t="s">
        <v>17</v>
      </c>
      <c r="I450" s="5" t="s">
        <v>17</v>
      </c>
      <c r="J450" s="5" t="s">
        <v>1593</v>
      </c>
    </row>
    <row r="451" spans="1:10" x14ac:dyDescent="0.25" outlineLevel="1" collapsed="1">
      <c r="A451" s="8" t="s">
        <v>15</v>
      </c>
      <c r="B451" s="9" t="s">
        <v>1594</v>
      </c>
      <c r="C451" s="8" t="s">
        <v>17</v>
      </c>
      <c r="D451" s="8"/>
      <c r="E451" s="8" t="s">
        <v>1595</v>
      </c>
      <c r="F451" s="8" t="s">
        <v>19</v>
      </c>
      <c r="G451" s="8" t="s">
        <v>17</v>
      </c>
      <c r="H451" s="8" t="s">
        <v>17</v>
      </c>
      <c r="I451" s="8" t="s">
        <v>17</v>
      </c>
      <c r="J451" s="8" t="s">
        <v>1596</v>
      </c>
    </row>
    <row r="452" spans="1:10" x14ac:dyDescent="0.25" outlineLevel="2" collapsed="1">
      <c r="A452" s="8" t="s">
        <v>15</v>
      </c>
      <c r="B452" s="9" t="s">
        <v>1597</v>
      </c>
      <c r="C452" s="8" t="s">
        <v>17</v>
      </c>
      <c r="D452" s="8"/>
      <c r="E452" s="8" t="s">
        <v>1598</v>
      </c>
      <c r="F452" s="8" t="s">
        <v>19</v>
      </c>
      <c r="G452" s="8" t="s">
        <v>17</v>
      </c>
      <c r="H452" s="8" t="s">
        <v>17</v>
      </c>
      <c r="I452" s="8" t="s">
        <v>17</v>
      </c>
      <c r="J452" s="8" t="s">
        <v>1599</v>
      </c>
    </row>
    <row r="453" spans="1:10" x14ac:dyDescent="0.25" outlineLevel="3" collapsed="1">
      <c r="A453" s="7" t="s">
        <v>15</v>
      </c>
      <c r="B453" s="7" t="s">
        <v>16</v>
      </c>
      <c r="C453" s="7" t="s">
        <v>17</v>
      </c>
      <c r="D453" s="7"/>
      <c r="E453" s="7" t="s">
        <v>1431</v>
      </c>
      <c r="F453" s="7" t="s">
        <v>19</v>
      </c>
      <c r="G453" s="7" t="s">
        <v>31</v>
      </c>
      <c r="H453" s="7" t="s">
        <v>17</v>
      </c>
      <c r="I453" s="7" t="s">
        <v>17</v>
      </c>
      <c r="J453" s="7" t="s">
        <v>637</v>
      </c>
    </row>
    <row r="454" spans="1:10" x14ac:dyDescent="0.25" outlineLevel="3" collapsed="1">
      <c r="A454" s="7" t="s">
        <v>15</v>
      </c>
      <c r="B454" s="7" t="s">
        <v>16</v>
      </c>
      <c r="C454" s="7" t="s">
        <v>17</v>
      </c>
      <c r="D454" s="7"/>
      <c r="E454" s="7" t="s">
        <v>638</v>
      </c>
      <c r="F454" s="7" t="s">
        <v>19</v>
      </c>
      <c r="G454" s="7" t="s">
        <v>31</v>
      </c>
      <c r="H454" s="7" t="s">
        <v>17</v>
      </c>
      <c r="I454" s="7" t="s">
        <v>17</v>
      </c>
      <c r="J454" s="7" t="s">
        <v>640</v>
      </c>
    </row>
    <row r="455" spans="1:10" x14ac:dyDescent="0.25" outlineLevel="3" collapsed="1">
      <c r="A455" s="7" t="s">
        <v>15</v>
      </c>
      <c r="B455" s="7" t="s">
        <v>16</v>
      </c>
      <c r="C455" s="7" t="s">
        <v>17</v>
      </c>
      <c r="D455" s="7"/>
      <c r="E455" s="7" t="s">
        <v>9</v>
      </c>
      <c r="F455" s="7" t="s">
        <v>19</v>
      </c>
      <c r="G455" s="7" t="s">
        <v>31</v>
      </c>
      <c r="H455" s="7" t="s">
        <v>17</v>
      </c>
      <c r="I455" s="7" t="s">
        <v>17</v>
      </c>
      <c r="J455" s="7" t="s">
        <v>843</v>
      </c>
    </row>
    <row r="456" spans="1:10" x14ac:dyDescent="0.25" outlineLevel="3" collapsed="1">
      <c r="A456" s="7" t="s">
        <v>19</v>
      </c>
      <c r="B456" s="7" t="s">
        <v>16</v>
      </c>
      <c r="C456" s="7" t="s">
        <v>17</v>
      </c>
      <c r="D456" s="7"/>
      <c r="E456" s="7" t="s">
        <v>1600</v>
      </c>
      <c r="F456" s="7" t="s">
        <v>19</v>
      </c>
      <c r="G456" s="7" t="s">
        <v>31</v>
      </c>
      <c r="H456" s="7" t="s">
        <v>17</v>
      </c>
      <c r="I456" s="7" t="s">
        <v>17</v>
      </c>
      <c r="J456" s="7" t="s">
        <v>1424</v>
      </c>
    </row>
    <row r="457" spans="1:10" x14ac:dyDescent="0.25" outlineLevel="3" collapsed="1">
      <c r="A457" s="7" t="s">
        <v>15</v>
      </c>
      <c r="B457" s="7" t="s">
        <v>16</v>
      </c>
      <c r="C457" s="7" t="s">
        <v>17</v>
      </c>
      <c r="D457" s="7"/>
      <c r="E457" s="7" t="s">
        <v>1601</v>
      </c>
      <c r="F457" s="7" t="s">
        <v>19</v>
      </c>
      <c r="G457" s="7" t="s">
        <v>31</v>
      </c>
      <c r="H457" s="7" t="s">
        <v>17</v>
      </c>
      <c r="I457" s="7" t="s">
        <v>17</v>
      </c>
      <c r="J457" s="7" t="s">
        <v>1602</v>
      </c>
    </row>
    <row r="458" spans="1:10" x14ac:dyDescent="0.25" outlineLevel="3" collapsed="1">
      <c r="A458" s="7" t="s">
        <v>15</v>
      </c>
      <c r="B458" s="7" t="s">
        <v>16</v>
      </c>
      <c r="C458" s="7" t="s">
        <v>17</v>
      </c>
      <c r="D458" s="7"/>
      <c r="E458" s="7" t="s">
        <v>1603</v>
      </c>
      <c r="F458" s="7" t="s">
        <v>19</v>
      </c>
      <c r="G458" s="7" t="s">
        <v>31</v>
      </c>
      <c r="H458" s="7" t="s">
        <v>17</v>
      </c>
      <c r="I458" s="7" t="s">
        <v>17</v>
      </c>
      <c r="J458" s="7" t="s">
        <v>1422</v>
      </c>
    </row>
    <row r="459" spans="1:10" x14ac:dyDescent="0.25" outlineLevel="3" collapsed="1">
      <c r="A459" s="7" t="s">
        <v>15</v>
      </c>
      <c r="B459" s="7" t="s">
        <v>284</v>
      </c>
      <c r="C459" s="11" t="s">
        <v>1604</v>
      </c>
      <c r="D459" s="7"/>
      <c r="E459" s="7" t="s">
        <v>1605</v>
      </c>
      <c r="F459" s="7" t="s">
        <v>19</v>
      </c>
      <c r="G459" s="7" t="s">
        <v>1606</v>
      </c>
      <c r="H459" s="7" t="s">
        <v>17</v>
      </c>
      <c r="I459" s="7" t="s">
        <v>17</v>
      </c>
      <c r="J459" s="7" t="s">
        <v>1607</v>
      </c>
    </row>
    <row r="460" spans="1:10" x14ac:dyDescent="0.25" outlineLevel="3" collapsed="1">
      <c r="A460" s="7" t="s">
        <v>19</v>
      </c>
      <c r="B460" s="7" t="s">
        <v>63</v>
      </c>
      <c r="C460" s="7" t="s">
        <v>17</v>
      </c>
      <c r="D460" s="7">
        <f>EXACT(G459,"Single value")</f>
      </c>
      <c r="E460" s="7" t="s">
        <v>1608</v>
      </c>
      <c r="F460" s="7" t="s">
        <v>19</v>
      </c>
      <c r="G460" s="7">
        <v>1</v>
      </c>
      <c r="H460" s="7" t="s">
        <v>17</v>
      </c>
      <c r="I460" s="7" t="s">
        <v>17</v>
      </c>
      <c r="J460" s="7" t="s">
        <v>1609</v>
      </c>
    </row>
    <row r="461" spans="1:10" x14ac:dyDescent="0.25" outlineLevel="3" collapsed="1">
      <c r="A461" s="7" t="s">
        <v>15</v>
      </c>
      <c r="B461" s="7" t="s">
        <v>16</v>
      </c>
      <c r="C461" s="7" t="s">
        <v>17</v>
      </c>
      <c r="D461" s="7"/>
      <c r="E461" s="7" t="s">
        <v>1610</v>
      </c>
      <c r="F461" s="7" t="s">
        <v>19</v>
      </c>
      <c r="G461" s="7" t="s">
        <v>31</v>
      </c>
      <c r="H461" s="7" t="s">
        <v>17</v>
      </c>
      <c r="I461" s="7" t="s">
        <v>17</v>
      </c>
      <c r="J461" s="7" t="s">
        <v>1191</v>
      </c>
    </row>
    <row r="462" spans="1:10" x14ac:dyDescent="0.25" outlineLevel="3" collapsed="1">
      <c r="A462" s="7" t="s">
        <v>15</v>
      </c>
      <c r="B462" s="7" t="s">
        <v>284</v>
      </c>
      <c r="C462" s="11" t="s">
        <v>1611</v>
      </c>
      <c r="D462" s="7"/>
      <c r="E462" s="7" t="s">
        <v>1612</v>
      </c>
      <c r="F462" s="7" t="s">
        <v>19</v>
      </c>
      <c r="G462" s="7" t="s">
        <v>1613</v>
      </c>
      <c r="H462" s="7" t="s">
        <v>17</v>
      </c>
      <c r="I462" s="7" t="s">
        <v>17</v>
      </c>
      <c r="J462" s="7" t="s">
        <v>1614</v>
      </c>
    </row>
    <row r="463" spans="1:10" x14ac:dyDescent="0.25" outlineLevel="3" collapsed="1">
      <c r="A463" s="7" t="s">
        <v>19</v>
      </c>
      <c r="B463" s="7" t="s">
        <v>16</v>
      </c>
      <c r="C463" s="7" t="s">
        <v>17</v>
      </c>
      <c r="D463" s="7"/>
      <c r="E463" s="7" t="s">
        <v>1615</v>
      </c>
      <c r="F463" s="7" t="s">
        <v>19</v>
      </c>
      <c r="G463" s="7" t="s">
        <v>31</v>
      </c>
      <c r="H463" s="7" t="s">
        <v>17</v>
      </c>
      <c r="I463" s="7" t="s">
        <v>17</v>
      </c>
      <c r="J463" s="7" t="s">
        <v>1616</v>
      </c>
    </row>
    <row r="464" spans="1:10" x14ac:dyDescent="0.25" outlineLevel="2" collapsed="1">
      <c r="A464" s="8" t="s">
        <v>15</v>
      </c>
      <c r="B464" s="9" t="s">
        <v>1597</v>
      </c>
      <c r="C464" s="8" t="s">
        <v>17</v>
      </c>
      <c r="D464" s="8"/>
      <c r="E464" s="8" t="s">
        <v>1617</v>
      </c>
      <c r="F464" s="8" t="s">
        <v>19</v>
      </c>
      <c r="G464" s="8" t="s">
        <v>17</v>
      </c>
      <c r="H464" s="8" t="s">
        <v>17</v>
      </c>
      <c r="I464" s="8" t="s">
        <v>17</v>
      </c>
      <c r="J464" s="8" t="s">
        <v>1618</v>
      </c>
    </row>
    <row r="465" spans="1:10" x14ac:dyDescent="0.25" outlineLevel="3" collapsed="1">
      <c r="A465" s="7" t="s">
        <v>15</v>
      </c>
      <c r="B465" s="7" t="s">
        <v>16</v>
      </c>
      <c r="C465" s="7" t="s">
        <v>17</v>
      </c>
      <c r="D465" s="7"/>
      <c r="E465" s="7" t="s">
        <v>1431</v>
      </c>
      <c r="F465" s="7" t="s">
        <v>19</v>
      </c>
      <c r="G465" s="7" t="s">
        <v>31</v>
      </c>
      <c r="H465" s="7" t="s">
        <v>17</v>
      </c>
      <c r="I465" s="7" t="s">
        <v>17</v>
      </c>
      <c r="J465" s="7" t="s">
        <v>637</v>
      </c>
    </row>
    <row r="466" spans="1:10" x14ac:dyDescent="0.25" outlineLevel="3" collapsed="1">
      <c r="A466" s="7" t="s">
        <v>15</v>
      </c>
      <c r="B466" s="7" t="s">
        <v>16</v>
      </c>
      <c r="C466" s="7" t="s">
        <v>17</v>
      </c>
      <c r="D466" s="7"/>
      <c r="E466" s="7" t="s">
        <v>638</v>
      </c>
      <c r="F466" s="7" t="s">
        <v>19</v>
      </c>
      <c r="G466" s="7" t="s">
        <v>31</v>
      </c>
      <c r="H466" s="7" t="s">
        <v>17</v>
      </c>
      <c r="I466" s="7" t="s">
        <v>17</v>
      </c>
      <c r="J466" s="7" t="s">
        <v>640</v>
      </c>
    </row>
    <row r="467" spans="1:10" x14ac:dyDescent="0.25" outlineLevel="3" collapsed="1">
      <c r="A467" s="7" t="s">
        <v>15</v>
      </c>
      <c r="B467" s="7" t="s">
        <v>16</v>
      </c>
      <c r="C467" s="7" t="s">
        <v>17</v>
      </c>
      <c r="D467" s="7"/>
      <c r="E467" s="7" t="s">
        <v>9</v>
      </c>
      <c r="F467" s="7" t="s">
        <v>19</v>
      </c>
      <c r="G467" s="7" t="s">
        <v>31</v>
      </c>
      <c r="H467" s="7" t="s">
        <v>17</v>
      </c>
      <c r="I467" s="7" t="s">
        <v>17</v>
      </c>
      <c r="J467" s="7" t="s">
        <v>843</v>
      </c>
    </row>
    <row r="468" spans="1:10" x14ac:dyDescent="0.25" outlineLevel="3" collapsed="1">
      <c r="A468" s="7" t="s">
        <v>19</v>
      </c>
      <c r="B468" s="7" t="s">
        <v>16</v>
      </c>
      <c r="C468" s="7" t="s">
        <v>17</v>
      </c>
      <c r="D468" s="7"/>
      <c r="E468" s="7" t="s">
        <v>1600</v>
      </c>
      <c r="F468" s="7" t="s">
        <v>19</v>
      </c>
      <c r="G468" s="7" t="s">
        <v>31</v>
      </c>
      <c r="H468" s="7" t="s">
        <v>17</v>
      </c>
      <c r="I468" s="7" t="s">
        <v>17</v>
      </c>
      <c r="J468" s="7" t="s">
        <v>1424</v>
      </c>
    </row>
    <row r="469" spans="1:10" x14ac:dyDescent="0.25" outlineLevel="3" collapsed="1">
      <c r="A469" s="7" t="s">
        <v>15</v>
      </c>
      <c r="B469" s="7" t="s">
        <v>16</v>
      </c>
      <c r="C469" s="7" t="s">
        <v>17</v>
      </c>
      <c r="D469" s="7"/>
      <c r="E469" s="7" t="s">
        <v>1601</v>
      </c>
      <c r="F469" s="7" t="s">
        <v>19</v>
      </c>
      <c r="G469" s="7" t="s">
        <v>31</v>
      </c>
      <c r="H469" s="7" t="s">
        <v>17</v>
      </c>
      <c r="I469" s="7" t="s">
        <v>17</v>
      </c>
      <c r="J469" s="7" t="s">
        <v>1602</v>
      </c>
    </row>
    <row r="470" spans="1:10" x14ac:dyDescent="0.25" outlineLevel="3" collapsed="1">
      <c r="A470" s="7" t="s">
        <v>15</v>
      </c>
      <c r="B470" s="7" t="s">
        <v>16</v>
      </c>
      <c r="C470" s="7" t="s">
        <v>17</v>
      </c>
      <c r="D470" s="7"/>
      <c r="E470" s="7" t="s">
        <v>1603</v>
      </c>
      <c r="F470" s="7" t="s">
        <v>19</v>
      </c>
      <c r="G470" s="7" t="s">
        <v>31</v>
      </c>
      <c r="H470" s="7" t="s">
        <v>17</v>
      </c>
      <c r="I470" s="7" t="s">
        <v>17</v>
      </c>
      <c r="J470" s="7" t="s">
        <v>1422</v>
      </c>
    </row>
    <row r="471" spans="1:10" x14ac:dyDescent="0.25" outlineLevel="3" collapsed="1">
      <c r="A471" s="7" t="s">
        <v>15</v>
      </c>
      <c r="B471" s="7" t="s">
        <v>284</v>
      </c>
      <c r="C471" s="11" t="s">
        <v>1604</v>
      </c>
      <c r="D471" s="7"/>
      <c r="E471" s="7" t="s">
        <v>1605</v>
      </c>
      <c r="F471" s="7" t="s">
        <v>19</v>
      </c>
      <c r="G471" s="7" t="s">
        <v>1606</v>
      </c>
      <c r="H471" s="7" t="s">
        <v>17</v>
      </c>
      <c r="I471" s="7" t="s">
        <v>17</v>
      </c>
      <c r="J471" s="7" t="s">
        <v>1607</v>
      </c>
    </row>
    <row r="472" spans="1:10" x14ac:dyDescent="0.25" outlineLevel="3" collapsed="1">
      <c r="A472" s="7" t="s">
        <v>19</v>
      </c>
      <c r="B472" s="7" t="s">
        <v>63</v>
      </c>
      <c r="C472" s="7" t="s">
        <v>17</v>
      </c>
      <c r="D472" s="7">
        <f>EXACT(G471,"Single value")</f>
      </c>
      <c r="E472" s="7" t="s">
        <v>1608</v>
      </c>
      <c r="F472" s="7" t="s">
        <v>19</v>
      </c>
      <c r="G472" s="7">
        <v>1</v>
      </c>
      <c r="H472" s="7" t="s">
        <v>17</v>
      </c>
      <c r="I472" s="7" t="s">
        <v>17</v>
      </c>
      <c r="J472" s="7" t="s">
        <v>1609</v>
      </c>
    </row>
    <row r="473" spans="1:10" x14ac:dyDescent="0.25" outlineLevel="3" collapsed="1">
      <c r="A473" s="7" t="s">
        <v>15</v>
      </c>
      <c r="B473" s="7" t="s">
        <v>16</v>
      </c>
      <c r="C473" s="7" t="s">
        <v>17</v>
      </c>
      <c r="D473" s="7"/>
      <c r="E473" s="7" t="s">
        <v>1610</v>
      </c>
      <c r="F473" s="7" t="s">
        <v>19</v>
      </c>
      <c r="G473" s="7" t="s">
        <v>31</v>
      </c>
      <c r="H473" s="7" t="s">
        <v>17</v>
      </c>
      <c r="I473" s="7" t="s">
        <v>17</v>
      </c>
      <c r="J473" s="7" t="s">
        <v>1191</v>
      </c>
    </row>
    <row r="474" spans="1:10" x14ac:dyDescent="0.25" outlineLevel="3" collapsed="1">
      <c r="A474" s="7" t="s">
        <v>15</v>
      </c>
      <c r="B474" s="7" t="s">
        <v>284</v>
      </c>
      <c r="C474" s="11" t="s">
        <v>1611</v>
      </c>
      <c r="D474" s="7"/>
      <c r="E474" s="7" t="s">
        <v>1612</v>
      </c>
      <c r="F474" s="7" t="s">
        <v>19</v>
      </c>
      <c r="G474" s="7" t="s">
        <v>1613</v>
      </c>
      <c r="H474" s="7" t="s">
        <v>17</v>
      </c>
      <c r="I474" s="7" t="s">
        <v>17</v>
      </c>
      <c r="J474" s="7" t="s">
        <v>1614</v>
      </c>
    </row>
    <row r="475" spans="1:10" x14ac:dyDescent="0.25" outlineLevel="3" collapsed="1">
      <c r="A475" s="7" t="s">
        <v>19</v>
      </c>
      <c r="B475" s="7" t="s">
        <v>16</v>
      </c>
      <c r="C475" s="7" t="s">
        <v>17</v>
      </c>
      <c r="D475" s="7"/>
      <c r="E475" s="7" t="s">
        <v>1615</v>
      </c>
      <c r="F475" s="7" t="s">
        <v>19</v>
      </c>
      <c r="G475" s="7" t="s">
        <v>31</v>
      </c>
      <c r="H475" s="7" t="s">
        <v>17</v>
      </c>
      <c r="I475" s="7" t="s">
        <v>17</v>
      </c>
      <c r="J475" s="7" t="s">
        <v>1616</v>
      </c>
    </row>
    <row r="476" spans="1:10" x14ac:dyDescent="0.25" outlineLevel="2" collapsed="1">
      <c r="A476" s="8" t="s">
        <v>15</v>
      </c>
      <c r="B476" s="9" t="s">
        <v>1597</v>
      </c>
      <c r="C476" s="8" t="s">
        <v>17</v>
      </c>
      <c r="D476" s="8"/>
      <c r="E476" s="8" t="s">
        <v>1619</v>
      </c>
      <c r="F476" s="8" t="s">
        <v>19</v>
      </c>
      <c r="G476" s="8" t="s">
        <v>17</v>
      </c>
      <c r="H476" s="8" t="s">
        <v>17</v>
      </c>
      <c r="I476" s="8" t="s">
        <v>17</v>
      </c>
      <c r="J476" s="8" t="s">
        <v>1620</v>
      </c>
    </row>
    <row r="477" spans="1:10" x14ac:dyDescent="0.25" outlineLevel="3" collapsed="1">
      <c r="A477" s="7" t="s">
        <v>15</v>
      </c>
      <c r="B477" s="7" t="s">
        <v>16</v>
      </c>
      <c r="C477" s="7" t="s">
        <v>17</v>
      </c>
      <c r="D477" s="7"/>
      <c r="E477" s="7" t="s">
        <v>1431</v>
      </c>
      <c r="F477" s="7" t="s">
        <v>19</v>
      </c>
      <c r="G477" s="7" t="s">
        <v>31</v>
      </c>
      <c r="H477" s="7" t="s">
        <v>17</v>
      </c>
      <c r="I477" s="7" t="s">
        <v>17</v>
      </c>
      <c r="J477" s="7" t="s">
        <v>637</v>
      </c>
    </row>
    <row r="478" spans="1:10" x14ac:dyDescent="0.25" outlineLevel="3" collapsed="1">
      <c r="A478" s="7" t="s">
        <v>15</v>
      </c>
      <c r="B478" s="7" t="s">
        <v>16</v>
      </c>
      <c r="C478" s="7" t="s">
        <v>17</v>
      </c>
      <c r="D478" s="7"/>
      <c r="E478" s="7" t="s">
        <v>638</v>
      </c>
      <c r="F478" s="7" t="s">
        <v>19</v>
      </c>
      <c r="G478" s="7" t="s">
        <v>31</v>
      </c>
      <c r="H478" s="7" t="s">
        <v>17</v>
      </c>
      <c r="I478" s="7" t="s">
        <v>17</v>
      </c>
      <c r="J478" s="7" t="s">
        <v>640</v>
      </c>
    </row>
    <row r="479" spans="1:10" x14ac:dyDescent="0.25" outlineLevel="3" collapsed="1">
      <c r="A479" s="7" t="s">
        <v>15</v>
      </c>
      <c r="B479" s="7" t="s">
        <v>16</v>
      </c>
      <c r="C479" s="7" t="s">
        <v>17</v>
      </c>
      <c r="D479" s="7"/>
      <c r="E479" s="7" t="s">
        <v>9</v>
      </c>
      <c r="F479" s="7" t="s">
        <v>19</v>
      </c>
      <c r="G479" s="7" t="s">
        <v>31</v>
      </c>
      <c r="H479" s="7" t="s">
        <v>17</v>
      </c>
      <c r="I479" s="7" t="s">
        <v>17</v>
      </c>
      <c r="J479" s="7" t="s">
        <v>843</v>
      </c>
    </row>
    <row r="480" spans="1:10" x14ac:dyDescent="0.25" outlineLevel="3" collapsed="1">
      <c r="A480" s="7" t="s">
        <v>19</v>
      </c>
      <c r="B480" s="7" t="s">
        <v>16</v>
      </c>
      <c r="C480" s="7" t="s">
        <v>17</v>
      </c>
      <c r="D480" s="7"/>
      <c r="E480" s="7" t="s">
        <v>1600</v>
      </c>
      <c r="F480" s="7" t="s">
        <v>19</v>
      </c>
      <c r="G480" s="7" t="s">
        <v>31</v>
      </c>
      <c r="H480" s="7" t="s">
        <v>17</v>
      </c>
      <c r="I480" s="7" t="s">
        <v>17</v>
      </c>
      <c r="J480" s="7" t="s">
        <v>1424</v>
      </c>
    </row>
    <row r="481" spans="1:10" x14ac:dyDescent="0.25" outlineLevel="3" collapsed="1">
      <c r="A481" s="7" t="s">
        <v>15</v>
      </c>
      <c r="B481" s="7" t="s">
        <v>16</v>
      </c>
      <c r="C481" s="7" t="s">
        <v>17</v>
      </c>
      <c r="D481" s="7"/>
      <c r="E481" s="7" t="s">
        <v>1601</v>
      </c>
      <c r="F481" s="7" t="s">
        <v>19</v>
      </c>
      <c r="G481" s="7" t="s">
        <v>31</v>
      </c>
      <c r="H481" s="7" t="s">
        <v>17</v>
      </c>
      <c r="I481" s="7" t="s">
        <v>17</v>
      </c>
      <c r="J481" s="7" t="s">
        <v>1602</v>
      </c>
    </row>
    <row r="482" spans="1:10" x14ac:dyDescent="0.25" outlineLevel="3" collapsed="1">
      <c r="A482" s="7" t="s">
        <v>15</v>
      </c>
      <c r="B482" s="7" t="s">
        <v>16</v>
      </c>
      <c r="C482" s="7" t="s">
        <v>17</v>
      </c>
      <c r="D482" s="7"/>
      <c r="E482" s="7" t="s">
        <v>1603</v>
      </c>
      <c r="F482" s="7" t="s">
        <v>19</v>
      </c>
      <c r="G482" s="7" t="s">
        <v>31</v>
      </c>
      <c r="H482" s="7" t="s">
        <v>17</v>
      </c>
      <c r="I482" s="7" t="s">
        <v>17</v>
      </c>
      <c r="J482" s="7" t="s">
        <v>1422</v>
      </c>
    </row>
    <row r="483" spans="1:10" x14ac:dyDescent="0.25" outlineLevel="3" collapsed="1">
      <c r="A483" s="7" t="s">
        <v>15</v>
      </c>
      <c r="B483" s="7" t="s">
        <v>284</v>
      </c>
      <c r="C483" s="11" t="s">
        <v>1604</v>
      </c>
      <c r="D483" s="7"/>
      <c r="E483" s="7" t="s">
        <v>1605</v>
      </c>
      <c r="F483" s="7" t="s">
        <v>19</v>
      </c>
      <c r="G483" s="7" t="s">
        <v>1606</v>
      </c>
      <c r="H483" s="7" t="s">
        <v>17</v>
      </c>
      <c r="I483" s="7" t="s">
        <v>17</v>
      </c>
      <c r="J483" s="7" t="s">
        <v>1607</v>
      </c>
    </row>
    <row r="484" spans="1:10" x14ac:dyDescent="0.25" outlineLevel="3" collapsed="1">
      <c r="A484" s="7" t="s">
        <v>19</v>
      </c>
      <c r="B484" s="7" t="s">
        <v>63</v>
      </c>
      <c r="C484" s="7" t="s">
        <v>17</v>
      </c>
      <c r="D484" s="7">
        <f>EXACT(G483,"Single value")</f>
      </c>
      <c r="E484" s="7" t="s">
        <v>1608</v>
      </c>
      <c r="F484" s="7" t="s">
        <v>19</v>
      </c>
      <c r="G484" s="7">
        <v>1</v>
      </c>
      <c r="H484" s="7" t="s">
        <v>17</v>
      </c>
      <c r="I484" s="7" t="s">
        <v>17</v>
      </c>
      <c r="J484" s="7" t="s">
        <v>1609</v>
      </c>
    </row>
    <row r="485" spans="1:10" x14ac:dyDescent="0.25" outlineLevel="3" collapsed="1">
      <c r="A485" s="7" t="s">
        <v>15</v>
      </c>
      <c r="B485" s="7" t="s">
        <v>16</v>
      </c>
      <c r="C485" s="7" t="s">
        <v>17</v>
      </c>
      <c r="D485" s="7"/>
      <c r="E485" s="7" t="s">
        <v>1610</v>
      </c>
      <c r="F485" s="7" t="s">
        <v>19</v>
      </c>
      <c r="G485" s="7" t="s">
        <v>31</v>
      </c>
      <c r="H485" s="7" t="s">
        <v>17</v>
      </c>
      <c r="I485" s="7" t="s">
        <v>17</v>
      </c>
      <c r="J485" s="7" t="s">
        <v>1191</v>
      </c>
    </row>
    <row r="486" spans="1:10" x14ac:dyDescent="0.25" outlineLevel="3" collapsed="1">
      <c r="A486" s="7" t="s">
        <v>15</v>
      </c>
      <c r="B486" s="7" t="s">
        <v>284</v>
      </c>
      <c r="C486" s="11" t="s">
        <v>1611</v>
      </c>
      <c r="D486" s="7"/>
      <c r="E486" s="7" t="s">
        <v>1612</v>
      </c>
      <c r="F486" s="7" t="s">
        <v>19</v>
      </c>
      <c r="G486" s="7" t="s">
        <v>1613</v>
      </c>
      <c r="H486" s="7" t="s">
        <v>17</v>
      </c>
      <c r="I486" s="7" t="s">
        <v>17</v>
      </c>
      <c r="J486" s="7" t="s">
        <v>1614</v>
      </c>
    </row>
    <row r="487" spans="1:10" x14ac:dyDescent="0.25" outlineLevel="3" collapsed="1">
      <c r="A487" s="7" t="s">
        <v>19</v>
      </c>
      <c r="B487" s="7" t="s">
        <v>16</v>
      </c>
      <c r="C487" s="7" t="s">
        <v>17</v>
      </c>
      <c r="D487" s="7"/>
      <c r="E487" s="7" t="s">
        <v>1615</v>
      </c>
      <c r="F487" s="7" t="s">
        <v>19</v>
      </c>
      <c r="G487" s="7" t="s">
        <v>31</v>
      </c>
      <c r="H487" s="7" t="s">
        <v>17</v>
      </c>
      <c r="I487" s="7" t="s">
        <v>17</v>
      </c>
      <c r="J487" s="7" t="s">
        <v>1616</v>
      </c>
    </row>
    <row r="488" spans="1:10" x14ac:dyDescent="0.25" outlineLevel="2" collapsed="1">
      <c r="A488" s="8" t="s">
        <v>19</v>
      </c>
      <c r="B488" s="9" t="s">
        <v>1597</v>
      </c>
      <c r="C488" s="8" t="s">
        <v>17</v>
      </c>
      <c r="D488" s="8"/>
      <c r="E488" s="8" t="s">
        <v>1621</v>
      </c>
      <c r="F488" s="8" t="s">
        <v>19</v>
      </c>
      <c r="G488" s="8" t="s">
        <v>17</v>
      </c>
      <c r="H488" s="8" t="s">
        <v>17</v>
      </c>
      <c r="I488" s="8" t="s">
        <v>17</v>
      </c>
      <c r="J488" s="8" t="s">
        <v>1622</v>
      </c>
    </row>
    <row r="489" spans="1:10" x14ac:dyDescent="0.25" outlineLevel="3" collapsed="1">
      <c r="A489" s="7" t="s">
        <v>15</v>
      </c>
      <c r="B489" s="7" t="s">
        <v>16</v>
      </c>
      <c r="C489" s="7" t="s">
        <v>17</v>
      </c>
      <c r="D489" s="7"/>
      <c r="E489" s="7" t="s">
        <v>1431</v>
      </c>
      <c r="F489" s="7" t="s">
        <v>19</v>
      </c>
      <c r="G489" s="7" t="s">
        <v>31</v>
      </c>
      <c r="H489" s="7" t="s">
        <v>17</v>
      </c>
      <c r="I489" s="7" t="s">
        <v>17</v>
      </c>
      <c r="J489" s="7" t="s">
        <v>637</v>
      </c>
    </row>
    <row r="490" spans="1:10" x14ac:dyDescent="0.25" outlineLevel="3" collapsed="1">
      <c r="A490" s="7" t="s">
        <v>15</v>
      </c>
      <c r="B490" s="7" t="s">
        <v>16</v>
      </c>
      <c r="C490" s="7" t="s">
        <v>17</v>
      </c>
      <c r="D490" s="7"/>
      <c r="E490" s="7" t="s">
        <v>638</v>
      </c>
      <c r="F490" s="7" t="s">
        <v>19</v>
      </c>
      <c r="G490" s="7" t="s">
        <v>31</v>
      </c>
      <c r="H490" s="7" t="s">
        <v>17</v>
      </c>
      <c r="I490" s="7" t="s">
        <v>17</v>
      </c>
      <c r="J490" s="7" t="s">
        <v>640</v>
      </c>
    </row>
    <row r="491" spans="1:10" x14ac:dyDescent="0.25" outlineLevel="3" collapsed="1">
      <c r="A491" s="7" t="s">
        <v>15</v>
      </c>
      <c r="B491" s="7" t="s">
        <v>16</v>
      </c>
      <c r="C491" s="7" t="s">
        <v>17</v>
      </c>
      <c r="D491" s="7"/>
      <c r="E491" s="7" t="s">
        <v>9</v>
      </c>
      <c r="F491" s="7" t="s">
        <v>19</v>
      </c>
      <c r="G491" s="7" t="s">
        <v>31</v>
      </c>
      <c r="H491" s="7" t="s">
        <v>17</v>
      </c>
      <c r="I491" s="7" t="s">
        <v>17</v>
      </c>
      <c r="J491" s="7" t="s">
        <v>843</v>
      </c>
    </row>
    <row r="492" spans="1:10" x14ac:dyDescent="0.25" outlineLevel="3" collapsed="1">
      <c r="A492" s="7" t="s">
        <v>19</v>
      </c>
      <c r="B492" s="7" t="s">
        <v>16</v>
      </c>
      <c r="C492" s="7" t="s">
        <v>17</v>
      </c>
      <c r="D492" s="7"/>
      <c r="E492" s="7" t="s">
        <v>1600</v>
      </c>
      <c r="F492" s="7" t="s">
        <v>19</v>
      </c>
      <c r="G492" s="7" t="s">
        <v>31</v>
      </c>
      <c r="H492" s="7" t="s">
        <v>17</v>
      </c>
      <c r="I492" s="7" t="s">
        <v>17</v>
      </c>
      <c r="J492" s="7" t="s">
        <v>1424</v>
      </c>
    </row>
    <row r="493" spans="1:10" x14ac:dyDescent="0.25" outlineLevel="3" collapsed="1">
      <c r="A493" s="7" t="s">
        <v>15</v>
      </c>
      <c r="B493" s="7" t="s">
        <v>16</v>
      </c>
      <c r="C493" s="7" t="s">
        <v>17</v>
      </c>
      <c r="D493" s="7"/>
      <c r="E493" s="7" t="s">
        <v>1601</v>
      </c>
      <c r="F493" s="7" t="s">
        <v>19</v>
      </c>
      <c r="G493" s="7" t="s">
        <v>31</v>
      </c>
      <c r="H493" s="7" t="s">
        <v>17</v>
      </c>
      <c r="I493" s="7" t="s">
        <v>17</v>
      </c>
      <c r="J493" s="7" t="s">
        <v>1602</v>
      </c>
    </row>
    <row r="494" spans="1:10" x14ac:dyDescent="0.25" outlineLevel="3" collapsed="1">
      <c r="A494" s="7" t="s">
        <v>15</v>
      </c>
      <c r="B494" s="7" t="s">
        <v>16</v>
      </c>
      <c r="C494" s="7" t="s">
        <v>17</v>
      </c>
      <c r="D494" s="7"/>
      <c r="E494" s="7" t="s">
        <v>1603</v>
      </c>
      <c r="F494" s="7" t="s">
        <v>19</v>
      </c>
      <c r="G494" s="7" t="s">
        <v>31</v>
      </c>
      <c r="H494" s="7" t="s">
        <v>17</v>
      </c>
      <c r="I494" s="7" t="s">
        <v>17</v>
      </c>
      <c r="J494" s="7" t="s">
        <v>1422</v>
      </c>
    </row>
    <row r="495" spans="1:10" x14ac:dyDescent="0.25" outlineLevel="3" collapsed="1">
      <c r="A495" s="7" t="s">
        <v>15</v>
      </c>
      <c r="B495" s="7" t="s">
        <v>284</v>
      </c>
      <c r="C495" s="11" t="s">
        <v>1604</v>
      </c>
      <c r="D495" s="7"/>
      <c r="E495" s="7" t="s">
        <v>1605</v>
      </c>
      <c r="F495" s="7" t="s">
        <v>19</v>
      </c>
      <c r="G495" s="7" t="s">
        <v>1606</v>
      </c>
      <c r="H495" s="7" t="s">
        <v>17</v>
      </c>
      <c r="I495" s="7" t="s">
        <v>17</v>
      </c>
      <c r="J495" s="7" t="s">
        <v>1607</v>
      </c>
    </row>
    <row r="496" spans="1:10" x14ac:dyDescent="0.25" outlineLevel="3" collapsed="1">
      <c r="A496" s="7" t="s">
        <v>19</v>
      </c>
      <c r="B496" s="7" t="s">
        <v>63</v>
      </c>
      <c r="C496" s="7" t="s">
        <v>17</v>
      </c>
      <c r="D496" s="7">
        <f>EXACT(G495,"Single value")</f>
      </c>
      <c r="E496" s="7" t="s">
        <v>1608</v>
      </c>
      <c r="F496" s="7" t="s">
        <v>19</v>
      </c>
      <c r="G496" s="7">
        <v>1</v>
      </c>
      <c r="H496" s="7" t="s">
        <v>17</v>
      </c>
      <c r="I496" s="7" t="s">
        <v>17</v>
      </c>
      <c r="J496" s="7" t="s">
        <v>1609</v>
      </c>
    </row>
    <row r="497" spans="1:10" x14ac:dyDescent="0.25" outlineLevel="3" collapsed="1">
      <c r="A497" s="7" t="s">
        <v>15</v>
      </c>
      <c r="B497" s="7" t="s">
        <v>16</v>
      </c>
      <c r="C497" s="7" t="s">
        <v>17</v>
      </c>
      <c r="D497" s="7"/>
      <c r="E497" s="7" t="s">
        <v>1610</v>
      </c>
      <c r="F497" s="7" t="s">
        <v>19</v>
      </c>
      <c r="G497" s="7" t="s">
        <v>31</v>
      </c>
      <c r="H497" s="7" t="s">
        <v>17</v>
      </c>
      <c r="I497" s="7" t="s">
        <v>17</v>
      </c>
      <c r="J497" s="7" t="s">
        <v>1191</v>
      </c>
    </row>
    <row r="498" spans="1:10" x14ac:dyDescent="0.25" outlineLevel="3" collapsed="1">
      <c r="A498" s="7" t="s">
        <v>15</v>
      </c>
      <c r="B498" s="7" t="s">
        <v>284</v>
      </c>
      <c r="C498" s="11" t="s">
        <v>1611</v>
      </c>
      <c r="D498" s="7"/>
      <c r="E498" s="7" t="s">
        <v>1612</v>
      </c>
      <c r="F498" s="7" t="s">
        <v>19</v>
      </c>
      <c r="G498" s="7" t="s">
        <v>1613</v>
      </c>
      <c r="H498" s="7" t="s">
        <v>17</v>
      </c>
      <c r="I498" s="7" t="s">
        <v>17</v>
      </c>
      <c r="J498" s="7" t="s">
        <v>1614</v>
      </c>
    </row>
    <row r="499" spans="1:10" x14ac:dyDescent="0.25" outlineLevel="3" collapsed="1">
      <c r="A499" s="7" t="s">
        <v>19</v>
      </c>
      <c r="B499" s="7" t="s">
        <v>16</v>
      </c>
      <c r="C499" s="7" t="s">
        <v>17</v>
      </c>
      <c r="D499" s="7"/>
      <c r="E499" s="7" t="s">
        <v>1615</v>
      </c>
      <c r="F499" s="7" t="s">
        <v>19</v>
      </c>
      <c r="G499" s="7" t="s">
        <v>31</v>
      </c>
      <c r="H499" s="7" t="s">
        <v>17</v>
      </c>
      <c r="I499" s="7" t="s">
        <v>17</v>
      </c>
      <c r="J499" s="7" t="s">
        <v>1616</v>
      </c>
    </row>
    <row r="500" spans="1:10" x14ac:dyDescent="0.25" outlineLevel="2" collapsed="1">
      <c r="A500" s="8" t="s">
        <v>15</v>
      </c>
      <c r="B500" s="9" t="s">
        <v>1597</v>
      </c>
      <c r="C500" s="8" t="s">
        <v>17</v>
      </c>
      <c r="D500" s="8"/>
      <c r="E500" s="8" t="s">
        <v>1623</v>
      </c>
      <c r="F500" s="8" t="s">
        <v>19</v>
      </c>
      <c r="G500" s="8" t="s">
        <v>17</v>
      </c>
      <c r="H500" s="8" t="s">
        <v>17</v>
      </c>
      <c r="I500" s="8" t="s">
        <v>17</v>
      </c>
      <c r="J500" s="8" t="s">
        <v>1624</v>
      </c>
    </row>
    <row r="501" spans="1:10" x14ac:dyDescent="0.25" outlineLevel="3" collapsed="1">
      <c r="A501" s="7" t="s">
        <v>15</v>
      </c>
      <c r="B501" s="7" t="s">
        <v>16</v>
      </c>
      <c r="C501" s="7" t="s">
        <v>17</v>
      </c>
      <c r="D501" s="7"/>
      <c r="E501" s="7" t="s">
        <v>1431</v>
      </c>
      <c r="F501" s="7" t="s">
        <v>19</v>
      </c>
      <c r="G501" s="7" t="s">
        <v>31</v>
      </c>
      <c r="H501" s="7" t="s">
        <v>17</v>
      </c>
      <c r="I501" s="7" t="s">
        <v>17</v>
      </c>
      <c r="J501" s="7" t="s">
        <v>637</v>
      </c>
    </row>
    <row r="502" spans="1:10" x14ac:dyDescent="0.25" outlineLevel="3" collapsed="1">
      <c r="A502" s="7" t="s">
        <v>15</v>
      </c>
      <c r="B502" s="7" t="s">
        <v>16</v>
      </c>
      <c r="C502" s="7" t="s">
        <v>17</v>
      </c>
      <c r="D502" s="7"/>
      <c r="E502" s="7" t="s">
        <v>638</v>
      </c>
      <c r="F502" s="7" t="s">
        <v>19</v>
      </c>
      <c r="G502" s="7" t="s">
        <v>31</v>
      </c>
      <c r="H502" s="7" t="s">
        <v>17</v>
      </c>
      <c r="I502" s="7" t="s">
        <v>17</v>
      </c>
      <c r="J502" s="7" t="s">
        <v>640</v>
      </c>
    </row>
    <row r="503" spans="1:10" x14ac:dyDescent="0.25" outlineLevel="3" collapsed="1">
      <c r="A503" s="7" t="s">
        <v>15</v>
      </c>
      <c r="B503" s="7" t="s">
        <v>16</v>
      </c>
      <c r="C503" s="7" t="s">
        <v>17</v>
      </c>
      <c r="D503" s="7"/>
      <c r="E503" s="7" t="s">
        <v>9</v>
      </c>
      <c r="F503" s="7" t="s">
        <v>19</v>
      </c>
      <c r="G503" s="7" t="s">
        <v>31</v>
      </c>
      <c r="H503" s="7" t="s">
        <v>17</v>
      </c>
      <c r="I503" s="7" t="s">
        <v>17</v>
      </c>
      <c r="J503" s="7" t="s">
        <v>843</v>
      </c>
    </row>
    <row r="504" spans="1:10" x14ac:dyDescent="0.25" outlineLevel="3" collapsed="1">
      <c r="A504" s="7" t="s">
        <v>19</v>
      </c>
      <c r="B504" s="7" t="s">
        <v>16</v>
      </c>
      <c r="C504" s="7" t="s">
        <v>17</v>
      </c>
      <c r="D504" s="7"/>
      <c r="E504" s="7" t="s">
        <v>1600</v>
      </c>
      <c r="F504" s="7" t="s">
        <v>19</v>
      </c>
      <c r="G504" s="7" t="s">
        <v>31</v>
      </c>
      <c r="H504" s="7" t="s">
        <v>17</v>
      </c>
      <c r="I504" s="7" t="s">
        <v>17</v>
      </c>
      <c r="J504" s="7" t="s">
        <v>1424</v>
      </c>
    </row>
    <row r="505" spans="1:10" x14ac:dyDescent="0.25" outlineLevel="3" collapsed="1">
      <c r="A505" s="7" t="s">
        <v>15</v>
      </c>
      <c r="B505" s="7" t="s">
        <v>16</v>
      </c>
      <c r="C505" s="7" t="s">
        <v>17</v>
      </c>
      <c r="D505" s="7"/>
      <c r="E505" s="7" t="s">
        <v>1601</v>
      </c>
      <c r="F505" s="7" t="s">
        <v>19</v>
      </c>
      <c r="G505" s="7" t="s">
        <v>31</v>
      </c>
      <c r="H505" s="7" t="s">
        <v>17</v>
      </c>
      <c r="I505" s="7" t="s">
        <v>17</v>
      </c>
      <c r="J505" s="7" t="s">
        <v>1602</v>
      </c>
    </row>
    <row r="506" spans="1:10" x14ac:dyDescent="0.25" outlineLevel="3" collapsed="1">
      <c r="A506" s="7" t="s">
        <v>15</v>
      </c>
      <c r="B506" s="7" t="s">
        <v>16</v>
      </c>
      <c r="C506" s="7" t="s">
        <v>17</v>
      </c>
      <c r="D506" s="7"/>
      <c r="E506" s="7" t="s">
        <v>1603</v>
      </c>
      <c r="F506" s="7" t="s">
        <v>19</v>
      </c>
      <c r="G506" s="7" t="s">
        <v>31</v>
      </c>
      <c r="H506" s="7" t="s">
        <v>17</v>
      </c>
      <c r="I506" s="7" t="s">
        <v>17</v>
      </c>
      <c r="J506" s="7" t="s">
        <v>1422</v>
      </c>
    </row>
    <row r="507" spans="1:10" x14ac:dyDescent="0.25" outlineLevel="3" collapsed="1">
      <c r="A507" s="7" t="s">
        <v>15</v>
      </c>
      <c r="B507" s="7" t="s">
        <v>284</v>
      </c>
      <c r="C507" s="11" t="s">
        <v>1604</v>
      </c>
      <c r="D507" s="7"/>
      <c r="E507" s="7" t="s">
        <v>1605</v>
      </c>
      <c r="F507" s="7" t="s">
        <v>19</v>
      </c>
      <c r="G507" s="7" t="s">
        <v>1606</v>
      </c>
      <c r="H507" s="7" t="s">
        <v>17</v>
      </c>
      <c r="I507" s="7" t="s">
        <v>17</v>
      </c>
      <c r="J507" s="7" t="s">
        <v>1607</v>
      </c>
    </row>
    <row r="508" spans="1:10" x14ac:dyDescent="0.25" outlineLevel="3" collapsed="1">
      <c r="A508" s="7" t="s">
        <v>19</v>
      </c>
      <c r="B508" s="7" t="s">
        <v>63</v>
      </c>
      <c r="C508" s="7" t="s">
        <v>17</v>
      </c>
      <c r="D508" s="7">
        <f>EXACT(G507,"Single value")</f>
      </c>
      <c r="E508" s="7" t="s">
        <v>1608</v>
      </c>
      <c r="F508" s="7" t="s">
        <v>19</v>
      </c>
      <c r="G508" s="7">
        <v>1</v>
      </c>
      <c r="H508" s="7" t="s">
        <v>17</v>
      </c>
      <c r="I508" s="7" t="s">
        <v>17</v>
      </c>
      <c r="J508" s="7" t="s">
        <v>1609</v>
      </c>
    </row>
    <row r="509" spans="1:10" x14ac:dyDescent="0.25" outlineLevel="3" collapsed="1">
      <c r="A509" s="7" t="s">
        <v>15</v>
      </c>
      <c r="B509" s="7" t="s">
        <v>16</v>
      </c>
      <c r="C509" s="7" t="s">
        <v>17</v>
      </c>
      <c r="D509" s="7"/>
      <c r="E509" s="7" t="s">
        <v>1610</v>
      </c>
      <c r="F509" s="7" t="s">
        <v>19</v>
      </c>
      <c r="G509" s="7" t="s">
        <v>31</v>
      </c>
      <c r="H509" s="7" t="s">
        <v>17</v>
      </c>
      <c r="I509" s="7" t="s">
        <v>17</v>
      </c>
      <c r="J509" s="7" t="s">
        <v>1191</v>
      </c>
    </row>
    <row r="510" spans="1:10" x14ac:dyDescent="0.25" outlineLevel="3" collapsed="1">
      <c r="A510" s="7" t="s">
        <v>15</v>
      </c>
      <c r="B510" s="7" t="s">
        <v>284</v>
      </c>
      <c r="C510" s="11" t="s">
        <v>1611</v>
      </c>
      <c r="D510" s="7"/>
      <c r="E510" s="7" t="s">
        <v>1612</v>
      </c>
      <c r="F510" s="7" t="s">
        <v>19</v>
      </c>
      <c r="G510" s="7" t="s">
        <v>1613</v>
      </c>
      <c r="H510" s="7" t="s">
        <v>17</v>
      </c>
      <c r="I510" s="7" t="s">
        <v>17</v>
      </c>
      <c r="J510" s="7" t="s">
        <v>1614</v>
      </c>
    </row>
    <row r="511" spans="1:10" x14ac:dyDescent="0.25" outlineLevel="3" collapsed="1">
      <c r="A511" s="7" t="s">
        <v>19</v>
      </c>
      <c r="B511" s="7" t="s">
        <v>16</v>
      </c>
      <c r="C511" s="7" t="s">
        <v>17</v>
      </c>
      <c r="D511" s="7"/>
      <c r="E511" s="7" t="s">
        <v>1615</v>
      </c>
      <c r="F511" s="7" t="s">
        <v>19</v>
      </c>
      <c r="G511" s="7" t="s">
        <v>31</v>
      </c>
      <c r="H511" s="7" t="s">
        <v>17</v>
      </c>
      <c r="I511" s="7" t="s">
        <v>17</v>
      </c>
      <c r="J511" s="7" t="s">
        <v>1616</v>
      </c>
    </row>
    <row r="512" spans="1:10" x14ac:dyDescent="0.25" outlineLevel="2" collapsed="1">
      <c r="A512" s="8" t="s">
        <v>15</v>
      </c>
      <c r="B512" s="9" t="s">
        <v>1597</v>
      </c>
      <c r="C512" s="8" t="s">
        <v>17</v>
      </c>
      <c r="D512" s="8"/>
      <c r="E512" s="8" t="s">
        <v>1625</v>
      </c>
      <c r="F512" s="8" t="s">
        <v>19</v>
      </c>
      <c r="G512" s="8" t="s">
        <v>17</v>
      </c>
      <c r="H512" s="8" t="s">
        <v>17</v>
      </c>
      <c r="I512" s="8" t="s">
        <v>17</v>
      </c>
      <c r="J512" s="8" t="s">
        <v>1626</v>
      </c>
    </row>
    <row r="513" spans="1:10" x14ac:dyDescent="0.25" outlineLevel="3" collapsed="1">
      <c r="A513" s="7" t="s">
        <v>15</v>
      </c>
      <c r="B513" s="7" t="s">
        <v>16</v>
      </c>
      <c r="C513" s="7" t="s">
        <v>17</v>
      </c>
      <c r="D513" s="7"/>
      <c r="E513" s="7" t="s">
        <v>1431</v>
      </c>
      <c r="F513" s="7" t="s">
        <v>19</v>
      </c>
      <c r="G513" s="7" t="s">
        <v>31</v>
      </c>
      <c r="H513" s="7" t="s">
        <v>17</v>
      </c>
      <c r="I513" s="7" t="s">
        <v>17</v>
      </c>
      <c r="J513" s="7" t="s">
        <v>637</v>
      </c>
    </row>
    <row r="514" spans="1:10" x14ac:dyDescent="0.25" outlineLevel="3" collapsed="1">
      <c r="A514" s="7" t="s">
        <v>15</v>
      </c>
      <c r="B514" s="7" t="s">
        <v>16</v>
      </c>
      <c r="C514" s="7" t="s">
        <v>17</v>
      </c>
      <c r="D514" s="7"/>
      <c r="E514" s="7" t="s">
        <v>638</v>
      </c>
      <c r="F514" s="7" t="s">
        <v>19</v>
      </c>
      <c r="G514" s="7" t="s">
        <v>31</v>
      </c>
      <c r="H514" s="7" t="s">
        <v>17</v>
      </c>
      <c r="I514" s="7" t="s">
        <v>17</v>
      </c>
      <c r="J514" s="7" t="s">
        <v>640</v>
      </c>
    </row>
    <row r="515" spans="1:10" x14ac:dyDescent="0.25" outlineLevel="3" collapsed="1">
      <c r="A515" s="7" t="s">
        <v>15</v>
      </c>
      <c r="B515" s="7" t="s">
        <v>16</v>
      </c>
      <c r="C515" s="7" t="s">
        <v>17</v>
      </c>
      <c r="D515" s="7"/>
      <c r="E515" s="7" t="s">
        <v>9</v>
      </c>
      <c r="F515" s="7" t="s">
        <v>19</v>
      </c>
      <c r="G515" s="7" t="s">
        <v>31</v>
      </c>
      <c r="H515" s="7" t="s">
        <v>17</v>
      </c>
      <c r="I515" s="7" t="s">
        <v>17</v>
      </c>
      <c r="J515" s="7" t="s">
        <v>843</v>
      </c>
    </row>
    <row r="516" spans="1:10" x14ac:dyDescent="0.25" outlineLevel="3" collapsed="1">
      <c r="A516" s="7" t="s">
        <v>19</v>
      </c>
      <c r="B516" s="7" t="s">
        <v>16</v>
      </c>
      <c r="C516" s="7" t="s">
        <v>17</v>
      </c>
      <c r="D516" s="7"/>
      <c r="E516" s="7" t="s">
        <v>1600</v>
      </c>
      <c r="F516" s="7" t="s">
        <v>19</v>
      </c>
      <c r="G516" s="7" t="s">
        <v>31</v>
      </c>
      <c r="H516" s="7" t="s">
        <v>17</v>
      </c>
      <c r="I516" s="7" t="s">
        <v>17</v>
      </c>
      <c r="J516" s="7" t="s">
        <v>1424</v>
      </c>
    </row>
    <row r="517" spans="1:10" x14ac:dyDescent="0.25" outlineLevel="3" collapsed="1">
      <c r="A517" s="7" t="s">
        <v>15</v>
      </c>
      <c r="B517" s="7" t="s">
        <v>16</v>
      </c>
      <c r="C517" s="7" t="s">
        <v>17</v>
      </c>
      <c r="D517" s="7"/>
      <c r="E517" s="7" t="s">
        <v>1601</v>
      </c>
      <c r="F517" s="7" t="s">
        <v>19</v>
      </c>
      <c r="G517" s="7" t="s">
        <v>31</v>
      </c>
      <c r="H517" s="7" t="s">
        <v>17</v>
      </c>
      <c r="I517" s="7" t="s">
        <v>17</v>
      </c>
      <c r="J517" s="7" t="s">
        <v>1602</v>
      </c>
    </row>
    <row r="518" spans="1:10" x14ac:dyDescent="0.25" outlineLevel="3" collapsed="1">
      <c r="A518" s="7" t="s">
        <v>15</v>
      </c>
      <c r="B518" s="7" t="s">
        <v>16</v>
      </c>
      <c r="C518" s="7" t="s">
        <v>17</v>
      </c>
      <c r="D518" s="7"/>
      <c r="E518" s="7" t="s">
        <v>1603</v>
      </c>
      <c r="F518" s="7" t="s">
        <v>19</v>
      </c>
      <c r="G518" s="7" t="s">
        <v>31</v>
      </c>
      <c r="H518" s="7" t="s">
        <v>17</v>
      </c>
      <c r="I518" s="7" t="s">
        <v>17</v>
      </c>
      <c r="J518" s="7" t="s">
        <v>1422</v>
      </c>
    </row>
    <row r="519" spans="1:10" x14ac:dyDescent="0.25" outlineLevel="3" collapsed="1">
      <c r="A519" s="7" t="s">
        <v>15</v>
      </c>
      <c r="B519" s="7" t="s">
        <v>284</v>
      </c>
      <c r="C519" s="11" t="s">
        <v>1604</v>
      </c>
      <c r="D519" s="7"/>
      <c r="E519" s="7" t="s">
        <v>1605</v>
      </c>
      <c r="F519" s="7" t="s">
        <v>19</v>
      </c>
      <c r="G519" s="7" t="s">
        <v>1606</v>
      </c>
      <c r="H519" s="7" t="s">
        <v>17</v>
      </c>
      <c r="I519" s="7" t="s">
        <v>17</v>
      </c>
      <c r="J519" s="7" t="s">
        <v>1607</v>
      </c>
    </row>
    <row r="520" spans="1:10" x14ac:dyDescent="0.25" outlineLevel="3" collapsed="1">
      <c r="A520" s="7" t="s">
        <v>19</v>
      </c>
      <c r="B520" s="7" t="s">
        <v>63</v>
      </c>
      <c r="C520" s="7" t="s">
        <v>17</v>
      </c>
      <c r="D520" s="7">
        <f>EXACT(G519,"Single value")</f>
      </c>
      <c r="E520" s="7" t="s">
        <v>1608</v>
      </c>
      <c r="F520" s="7" t="s">
        <v>19</v>
      </c>
      <c r="G520" s="7">
        <v>1</v>
      </c>
      <c r="H520" s="7" t="s">
        <v>17</v>
      </c>
      <c r="I520" s="7" t="s">
        <v>17</v>
      </c>
      <c r="J520" s="7" t="s">
        <v>1609</v>
      </c>
    </row>
    <row r="521" spans="1:10" x14ac:dyDescent="0.25" outlineLevel="3" collapsed="1">
      <c r="A521" s="7" t="s">
        <v>15</v>
      </c>
      <c r="B521" s="7" t="s">
        <v>16</v>
      </c>
      <c r="C521" s="7" t="s">
        <v>17</v>
      </c>
      <c r="D521" s="7"/>
      <c r="E521" s="7" t="s">
        <v>1610</v>
      </c>
      <c r="F521" s="7" t="s">
        <v>19</v>
      </c>
      <c r="G521" s="7" t="s">
        <v>31</v>
      </c>
      <c r="H521" s="7" t="s">
        <v>17</v>
      </c>
      <c r="I521" s="7" t="s">
        <v>17</v>
      </c>
      <c r="J521" s="7" t="s">
        <v>1191</v>
      </c>
    </row>
    <row r="522" spans="1:10" x14ac:dyDescent="0.25" outlineLevel="3" collapsed="1">
      <c r="A522" s="7" t="s">
        <v>15</v>
      </c>
      <c r="B522" s="7" t="s">
        <v>284</v>
      </c>
      <c r="C522" s="11" t="s">
        <v>1611</v>
      </c>
      <c r="D522" s="7"/>
      <c r="E522" s="7" t="s">
        <v>1612</v>
      </c>
      <c r="F522" s="7" t="s">
        <v>19</v>
      </c>
      <c r="G522" s="7" t="s">
        <v>1613</v>
      </c>
      <c r="H522" s="7" t="s">
        <v>17</v>
      </c>
      <c r="I522" s="7" t="s">
        <v>17</v>
      </c>
      <c r="J522" s="7" t="s">
        <v>1614</v>
      </c>
    </row>
    <row r="523" spans="1:10" x14ac:dyDescent="0.25" outlineLevel="3" collapsed="1">
      <c r="A523" s="7" t="s">
        <v>19</v>
      </c>
      <c r="B523" s="7" t="s">
        <v>16</v>
      </c>
      <c r="C523" s="7" t="s">
        <v>17</v>
      </c>
      <c r="D523" s="7"/>
      <c r="E523" s="7" t="s">
        <v>1615</v>
      </c>
      <c r="F523" s="7" t="s">
        <v>19</v>
      </c>
      <c r="G523" s="7" t="s">
        <v>31</v>
      </c>
      <c r="H523" s="7" t="s">
        <v>17</v>
      </c>
      <c r="I523" s="7" t="s">
        <v>17</v>
      </c>
      <c r="J523" s="7" t="s">
        <v>1616</v>
      </c>
    </row>
    <row r="524" spans="1:10" x14ac:dyDescent="0.25" outlineLevel="2" collapsed="1">
      <c r="A524" s="8" t="s">
        <v>19</v>
      </c>
      <c r="B524" s="9" t="s">
        <v>1597</v>
      </c>
      <c r="C524" s="8" t="s">
        <v>17</v>
      </c>
      <c r="D524" s="8"/>
      <c r="E524" s="8" t="s">
        <v>1627</v>
      </c>
      <c r="F524" s="8" t="s">
        <v>19</v>
      </c>
      <c r="G524" s="8" t="s">
        <v>17</v>
      </c>
      <c r="H524" s="8" t="s">
        <v>17</v>
      </c>
      <c r="I524" s="8" t="s">
        <v>17</v>
      </c>
      <c r="J524" s="8" t="s">
        <v>1628</v>
      </c>
    </row>
    <row r="525" spans="1:10" x14ac:dyDescent="0.25" outlineLevel="3" collapsed="1">
      <c r="A525" s="7" t="s">
        <v>15</v>
      </c>
      <c r="B525" s="7" t="s">
        <v>16</v>
      </c>
      <c r="C525" s="7" t="s">
        <v>17</v>
      </c>
      <c r="D525" s="7"/>
      <c r="E525" s="7" t="s">
        <v>1431</v>
      </c>
      <c r="F525" s="7" t="s">
        <v>19</v>
      </c>
      <c r="G525" s="7" t="s">
        <v>31</v>
      </c>
      <c r="H525" s="7" t="s">
        <v>17</v>
      </c>
      <c r="I525" s="7" t="s">
        <v>17</v>
      </c>
      <c r="J525" s="7" t="s">
        <v>637</v>
      </c>
    </row>
    <row r="526" spans="1:10" x14ac:dyDescent="0.25" outlineLevel="3" collapsed="1">
      <c r="A526" s="7" t="s">
        <v>15</v>
      </c>
      <c r="B526" s="7" t="s">
        <v>16</v>
      </c>
      <c r="C526" s="7" t="s">
        <v>17</v>
      </c>
      <c r="D526" s="7"/>
      <c r="E526" s="7" t="s">
        <v>638</v>
      </c>
      <c r="F526" s="7" t="s">
        <v>19</v>
      </c>
      <c r="G526" s="7" t="s">
        <v>31</v>
      </c>
      <c r="H526" s="7" t="s">
        <v>17</v>
      </c>
      <c r="I526" s="7" t="s">
        <v>17</v>
      </c>
      <c r="J526" s="7" t="s">
        <v>640</v>
      </c>
    </row>
    <row r="527" spans="1:10" x14ac:dyDescent="0.25" outlineLevel="3" collapsed="1">
      <c r="A527" s="7" t="s">
        <v>15</v>
      </c>
      <c r="B527" s="7" t="s">
        <v>16</v>
      </c>
      <c r="C527" s="7" t="s">
        <v>17</v>
      </c>
      <c r="D527" s="7"/>
      <c r="E527" s="7" t="s">
        <v>9</v>
      </c>
      <c r="F527" s="7" t="s">
        <v>19</v>
      </c>
      <c r="G527" s="7" t="s">
        <v>31</v>
      </c>
      <c r="H527" s="7" t="s">
        <v>17</v>
      </c>
      <c r="I527" s="7" t="s">
        <v>17</v>
      </c>
      <c r="J527" s="7" t="s">
        <v>843</v>
      </c>
    </row>
    <row r="528" spans="1:10" x14ac:dyDescent="0.25" outlineLevel="3" collapsed="1">
      <c r="A528" s="7" t="s">
        <v>19</v>
      </c>
      <c r="B528" s="7" t="s">
        <v>16</v>
      </c>
      <c r="C528" s="7" t="s">
        <v>17</v>
      </c>
      <c r="D528" s="7"/>
      <c r="E528" s="7" t="s">
        <v>1600</v>
      </c>
      <c r="F528" s="7" t="s">
        <v>19</v>
      </c>
      <c r="G528" s="7" t="s">
        <v>31</v>
      </c>
      <c r="H528" s="7" t="s">
        <v>17</v>
      </c>
      <c r="I528" s="7" t="s">
        <v>17</v>
      </c>
      <c r="J528" s="7" t="s">
        <v>1424</v>
      </c>
    </row>
    <row r="529" spans="1:10" x14ac:dyDescent="0.25" outlineLevel="3" collapsed="1">
      <c r="A529" s="7" t="s">
        <v>15</v>
      </c>
      <c r="B529" s="7" t="s">
        <v>16</v>
      </c>
      <c r="C529" s="7" t="s">
        <v>17</v>
      </c>
      <c r="D529" s="7"/>
      <c r="E529" s="7" t="s">
        <v>1601</v>
      </c>
      <c r="F529" s="7" t="s">
        <v>19</v>
      </c>
      <c r="G529" s="7" t="s">
        <v>31</v>
      </c>
      <c r="H529" s="7" t="s">
        <v>17</v>
      </c>
      <c r="I529" s="7" t="s">
        <v>17</v>
      </c>
      <c r="J529" s="7" t="s">
        <v>1602</v>
      </c>
    </row>
    <row r="530" spans="1:10" x14ac:dyDescent="0.25" outlineLevel="3" collapsed="1">
      <c r="A530" s="7" t="s">
        <v>15</v>
      </c>
      <c r="B530" s="7" t="s">
        <v>16</v>
      </c>
      <c r="C530" s="7" t="s">
        <v>17</v>
      </c>
      <c r="D530" s="7"/>
      <c r="E530" s="7" t="s">
        <v>1603</v>
      </c>
      <c r="F530" s="7" t="s">
        <v>19</v>
      </c>
      <c r="G530" s="7" t="s">
        <v>31</v>
      </c>
      <c r="H530" s="7" t="s">
        <v>17</v>
      </c>
      <c r="I530" s="7" t="s">
        <v>17</v>
      </c>
      <c r="J530" s="7" t="s">
        <v>1422</v>
      </c>
    </row>
    <row r="531" spans="1:10" x14ac:dyDescent="0.25" outlineLevel="3" collapsed="1">
      <c r="A531" s="7" t="s">
        <v>15</v>
      </c>
      <c r="B531" s="7" t="s">
        <v>284</v>
      </c>
      <c r="C531" s="11" t="s">
        <v>1604</v>
      </c>
      <c r="D531" s="7"/>
      <c r="E531" s="7" t="s">
        <v>1605</v>
      </c>
      <c r="F531" s="7" t="s">
        <v>19</v>
      </c>
      <c r="G531" s="7" t="s">
        <v>1606</v>
      </c>
      <c r="H531" s="7" t="s">
        <v>17</v>
      </c>
      <c r="I531" s="7" t="s">
        <v>17</v>
      </c>
      <c r="J531" s="7" t="s">
        <v>1607</v>
      </c>
    </row>
    <row r="532" spans="1:10" x14ac:dyDescent="0.25" outlineLevel="3" collapsed="1">
      <c r="A532" s="7" t="s">
        <v>19</v>
      </c>
      <c r="B532" s="7" t="s">
        <v>63</v>
      </c>
      <c r="C532" s="7" t="s">
        <v>17</v>
      </c>
      <c r="D532" s="7">
        <f>EXACT(G531,"Single value")</f>
      </c>
      <c r="E532" s="7" t="s">
        <v>1608</v>
      </c>
      <c r="F532" s="7" t="s">
        <v>19</v>
      </c>
      <c r="G532" s="7">
        <v>1</v>
      </c>
      <c r="H532" s="7" t="s">
        <v>17</v>
      </c>
      <c r="I532" s="7" t="s">
        <v>17</v>
      </c>
      <c r="J532" s="7" t="s">
        <v>1609</v>
      </c>
    </row>
    <row r="533" spans="1:10" x14ac:dyDescent="0.25" outlineLevel="3" collapsed="1">
      <c r="A533" s="7" t="s">
        <v>15</v>
      </c>
      <c r="B533" s="7" t="s">
        <v>16</v>
      </c>
      <c r="C533" s="7" t="s">
        <v>17</v>
      </c>
      <c r="D533" s="7"/>
      <c r="E533" s="7" t="s">
        <v>1610</v>
      </c>
      <c r="F533" s="7" t="s">
        <v>19</v>
      </c>
      <c r="G533" s="7" t="s">
        <v>31</v>
      </c>
      <c r="H533" s="7" t="s">
        <v>17</v>
      </c>
      <c r="I533" s="7" t="s">
        <v>17</v>
      </c>
      <c r="J533" s="7" t="s">
        <v>1191</v>
      </c>
    </row>
    <row r="534" spans="1:10" x14ac:dyDescent="0.25" outlineLevel="3" collapsed="1">
      <c r="A534" s="7" t="s">
        <v>15</v>
      </c>
      <c r="B534" s="7" t="s">
        <v>284</v>
      </c>
      <c r="C534" s="11" t="s">
        <v>1611</v>
      </c>
      <c r="D534" s="7"/>
      <c r="E534" s="7" t="s">
        <v>1612</v>
      </c>
      <c r="F534" s="7" t="s">
        <v>19</v>
      </c>
      <c r="G534" s="7" t="s">
        <v>1613</v>
      </c>
      <c r="H534" s="7" t="s">
        <v>17</v>
      </c>
      <c r="I534" s="7" t="s">
        <v>17</v>
      </c>
      <c r="J534" s="7" t="s">
        <v>1614</v>
      </c>
    </row>
    <row r="535" spans="1:10" x14ac:dyDescent="0.25" outlineLevel="3" collapsed="1">
      <c r="A535" s="7" t="s">
        <v>19</v>
      </c>
      <c r="B535" s="7" t="s">
        <v>16</v>
      </c>
      <c r="C535" s="7" t="s">
        <v>17</v>
      </c>
      <c r="D535" s="7"/>
      <c r="E535" s="7" t="s">
        <v>1615</v>
      </c>
      <c r="F535" s="7" t="s">
        <v>19</v>
      </c>
      <c r="G535" s="7" t="s">
        <v>31</v>
      </c>
      <c r="H535" s="7" t="s">
        <v>17</v>
      </c>
      <c r="I535" s="7" t="s">
        <v>17</v>
      </c>
      <c r="J535" s="7" t="s">
        <v>1616</v>
      </c>
    </row>
    <row r="536" spans="1:10" x14ac:dyDescent="0.25" outlineLevel="2" collapsed="1">
      <c r="A536" s="8" t="s">
        <v>19</v>
      </c>
      <c r="B536" s="9" t="s">
        <v>1597</v>
      </c>
      <c r="C536" s="8" t="s">
        <v>17</v>
      </c>
      <c r="D536" s="8"/>
      <c r="E536" s="8" t="s">
        <v>1629</v>
      </c>
      <c r="F536" s="8" t="s">
        <v>19</v>
      </c>
      <c r="G536" s="8" t="s">
        <v>17</v>
      </c>
      <c r="H536" s="8" t="s">
        <v>17</v>
      </c>
      <c r="I536" s="8" t="s">
        <v>17</v>
      </c>
      <c r="J536" s="8" t="s">
        <v>1630</v>
      </c>
    </row>
    <row r="537" spans="1:10" x14ac:dyDescent="0.25" outlineLevel="3" collapsed="1">
      <c r="A537" s="7" t="s">
        <v>15</v>
      </c>
      <c r="B537" s="7" t="s">
        <v>16</v>
      </c>
      <c r="C537" s="7" t="s">
        <v>17</v>
      </c>
      <c r="D537" s="7"/>
      <c r="E537" s="7" t="s">
        <v>1431</v>
      </c>
      <c r="F537" s="7" t="s">
        <v>19</v>
      </c>
      <c r="G537" s="7" t="s">
        <v>31</v>
      </c>
      <c r="H537" s="7" t="s">
        <v>17</v>
      </c>
      <c r="I537" s="7" t="s">
        <v>17</v>
      </c>
      <c r="J537" s="7" t="s">
        <v>637</v>
      </c>
    </row>
    <row r="538" spans="1:10" x14ac:dyDescent="0.25" outlineLevel="3" collapsed="1">
      <c r="A538" s="7" t="s">
        <v>15</v>
      </c>
      <c r="B538" s="7" t="s">
        <v>16</v>
      </c>
      <c r="C538" s="7" t="s">
        <v>17</v>
      </c>
      <c r="D538" s="7"/>
      <c r="E538" s="7" t="s">
        <v>638</v>
      </c>
      <c r="F538" s="7" t="s">
        <v>19</v>
      </c>
      <c r="G538" s="7" t="s">
        <v>31</v>
      </c>
      <c r="H538" s="7" t="s">
        <v>17</v>
      </c>
      <c r="I538" s="7" t="s">
        <v>17</v>
      </c>
      <c r="J538" s="7" t="s">
        <v>640</v>
      </c>
    </row>
    <row r="539" spans="1:10" x14ac:dyDescent="0.25" outlineLevel="3" collapsed="1">
      <c r="A539" s="7" t="s">
        <v>15</v>
      </c>
      <c r="B539" s="7" t="s">
        <v>16</v>
      </c>
      <c r="C539" s="7" t="s">
        <v>17</v>
      </c>
      <c r="D539" s="7"/>
      <c r="E539" s="7" t="s">
        <v>9</v>
      </c>
      <c r="F539" s="7" t="s">
        <v>19</v>
      </c>
      <c r="G539" s="7" t="s">
        <v>31</v>
      </c>
      <c r="H539" s="7" t="s">
        <v>17</v>
      </c>
      <c r="I539" s="7" t="s">
        <v>17</v>
      </c>
      <c r="J539" s="7" t="s">
        <v>843</v>
      </c>
    </row>
    <row r="540" spans="1:10" x14ac:dyDescent="0.25" outlineLevel="3" collapsed="1">
      <c r="A540" s="7" t="s">
        <v>19</v>
      </c>
      <c r="B540" s="7" t="s">
        <v>16</v>
      </c>
      <c r="C540" s="7" t="s">
        <v>17</v>
      </c>
      <c r="D540" s="7"/>
      <c r="E540" s="7" t="s">
        <v>1600</v>
      </c>
      <c r="F540" s="7" t="s">
        <v>19</v>
      </c>
      <c r="G540" s="7" t="s">
        <v>31</v>
      </c>
      <c r="H540" s="7" t="s">
        <v>17</v>
      </c>
      <c r="I540" s="7" t="s">
        <v>17</v>
      </c>
      <c r="J540" s="7" t="s">
        <v>1424</v>
      </c>
    </row>
    <row r="541" spans="1:10" x14ac:dyDescent="0.25" outlineLevel="3" collapsed="1">
      <c r="A541" s="7" t="s">
        <v>15</v>
      </c>
      <c r="B541" s="7" t="s">
        <v>16</v>
      </c>
      <c r="C541" s="7" t="s">
        <v>17</v>
      </c>
      <c r="D541" s="7"/>
      <c r="E541" s="7" t="s">
        <v>1601</v>
      </c>
      <c r="F541" s="7" t="s">
        <v>19</v>
      </c>
      <c r="G541" s="7" t="s">
        <v>31</v>
      </c>
      <c r="H541" s="7" t="s">
        <v>17</v>
      </c>
      <c r="I541" s="7" t="s">
        <v>17</v>
      </c>
      <c r="J541" s="7" t="s">
        <v>1602</v>
      </c>
    </row>
    <row r="542" spans="1:10" x14ac:dyDescent="0.25" outlineLevel="3" collapsed="1">
      <c r="A542" s="7" t="s">
        <v>15</v>
      </c>
      <c r="B542" s="7" t="s">
        <v>16</v>
      </c>
      <c r="C542" s="7" t="s">
        <v>17</v>
      </c>
      <c r="D542" s="7"/>
      <c r="E542" s="7" t="s">
        <v>1603</v>
      </c>
      <c r="F542" s="7" t="s">
        <v>19</v>
      </c>
      <c r="G542" s="7" t="s">
        <v>31</v>
      </c>
      <c r="H542" s="7" t="s">
        <v>17</v>
      </c>
      <c r="I542" s="7" t="s">
        <v>17</v>
      </c>
      <c r="J542" s="7" t="s">
        <v>1422</v>
      </c>
    </row>
    <row r="543" spans="1:10" x14ac:dyDescent="0.25" outlineLevel="3" collapsed="1">
      <c r="A543" s="7" t="s">
        <v>15</v>
      </c>
      <c r="B543" s="7" t="s">
        <v>284</v>
      </c>
      <c r="C543" s="11" t="s">
        <v>1604</v>
      </c>
      <c r="D543" s="7"/>
      <c r="E543" s="7" t="s">
        <v>1605</v>
      </c>
      <c r="F543" s="7" t="s">
        <v>19</v>
      </c>
      <c r="G543" s="7" t="s">
        <v>1606</v>
      </c>
      <c r="H543" s="7" t="s">
        <v>17</v>
      </c>
      <c r="I543" s="7" t="s">
        <v>17</v>
      </c>
      <c r="J543" s="7" t="s">
        <v>1607</v>
      </c>
    </row>
    <row r="544" spans="1:10" x14ac:dyDescent="0.25" outlineLevel="3" collapsed="1">
      <c r="A544" s="7" t="s">
        <v>19</v>
      </c>
      <c r="B544" s="7" t="s">
        <v>63</v>
      </c>
      <c r="C544" s="7" t="s">
        <v>17</v>
      </c>
      <c r="D544" s="7">
        <f>EXACT(G543,"Single value")</f>
      </c>
      <c r="E544" s="7" t="s">
        <v>1608</v>
      </c>
      <c r="F544" s="7" t="s">
        <v>19</v>
      </c>
      <c r="G544" s="7">
        <v>1</v>
      </c>
      <c r="H544" s="7" t="s">
        <v>17</v>
      </c>
      <c r="I544" s="7" t="s">
        <v>17</v>
      </c>
      <c r="J544" s="7" t="s">
        <v>1609</v>
      </c>
    </row>
    <row r="545" spans="1:10" x14ac:dyDescent="0.25" outlineLevel="3" collapsed="1">
      <c r="A545" s="7" t="s">
        <v>15</v>
      </c>
      <c r="B545" s="7" t="s">
        <v>16</v>
      </c>
      <c r="C545" s="7" t="s">
        <v>17</v>
      </c>
      <c r="D545" s="7"/>
      <c r="E545" s="7" t="s">
        <v>1610</v>
      </c>
      <c r="F545" s="7" t="s">
        <v>19</v>
      </c>
      <c r="G545" s="7" t="s">
        <v>31</v>
      </c>
      <c r="H545" s="7" t="s">
        <v>17</v>
      </c>
      <c r="I545" s="7" t="s">
        <v>17</v>
      </c>
      <c r="J545" s="7" t="s">
        <v>1191</v>
      </c>
    </row>
    <row r="546" spans="1:10" x14ac:dyDescent="0.25" outlineLevel="3" collapsed="1">
      <c r="A546" s="7" t="s">
        <v>15</v>
      </c>
      <c r="B546" s="7" t="s">
        <v>284</v>
      </c>
      <c r="C546" s="11" t="s">
        <v>1611</v>
      </c>
      <c r="D546" s="7"/>
      <c r="E546" s="7" t="s">
        <v>1612</v>
      </c>
      <c r="F546" s="7" t="s">
        <v>19</v>
      </c>
      <c r="G546" s="7" t="s">
        <v>1613</v>
      </c>
      <c r="H546" s="7" t="s">
        <v>17</v>
      </c>
      <c r="I546" s="7" t="s">
        <v>17</v>
      </c>
      <c r="J546" s="7" t="s">
        <v>1614</v>
      </c>
    </row>
    <row r="547" spans="1:10" x14ac:dyDescent="0.25" outlineLevel="3" collapsed="1">
      <c r="A547" s="7" t="s">
        <v>19</v>
      </c>
      <c r="B547" s="7" t="s">
        <v>16</v>
      </c>
      <c r="C547" s="7" t="s">
        <v>17</v>
      </c>
      <c r="D547" s="7"/>
      <c r="E547" s="7" t="s">
        <v>1615</v>
      </c>
      <c r="F547" s="7" t="s">
        <v>19</v>
      </c>
      <c r="G547" s="7" t="s">
        <v>31</v>
      </c>
      <c r="H547" s="7" t="s">
        <v>17</v>
      </c>
      <c r="I547" s="7" t="s">
        <v>17</v>
      </c>
      <c r="J547" s="7" t="s">
        <v>1616</v>
      </c>
    </row>
    <row r="548" spans="1:10" x14ac:dyDescent="0.25" outlineLevel="2" collapsed="1">
      <c r="A548" s="8" t="s">
        <v>15</v>
      </c>
      <c r="B548" s="9" t="s">
        <v>1597</v>
      </c>
      <c r="C548" s="8" t="s">
        <v>17</v>
      </c>
      <c r="D548" s="8"/>
      <c r="E548" s="8" t="s">
        <v>1631</v>
      </c>
      <c r="F548" s="8" t="s">
        <v>19</v>
      </c>
      <c r="G548" s="8" t="s">
        <v>17</v>
      </c>
      <c r="H548" s="8" t="s">
        <v>17</v>
      </c>
      <c r="I548" s="8" t="s">
        <v>17</v>
      </c>
      <c r="J548" s="8" t="s">
        <v>1632</v>
      </c>
    </row>
    <row r="549" spans="1:10" x14ac:dyDescent="0.25" outlineLevel="3" collapsed="1">
      <c r="A549" s="7" t="s">
        <v>15</v>
      </c>
      <c r="B549" s="7" t="s">
        <v>16</v>
      </c>
      <c r="C549" s="7" t="s">
        <v>17</v>
      </c>
      <c r="D549" s="7"/>
      <c r="E549" s="7" t="s">
        <v>1431</v>
      </c>
      <c r="F549" s="7" t="s">
        <v>19</v>
      </c>
      <c r="G549" s="7" t="s">
        <v>31</v>
      </c>
      <c r="H549" s="7" t="s">
        <v>17</v>
      </c>
      <c r="I549" s="7" t="s">
        <v>17</v>
      </c>
      <c r="J549" s="7" t="s">
        <v>637</v>
      </c>
    </row>
    <row r="550" spans="1:10" x14ac:dyDescent="0.25" outlineLevel="3" collapsed="1">
      <c r="A550" s="7" t="s">
        <v>15</v>
      </c>
      <c r="B550" s="7" t="s">
        <v>16</v>
      </c>
      <c r="C550" s="7" t="s">
        <v>17</v>
      </c>
      <c r="D550" s="7"/>
      <c r="E550" s="7" t="s">
        <v>638</v>
      </c>
      <c r="F550" s="7" t="s">
        <v>19</v>
      </c>
      <c r="G550" s="7" t="s">
        <v>31</v>
      </c>
      <c r="H550" s="7" t="s">
        <v>17</v>
      </c>
      <c r="I550" s="7" t="s">
        <v>17</v>
      </c>
      <c r="J550" s="7" t="s">
        <v>640</v>
      </c>
    </row>
    <row r="551" spans="1:10" x14ac:dyDescent="0.25" outlineLevel="3" collapsed="1">
      <c r="A551" s="7" t="s">
        <v>15</v>
      </c>
      <c r="B551" s="7" t="s">
        <v>16</v>
      </c>
      <c r="C551" s="7" t="s">
        <v>17</v>
      </c>
      <c r="D551" s="7"/>
      <c r="E551" s="7" t="s">
        <v>9</v>
      </c>
      <c r="F551" s="7" t="s">
        <v>19</v>
      </c>
      <c r="G551" s="7" t="s">
        <v>31</v>
      </c>
      <c r="H551" s="7" t="s">
        <v>17</v>
      </c>
      <c r="I551" s="7" t="s">
        <v>17</v>
      </c>
      <c r="J551" s="7" t="s">
        <v>843</v>
      </c>
    </row>
    <row r="552" spans="1:10" x14ac:dyDescent="0.25" outlineLevel="3" collapsed="1">
      <c r="A552" s="7" t="s">
        <v>19</v>
      </c>
      <c r="B552" s="7" t="s">
        <v>16</v>
      </c>
      <c r="C552" s="7" t="s">
        <v>17</v>
      </c>
      <c r="D552" s="7"/>
      <c r="E552" s="7" t="s">
        <v>1600</v>
      </c>
      <c r="F552" s="7" t="s">
        <v>19</v>
      </c>
      <c r="G552" s="7" t="s">
        <v>31</v>
      </c>
      <c r="H552" s="7" t="s">
        <v>17</v>
      </c>
      <c r="I552" s="7" t="s">
        <v>17</v>
      </c>
      <c r="J552" s="7" t="s">
        <v>1424</v>
      </c>
    </row>
    <row r="553" spans="1:10" x14ac:dyDescent="0.25" outlineLevel="3" collapsed="1">
      <c r="A553" s="7" t="s">
        <v>15</v>
      </c>
      <c r="B553" s="7" t="s">
        <v>16</v>
      </c>
      <c r="C553" s="7" t="s">
        <v>17</v>
      </c>
      <c r="D553" s="7"/>
      <c r="E553" s="7" t="s">
        <v>1601</v>
      </c>
      <c r="F553" s="7" t="s">
        <v>19</v>
      </c>
      <c r="G553" s="7" t="s">
        <v>31</v>
      </c>
      <c r="H553" s="7" t="s">
        <v>17</v>
      </c>
      <c r="I553" s="7" t="s">
        <v>17</v>
      </c>
      <c r="J553" s="7" t="s">
        <v>1602</v>
      </c>
    </row>
    <row r="554" spans="1:10" x14ac:dyDescent="0.25" outlineLevel="3" collapsed="1">
      <c r="A554" s="7" t="s">
        <v>15</v>
      </c>
      <c r="B554" s="7" t="s">
        <v>16</v>
      </c>
      <c r="C554" s="7" t="s">
        <v>17</v>
      </c>
      <c r="D554" s="7"/>
      <c r="E554" s="7" t="s">
        <v>1603</v>
      </c>
      <c r="F554" s="7" t="s">
        <v>19</v>
      </c>
      <c r="G554" s="7" t="s">
        <v>31</v>
      </c>
      <c r="H554" s="7" t="s">
        <v>17</v>
      </c>
      <c r="I554" s="7" t="s">
        <v>17</v>
      </c>
      <c r="J554" s="7" t="s">
        <v>1422</v>
      </c>
    </row>
    <row r="555" spans="1:10" x14ac:dyDescent="0.25" outlineLevel="3" collapsed="1">
      <c r="A555" s="7" t="s">
        <v>15</v>
      </c>
      <c r="B555" s="7" t="s">
        <v>284</v>
      </c>
      <c r="C555" s="11" t="s">
        <v>1604</v>
      </c>
      <c r="D555" s="7"/>
      <c r="E555" s="7" t="s">
        <v>1605</v>
      </c>
      <c r="F555" s="7" t="s">
        <v>19</v>
      </c>
      <c r="G555" s="7" t="s">
        <v>1606</v>
      </c>
      <c r="H555" s="7" t="s">
        <v>17</v>
      </c>
      <c r="I555" s="7" t="s">
        <v>17</v>
      </c>
      <c r="J555" s="7" t="s">
        <v>1607</v>
      </c>
    </row>
    <row r="556" spans="1:10" x14ac:dyDescent="0.25" outlineLevel="3" collapsed="1">
      <c r="A556" s="7" t="s">
        <v>19</v>
      </c>
      <c r="B556" s="7" t="s">
        <v>63</v>
      </c>
      <c r="C556" s="7" t="s">
        <v>17</v>
      </c>
      <c r="D556" s="7">
        <f>EXACT(G555,"Single value")</f>
      </c>
      <c r="E556" s="7" t="s">
        <v>1608</v>
      </c>
      <c r="F556" s="7" t="s">
        <v>19</v>
      </c>
      <c r="G556" s="7">
        <v>1</v>
      </c>
      <c r="H556" s="7" t="s">
        <v>17</v>
      </c>
      <c r="I556" s="7" t="s">
        <v>17</v>
      </c>
      <c r="J556" s="7" t="s">
        <v>1609</v>
      </c>
    </row>
    <row r="557" spans="1:10" x14ac:dyDescent="0.25" outlineLevel="3" collapsed="1">
      <c r="A557" s="7" t="s">
        <v>15</v>
      </c>
      <c r="B557" s="7" t="s">
        <v>16</v>
      </c>
      <c r="C557" s="7" t="s">
        <v>17</v>
      </c>
      <c r="D557" s="7"/>
      <c r="E557" s="7" t="s">
        <v>1610</v>
      </c>
      <c r="F557" s="7" t="s">
        <v>19</v>
      </c>
      <c r="G557" s="7" t="s">
        <v>31</v>
      </c>
      <c r="H557" s="7" t="s">
        <v>17</v>
      </c>
      <c r="I557" s="7" t="s">
        <v>17</v>
      </c>
      <c r="J557" s="7" t="s">
        <v>1191</v>
      </c>
    </row>
    <row r="558" spans="1:10" x14ac:dyDescent="0.25" outlineLevel="3" collapsed="1">
      <c r="A558" s="7" t="s">
        <v>15</v>
      </c>
      <c r="B558" s="7" t="s">
        <v>284</v>
      </c>
      <c r="C558" s="11" t="s">
        <v>1611</v>
      </c>
      <c r="D558" s="7"/>
      <c r="E558" s="7" t="s">
        <v>1612</v>
      </c>
      <c r="F558" s="7" t="s">
        <v>19</v>
      </c>
      <c r="G558" s="7" t="s">
        <v>1613</v>
      </c>
      <c r="H558" s="7" t="s">
        <v>17</v>
      </c>
      <c r="I558" s="7" t="s">
        <v>17</v>
      </c>
      <c r="J558" s="7" t="s">
        <v>1614</v>
      </c>
    </row>
    <row r="559" spans="1:10" x14ac:dyDescent="0.25" outlineLevel="3" collapsed="1">
      <c r="A559" s="7" t="s">
        <v>19</v>
      </c>
      <c r="B559" s="7" t="s">
        <v>16</v>
      </c>
      <c r="C559" s="7" t="s">
        <v>17</v>
      </c>
      <c r="D559" s="7"/>
      <c r="E559" s="7" t="s">
        <v>1615</v>
      </c>
      <c r="F559" s="7" t="s">
        <v>19</v>
      </c>
      <c r="G559" s="7" t="s">
        <v>31</v>
      </c>
      <c r="H559" s="7" t="s">
        <v>17</v>
      </c>
      <c r="I559" s="7" t="s">
        <v>17</v>
      </c>
      <c r="J559" s="7" t="s">
        <v>1616</v>
      </c>
    </row>
    <row r="560" spans="1:10" x14ac:dyDescent="0.25" outlineLevel="2" collapsed="1">
      <c r="A560" s="7" t="s">
        <v>15</v>
      </c>
      <c r="B560" s="7" t="s">
        <v>284</v>
      </c>
      <c r="C560" s="11" t="s">
        <v>1633</v>
      </c>
      <c r="D560" s="7"/>
      <c r="E560" s="7" t="s">
        <v>1634</v>
      </c>
      <c r="F560" s="7" t="s">
        <v>19</v>
      </c>
      <c r="G560" s="7" t="s">
        <v>1635</v>
      </c>
      <c r="H560" s="7" t="s">
        <v>17</v>
      </c>
      <c r="I560" s="7" t="s">
        <v>17</v>
      </c>
      <c r="J560" s="7" t="s">
        <v>1636</v>
      </c>
    </row>
    <row r="561" spans="1:10" x14ac:dyDescent="0.25" outlineLevel="2" collapsed="1">
      <c r="A561" s="8" t="s">
        <v>19</v>
      </c>
      <c r="B561" s="9" t="s">
        <v>1597</v>
      </c>
      <c r="C561" s="8" t="s">
        <v>17</v>
      </c>
      <c r="D561" s="8">
        <f>EXACT(G560,"Eq.(4) - project-specific T_i, WH, T_f or WHE")</f>
      </c>
      <c r="E561" s="8" t="s">
        <v>1637</v>
      </c>
      <c r="F561" s="8" t="s">
        <v>19</v>
      </c>
      <c r="G561" s="8" t="s">
        <v>17</v>
      </c>
      <c r="H561" s="8" t="s">
        <v>17</v>
      </c>
      <c r="I561" s="8" t="s">
        <v>17</v>
      </c>
      <c r="J561" s="8" t="s">
        <v>1638</v>
      </c>
    </row>
    <row r="562" spans="1:10" x14ac:dyDescent="0.25" outlineLevel="3" collapsed="1">
      <c r="A562" s="7" t="s">
        <v>15</v>
      </c>
      <c r="B562" s="7" t="s">
        <v>16</v>
      </c>
      <c r="C562" s="7" t="s">
        <v>17</v>
      </c>
      <c r="D562" s="7"/>
      <c r="E562" s="7" t="s">
        <v>1431</v>
      </c>
      <c r="F562" s="7" t="s">
        <v>19</v>
      </c>
      <c r="G562" s="7" t="s">
        <v>31</v>
      </c>
      <c r="H562" s="7" t="s">
        <v>17</v>
      </c>
      <c r="I562" s="7" t="s">
        <v>17</v>
      </c>
      <c r="J562" s="7" t="s">
        <v>637</v>
      </c>
    </row>
    <row r="563" spans="1:10" x14ac:dyDescent="0.25" outlineLevel="3" collapsed="1">
      <c r="A563" s="7" t="s">
        <v>15</v>
      </c>
      <c r="B563" s="7" t="s">
        <v>16</v>
      </c>
      <c r="C563" s="7" t="s">
        <v>17</v>
      </c>
      <c r="D563" s="7"/>
      <c r="E563" s="7" t="s">
        <v>638</v>
      </c>
      <c r="F563" s="7" t="s">
        <v>19</v>
      </c>
      <c r="G563" s="7" t="s">
        <v>31</v>
      </c>
      <c r="H563" s="7" t="s">
        <v>17</v>
      </c>
      <c r="I563" s="7" t="s">
        <v>17</v>
      </c>
      <c r="J563" s="7" t="s">
        <v>640</v>
      </c>
    </row>
    <row r="564" spans="1:10" x14ac:dyDescent="0.25" outlineLevel="3" collapsed="1">
      <c r="A564" s="7" t="s">
        <v>15</v>
      </c>
      <c r="B564" s="7" t="s">
        <v>16</v>
      </c>
      <c r="C564" s="7" t="s">
        <v>17</v>
      </c>
      <c r="D564" s="7"/>
      <c r="E564" s="7" t="s">
        <v>9</v>
      </c>
      <c r="F564" s="7" t="s">
        <v>19</v>
      </c>
      <c r="G564" s="7" t="s">
        <v>31</v>
      </c>
      <c r="H564" s="7" t="s">
        <v>17</v>
      </c>
      <c r="I564" s="7" t="s">
        <v>17</v>
      </c>
      <c r="J564" s="7" t="s">
        <v>843</v>
      </c>
    </row>
    <row r="565" spans="1:10" x14ac:dyDescent="0.25" outlineLevel="3" collapsed="1">
      <c r="A565" s="7" t="s">
        <v>19</v>
      </c>
      <c r="B565" s="7" t="s">
        <v>16</v>
      </c>
      <c r="C565" s="7" t="s">
        <v>17</v>
      </c>
      <c r="D565" s="7"/>
      <c r="E565" s="7" t="s">
        <v>1600</v>
      </c>
      <c r="F565" s="7" t="s">
        <v>19</v>
      </c>
      <c r="G565" s="7" t="s">
        <v>31</v>
      </c>
      <c r="H565" s="7" t="s">
        <v>17</v>
      </c>
      <c r="I565" s="7" t="s">
        <v>17</v>
      </c>
      <c r="J565" s="7" t="s">
        <v>1424</v>
      </c>
    </row>
    <row r="566" spans="1:10" x14ac:dyDescent="0.25" outlineLevel="3" collapsed="1">
      <c r="A566" s="7" t="s">
        <v>15</v>
      </c>
      <c r="B566" s="7" t="s">
        <v>16</v>
      </c>
      <c r="C566" s="7" t="s">
        <v>17</v>
      </c>
      <c r="D566" s="7"/>
      <c r="E566" s="7" t="s">
        <v>1601</v>
      </c>
      <c r="F566" s="7" t="s">
        <v>19</v>
      </c>
      <c r="G566" s="7" t="s">
        <v>31</v>
      </c>
      <c r="H566" s="7" t="s">
        <v>17</v>
      </c>
      <c r="I566" s="7" t="s">
        <v>17</v>
      </c>
      <c r="J566" s="7" t="s">
        <v>1602</v>
      </c>
    </row>
    <row r="567" spans="1:10" x14ac:dyDescent="0.25" outlineLevel="3" collapsed="1">
      <c r="A567" s="7" t="s">
        <v>15</v>
      </c>
      <c r="B567" s="7" t="s">
        <v>16</v>
      </c>
      <c r="C567" s="7" t="s">
        <v>17</v>
      </c>
      <c r="D567" s="7"/>
      <c r="E567" s="7" t="s">
        <v>1603</v>
      </c>
      <c r="F567" s="7" t="s">
        <v>19</v>
      </c>
      <c r="G567" s="7" t="s">
        <v>31</v>
      </c>
      <c r="H567" s="7" t="s">
        <v>17</v>
      </c>
      <c r="I567" s="7" t="s">
        <v>17</v>
      </c>
      <c r="J567" s="7" t="s">
        <v>1422</v>
      </c>
    </row>
    <row r="568" spans="1:10" x14ac:dyDescent="0.25" outlineLevel="3" collapsed="1">
      <c r="A568" s="7" t="s">
        <v>15</v>
      </c>
      <c r="B568" s="7" t="s">
        <v>284</v>
      </c>
      <c r="C568" s="11" t="s">
        <v>1604</v>
      </c>
      <c r="D568" s="7"/>
      <c r="E568" s="7" t="s">
        <v>1605</v>
      </c>
      <c r="F568" s="7" t="s">
        <v>19</v>
      </c>
      <c r="G568" s="7" t="s">
        <v>1606</v>
      </c>
      <c r="H568" s="7" t="s">
        <v>17</v>
      </c>
      <c r="I568" s="7" t="s">
        <v>17</v>
      </c>
      <c r="J568" s="7" t="s">
        <v>1607</v>
      </c>
    </row>
    <row r="569" spans="1:10" x14ac:dyDescent="0.25" outlineLevel="3" collapsed="1">
      <c r="A569" s="7" t="s">
        <v>19</v>
      </c>
      <c r="B569" s="7" t="s">
        <v>63</v>
      </c>
      <c r="C569" s="7" t="s">
        <v>17</v>
      </c>
      <c r="D569" s="7">
        <f>EXACT(G568,"Single value")</f>
      </c>
      <c r="E569" s="7" t="s">
        <v>1608</v>
      </c>
      <c r="F569" s="7" t="s">
        <v>19</v>
      </c>
      <c r="G569" s="7">
        <v>1</v>
      </c>
      <c r="H569" s="7" t="s">
        <v>17</v>
      </c>
      <c r="I569" s="7" t="s">
        <v>17</v>
      </c>
      <c r="J569" s="7" t="s">
        <v>1609</v>
      </c>
    </row>
    <row r="570" spans="1:10" x14ac:dyDescent="0.25" outlineLevel="3" collapsed="1">
      <c r="A570" s="7" t="s">
        <v>15</v>
      </c>
      <c r="B570" s="7" t="s">
        <v>16</v>
      </c>
      <c r="C570" s="7" t="s">
        <v>17</v>
      </c>
      <c r="D570" s="7"/>
      <c r="E570" s="7" t="s">
        <v>1610</v>
      </c>
      <c r="F570" s="7" t="s">
        <v>19</v>
      </c>
      <c r="G570" s="7" t="s">
        <v>31</v>
      </c>
      <c r="H570" s="7" t="s">
        <v>17</v>
      </c>
      <c r="I570" s="7" t="s">
        <v>17</v>
      </c>
      <c r="J570" s="7" t="s">
        <v>1191</v>
      </c>
    </row>
    <row r="571" spans="1:10" x14ac:dyDescent="0.25" outlineLevel="3" collapsed="1">
      <c r="A571" s="7" t="s">
        <v>15</v>
      </c>
      <c r="B571" s="7" t="s">
        <v>284</v>
      </c>
      <c r="C571" s="11" t="s">
        <v>1611</v>
      </c>
      <c r="D571" s="7"/>
      <c r="E571" s="7" t="s">
        <v>1612</v>
      </c>
      <c r="F571" s="7" t="s">
        <v>19</v>
      </c>
      <c r="G571" s="7" t="s">
        <v>1613</v>
      </c>
      <c r="H571" s="7" t="s">
        <v>17</v>
      </c>
      <c r="I571" s="7" t="s">
        <v>17</v>
      </c>
      <c r="J571" s="7" t="s">
        <v>1614</v>
      </c>
    </row>
    <row r="572" spans="1:10" x14ac:dyDescent="0.25" outlineLevel="3" collapsed="1">
      <c r="A572" s="7" t="s">
        <v>19</v>
      </c>
      <c r="B572" s="7" t="s">
        <v>16</v>
      </c>
      <c r="C572" s="7" t="s">
        <v>17</v>
      </c>
      <c r="D572" s="7"/>
      <c r="E572" s="7" t="s">
        <v>1615</v>
      </c>
      <c r="F572" s="7" t="s">
        <v>19</v>
      </c>
      <c r="G572" s="7" t="s">
        <v>31</v>
      </c>
      <c r="H572" s="7" t="s">
        <v>17</v>
      </c>
      <c r="I572" s="7" t="s">
        <v>17</v>
      </c>
      <c r="J572" s="7" t="s">
        <v>1616</v>
      </c>
    </row>
    <row r="573" spans="1:10" x14ac:dyDescent="0.25" outlineLevel="2" collapsed="1">
      <c r="A573" s="8" t="s">
        <v>19</v>
      </c>
      <c r="B573" s="9" t="s">
        <v>1597</v>
      </c>
      <c r="C573" s="8" t="s">
        <v>17</v>
      </c>
      <c r="D573" s="8">
        <f>EXACT(G560,"Eq.(4) - project-specific T_i, WH, T_f or WHE")</f>
      </c>
      <c r="E573" s="8" t="s">
        <v>1639</v>
      </c>
      <c r="F573" s="8" t="s">
        <v>19</v>
      </c>
      <c r="G573" s="8" t="s">
        <v>17</v>
      </c>
      <c r="H573" s="8" t="s">
        <v>17</v>
      </c>
      <c r="I573" s="8" t="s">
        <v>17</v>
      </c>
      <c r="J573" s="8" t="s">
        <v>1640</v>
      </c>
    </row>
    <row r="574" spans="1:10" x14ac:dyDescent="0.25" outlineLevel="3" collapsed="1">
      <c r="A574" s="7" t="s">
        <v>15</v>
      </c>
      <c r="B574" s="7" t="s">
        <v>16</v>
      </c>
      <c r="C574" s="7" t="s">
        <v>17</v>
      </c>
      <c r="D574" s="7"/>
      <c r="E574" s="7" t="s">
        <v>1431</v>
      </c>
      <c r="F574" s="7" t="s">
        <v>19</v>
      </c>
      <c r="G574" s="7" t="s">
        <v>31</v>
      </c>
      <c r="H574" s="7" t="s">
        <v>17</v>
      </c>
      <c r="I574" s="7" t="s">
        <v>17</v>
      </c>
      <c r="J574" s="7" t="s">
        <v>637</v>
      </c>
    </row>
    <row r="575" spans="1:10" x14ac:dyDescent="0.25" outlineLevel="3" collapsed="1">
      <c r="A575" s="7" t="s">
        <v>15</v>
      </c>
      <c r="B575" s="7" t="s">
        <v>16</v>
      </c>
      <c r="C575" s="7" t="s">
        <v>17</v>
      </c>
      <c r="D575" s="7"/>
      <c r="E575" s="7" t="s">
        <v>638</v>
      </c>
      <c r="F575" s="7" t="s">
        <v>19</v>
      </c>
      <c r="G575" s="7" t="s">
        <v>31</v>
      </c>
      <c r="H575" s="7" t="s">
        <v>17</v>
      </c>
      <c r="I575" s="7" t="s">
        <v>17</v>
      </c>
      <c r="J575" s="7" t="s">
        <v>640</v>
      </c>
    </row>
    <row r="576" spans="1:10" x14ac:dyDescent="0.25" outlineLevel="3" collapsed="1">
      <c r="A576" s="7" t="s">
        <v>15</v>
      </c>
      <c r="B576" s="7" t="s">
        <v>16</v>
      </c>
      <c r="C576" s="7" t="s">
        <v>17</v>
      </c>
      <c r="D576" s="7"/>
      <c r="E576" s="7" t="s">
        <v>9</v>
      </c>
      <c r="F576" s="7" t="s">
        <v>19</v>
      </c>
      <c r="G576" s="7" t="s">
        <v>31</v>
      </c>
      <c r="H576" s="7" t="s">
        <v>17</v>
      </c>
      <c r="I576" s="7" t="s">
        <v>17</v>
      </c>
      <c r="J576" s="7" t="s">
        <v>843</v>
      </c>
    </row>
    <row r="577" spans="1:10" x14ac:dyDescent="0.25" outlineLevel="3" collapsed="1">
      <c r="A577" s="7" t="s">
        <v>19</v>
      </c>
      <c r="B577" s="7" t="s">
        <v>16</v>
      </c>
      <c r="C577" s="7" t="s">
        <v>17</v>
      </c>
      <c r="D577" s="7"/>
      <c r="E577" s="7" t="s">
        <v>1600</v>
      </c>
      <c r="F577" s="7" t="s">
        <v>19</v>
      </c>
      <c r="G577" s="7" t="s">
        <v>31</v>
      </c>
      <c r="H577" s="7" t="s">
        <v>17</v>
      </c>
      <c r="I577" s="7" t="s">
        <v>17</v>
      </c>
      <c r="J577" s="7" t="s">
        <v>1424</v>
      </c>
    </row>
    <row r="578" spans="1:10" x14ac:dyDescent="0.25" outlineLevel="3" collapsed="1">
      <c r="A578" s="7" t="s">
        <v>15</v>
      </c>
      <c r="B578" s="7" t="s">
        <v>16</v>
      </c>
      <c r="C578" s="7" t="s">
        <v>17</v>
      </c>
      <c r="D578" s="7"/>
      <c r="E578" s="7" t="s">
        <v>1601</v>
      </c>
      <c r="F578" s="7" t="s">
        <v>19</v>
      </c>
      <c r="G578" s="7" t="s">
        <v>31</v>
      </c>
      <c r="H578" s="7" t="s">
        <v>17</v>
      </c>
      <c r="I578" s="7" t="s">
        <v>17</v>
      </c>
      <c r="J578" s="7" t="s">
        <v>1602</v>
      </c>
    </row>
    <row r="579" spans="1:10" x14ac:dyDescent="0.25" outlineLevel="3" collapsed="1">
      <c r="A579" s="7" t="s">
        <v>15</v>
      </c>
      <c r="B579" s="7" t="s">
        <v>16</v>
      </c>
      <c r="C579" s="7" t="s">
        <v>17</v>
      </c>
      <c r="D579" s="7"/>
      <c r="E579" s="7" t="s">
        <v>1603</v>
      </c>
      <c r="F579" s="7" t="s">
        <v>19</v>
      </c>
      <c r="G579" s="7" t="s">
        <v>31</v>
      </c>
      <c r="H579" s="7" t="s">
        <v>17</v>
      </c>
      <c r="I579" s="7" t="s">
        <v>17</v>
      </c>
      <c r="J579" s="7" t="s">
        <v>1422</v>
      </c>
    </row>
    <row r="580" spans="1:10" x14ac:dyDescent="0.25" outlineLevel="3" collapsed="1">
      <c r="A580" s="7" t="s">
        <v>15</v>
      </c>
      <c r="B580" s="7" t="s">
        <v>284</v>
      </c>
      <c r="C580" s="11" t="s">
        <v>1604</v>
      </c>
      <c r="D580" s="7"/>
      <c r="E580" s="7" t="s">
        <v>1605</v>
      </c>
      <c r="F580" s="7" t="s">
        <v>19</v>
      </c>
      <c r="G580" s="7" t="s">
        <v>1606</v>
      </c>
      <c r="H580" s="7" t="s">
        <v>17</v>
      </c>
      <c r="I580" s="7" t="s">
        <v>17</v>
      </c>
      <c r="J580" s="7" t="s">
        <v>1607</v>
      </c>
    </row>
    <row r="581" spans="1:10" x14ac:dyDescent="0.25" outlineLevel="3" collapsed="1">
      <c r="A581" s="7" t="s">
        <v>19</v>
      </c>
      <c r="B581" s="7" t="s">
        <v>63</v>
      </c>
      <c r="C581" s="7" t="s">
        <v>17</v>
      </c>
      <c r="D581" s="7">
        <f>EXACT(G580,"Single value")</f>
      </c>
      <c r="E581" s="7" t="s">
        <v>1608</v>
      </c>
      <c r="F581" s="7" t="s">
        <v>19</v>
      </c>
      <c r="G581" s="7">
        <v>1</v>
      </c>
      <c r="H581" s="7" t="s">
        <v>17</v>
      </c>
      <c r="I581" s="7" t="s">
        <v>17</v>
      </c>
      <c r="J581" s="7" t="s">
        <v>1609</v>
      </c>
    </row>
    <row r="582" spans="1:10" x14ac:dyDescent="0.25" outlineLevel="3" collapsed="1">
      <c r="A582" s="7" t="s">
        <v>15</v>
      </c>
      <c r="B582" s="7" t="s">
        <v>16</v>
      </c>
      <c r="C582" s="7" t="s">
        <v>17</v>
      </c>
      <c r="D582" s="7"/>
      <c r="E582" s="7" t="s">
        <v>1610</v>
      </c>
      <c r="F582" s="7" t="s">
        <v>19</v>
      </c>
      <c r="G582" s="7" t="s">
        <v>31</v>
      </c>
      <c r="H582" s="7" t="s">
        <v>17</v>
      </c>
      <c r="I582" s="7" t="s">
        <v>17</v>
      </c>
      <c r="J582" s="7" t="s">
        <v>1191</v>
      </c>
    </row>
    <row r="583" spans="1:10" x14ac:dyDescent="0.25" outlineLevel="3" collapsed="1">
      <c r="A583" s="7" t="s">
        <v>15</v>
      </c>
      <c r="B583" s="7" t="s">
        <v>284</v>
      </c>
      <c r="C583" s="11" t="s">
        <v>1611</v>
      </c>
      <c r="D583" s="7"/>
      <c r="E583" s="7" t="s">
        <v>1612</v>
      </c>
      <c r="F583" s="7" t="s">
        <v>19</v>
      </c>
      <c r="G583" s="7" t="s">
        <v>1613</v>
      </c>
      <c r="H583" s="7" t="s">
        <v>17</v>
      </c>
      <c r="I583" s="7" t="s">
        <v>17</v>
      </c>
      <c r="J583" s="7" t="s">
        <v>1614</v>
      </c>
    </row>
    <row r="584" spans="1:10" x14ac:dyDescent="0.25" outlineLevel="3" collapsed="1">
      <c r="A584" s="7" t="s">
        <v>19</v>
      </c>
      <c r="B584" s="7" t="s">
        <v>16</v>
      </c>
      <c r="C584" s="7" t="s">
        <v>17</v>
      </c>
      <c r="D584" s="7"/>
      <c r="E584" s="7" t="s">
        <v>1615</v>
      </c>
      <c r="F584" s="7" t="s">
        <v>19</v>
      </c>
      <c r="G584" s="7" t="s">
        <v>31</v>
      </c>
      <c r="H584" s="7" t="s">
        <v>17</v>
      </c>
      <c r="I584" s="7" t="s">
        <v>17</v>
      </c>
      <c r="J584" s="7" t="s">
        <v>1616</v>
      </c>
    </row>
    <row r="585" spans="1:10" x14ac:dyDescent="0.25" outlineLevel="2" collapsed="1">
      <c r="A585" s="8" t="s">
        <v>19</v>
      </c>
      <c r="B585" s="9" t="s">
        <v>1597</v>
      </c>
      <c r="C585" s="8" t="s">
        <v>17</v>
      </c>
      <c r="D585" s="8">
        <f>EXACT(G560,"Eq.(4) - project-specific T_i, WH, T_f or WHE")</f>
      </c>
      <c r="E585" s="8" t="s">
        <v>1641</v>
      </c>
      <c r="F585" s="8" t="s">
        <v>19</v>
      </c>
      <c r="G585" s="8" t="s">
        <v>17</v>
      </c>
      <c r="H585" s="8" t="s">
        <v>17</v>
      </c>
      <c r="I585" s="8" t="s">
        <v>17</v>
      </c>
      <c r="J585" s="8" t="s">
        <v>1642</v>
      </c>
    </row>
    <row r="586" spans="1:10" x14ac:dyDescent="0.25" outlineLevel="3" collapsed="1">
      <c r="A586" s="7" t="s">
        <v>15</v>
      </c>
      <c r="B586" s="7" t="s">
        <v>16</v>
      </c>
      <c r="C586" s="7" t="s">
        <v>17</v>
      </c>
      <c r="D586" s="7"/>
      <c r="E586" s="7" t="s">
        <v>1431</v>
      </c>
      <c r="F586" s="7" t="s">
        <v>19</v>
      </c>
      <c r="G586" s="7" t="s">
        <v>31</v>
      </c>
      <c r="H586" s="7" t="s">
        <v>17</v>
      </c>
      <c r="I586" s="7" t="s">
        <v>17</v>
      </c>
      <c r="J586" s="7" t="s">
        <v>637</v>
      </c>
    </row>
    <row r="587" spans="1:10" x14ac:dyDescent="0.25" outlineLevel="3" collapsed="1">
      <c r="A587" s="7" t="s">
        <v>15</v>
      </c>
      <c r="B587" s="7" t="s">
        <v>16</v>
      </c>
      <c r="C587" s="7" t="s">
        <v>17</v>
      </c>
      <c r="D587" s="7"/>
      <c r="E587" s="7" t="s">
        <v>638</v>
      </c>
      <c r="F587" s="7" t="s">
        <v>19</v>
      </c>
      <c r="G587" s="7" t="s">
        <v>31</v>
      </c>
      <c r="H587" s="7" t="s">
        <v>17</v>
      </c>
      <c r="I587" s="7" t="s">
        <v>17</v>
      </c>
      <c r="J587" s="7" t="s">
        <v>640</v>
      </c>
    </row>
    <row r="588" spans="1:10" x14ac:dyDescent="0.25" outlineLevel="3" collapsed="1">
      <c r="A588" s="7" t="s">
        <v>15</v>
      </c>
      <c r="B588" s="7" t="s">
        <v>16</v>
      </c>
      <c r="C588" s="7" t="s">
        <v>17</v>
      </c>
      <c r="D588" s="7"/>
      <c r="E588" s="7" t="s">
        <v>9</v>
      </c>
      <c r="F588" s="7" t="s">
        <v>19</v>
      </c>
      <c r="G588" s="7" t="s">
        <v>31</v>
      </c>
      <c r="H588" s="7" t="s">
        <v>17</v>
      </c>
      <c r="I588" s="7" t="s">
        <v>17</v>
      </c>
      <c r="J588" s="7" t="s">
        <v>843</v>
      </c>
    </row>
    <row r="589" spans="1:10" x14ac:dyDescent="0.25" outlineLevel="3" collapsed="1">
      <c r="A589" s="7" t="s">
        <v>19</v>
      </c>
      <c r="B589" s="7" t="s">
        <v>16</v>
      </c>
      <c r="C589" s="7" t="s">
        <v>17</v>
      </c>
      <c r="D589" s="7"/>
      <c r="E589" s="7" t="s">
        <v>1600</v>
      </c>
      <c r="F589" s="7" t="s">
        <v>19</v>
      </c>
      <c r="G589" s="7" t="s">
        <v>31</v>
      </c>
      <c r="H589" s="7" t="s">
        <v>17</v>
      </c>
      <c r="I589" s="7" t="s">
        <v>17</v>
      </c>
      <c r="J589" s="7" t="s">
        <v>1424</v>
      </c>
    </row>
    <row r="590" spans="1:10" x14ac:dyDescent="0.25" outlineLevel="3" collapsed="1">
      <c r="A590" s="7" t="s">
        <v>15</v>
      </c>
      <c r="B590" s="7" t="s">
        <v>16</v>
      </c>
      <c r="C590" s="7" t="s">
        <v>17</v>
      </c>
      <c r="D590" s="7"/>
      <c r="E590" s="7" t="s">
        <v>1601</v>
      </c>
      <c r="F590" s="7" t="s">
        <v>19</v>
      </c>
      <c r="G590" s="7" t="s">
        <v>31</v>
      </c>
      <c r="H590" s="7" t="s">
        <v>17</v>
      </c>
      <c r="I590" s="7" t="s">
        <v>17</v>
      </c>
      <c r="J590" s="7" t="s">
        <v>1602</v>
      </c>
    </row>
    <row r="591" spans="1:10" x14ac:dyDescent="0.25" outlineLevel="3" collapsed="1">
      <c r="A591" s="7" t="s">
        <v>15</v>
      </c>
      <c r="B591" s="7" t="s">
        <v>16</v>
      </c>
      <c r="C591" s="7" t="s">
        <v>17</v>
      </c>
      <c r="D591" s="7"/>
      <c r="E591" s="7" t="s">
        <v>1603</v>
      </c>
      <c r="F591" s="7" t="s">
        <v>19</v>
      </c>
      <c r="G591" s="7" t="s">
        <v>31</v>
      </c>
      <c r="H591" s="7" t="s">
        <v>17</v>
      </c>
      <c r="I591" s="7" t="s">
        <v>17</v>
      </c>
      <c r="J591" s="7" t="s">
        <v>1422</v>
      </c>
    </row>
    <row r="592" spans="1:10" x14ac:dyDescent="0.25" outlineLevel="3" collapsed="1">
      <c r="A592" s="7" t="s">
        <v>15</v>
      </c>
      <c r="B592" s="7" t="s">
        <v>284</v>
      </c>
      <c r="C592" s="11" t="s">
        <v>1604</v>
      </c>
      <c r="D592" s="7"/>
      <c r="E592" s="7" t="s">
        <v>1605</v>
      </c>
      <c r="F592" s="7" t="s">
        <v>19</v>
      </c>
      <c r="G592" s="7" t="s">
        <v>1606</v>
      </c>
      <c r="H592" s="7" t="s">
        <v>17</v>
      </c>
      <c r="I592" s="7" t="s">
        <v>17</v>
      </c>
      <c r="J592" s="7" t="s">
        <v>1607</v>
      </c>
    </row>
    <row r="593" spans="1:10" x14ac:dyDescent="0.25" outlineLevel="3" collapsed="1">
      <c r="A593" s="7" t="s">
        <v>19</v>
      </c>
      <c r="B593" s="7" t="s">
        <v>63</v>
      </c>
      <c r="C593" s="7" t="s">
        <v>17</v>
      </c>
      <c r="D593" s="7">
        <f>EXACT(G592,"Single value")</f>
      </c>
      <c r="E593" s="7" t="s">
        <v>1608</v>
      </c>
      <c r="F593" s="7" t="s">
        <v>19</v>
      </c>
      <c r="G593" s="7">
        <v>1</v>
      </c>
      <c r="H593" s="7" t="s">
        <v>17</v>
      </c>
      <c r="I593" s="7" t="s">
        <v>17</v>
      </c>
      <c r="J593" s="7" t="s">
        <v>1609</v>
      </c>
    </row>
    <row r="594" spans="1:10" x14ac:dyDescent="0.25" outlineLevel="3" collapsed="1">
      <c r="A594" s="7" t="s">
        <v>15</v>
      </c>
      <c r="B594" s="7" t="s">
        <v>16</v>
      </c>
      <c r="C594" s="7" t="s">
        <v>17</v>
      </c>
      <c r="D594" s="7"/>
      <c r="E594" s="7" t="s">
        <v>1610</v>
      </c>
      <c r="F594" s="7" t="s">
        <v>19</v>
      </c>
      <c r="G594" s="7" t="s">
        <v>31</v>
      </c>
      <c r="H594" s="7" t="s">
        <v>17</v>
      </c>
      <c r="I594" s="7" t="s">
        <v>17</v>
      </c>
      <c r="J594" s="7" t="s">
        <v>1191</v>
      </c>
    </row>
    <row r="595" spans="1:10" x14ac:dyDescent="0.25" outlineLevel="3" collapsed="1">
      <c r="A595" s="7" t="s">
        <v>15</v>
      </c>
      <c r="B595" s="7" t="s">
        <v>284</v>
      </c>
      <c r="C595" s="11" t="s">
        <v>1611</v>
      </c>
      <c r="D595" s="7"/>
      <c r="E595" s="7" t="s">
        <v>1612</v>
      </c>
      <c r="F595" s="7" t="s">
        <v>19</v>
      </c>
      <c r="G595" s="7" t="s">
        <v>1613</v>
      </c>
      <c r="H595" s="7" t="s">
        <v>17</v>
      </c>
      <c r="I595" s="7" t="s">
        <v>17</v>
      </c>
      <c r="J595" s="7" t="s">
        <v>1614</v>
      </c>
    </row>
    <row r="596" spans="1:10" x14ac:dyDescent="0.25" outlineLevel="3" collapsed="1">
      <c r="A596" s="7" t="s">
        <v>19</v>
      </c>
      <c r="B596" s="7" t="s">
        <v>16</v>
      </c>
      <c r="C596" s="7" t="s">
        <v>17</v>
      </c>
      <c r="D596" s="7"/>
      <c r="E596" s="7" t="s">
        <v>1615</v>
      </c>
      <c r="F596" s="7" t="s">
        <v>19</v>
      </c>
      <c r="G596" s="7" t="s">
        <v>31</v>
      </c>
      <c r="H596" s="7" t="s">
        <v>17</v>
      </c>
      <c r="I596" s="7" t="s">
        <v>17</v>
      </c>
      <c r="J596" s="7" t="s">
        <v>1616</v>
      </c>
    </row>
    <row r="597" spans="1:10" x14ac:dyDescent="0.25" outlineLevel="2" collapsed="1">
      <c r="A597" s="8" t="s">
        <v>19</v>
      </c>
      <c r="B597" s="9" t="s">
        <v>1597</v>
      </c>
      <c r="C597" s="8" t="s">
        <v>17</v>
      </c>
      <c r="D597" s="8">
        <f>EXACT(G560,"Eq.(4) - project-specific T_i, WH, T_f or WHE")</f>
      </c>
      <c r="E597" s="8" t="s">
        <v>1643</v>
      </c>
      <c r="F597" s="8" t="s">
        <v>19</v>
      </c>
      <c r="G597" s="8" t="s">
        <v>17</v>
      </c>
      <c r="H597" s="8" t="s">
        <v>17</v>
      </c>
      <c r="I597" s="8" t="s">
        <v>17</v>
      </c>
      <c r="J597" s="8" t="s">
        <v>1644</v>
      </c>
    </row>
    <row r="598" spans="1:10" x14ac:dyDescent="0.25" outlineLevel="3" collapsed="1">
      <c r="A598" s="7" t="s">
        <v>15</v>
      </c>
      <c r="B598" s="7" t="s">
        <v>16</v>
      </c>
      <c r="C598" s="7" t="s">
        <v>17</v>
      </c>
      <c r="D598" s="7"/>
      <c r="E598" s="7" t="s">
        <v>1431</v>
      </c>
      <c r="F598" s="7" t="s">
        <v>19</v>
      </c>
      <c r="G598" s="7" t="s">
        <v>31</v>
      </c>
      <c r="H598" s="7" t="s">
        <v>17</v>
      </c>
      <c r="I598" s="7" t="s">
        <v>17</v>
      </c>
      <c r="J598" s="7" t="s">
        <v>637</v>
      </c>
    </row>
    <row r="599" spans="1:10" x14ac:dyDescent="0.25" outlineLevel="3" collapsed="1">
      <c r="A599" s="7" t="s">
        <v>15</v>
      </c>
      <c r="B599" s="7" t="s">
        <v>16</v>
      </c>
      <c r="C599" s="7" t="s">
        <v>17</v>
      </c>
      <c r="D599" s="7"/>
      <c r="E599" s="7" t="s">
        <v>638</v>
      </c>
      <c r="F599" s="7" t="s">
        <v>19</v>
      </c>
      <c r="G599" s="7" t="s">
        <v>31</v>
      </c>
      <c r="H599" s="7" t="s">
        <v>17</v>
      </c>
      <c r="I599" s="7" t="s">
        <v>17</v>
      </c>
      <c r="J599" s="7" t="s">
        <v>640</v>
      </c>
    </row>
    <row r="600" spans="1:10" x14ac:dyDescent="0.25" outlineLevel="3" collapsed="1">
      <c r="A600" s="7" t="s">
        <v>15</v>
      </c>
      <c r="B600" s="7" t="s">
        <v>16</v>
      </c>
      <c r="C600" s="7" t="s">
        <v>17</v>
      </c>
      <c r="D600" s="7"/>
      <c r="E600" s="7" t="s">
        <v>9</v>
      </c>
      <c r="F600" s="7" t="s">
        <v>19</v>
      </c>
      <c r="G600" s="7" t="s">
        <v>31</v>
      </c>
      <c r="H600" s="7" t="s">
        <v>17</v>
      </c>
      <c r="I600" s="7" t="s">
        <v>17</v>
      </c>
      <c r="J600" s="7" t="s">
        <v>843</v>
      </c>
    </row>
    <row r="601" spans="1:10" x14ac:dyDescent="0.25" outlineLevel="3" collapsed="1">
      <c r="A601" s="7" t="s">
        <v>19</v>
      </c>
      <c r="B601" s="7" t="s">
        <v>16</v>
      </c>
      <c r="C601" s="7" t="s">
        <v>17</v>
      </c>
      <c r="D601" s="7"/>
      <c r="E601" s="7" t="s">
        <v>1600</v>
      </c>
      <c r="F601" s="7" t="s">
        <v>19</v>
      </c>
      <c r="G601" s="7" t="s">
        <v>31</v>
      </c>
      <c r="H601" s="7" t="s">
        <v>17</v>
      </c>
      <c r="I601" s="7" t="s">
        <v>17</v>
      </c>
      <c r="J601" s="7" t="s">
        <v>1424</v>
      </c>
    </row>
    <row r="602" spans="1:10" x14ac:dyDescent="0.25" outlineLevel="3" collapsed="1">
      <c r="A602" s="7" t="s">
        <v>15</v>
      </c>
      <c r="B602" s="7" t="s">
        <v>16</v>
      </c>
      <c r="C602" s="7" t="s">
        <v>17</v>
      </c>
      <c r="D602" s="7"/>
      <c r="E602" s="7" t="s">
        <v>1601</v>
      </c>
      <c r="F602" s="7" t="s">
        <v>19</v>
      </c>
      <c r="G602" s="7" t="s">
        <v>31</v>
      </c>
      <c r="H602" s="7" t="s">
        <v>17</v>
      </c>
      <c r="I602" s="7" t="s">
        <v>17</v>
      </c>
      <c r="J602" s="7" t="s">
        <v>1602</v>
      </c>
    </row>
    <row r="603" spans="1:10" x14ac:dyDescent="0.25" outlineLevel="3" collapsed="1">
      <c r="A603" s="7" t="s">
        <v>15</v>
      </c>
      <c r="B603" s="7" t="s">
        <v>16</v>
      </c>
      <c r="C603" s="7" t="s">
        <v>17</v>
      </c>
      <c r="D603" s="7"/>
      <c r="E603" s="7" t="s">
        <v>1603</v>
      </c>
      <c r="F603" s="7" t="s">
        <v>19</v>
      </c>
      <c r="G603" s="7" t="s">
        <v>31</v>
      </c>
      <c r="H603" s="7" t="s">
        <v>17</v>
      </c>
      <c r="I603" s="7" t="s">
        <v>17</v>
      </c>
      <c r="J603" s="7" t="s">
        <v>1422</v>
      </c>
    </row>
    <row r="604" spans="1:10" x14ac:dyDescent="0.25" outlineLevel="3" collapsed="1">
      <c r="A604" s="7" t="s">
        <v>15</v>
      </c>
      <c r="B604" s="7" t="s">
        <v>284</v>
      </c>
      <c r="C604" s="11" t="s">
        <v>1604</v>
      </c>
      <c r="D604" s="7"/>
      <c r="E604" s="7" t="s">
        <v>1605</v>
      </c>
      <c r="F604" s="7" t="s">
        <v>19</v>
      </c>
      <c r="G604" s="7" t="s">
        <v>1606</v>
      </c>
      <c r="H604" s="7" t="s">
        <v>17</v>
      </c>
      <c r="I604" s="7" t="s">
        <v>17</v>
      </c>
      <c r="J604" s="7" t="s">
        <v>1607</v>
      </c>
    </row>
    <row r="605" spans="1:10" x14ac:dyDescent="0.25" outlineLevel="3" collapsed="1">
      <c r="A605" s="7" t="s">
        <v>19</v>
      </c>
      <c r="B605" s="7" t="s">
        <v>63</v>
      </c>
      <c r="C605" s="7" t="s">
        <v>17</v>
      </c>
      <c r="D605" s="7">
        <f>EXACT(G604,"Single value")</f>
      </c>
      <c r="E605" s="7" t="s">
        <v>1608</v>
      </c>
      <c r="F605" s="7" t="s">
        <v>19</v>
      </c>
      <c r="G605" s="7">
        <v>1</v>
      </c>
      <c r="H605" s="7" t="s">
        <v>17</v>
      </c>
      <c r="I605" s="7" t="s">
        <v>17</v>
      </c>
      <c r="J605" s="7" t="s">
        <v>1609</v>
      </c>
    </row>
    <row r="606" spans="1:10" x14ac:dyDescent="0.25" outlineLevel="3" collapsed="1">
      <c r="A606" s="7" t="s">
        <v>15</v>
      </c>
      <c r="B606" s="7" t="s">
        <v>16</v>
      </c>
      <c r="C606" s="7" t="s">
        <v>17</v>
      </c>
      <c r="D606" s="7"/>
      <c r="E606" s="7" t="s">
        <v>1610</v>
      </c>
      <c r="F606" s="7" t="s">
        <v>19</v>
      </c>
      <c r="G606" s="7" t="s">
        <v>31</v>
      </c>
      <c r="H606" s="7" t="s">
        <v>17</v>
      </c>
      <c r="I606" s="7" t="s">
        <v>17</v>
      </c>
      <c r="J606" s="7" t="s">
        <v>1191</v>
      </c>
    </row>
    <row r="607" spans="1:10" x14ac:dyDescent="0.25" outlineLevel="3" collapsed="1">
      <c r="A607" s="7" t="s">
        <v>15</v>
      </c>
      <c r="B607" s="7" t="s">
        <v>284</v>
      </c>
      <c r="C607" s="11" t="s">
        <v>1611</v>
      </c>
      <c r="D607" s="7"/>
      <c r="E607" s="7" t="s">
        <v>1612</v>
      </c>
      <c r="F607" s="7" t="s">
        <v>19</v>
      </c>
      <c r="G607" s="7" t="s">
        <v>1613</v>
      </c>
      <c r="H607" s="7" t="s">
        <v>17</v>
      </c>
      <c r="I607" s="7" t="s">
        <v>17</v>
      </c>
      <c r="J607" s="7" t="s">
        <v>1614</v>
      </c>
    </row>
    <row r="608" spans="1:10" x14ac:dyDescent="0.25" outlineLevel="3" collapsed="1">
      <c r="A608" s="7" t="s">
        <v>19</v>
      </c>
      <c r="B608" s="7" t="s">
        <v>16</v>
      </c>
      <c r="C608" s="7" t="s">
        <v>17</v>
      </c>
      <c r="D608" s="7"/>
      <c r="E608" s="7" t="s">
        <v>1615</v>
      </c>
      <c r="F608" s="7" t="s">
        <v>19</v>
      </c>
      <c r="G608" s="7" t="s">
        <v>31</v>
      </c>
      <c r="H608" s="7" t="s">
        <v>17</v>
      </c>
      <c r="I608" s="7" t="s">
        <v>17</v>
      </c>
      <c r="J608" s="7" t="s">
        <v>1616</v>
      </c>
    </row>
    <row r="609" spans="1:10" x14ac:dyDescent="0.25" outlineLevel="2" collapsed="1">
      <c r="A609" s="8" t="s">
        <v>15</v>
      </c>
      <c r="B609" s="9" t="s">
        <v>1597</v>
      </c>
      <c r="C609" s="8" t="s">
        <v>17</v>
      </c>
      <c r="D609" s="8"/>
      <c r="E609" s="8" t="s">
        <v>1645</v>
      </c>
      <c r="F609" s="8" t="s">
        <v>19</v>
      </c>
      <c r="G609" s="8" t="s">
        <v>17</v>
      </c>
      <c r="H609" s="8" t="s">
        <v>17</v>
      </c>
      <c r="I609" s="8" t="s">
        <v>17</v>
      </c>
      <c r="J609" s="8" t="s">
        <v>1646</v>
      </c>
    </row>
    <row r="610" spans="1:10" x14ac:dyDescent="0.25" outlineLevel="3" collapsed="1">
      <c r="A610" s="7" t="s">
        <v>15</v>
      </c>
      <c r="B610" s="7" t="s">
        <v>16</v>
      </c>
      <c r="C610" s="7" t="s">
        <v>17</v>
      </c>
      <c r="D610" s="7"/>
      <c r="E610" s="7" t="s">
        <v>1431</v>
      </c>
      <c r="F610" s="7" t="s">
        <v>19</v>
      </c>
      <c r="G610" s="7" t="s">
        <v>31</v>
      </c>
      <c r="H610" s="7" t="s">
        <v>17</v>
      </c>
      <c r="I610" s="7" t="s">
        <v>17</v>
      </c>
      <c r="J610" s="7" t="s">
        <v>637</v>
      </c>
    </row>
    <row r="611" spans="1:10" x14ac:dyDescent="0.25" outlineLevel="3" collapsed="1">
      <c r="A611" s="7" t="s">
        <v>15</v>
      </c>
      <c r="B611" s="7" t="s">
        <v>16</v>
      </c>
      <c r="C611" s="7" t="s">
        <v>17</v>
      </c>
      <c r="D611" s="7"/>
      <c r="E611" s="7" t="s">
        <v>638</v>
      </c>
      <c r="F611" s="7" t="s">
        <v>19</v>
      </c>
      <c r="G611" s="7" t="s">
        <v>31</v>
      </c>
      <c r="H611" s="7" t="s">
        <v>17</v>
      </c>
      <c r="I611" s="7" t="s">
        <v>17</v>
      </c>
      <c r="J611" s="7" t="s">
        <v>640</v>
      </c>
    </row>
    <row r="612" spans="1:10" x14ac:dyDescent="0.25" outlineLevel="3" collapsed="1">
      <c r="A612" s="7" t="s">
        <v>15</v>
      </c>
      <c r="B612" s="7" t="s">
        <v>16</v>
      </c>
      <c r="C612" s="7" t="s">
        <v>17</v>
      </c>
      <c r="D612" s="7"/>
      <c r="E612" s="7" t="s">
        <v>9</v>
      </c>
      <c r="F612" s="7" t="s">
        <v>19</v>
      </c>
      <c r="G612" s="7" t="s">
        <v>31</v>
      </c>
      <c r="H612" s="7" t="s">
        <v>17</v>
      </c>
      <c r="I612" s="7" t="s">
        <v>17</v>
      </c>
      <c r="J612" s="7" t="s">
        <v>843</v>
      </c>
    </row>
    <row r="613" spans="1:10" x14ac:dyDescent="0.25" outlineLevel="3" collapsed="1">
      <c r="A613" s="7" t="s">
        <v>19</v>
      </c>
      <c r="B613" s="7" t="s">
        <v>16</v>
      </c>
      <c r="C613" s="7" t="s">
        <v>17</v>
      </c>
      <c r="D613" s="7"/>
      <c r="E613" s="7" t="s">
        <v>1600</v>
      </c>
      <c r="F613" s="7" t="s">
        <v>19</v>
      </c>
      <c r="G613" s="7" t="s">
        <v>31</v>
      </c>
      <c r="H613" s="7" t="s">
        <v>17</v>
      </c>
      <c r="I613" s="7" t="s">
        <v>17</v>
      </c>
      <c r="J613" s="7" t="s">
        <v>1424</v>
      </c>
    </row>
    <row r="614" spans="1:10" x14ac:dyDescent="0.25" outlineLevel="3" collapsed="1">
      <c r="A614" s="7" t="s">
        <v>15</v>
      </c>
      <c r="B614" s="7" t="s">
        <v>16</v>
      </c>
      <c r="C614" s="7" t="s">
        <v>17</v>
      </c>
      <c r="D614" s="7"/>
      <c r="E614" s="7" t="s">
        <v>1601</v>
      </c>
      <c r="F614" s="7" t="s">
        <v>19</v>
      </c>
      <c r="G614" s="7" t="s">
        <v>31</v>
      </c>
      <c r="H614" s="7" t="s">
        <v>17</v>
      </c>
      <c r="I614" s="7" t="s">
        <v>17</v>
      </c>
      <c r="J614" s="7" t="s">
        <v>1602</v>
      </c>
    </row>
    <row r="615" spans="1:10" x14ac:dyDescent="0.25" outlineLevel="3" collapsed="1">
      <c r="A615" s="7" t="s">
        <v>15</v>
      </c>
      <c r="B615" s="7" t="s">
        <v>16</v>
      </c>
      <c r="C615" s="7" t="s">
        <v>17</v>
      </c>
      <c r="D615" s="7"/>
      <c r="E615" s="7" t="s">
        <v>1603</v>
      </c>
      <c r="F615" s="7" t="s">
        <v>19</v>
      </c>
      <c r="G615" s="7" t="s">
        <v>31</v>
      </c>
      <c r="H615" s="7" t="s">
        <v>17</v>
      </c>
      <c r="I615" s="7" t="s">
        <v>17</v>
      </c>
      <c r="J615" s="7" t="s">
        <v>1422</v>
      </c>
    </row>
    <row r="616" spans="1:10" x14ac:dyDescent="0.25" outlineLevel="3" collapsed="1">
      <c r="A616" s="7" t="s">
        <v>15</v>
      </c>
      <c r="B616" s="7" t="s">
        <v>284</v>
      </c>
      <c r="C616" s="11" t="s">
        <v>1604</v>
      </c>
      <c r="D616" s="7"/>
      <c r="E616" s="7" t="s">
        <v>1605</v>
      </c>
      <c r="F616" s="7" t="s">
        <v>19</v>
      </c>
      <c r="G616" s="7" t="s">
        <v>1606</v>
      </c>
      <c r="H616" s="7" t="s">
        <v>17</v>
      </c>
      <c r="I616" s="7" t="s">
        <v>17</v>
      </c>
      <c r="J616" s="7" t="s">
        <v>1607</v>
      </c>
    </row>
    <row r="617" spans="1:10" x14ac:dyDescent="0.25" outlineLevel="3" collapsed="1">
      <c r="A617" s="7" t="s">
        <v>19</v>
      </c>
      <c r="B617" s="7" t="s">
        <v>63</v>
      </c>
      <c r="C617" s="7" t="s">
        <v>17</v>
      </c>
      <c r="D617" s="7">
        <f>EXACT(G616,"Single value")</f>
      </c>
      <c r="E617" s="7" t="s">
        <v>1608</v>
      </c>
      <c r="F617" s="7" t="s">
        <v>19</v>
      </c>
      <c r="G617" s="7">
        <v>1</v>
      </c>
      <c r="H617" s="7" t="s">
        <v>17</v>
      </c>
      <c r="I617" s="7" t="s">
        <v>17</v>
      </c>
      <c r="J617" s="7" t="s">
        <v>1609</v>
      </c>
    </row>
    <row r="618" spans="1:10" x14ac:dyDescent="0.25" outlineLevel="3" collapsed="1">
      <c r="A618" s="7" t="s">
        <v>15</v>
      </c>
      <c r="B618" s="7" t="s">
        <v>16</v>
      </c>
      <c r="C618" s="7" t="s">
        <v>17</v>
      </c>
      <c r="D618" s="7"/>
      <c r="E618" s="7" t="s">
        <v>1610</v>
      </c>
      <c r="F618" s="7" t="s">
        <v>19</v>
      </c>
      <c r="G618" s="7" t="s">
        <v>31</v>
      </c>
      <c r="H618" s="7" t="s">
        <v>17</v>
      </c>
      <c r="I618" s="7" t="s">
        <v>17</v>
      </c>
      <c r="J618" s="7" t="s">
        <v>1191</v>
      </c>
    </row>
    <row r="619" spans="1:10" x14ac:dyDescent="0.25" outlineLevel="3" collapsed="1">
      <c r="A619" s="7" t="s">
        <v>15</v>
      </c>
      <c r="B619" s="7" t="s">
        <v>284</v>
      </c>
      <c r="C619" s="11" t="s">
        <v>1611</v>
      </c>
      <c r="D619" s="7"/>
      <c r="E619" s="7" t="s">
        <v>1612</v>
      </c>
      <c r="F619" s="7" t="s">
        <v>19</v>
      </c>
      <c r="G619" s="7" t="s">
        <v>1613</v>
      </c>
      <c r="H619" s="7" t="s">
        <v>17</v>
      </c>
      <c r="I619" s="7" t="s">
        <v>17</v>
      </c>
      <c r="J619" s="7" t="s">
        <v>1614</v>
      </c>
    </row>
    <row r="620" spans="1:10" x14ac:dyDescent="0.25" outlineLevel="3" collapsed="1">
      <c r="A620" s="7" t="s">
        <v>19</v>
      </c>
      <c r="B620" s="7" t="s">
        <v>16</v>
      </c>
      <c r="C620" s="7" t="s">
        <v>17</v>
      </c>
      <c r="D620" s="7"/>
      <c r="E620" s="7" t="s">
        <v>1615</v>
      </c>
      <c r="F620" s="7" t="s">
        <v>19</v>
      </c>
      <c r="G620" s="7" t="s">
        <v>31</v>
      </c>
      <c r="H620" s="7" t="s">
        <v>17</v>
      </c>
      <c r="I620" s="7" t="s">
        <v>17</v>
      </c>
      <c r="J620" s="7" t="s">
        <v>1616</v>
      </c>
    </row>
    <row r="621" spans="1:10" x14ac:dyDescent="0.25" outlineLevel="1" collapsed="1">
      <c r="A621" s="8" t="s">
        <v>19</v>
      </c>
      <c r="B621" s="9" t="s">
        <v>1647</v>
      </c>
      <c r="C621" s="8" t="s">
        <v>17</v>
      </c>
      <c r="D621" s="8"/>
      <c r="E621" s="8" t="s">
        <v>1648</v>
      </c>
      <c r="F621" s="8" t="s">
        <v>19</v>
      </c>
      <c r="G621" s="8" t="s">
        <v>17</v>
      </c>
      <c r="H621" s="8" t="s">
        <v>17</v>
      </c>
      <c r="I621" s="8" t="s">
        <v>17</v>
      </c>
      <c r="J621" s="8" t="s">
        <v>1649</v>
      </c>
    </row>
    <row r="622" spans="1:10" x14ac:dyDescent="0.25" outlineLevel="2" collapsed="1">
      <c r="A622" s="8" t="s">
        <v>19</v>
      </c>
      <c r="B622" s="9" t="s">
        <v>1597</v>
      </c>
      <c r="C622" s="8" t="s">
        <v>17</v>
      </c>
      <c r="D622" s="8"/>
      <c r="E622" s="8" t="s">
        <v>1650</v>
      </c>
      <c r="F622" s="8" t="s">
        <v>19</v>
      </c>
      <c r="G622" s="8" t="s">
        <v>17</v>
      </c>
      <c r="H622" s="8" t="s">
        <v>17</v>
      </c>
      <c r="I622" s="8" t="s">
        <v>17</v>
      </c>
      <c r="J622" s="8" t="s">
        <v>1651</v>
      </c>
    </row>
    <row r="623" spans="1:10" x14ac:dyDescent="0.25" outlineLevel="3" collapsed="1">
      <c r="A623" s="7" t="s">
        <v>15</v>
      </c>
      <c r="B623" s="7" t="s">
        <v>16</v>
      </c>
      <c r="C623" s="7" t="s">
        <v>17</v>
      </c>
      <c r="D623" s="7"/>
      <c r="E623" s="7" t="s">
        <v>1431</v>
      </c>
      <c r="F623" s="7" t="s">
        <v>19</v>
      </c>
      <c r="G623" s="7" t="s">
        <v>31</v>
      </c>
      <c r="H623" s="7" t="s">
        <v>17</v>
      </c>
      <c r="I623" s="7" t="s">
        <v>17</v>
      </c>
      <c r="J623" s="7" t="s">
        <v>637</v>
      </c>
    </row>
    <row r="624" spans="1:10" x14ac:dyDescent="0.25" outlineLevel="3" collapsed="1">
      <c r="A624" s="7" t="s">
        <v>15</v>
      </c>
      <c r="B624" s="7" t="s">
        <v>16</v>
      </c>
      <c r="C624" s="7" t="s">
        <v>17</v>
      </c>
      <c r="D624" s="7"/>
      <c r="E624" s="7" t="s">
        <v>638</v>
      </c>
      <c r="F624" s="7" t="s">
        <v>19</v>
      </c>
      <c r="G624" s="7" t="s">
        <v>31</v>
      </c>
      <c r="H624" s="7" t="s">
        <v>17</v>
      </c>
      <c r="I624" s="7" t="s">
        <v>17</v>
      </c>
      <c r="J624" s="7" t="s">
        <v>640</v>
      </c>
    </row>
    <row r="625" spans="1:10" x14ac:dyDescent="0.25" outlineLevel="3" collapsed="1">
      <c r="A625" s="7" t="s">
        <v>15</v>
      </c>
      <c r="B625" s="7" t="s">
        <v>16</v>
      </c>
      <c r="C625" s="7" t="s">
        <v>17</v>
      </c>
      <c r="D625" s="7"/>
      <c r="E625" s="7" t="s">
        <v>9</v>
      </c>
      <c r="F625" s="7" t="s">
        <v>19</v>
      </c>
      <c r="G625" s="7" t="s">
        <v>31</v>
      </c>
      <c r="H625" s="7" t="s">
        <v>17</v>
      </c>
      <c r="I625" s="7" t="s">
        <v>17</v>
      </c>
      <c r="J625" s="7" t="s">
        <v>843</v>
      </c>
    </row>
    <row r="626" spans="1:10" x14ac:dyDescent="0.25" outlineLevel="3" collapsed="1">
      <c r="A626" s="7" t="s">
        <v>19</v>
      </c>
      <c r="B626" s="7" t="s">
        <v>16</v>
      </c>
      <c r="C626" s="7" t="s">
        <v>17</v>
      </c>
      <c r="D626" s="7"/>
      <c r="E626" s="7" t="s">
        <v>1600</v>
      </c>
      <c r="F626" s="7" t="s">
        <v>19</v>
      </c>
      <c r="G626" s="7" t="s">
        <v>31</v>
      </c>
      <c r="H626" s="7" t="s">
        <v>17</v>
      </c>
      <c r="I626" s="7" t="s">
        <v>17</v>
      </c>
      <c r="J626" s="7" t="s">
        <v>1424</v>
      </c>
    </row>
    <row r="627" spans="1:10" x14ac:dyDescent="0.25" outlineLevel="3" collapsed="1">
      <c r="A627" s="7" t="s">
        <v>15</v>
      </c>
      <c r="B627" s="7" t="s">
        <v>16</v>
      </c>
      <c r="C627" s="7" t="s">
        <v>17</v>
      </c>
      <c r="D627" s="7"/>
      <c r="E627" s="7" t="s">
        <v>1601</v>
      </c>
      <c r="F627" s="7" t="s">
        <v>19</v>
      </c>
      <c r="G627" s="7" t="s">
        <v>31</v>
      </c>
      <c r="H627" s="7" t="s">
        <v>17</v>
      </c>
      <c r="I627" s="7" t="s">
        <v>17</v>
      </c>
      <c r="J627" s="7" t="s">
        <v>1602</v>
      </c>
    </row>
    <row r="628" spans="1:10" x14ac:dyDescent="0.25" outlineLevel="3" collapsed="1">
      <c r="A628" s="7" t="s">
        <v>15</v>
      </c>
      <c r="B628" s="7" t="s">
        <v>16</v>
      </c>
      <c r="C628" s="7" t="s">
        <v>17</v>
      </c>
      <c r="D628" s="7"/>
      <c r="E628" s="7" t="s">
        <v>1603</v>
      </c>
      <c r="F628" s="7" t="s">
        <v>19</v>
      </c>
      <c r="G628" s="7" t="s">
        <v>31</v>
      </c>
      <c r="H628" s="7" t="s">
        <v>17</v>
      </c>
      <c r="I628" s="7" t="s">
        <v>17</v>
      </c>
      <c r="J628" s="7" t="s">
        <v>1422</v>
      </c>
    </row>
    <row r="629" spans="1:10" x14ac:dyDescent="0.25" outlineLevel="3" collapsed="1">
      <c r="A629" s="7" t="s">
        <v>15</v>
      </c>
      <c r="B629" s="7" t="s">
        <v>284</v>
      </c>
      <c r="C629" s="11" t="s">
        <v>1604</v>
      </c>
      <c r="D629" s="7"/>
      <c r="E629" s="7" t="s">
        <v>1605</v>
      </c>
      <c r="F629" s="7" t="s">
        <v>19</v>
      </c>
      <c r="G629" s="7" t="s">
        <v>1606</v>
      </c>
      <c r="H629" s="7" t="s">
        <v>17</v>
      </c>
      <c r="I629" s="7" t="s">
        <v>17</v>
      </c>
      <c r="J629" s="7" t="s">
        <v>1607</v>
      </c>
    </row>
    <row r="630" spans="1:10" x14ac:dyDescent="0.25" outlineLevel="3" collapsed="1">
      <c r="A630" s="7" t="s">
        <v>19</v>
      </c>
      <c r="B630" s="7" t="s">
        <v>63</v>
      </c>
      <c r="C630" s="7" t="s">
        <v>17</v>
      </c>
      <c r="D630" s="7">
        <f>EXACT(G629,"Single value")</f>
      </c>
      <c r="E630" s="7" t="s">
        <v>1608</v>
      </c>
      <c r="F630" s="7" t="s">
        <v>19</v>
      </c>
      <c r="G630" s="7">
        <v>1</v>
      </c>
      <c r="H630" s="7" t="s">
        <v>17</v>
      </c>
      <c r="I630" s="7" t="s">
        <v>17</v>
      </c>
      <c r="J630" s="7" t="s">
        <v>1609</v>
      </c>
    </row>
    <row r="631" spans="1:10" x14ac:dyDescent="0.25" outlineLevel="3" collapsed="1">
      <c r="A631" s="7" t="s">
        <v>15</v>
      </c>
      <c r="B631" s="7" t="s">
        <v>16</v>
      </c>
      <c r="C631" s="7" t="s">
        <v>17</v>
      </c>
      <c r="D631" s="7"/>
      <c r="E631" s="7" t="s">
        <v>1610</v>
      </c>
      <c r="F631" s="7" t="s">
        <v>19</v>
      </c>
      <c r="G631" s="7" t="s">
        <v>31</v>
      </c>
      <c r="H631" s="7" t="s">
        <v>17</v>
      </c>
      <c r="I631" s="7" t="s">
        <v>17</v>
      </c>
      <c r="J631" s="7" t="s">
        <v>1191</v>
      </c>
    </row>
    <row r="632" spans="1:10" x14ac:dyDescent="0.25" outlineLevel="3" collapsed="1">
      <c r="A632" s="7" t="s">
        <v>15</v>
      </c>
      <c r="B632" s="7" t="s">
        <v>284</v>
      </c>
      <c r="C632" s="11" t="s">
        <v>1611</v>
      </c>
      <c r="D632" s="7"/>
      <c r="E632" s="7" t="s">
        <v>1612</v>
      </c>
      <c r="F632" s="7" t="s">
        <v>19</v>
      </c>
      <c r="G632" s="7" t="s">
        <v>1613</v>
      </c>
      <c r="H632" s="7" t="s">
        <v>17</v>
      </c>
      <c r="I632" s="7" t="s">
        <v>17</v>
      </c>
      <c r="J632" s="7" t="s">
        <v>1614</v>
      </c>
    </row>
    <row r="633" spans="1:10" x14ac:dyDescent="0.25" outlineLevel="3" collapsed="1">
      <c r="A633" s="7" t="s">
        <v>19</v>
      </c>
      <c r="B633" s="7" t="s">
        <v>16</v>
      </c>
      <c r="C633" s="7" t="s">
        <v>17</v>
      </c>
      <c r="D633" s="7"/>
      <c r="E633" s="7" t="s">
        <v>1615</v>
      </c>
      <c r="F633" s="7" t="s">
        <v>19</v>
      </c>
      <c r="G633" s="7" t="s">
        <v>31</v>
      </c>
      <c r="H633" s="7" t="s">
        <v>17</v>
      </c>
      <c r="I633" s="7" t="s">
        <v>17</v>
      </c>
      <c r="J633" s="7" t="s">
        <v>1616</v>
      </c>
    </row>
    <row r="634" spans="1:10" x14ac:dyDescent="0.25" outlineLevel="1" collapsed="1">
      <c r="A634" s="8" t="s">
        <v>19</v>
      </c>
      <c r="B634" s="9" t="s">
        <v>1652</v>
      </c>
      <c r="C634" s="8" t="s">
        <v>17</v>
      </c>
      <c r="D634" s="8"/>
      <c r="E634" s="8" t="s">
        <v>1653</v>
      </c>
      <c r="F634" s="8" t="s">
        <v>19</v>
      </c>
      <c r="G634" s="8" t="s">
        <v>17</v>
      </c>
      <c r="H634" s="8" t="s">
        <v>17</v>
      </c>
      <c r="I634" s="8" t="s">
        <v>17</v>
      </c>
      <c r="J634" s="8" t="s">
        <v>1654</v>
      </c>
    </row>
    <row r="635" spans="1:10" x14ac:dyDescent="0.25" outlineLevel="2" collapsed="1">
      <c r="A635" s="8" t="s">
        <v>19</v>
      </c>
      <c r="B635" s="9" t="s">
        <v>1597</v>
      </c>
      <c r="C635" s="8" t="s">
        <v>17</v>
      </c>
      <c r="D635" s="8"/>
      <c r="E635" s="8" t="s">
        <v>1655</v>
      </c>
      <c r="F635" s="8" t="s">
        <v>19</v>
      </c>
      <c r="G635" s="8" t="s">
        <v>17</v>
      </c>
      <c r="H635" s="8" t="s">
        <v>17</v>
      </c>
      <c r="I635" s="8" t="s">
        <v>17</v>
      </c>
      <c r="J635" s="8" t="s">
        <v>1656</v>
      </c>
    </row>
    <row r="636" spans="1:10" x14ac:dyDescent="0.25" outlineLevel="3" collapsed="1">
      <c r="A636" s="7" t="s">
        <v>15</v>
      </c>
      <c r="B636" s="7" t="s">
        <v>16</v>
      </c>
      <c r="C636" s="7" t="s">
        <v>17</v>
      </c>
      <c r="D636" s="7"/>
      <c r="E636" s="7" t="s">
        <v>1431</v>
      </c>
      <c r="F636" s="7" t="s">
        <v>19</v>
      </c>
      <c r="G636" s="7" t="s">
        <v>31</v>
      </c>
      <c r="H636" s="7" t="s">
        <v>17</v>
      </c>
      <c r="I636" s="7" t="s">
        <v>17</v>
      </c>
      <c r="J636" s="7" t="s">
        <v>637</v>
      </c>
    </row>
    <row r="637" spans="1:10" x14ac:dyDescent="0.25" outlineLevel="3" collapsed="1">
      <c r="A637" s="7" t="s">
        <v>15</v>
      </c>
      <c r="B637" s="7" t="s">
        <v>16</v>
      </c>
      <c r="C637" s="7" t="s">
        <v>17</v>
      </c>
      <c r="D637" s="7"/>
      <c r="E637" s="7" t="s">
        <v>638</v>
      </c>
      <c r="F637" s="7" t="s">
        <v>19</v>
      </c>
      <c r="G637" s="7" t="s">
        <v>31</v>
      </c>
      <c r="H637" s="7" t="s">
        <v>17</v>
      </c>
      <c r="I637" s="7" t="s">
        <v>17</v>
      </c>
      <c r="J637" s="7" t="s">
        <v>640</v>
      </c>
    </row>
    <row r="638" spans="1:10" x14ac:dyDescent="0.25" outlineLevel="3" collapsed="1">
      <c r="A638" s="7" t="s">
        <v>15</v>
      </c>
      <c r="B638" s="7" t="s">
        <v>16</v>
      </c>
      <c r="C638" s="7" t="s">
        <v>17</v>
      </c>
      <c r="D638" s="7"/>
      <c r="E638" s="7" t="s">
        <v>9</v>
      </c>
      <c r="F638" s="7" t="s">
        <v>19</v>
      </c>
      <c r="G638" s="7" t="s">
        <v>31</v>
      </c>
      <c r="H638" s="7" t="s">
        <v>17</v>
      </c>
      <c r="I638" s="7" t="s">
        <v>17</v>
      </c>
      <c r="J638" s="7" t="s">
        <v>843</v>
      </c>
    </row>
    <row r="639" spans="1:10" x14ac:dyDescent="0.25" outlineLevel="3" collapsed="1">
      <c r="A639" s="7" t="s">
        <v>19</v>
      </c>
      <c r="B639" s="7" t="s">
        <v>16</v>
      </c>
      <c r="C639" s="7" t="s">
        <v>17</v>
      </c>
      <c r="D639" s="7"/>
      <c r="E639" s="7" t="s">
        <v>1600</v>
      </c>
      <c r="F639" s="7" t="s">
        <v>19</v>
      </c>
      <c r="G639" s="7" t="s">
        <v>31</v>
      </c>
      <c r="H639" s="7" t="s">
        <v>17</v>
      </c>
      <c r="I639" s="7" t="s">
        <v>17</v>
      </c>
      <c r="J639" s="7" t="s">
        <v>1424</v>
      </c>
    </row>
    <row r="640" spans="1:10" x14ac:dyDescent="0.25" outlineLevel="3" collapsed="1">
      <c r="A640" s="7" t="s">
        <v>15</v>
      </c>
      <c r="B640" s="7" t="s">
        <v>16</v>
      </c>
      <c r="C640" s="7" t="s">
        <v>17</v>
      </c>
      <c r="D640" s="7"/>
      <c r="E640" s="7" t="s">
        <v>1601</v>
      </c>
      <c r="F640" s="7" t="s">
        <v>19</v>
      </c>
      <c r="G640" s="7" t="s">
        <v>31</v>
      </c>
      <c r="H640" s="7" t="s">
        <v>17</v>
      </c>
      <c r="I640" s="7" t="s">
        <v>17</v>
      </c>
      <c r="J640" s="7" t="s">
        <v>1602</v>
      </c>
    </row>
    <row r="641" spans="1:10" x14ac:dyDescent="0.25" outlineLevel="3" collapsed="1">
      <c r="A641" s="7" t="s">
        <v>15</v>
      </c>
      <c r="B641" s="7" t="s">
        <v>16</v>
      </c>
      <c r="C641" s="7" t="s">
        <v>17</v>
      </c>
      <c r="D641" s="7"/>
      <c r="E641" s="7" t="s">
        <v>1603</v>
      </c>
      <c r="F641" s="7" t="s">
        <v>19</v>
      </c>
      <c r="G641" s="7" t="s">
        <v>31</v>
      </c>
      <c r="H641" s="7" t="s">
        <v>17</v>
      </c>
      <c r="I641" s="7" t="s">
        <v>17</v>
      </c>
      <c r="J641" s="7" t="s">
        <v>1422</v>
      </c>
    </row>
    <row r="642" spans="1:10" x14ac:dyDescent="0.25" outlineLevel="3" collapsed="1">
      <c r="A642" s="7" t="s">
        <v>15</v>
      </c>
      <c r="B642" s="7" t="s">
        <v>284</v>
      </c>
      <c r="C642" s="11" t="s">
        <v>1604</v>
      </c>
      <c r="D642" s="7"/>
      <c r="E642" s="7" t="s">
        <v>1605</v>
      </c>
      <c r="F642" s="7" t="s">
        <v>19</v>
      </c>
      <c r="G642" s="7" t="s">
        <v>1606</v>
      </c>
      <c r="H642" s="7" t="s">
        <v>17</v>
      </c>
      <c r="I642" s="7" t="s">
        <v>17</v>
      </c>
      <c r="J642" s="7" t="s">
        <v>1607</v>
      </c>
    </row>
    <row r="643" spans="1:10" x14ac:dyDescent="0.25" outlineLevel="3" collapsed="1">
      <c r="A643" s="7" t="s">
        <v>19</v>
      </c>
      <c r="B643" s="7" t="s">
        <v>63</v>
      </c>
      <c r="C643" s="7" t="s">
        <v>17</v>
      </c>
      <c r="D643" s="7">
        <f>EXACT(G642,"Single value")</f>
      </c>
      <c r="E643" s="7" t="s">
        <v>1608</v>
      </c>
      <c r="F643" s="7" t="s">
        <v>19</v>
      </c>
      <c r="G643" s="7">
        <v>1</v>
      </c>
      <c r="H643" s="7" t="s">
        <v>17</v>
      </c>
      <c r="I643" s="7" t="s">
        <v>17</v>
      </c>
      <c r="J643" s="7" t="s">
        <v>1609</v>
      </c>
    </row>
    <row r="644" spans="1:10" x14ac:dyDescent="0.25" outlineLevel="3" collapsed="1">
      <c r="A644" s="7" t="s">
        <v>15</v>
      </c>
      <c r="B644" s="7" t="s">
        <v>16</v>
      </c>
      <c r="C644" s="7" t="s">
        <v>17</v>
      </c>
      <c r="D644" s="7"/>
      <c r="E644" s="7" t="s">
        <v>1610</v>
      </c>
      <c r="F644" s="7" t="s">
        <v>19</v>
      </c>
      <c r="G644" s="7" t="s">
        <v>31</v>
      </c>
      <c r="H644" s="7" t="s">
        <v>17</v>
      </c>
      <c r="I644" s="7" t="s">
        <v>17</v>
      </c>
      <c r="J644" s="7" t="s">
        <v>1191</v>
      </c>
    </row>
    <row r="645" spans="1:10" x14ac:dyDescent="0.25" outlineLevel="3" collapsed="1">
      <c r="A645" s="7" t="s">
        <v>15</v>
      </c>
      <c r="B645" s="7" t="s">
        <v>284</v>
      </c>
      <c r="C645" s="11" t="s">
        <v>1611</v>
      </c>
      <c r="D645" s="7"/>
      <c r="E645" s="7" t="s">
        <v>1612</v>
      </c>
      <c r="F645" s="7" t="s">
        <v>19</v>
      </c>
      <c r="G645" s="7" t="s">
        <v>1613</v>
      </c>
      <c r="H645" s="7" t="s">
        <v>17</v>
      </c>
      <c r="I645" s="7" t="s">
        <v>17</v>
      </c>
      <c r="J645" s="7" t="s">
        <v>1614</v>
      </c>
    </row>
    <row r="646" spans="1:10" x14ac:dyDescent="0.25" outlineLevel="3" collapsed="1">
      <c r="A646" s="7" t="s">
        <v>19</v>
      </c>
      <c r="B646" s="7" t="s">
        <v>16</v>
      </c>
      <c r="C646" s="7" t="s">
        <v>17</v>
      </c>
      <c r="D646" s="7"/>
      <c r="E646" s="7" t="s">
        <v>1615</v>
      </c>
      <c r="F646" s="7" t="s">
        <v>19</v>
      </c>
      <c r="G646" s="7" t="s">
        <v>31</v>
      </c>
      <c r="H646" s="7" t="s">
        <v>17</v>
      </c>
      <c r="I646" s="7" t="s">
        <v>17</v>
      </c>
      <c r="J646" s="7" t="s">
        <v>1616</v>
      </c>
    </row>
    <row r="647" spans="1:10" x14ac:dyDescent="0.25" outlineLevel="2" collapsed="1">
      <c r="A647" s="8" t="s">
        <v>19</v>
      </c>
      <c r="B647" s="9" t="s">
        <v>1597</v>
      </c>
      <c r="C647" s="8" t="s">
        <v>17</v>
      </c>
      <c r="D647" s="8"/>
      <c r="E647" s="8" t="s">
        <v>1657</v>
      </c>
      <c r="F647" s="8" t="s">
        <v>19</v>
      </c>
      <c r="G647" s="8" t="s">
        <v>17</v>
      </c>
      <c r="H647" s="8" t="s">
        <v>17</v>
      </c>
      <c r="I647" s="8" t="s">
        <v>17</v>
      </c>
      <c r="J647" s="8" t="s">
        <v>1658</v>
      </c>
    </row>
    <row r="648" spans="1:10" x14ac:dyDescent="0.25" outlineLevel="3" collapsed="1">
      <c r="A648" s="7" t="s">
        <v>15</v>
      </c>
      <c r="B648" s="7" t="s">
        <v>16</v>
      </c>
      <c r="C648" s="7" t="s">
        <v>17</v>
      </c>
      <c r="D648" s="7"/>
      <c r="E648" s="7" t="s">
        <v>1431</v>
      </c>
      <c r="F648" s="7" t="s">
        <v>19</v>
      </c>
      <c r="G648" s="7" t="s">
        <v>31</v>
      </c>
      <c r="H648" s="7" t="s">
        <v>17</v>
      </c>
      <c r="I648" s="7" t="s">
        <v>17</v>
      </c>
      <c r="J648" s="7" t="s">
        <v>637</v>
      </c>
    </row>
    <row r="649" spans="1:10" x14ac:dyDescent="0.25" outlineLevel="3" collapsed="1">
      <c r="A649" s="7" t="s">
        <v>15</v>
      </c>
      <c r="B649" s="7" t="s">
        <v>16</v>
      </c>
      <c r="C649" s="7" t="s">
        <v>17</v>
      </c>
      <c r="D649" s="7"/>
      <c r="E649" s="7" t="s">
        <v>638</v>
      </c>
      <c r="F649" s="7" t="s">
        <v>19</v>
      </c>
      <c r="G649" s="7" t="s">
        <v>31</v>
      </c>
      <c r="H649" s="7" t="s">
        <v>17</v>
      </c>
      <c r="I649" s="7" t="s">
        <v>17</v>
      </c>
      <c r="J649" s="7" t="s">
        <v>640</v>
      </c>
    </row>
    <row r="650" spans="1:10" x14ac:dyDescent="0.25" outlineLevel="3" collapsed="1">
      <c r="A650" s="7" t="s">
        <v>15</v>
      </c>
      <c r="B650" s="7" t="s">
        <v>16</v>
      </c>
      <c r="C650" s="7" t="s">
        <v>17</v>
      </c>
      <c r="D650" s="7"/>
      <c r="E650" s="7" t="s">
        <v>9</v>
      </c>
      <c r="F650" s="7" t="s">
        <v>19</v>
      </c>
      <c r="G650" s="7" t="s">
        <v>31</v>
      </c>
      <c r="H650" s="7" t="s">
        <v>17</v>
      </c>
      <c r="I650" s="7" t="s">
        <v>17</v>
      </c>
      <c r="J650" s="7" t="s">
        <v>843</v>
      </c>
    </row>
    <row r="651" spans="1:10" x14ac:dyDescent="0.25" outlineLevel="3" collapsed="1">
      <c r="A651" s="7" t="s">
        <v>19</v>
      </c>
      <c r="B651" s="7" t="s">
        <v>16</v>
      </c>
      <c r="C651" s="7" t="s">
        <v>17</v>
      </c>
      <c r="D651" s="7"/>
      <c r="E651" s="7" t="s">
        <v>1600</v>
      </c>
      <c r="F651" s="7" t="s">
        <v>19</v>
      </c>
      <c r="G651" s="7" t="s">
        <v>31</v>
      </c>
      <c r="H651" s="7" t="s">
        <v>17</v>
      </c>
      <c r="I651" s="7" t="s">
        <v>17</v>
      </c>
      <c r="J651" s="7" t="s">
        <v>1424</v>
      </c>
    </row>
    <row r="652" spans="1:10" x14ac:dyDescent="0.25" outlineLevel="3" collapsed="1">
      <c r="A652" s="7" t="s">
        <v>15</v>
      </c>
      <c r="B652" s="7" t="s">
        <v>16</v>
      </c>
      <c r="C652" s="7" t="s">
        <v>17</v>
      </c>
      <c r="D652" s="7"/>
      <c r="E652" s="7" t="s">
        <v>1601</v>
      </c>
      <c r="F652" s="7" t="s">
        <v>19</v>
      </c>
      <c r="G652" s="7" t="s">
        <v>31</v>
      </c>
      <c r="H652" s="7" t="s">
        <v>17</v>
      </c>
      <c r="I652" s="7" t="s">
        <v>17</v>
      </c>
      <c r="J652" s="7" t="s">
        <v>1602</v>
      </c>
    </row>
    <row r="653" spans="1:10" x14ac:dyDescent="0.25" outlineLevel="3" collapsed="1">
      <c r="A653" s="7" t="s">
        <v>15</v>
      </c>
      <c r="B653" s="7" t="s">
        <v>16</v>
      </c>
      <c r="C653" s="7" t="s">
        <v>17</v>
      </c>
      <c r="D653" s="7"/>
      <c r="E653" s="7" t="s">
        <v>1603</v>
      </c>
      <c r="F653" s="7" t="s">
        <v>19</v>
      </c>
      <c r="G653" s="7" t="s">
        <v>31</v>
      </c>
      <c r="H653" s="7" t="s">
        <v>17</v>
      </c>
      <c r="I653" s="7" t="s">
        <v>17</v>
      </c>
      <c r="J653" s="7" t="s">
        <v>1422</v>
      </c>
    </row>
    <row r="654" spans="1:10" x14ac:dyDescent="0.25" outlineLevel="3" collapsed="1">
      <c r="A654" s="7" t="s">
        <v>15</v>
      </c>
      <c r="B654" s="7" t="s">
        <v>284</v>
      </c>
      <c r="C654" s="11" t="s">
        <v>1604</v>
      </c>
      <c r="D654" s="7"/>
      <c r="E654" s="7" t="s">
        <v>1605</v>
      </c>
      <c r="F654" s="7" t="s">
        <v>19</v>
      </c>
      <c r="G654" s="7" t="s">
        <v>1606</v>
      </c>
      <c r="H654" s="7" t="s">
        <v>17</v>
      </c>
      <c r="I654" s="7" t="s">
        <v>17</v>
      </c>
      <c r="J654" s="7" t="s">
        <v>1607</v>
      </c>
    </row>
    <row r="655" spans="1:10" x14ac:dyDescent="0.25" outlineLevel="3" collapsed="1">
      <c r="A655" s="7" t="s">
        <v>19</v>
      </c>
      <c r="B655" s="7" t="s">
        <v>63</v>
      </c>
      <c r="C655" s="7" t="s">
        <v>17</v>
      </c>
      <c r="D655" s="7">
        <f>EXACT(G654,"Single value")</f>
      </c>
      <c r="E655" s="7" t="s">
        <v>1608</v>
      </c>
      <c r="F655" s="7" t="s">
        <v>19</v>
      </c>
      <c r="G655" s="7">
        <v>1</v>
      </c>
      <c r="H655" s="7" t="s">
        <v>17</v>
      </c>
      <c r="I655" s="7" t="s">
        <v>17</v>
      </c>
      <c r="J655" s="7" t="s">
        <v>1609</v>
      </c>
    </row>
    <row r="656" spans="1:10" x14ac:dyDescent="0.25" outlineLevel="3" collapsed="1">
      <c r="A656" s="7" t="s">
        <v>15</v>
      </c>
      <c r="B656" s="7" t="s">
        <v>16</v>
      </c>
      <c r="C656" s="7" t="s">
        <v>17</v>
      </c>
      <c r="D656" s="7"/>
      <c r="E656" s="7" t="s">
        <v>1610</v>
      </c>
      <c r="F656" s="7" t="s">
        <v>19</v>
      </c>
      <c r="G656" s="7" t="s">
        <v>31</v>
      </c>
      <c r="H656" s="7" t="s">
        <v>17</v>
      </c>
      <c r="I656" s="7" t="s">
        <v>17</v>
      </c>
      <c r="J656" s="7" t="s">
        <v>1191</v>
      </c>
    </row>
    <row r="657" spans="1:10" x14ac:dyDescent="0.25" outlineLevel="3" collapsed="1">
      <c r="A657" s="7" t="s">
        <v>15</v>
      </c>
      <c r="B657" s="7" t="s">
        <v>284</v>
      </c>
      <c r="C657" s="11" t="s">
        <v>1611</v>
      </c>
      <c r="D657" s="7"/>
      <c r="E657" s="7" t="s">
        <v>1612</v>
      </c>
      <c r="F657" s="7" t="s">
        <v>19</v>
      </c>
      <c r="G657" s="7" t="s">
        <v>1613</v>
      </c>
      <c r="H657" s="7" t="s">
        <v>17</v>
      </c>
      <c r="I657" s="7" t="s">
        <v>17</v>
      </c>
      <c r="J657" s="7" t="s">
        <v>1614</v>
      </c>
    </row>
    <row r="658" spans="1:10" x14ac:dyDescent="0.25" outlineLevel="3" collapsed="1">
      <c r="A658" s="7" t="s">
        <v>19</v>
      </c>
      <c r="B658" s="7" t="s">
        <v>16</v>
      </c>
      <c r="C658" s="7" t="s">
        <v>17</v>
      </c>
      <c r="D658" s="7"/>
      <c r="E658" s="7" t="s">
        <v>1615</v>
      </c>
      <c r="F658" s="7" t="s">
        <v>19</v>
      </c>
      <c r="G658" s="7" t="s">
        <v>31</v>
      </c>
      <c r="H658" s="7" t="s">
        <v>17</v>
      </c>
      <c r="I658" s="7" t="s">
        <v>17</v>
      </c>
      <c r="J658" s="7" t="s">
        <v>1616</v>
      </c>
    </row>
    <row r="659" spans="1:10" x14ac:dyDescent="0.25" outlineLevel="1" collapsed="1">
      <c r="A659" s="8" t="s">
        <v>15</v>
      </c>
      <c r="B659" s="9" t="s">
        <v>1659</v>
      </c>
      <c r="C659" s="8" t="s">
        <v>17</v>
      </c>
      <c r="D659" s="8"/>
      <c r="E659" s="8" t="s">
        <v>1660</v>
      </c>
      <c r="F659" s="8" t="s">
        <v>19</v>
      </c>
      <c r="G659" s="8" t="s">
        <v>17</v>
      </c>
      <c r="H659" s="8" t="s">
        <v>17</v>
      </c>
      <c r="I659" s="8" t="s">
        <v>17</v>
      </c>
      <c r="J659" s="8" t="s">
        <v>1661</v>
      </c>
    </row>
    <row r="660" spans="1:10" x14ac:dyDescent="0.25" outlineLevel="2" collapsed="1">
      <c r="A660" s="8" t="s">
        <v>15</v>
      </c>
      <c r="B660" s="9" t="s">
        <v>1597</v>
      </c>
      <c r="C660" s="8" t="s">
        <v>17</v>
      </c>
      <c r="D660" s="8"/>
      <c r="E660" s="8" t="s">
        <v>1662</v>
      </c>
      <c r="F660" s="8" t="s">
        <v>19</v>
      </c>
      <c r="G660" s="8" t="s">
        <v>17</v>
      </c>
      <c r="H660" s="8" t="s">
        <v>17</v>
      </c>
      <c r="I660" s="8" t="s">
        <v>17</v>
      </c>
      <c r="J660" s="8" t="s">
        <v>1663</v>
      </c>
    </row>
    <row r="661" spans="1:10" x14ac:dyDescent="0.25" outlineLevel="3" collapsed="1">
      <c r="A661" s="7" t="s">
        <v>15</v>
      </c>
      <c r="B661" s="7" t="s">
        <v>16</v>
      </c>
      <c r="C661" s="7" t="s">
        <v>17</v>
      </c>
      <c r="D661" s="7"/>
      <c r="E661" s="7" t="s">
        <v>1431</v>
      </c>
      <c r="F661" s="7" t="s">
        <v>19</v>
      </c>
      <c r="G661" s="7" t="s">
        <v>31</v>
      </c>
      <c r="H661" s="7" t="s">
        <v>17</v>
      </c>
      <c r="I661" s="7" t="s">
        <v>17</v>
      </c>
      <c r="J661" s="7" t="s">
        <v>637</v>
      </c>
    </row>
    <row r="662" spans="1:10" x14ac:dyDescent="0.25" outlineLevel="3" collapsed="1">
      <c r="A662" s="7" t="s">
        <v>15</v>
      </c>
      <c r="B662" s="7" t="s">
        <v>16</v>
      </c>
      <c r="C662" s="7" t="s">
        <v>17</v>
      </c>
      <c r="D662" s="7"/>
      <c r="E662" s="7" t="s">
        <v>638</v>
      </c>
      <c r="F662" s="7" t="s">
        <v>19</v>
      </c>
      <c r="G662" s="7" t="s">
        <v>31</v>
      </c>
      <c r="H662" s="7" t="s">
        <v>17</v>
      </c>
      <c r="I662" s="7" t="s">
        <v>17</v>
      </c>
      <c r="J662" s="7" t="s">
        <v>640</v>
      </c>
    </row>
    <row r="663" spans="1:10" x14ac:dyDescent="0.25" outlineLevel="3" collapsed="1">
      <c r="A663" s="7" t="s">
        <v>15</v>
      </c>
      <c r="B663" s="7" t="s">
        <v>16</v>
      </c>
      <c r="C663" s="7" t="s">
        <v>17</v>
      </c>
      <c r="D663" s="7"/>
      <c r="E663" s="7" t="s">
        <v>9</v>
      </c>
      <c r="F663" s="7" t="s">
        <v>19</v>
      </c>
      <c r="G663" s="7" t="s">
        <v>31</v>
      </c>
      <c r="H663" s="7" t="s">
        <v>17</v>
      </c>
      <c r="I663" s="7" t="s">
        <v>17</v>
      </c>
      <c r="J663" s="7" t="s">
        <v>843</v>
      </c>
    </row>
    <row r="664" spans="1:10" x14ac:dyDescent="0.25" outlineLevel="3" collapsed="1">
      <c r="A664" s="7" t="s">
        <v>19</v>
      </c>
      <c r="B664" s="7" t="s">
        <v>16</v>
      </c>
      <c r="C664" s="7" t="s">
        <v>17</v>
      </c>
      <c r="D664" s="7"/>
      <c r="E664" s="7" t="s">
        <v>1600</v>
      </c>
      <c r="F664" s="7" t="s">
        <v>19</v>
      </c>
      <c r="G664" s="7" t="s">
        <v>31</v>
      </c>
      <c r="H664" s="7" t="s">
        <v>17</v>
      </c>
      <c r="I664" s="7" t="s">
        <v>17</v>
      </c>
      <c r="J664" s="7" t="s">
        <v>1424</v>
      </c>
    </row>
    <row r="665" spans="1:10" x14ac:dyDescent="0.25" outlineLevel="3" collapsed="1">
      <c r="A665" s="7" t="s">
        <v>15</v>
      </c>
      <c r="B665" s="7" t="s">
        <v>16</v>
      </c>
      <c r="C665" s="7" t="s">
        <v>17</v>
      </c>
      <c r="D665" s="7"/>
      <c r="E665" s="7" t="s">
        <v>1601</v>
      </c>
      <c r="F665" s="7" t="s">
        <v>19</v>
      </c>
      <c r="G665" s="7" t="s">
        <v>31</v>
      </c>
      <c r="H665" s="7" t="s">
        <v>17</v>
      </c>
      <c r="I665" s="7" t="s">
        <v>17</v>
      </c>
      <c r="J665" s="7" t="s">
        <v>1602</v>
      </c>
    </row>
    <row r="666" spans="1:10" x14ac:dyDescent="0.25" outlineLevel="3" collapsed="1">
      <c r="A666" s="7" t="s">
        <v>15</v>
      </c>
      <c r="B666" s="7" t="s">
        <v>16</v>
      </c>
      <c r="C666" s="7" t="s">
        <v>17</v>
      </c>
      <c r="D666" s="7"/>
      <c r="E666" s="7" t="s">
        <v>1603</v>
      </c>
      <c r="F666" s="7" t="s">
        <v>19</v>
      </c>
      <c r="G666" s="7" t="s">
        <v>31</v>
      </c>
      <c r="H666" s="7" t="s">
        <v>17</v>
      </c>
      <c r="I666" s="7" t="s">
        <v>17</v>
      </c>
      <c r="J666" s="7" t="s">
        <v>1422</v>
      </c>
    </row>
    <row r="667" spans="1:10" x14ac:dyDescent="0.25" outlineLevel="3" collapsed="1">
      <c r="A667" s="7" t="s">
        <v>15</v>
      </c>
      <c r="B667" s="7" t="s">
        <v>284</v>
      </c>
      <c r="C667" s="11" t="s">
        <v>1604</v>
      </c>
      <c r="D667" s="7"/>
      <c r="E667" s="7" t="s">
        <v>1605</v>
      </c>
      <c r="F667" s="7" t="s">
        <v>19</v>
      </c>
      <c r="G667" s="7" t="s">
        <v>1606</v>
      </c>
      <c r="H667" s="7" t="s">
        <v>17</v>
      </c>
      <c r="I667" s="7" t="s">
        <v>17</v>
      </c>
      <c r="J667" s="7" t="s">
        <v>1607</v>
      </c>
    </row>
    <row r="668" spans="1:10" x14ac:dyDescent="0.25" outlineLevel="3" collapsed="1">
      <c r="A668" s="7" t="s">
        <v>19</v>
      </c>
      <c r="B668" s="7" t="s">
        <v>63</v>
      </c>
      <c r="C668" s="7" t="s">
        <v>17</v>
      </c>
      <c r="D668" s="7">
        <f>EXACT(G667,"Single value")</f>
      </c>
      <c r="E668" s="7" t="s">
        <v>1608</v>
      </c>
      <c r="F668" s="7" t="s">
        <v>19</v>
      </c>
      <c r="G668" s="7">
        <v>1</v>
      </c>
      <c r="H668" s="7" t="s">
        <v>17</v>
      </c>
      <c r="I668" s="7" t="s">
        <v>17</v>
      </c>
      <c r="J668" s="7" t="s">
        <v>1609</v>
      </c>
    </row>
    <row r="669" spans="1:10" x14ac:dyDescent="0.25" outlineLevel="3" collapsed="1">
      <c r="A669" s="7" t="s">
        <v>15</v>
      </c>
      <c r="B669" s="7" t="s">
        <v>16</v>
      </c>
      <c r="C669" s="7" t="s">
        <v>17</v>
      </c>
      <c r="D669" s="7"/>
      <c r="E669" s="7" t="s">
        <v>1610</v>
      </c>
      <c r="F669" s="7" t="s">
        <v>19</v>
      </c>
      <c r="G669" s="7" t="s">
        <v>31</v>
      </c>
      <c r="H669" s="7" t="s">
        <v>17</v>
      </c>
      <c r="I669" s="7" t="s">
        <v>17</v>
      </c>
      <c r="J669" s="7" t="s">
        <v>1191</v>
      </c>
    </row>
    <row r="670" spans="1:10" x14ac:dyDescent="0.25" outlineLevel="3" collapsed="1">
      <c r="A670" s="7" t="s">
        <v>15</v>
      </c>
      <c r="B670" s="7" t="s">
        <v>284</v>
      </c>
      <c r="C670" s="11" t="s">
        <v>1611</v>
      </c>
      <c r="D670" s="7"/>
      <c r="E670" s="7" t="s">
        <v>1612</v>
      </c>
      <c r="F670" s="7" t="s">
        <v>19</v>
      </c>
      <c r="G670" s="7" t="s">
        <v>1613</v>
      </c>
      <c r="H670" s="7" t="s">
        <v>17</v>
      </c>
      <c r="I670" s="7" t="s">
        <v>17</v>
      </c>
      <c r="J670" s="7" t="s">
        <v>1614</v>
      </c>
    </row>
    <row r="671" spans="1:10" x14ac:dyDescent="0.25" outlineLevel="3" collapsed="1">
      <c r="A671" s="7" t="s">
        <v>19</v>
      </c>
      <c r="B671" s="7" t="s">
        <v>16</v>
      </c>
      <c r="C671" s="7" t="s">
        <v>17</v>
      </c>
      <c r="D671" s="7"/>
      <c r="E671" s="7" t="s">
        <v>1615</v>
      </c>
      <c r="F671" s="7" t="s">
        <v>19</v>
      </c>
      <c r="G671" s="7" t="s">
        <v>31</v>
      </c>
      <c r="H671" s="7" t="s">
        <v>17</v>
      </c>
      <c r="I671" s="7" t="s">
        <v>17</v>
      </c>
      <c r="J671" s="7" t="s">
        <v>1616</v>
      </c>
    </row>
    <row r="672" spans="1:10" x14ac:dyDescent="0.25" outlineLevel="1" collapsed="1">
      <c r="A672" s="8" t="s">
        <v>15</v>
      </c>
      <c r="B672" s="9" t="s">
        <v>2616</v>
      </c>
      <c r="C672" s="8" t="s">
        <v>17</v>
      </c>
      <c r="D672" s="8"/>
      <c r="E672" s="8" t="s">
        <v>1665</v>
      </c>
      <c r="F672" s="8" t="s">
        <v>19</v>
      </c>
      <c r="G672" s="8" t="s">
        <v>17</v>
      </c>
      <c r="H672" s="8" t="s">
        <v>17</v>
      </c>
      <c r="I672" s="8" t="s">
        <v>17</v>
      </c>
      <c r="J672" s="8" t="s">
        <v>1666</v>
      </c>
    </row>
    <row r="673" spans="1:10" x14ac:dyDescent="0.25" outlineLevel="2" collapsed="1">
      <c r="A673" s="8" t="s">
        <v>15</v>
      </c>
      <c r="B673" s="9" t="s">
        <v>2617</v>
      </c>
      <c r="C673" s="8" t="s">
        <v>17</v>
      </c>
      <c r="D673" s="8"/>
      <c r="E673" s="8" t="s">
        <v>1668</v>
      </c>
      <c r="F673" s="8" t="s">
        <v>19</v>
      </c>
      <c r="G673" s="8" t="s">
        <v>17</v>
      </c>
      <c r="H673" s="8" t="s">
        <v>17</v>
      </c>
      <c r="I673" s="8" t="s">
        <v>17</v>
      </c>
      <c r="J673" s="8" t="s">
        <v>1669</v>
      </c>
    </row>
    <row r="674" spans="1:10" x14ac:dyDescent="0.25" outlineLevel="3" collapsed="1">
      <c r="A674" s="7" t="s">
        <v>15</v>
      </c>
      <c r="B674" s="7" t="s">
        <v>16</v>
      </c>
      <c r="C674" s="7" t="s">
        <v>17</v>
      </c>
      <c r="D674" s="7"/>
      <c r="E674" s="7" t="s">
        <v>1670</v>
      </c>
      <c r="F674" s="7" t="s">
        <v>19</v>
      </c>
      <c r="G674" s="7" t="s">
        <v>31</v>
      </c>
      <c r="H674" s="7" t="s">
        <v>17</v>
      </c>
      <c r="I674" s="7" t="s">
        <v>17</v>
      </c>
      <c r="J674" s="7" t="s">
        <v>637</v>
      </c>
    </row>
    <row r="675" spans="1:10" x14ac:dyDescent="0.25" outlineLevel="3" collapsed="1">
      <c r="A675" s="7" t="s">
        <v>15</v>
      </c>
      <c r="B675" s="7" t="s">
        <v>16</v>
      </c>
      <c r="C675" s="7" t="s">
        <v>17</v>
      </c>
      <c r="D675" s="7"/>
      <c r="E675" s="7" t="s">
        <v>638</v>
      </c>
      <c r="F675" s="7" t="s">
        <v>19</v>
      </c>
      <c r="G675" s="7" t="s">
        <v>31</v>
      </c>
      <c r="H675" s="7" t="s">
        <v>17</v>
      </c>
      <c r="I675" s="7" t="s">
        <v>17</v>
      </c>
      <c r="J675" s="7" t="s">
        <v>640</v>
      </c>
    </row>
    <row r="676" spans="1:10" x14ac:dyDescent="0.25" outlineLevel="3" collapsed="1">
      <c r="A676" s="7" t="s">
        <v>15</v>
      </c>
      <c r="B676" s="7" t="s">
        <v>16</v>
      </c>
      <c r="C676" s="7" t="s">
        <v>17</v>
      </c>
      <c r="D676" s="7"/>
      <c r="E676" s="7" t="s">
        <v>9</v>
      </c>
      <c r="F676" s="7" t="s">
        <v>19</v>
      </c>
      <c r="G676" s="7" t="s">
        <v>31</v>
      </c>
      <c r="H676" s="7" t="s">
        <v>17</v>
      </c>
      <c r="I676" s="7" t="s">
        <v>17</v>
      </c>
      <c r="J676" s="7" t="s">
        <v>843</v>
      </c>
    </row>
    <row r="677" spans="1:10" x14ac:dyDescent="0.25" outlineLevel="3" collapsed="1">
      <c r="A677" s="7" t="s">
        <v>19</v>
      </c>
      <c r="B677" s="7" t="s">
        <v>16</v>
      </c>
      <c r="C677" s="7" t="s">
        <v>17</v>
      </c>
      <c r="D677" s="7"/>
      <c r="E677" s="7" t="s">
        <v>1600</v>
      </c>
      <c r="F677" s="7" t="s">
        <v>19</v>
      </c>
      <c r="G677" s="7" t="s">
        <v>31</v>
      </c>
      <c r="H677" s="7" t="s">
        <v>17</v>
      </c>
      <c r="I677" s="7" t="s">
        <v>17</v>
      </c>
      <c r="J677" s="7" t="s">
        <v>1424</v>
      </c>
    </row>
    <row r="678" spans="1:10" x14ac:dyDescent="0.25" outlineLevel="3" collapsed="1">
      <c r="A678" s="7" t="s">
        <v>15</v>
      </c>
      <c r="B678" s="7" t="s">
        <v>16</v>
      </c>
      <c r="C678" s="7" t="s">
        <v>17</v>
      </c>
      <c r="D678" s="7"/>
      <c r="E678" s="7" t="s">
        <v>1601</v>
      </c>
      <c r="F678" s="7" t="s">
        <v>19</v>
      </c>
      <c r="G678" s="7" t="s">
        <v>31</v>
      </c>
      <c r="H678" s="7" t="s">
        <v>17</v>
      </c>
      <c r="I678" s="7" t="s">
        <v>17</v>
      </c>
      <c r="J678" s="7" t="s">
        <v>1602</v>
      </c>
    </row>
    <row r="679" spans="1:10" x14ac:dyDescent="0.25" outlineLevel="3" collapsed="1">
      <c r="A679" s="7" t="s">
        <v>15</v>
      </c>
      <c r="B679" s="7" t="s">
        <v>16</v>
      </c>
      <c r="C679" s="7" t="s">
        <v>17</v>
      </c>
      <c r="D679" s="7"/>
      <c r="E679" s="7" t="s">
        <v>1671</v>
      </c>
      <c r="F679" s="7" t="s">
        <v>19</v>
      </c>
      <c r="G679" s="7" t="s">
        <v>31</v>
      </c>
      <c r="H679" s="7" t="s">
        <v>17</v>
      </c>
      <c r="I679" s="7" t="s">
        <v>17</v>
      </c>
      <c r="J679" s="7" t="s">
        <v>1672</v>
      </c>
    </row>
    <row r="680" spans="1:10" x14ac:dyDescent="0.25" outlineLevel="3" collapsed="1">
      <c r="A680" s="7" t="s">
        <v>15</v>
      </c>
      <c r="B680" s="7" t="s">
        <v>16</v>
      </c>
      <c r="C680" s="7" t="s">
        <v>17</v>
      </c>
      <c r="D680" s="7"/>
      <c r="E680" s="7" t="s">
        <v>1673</v>
      </c>
      <c r="F680" s="7" t="s">
        <v>19</v>
      </c>
      <c r="G680" s="7" t="s">
        <v>31</v>
      </c>
      <c r="H680" s="7" t="s">
        <v>17</v>
      </c>
      <c r="I680" s="7" t="s">
        <v>17</v>
      </c>
      <c r="J680" s="7" t="s">
        <v>1674</v>
      </c>
    </row>
    <row r="681" spans="1:10" x14ac:dyDescent="0.25" outlineLevel="3" collapsed="1">
      <c r="A681" s="7" t="s">
        <v>15</v>
      </c>
      <c r="B681" s="7" t="s">
        <v>16</v>
      </c>
      <c r="C681" s="7" t="s">
        <v>17</v>
      </c>
      <c r="D681" s="7"/>
      <c r="E681" s="7" t="s">
        <v>2618</v>
      </c>
      <c r="F681" s="7" t="s">
        <v>19</v>
      </c>
      <c r="G681" s="7" t="s">
        <v>31</v>
      </c>
      <c r="H681" s="7" t="s">
        <v>17</v>
      </c>
      <c r="I681" s="7" t="s">
        <v>17</v>
      </c>
      <c r="J681" s="7" t="s">
        <v>1422</v>
      </c>
    </row>
    <row r="682" spans="1:10" x14ac:dyDescent="0.25" outlineLevel="3" collapsed="1">
      <c r="A682" s="7" t="s">
        <v>15</v>
      </c>
      <c r="B682" s="7" t="s">
        <v>284</v>
      </c>
      <c r="C682" s="11" t="s">
        <v>2619</v>
      </c>
      <c r="D682" s="7"/>
      <c r="E682" s="7" t="s">
        <v>1605</v>
      </c>
      <c r="F682" s="7" t="s">
        <v>19</v>
      </c>
      <c r="G682" s="7" t="s">
        <v>1606</v>
      </c>
      <c r="H682" s="7" t="s">
        <v>17</v>
      </c>
      <c r="I682" s="7" t="s">
        <v>17</v>
      </c>
      <c r="J682" s="7" t="s">
        <v>1607</v>
      </c>
    </row>
    <row r="683" spans="1:10" x14ac:dyDescent="0.25" outlineLevel="3" collapsed="1">
      <c r="A683" s="7" t="s">
        <v>19</v>
      </c>
      <c r="B683" s="7" t="s">
        <v>63</v>
      </c>
      <c r="C683" s="7" t="s">
        <v>17</v>
      </c>
      <c r="D683" s="7">
        <f>EXACT(G682,"Single value")</f>
      </c>
      <c r="E683" s="7" t="s">
        <v>2620</v>
      </c>
      <c r="F683" s="7" t="s">
        <v>19</v>
      </c>
      <c r="G683" s="7">
        <v>1</v>
      </c>
      <c r="H683" s="7" t="s">
        <v>17</v>
      </c>
      <c r="I683" s="7" t="s">
        <v>17</v>
      </c>
      <c r="J683" s="7" t="s">
        <v>1609</v>
      </c>
    </row>
    <row r="684" spans="1:10" x14ac:dyDescent="0.25" outlineLevel="3" collapsed="1">
      <c r="A684" s="7" t="s">
        <v>19</v>
      </c>
      <c r="B684" s="7" t="s">
        <v>16</v>
      </c>
      <c r="C684" s="7" t="s">
        <v>17</v>
      </c>
      <c r="D684" s="7"/>
      <c r="E684" s="7" t="s">
        <v>1677</v>
      </c>
      <c r="F684" s="7" t="s">
        <v>19</v>
      </c>
      <c r="G684" s="7" t="s">
        <v>31</v>
      </c>
      <c r="H684" s="7" t="s">
        <v>17</v>
      </c>
      <c r="I684" s="7" t="s">
        <v>17</v>
      </c>
      <c r="J684" s="7" t="s">
        <v>1678</v>
      </c>
    </row>
    <row r="685" spans="1:10" x14ac:dyDescent="0.25" outlineLevel="3" collapsed="1">
      <c r="A685" s="7" t="s">
        <v>15</v>
      </c>
      <c r="B685" s="7" t="s">
        <v>16</v>
      </c>
      <c r="C685" s="7" t="s">
        <v>17</v>
      </c>
      <c r="D685" s="7"/>
      <c r="E685" s="7" t="s">
        <v>1679</v>
      </c>
      <c r="F685" s="7" t="s">
        <v>19</v>
      </c>
      <c r="G685" s="7" t="s">
        <v>31</v>
      </c>
      <c r="H685" s="7" t="s">
        <v>17</v>
      </c>
      <c r="I685" s="7" t="s">
        <v>17</v>
      </c>
      <c r="J685" s="7" t="s">
        <v>1680</v>
      </c>
    </row>
    <row r="686" spans="1:10" x14ac:dyDescent="0.25" outlineLevel="3" collapsed="1">
      <c r="A686" s="7" t="s">
        <v>15</v>
      </c>
      <c r="B686" s="7" t="s">
        <v>284</v>
      </c>
      <c r="C686" s="11" t="s">
        <v>2621</v>
      </c>
      <c r="D686" s="7"/>
      <c r="E686" s="7" t="s">
        <v>1612</v>
      </c>
      <c r="F686" s="7" t="s">
        <v>19</v>
      </c>
      <c r="G686" s="7" t="s">
        <v>1613</v>
      </c>
      <c r="H686" s="7" t="s">
        <v>17</v>
      </c>
      <c r="I686" s="7" t="s">
        <v>17</v>
      </c>
      <c r="J686" s="7" t="s">
        <v>1614</v>
      </c>
    </row>
    <row r="687" spans="1:10" x14ac:dyDescent="0.25" outlineLevel="3" collapsed="1">
      <c r="A687" s="7" t="s">
        <v>19</v>
      </c>
      <c r="B687" s="7" t="s">
        <v>16</v>
      </c>
      <c r="C687" s="7" t="s">
        <v>17</v>
      </c>
      <c r="D687" s="7"/>
      <c r="E687" s="7" t="s">
        <v>1681</v>
      </c>
      <c r="F687" s="7" t="s">
        <v>19</v>
      </c>
      <c r="G687" s="7" t="s">
        <v>31</v>
      </c>
      <c r="H687" s="7" t="s">
        <v>17</v>
      </c>
      <c r="I687" s="7" t="s">
        <v>17</v>
      </c>
      <c r="J687" s="7" t="s">
        <v>1682</v>
      </c>
    </row>
    <row r="688" spans="1:10" x14ac:dyDescent="0.25" outlineLevel="3" collapsed="1">
      <c r="A688" s="7" t="s">
        <v>19</v>
      </c>
      <c r="B688" s="7" t="s">
        <v>16</v>
      </c>
      <c r="C688" s="7" t="s">
        <v>17</v>
      </c>
      <c r="D688" s="7"/>
      <c r="E688" s="7" t="s">
        <v>1615</v>
      </c>
      <c r="F688" s="7" t="s">
        <v>19</v>
      </c>
      <c r="G688" s="7" t="s">
        <v>31</v>
      </c>
      <c r="H688" s="7" t="s">
        <v>17</v>
      </c>
      <c r="I688" s="7" t="s">
        <v>17</v>
      </c>
      <c r="J688" s="7" t="s">
        <v>1616</v>
      </c>
    </row>
    <row r="689" spans="1:10" x14ac:dyDescent="0.25" outlineLevel="2" collapsed="1">
      <c r="A689" s="8" t="s">
        <v>15</v>
      </c>
      <c r="B689" s="9" t="s">
        <v>2617</v>
      </c>
      <c r="C689" s="8" t="s">
        <v>17</v>
      </c>
      <c r="D689" s="8"/>
      <c r="E689" s="8" t="s">
        <v>1683</v>
      </c>
      <c r="F689" s="8" t="s">
        <v>19</v>
      </c>
      <c r="G689" s="8" t="s">
        <v>17</v>
      </c>
      <c r="H689" s="8" t="s">
        <v>17</v>
      </c>
      <c r="I689" s="8" t="s">
        <v>17</v>
      </c>
      <c r="J689" s="8" t="s">
        <v>1684</v>
      </c>
    </row>
    <row r="690" spans="1:10" x14ac:dyDescent="0.25" outlineLevel="3" collapsed="1">
      <c r="A690" s="7" t="s">
        <v>15</v>
      </c>
      <c r="B690" s="7" t="s">
        <v>16</v>
      </c>
      <c r="C690" s="7" t="s">
        <v>17</v>
      </c>
      <c r="D690" s="7"/>
      <c r="E690" s="7" t="s">
        <v>1670</v>
      </c>
      <c r="F690" s="7" t="s">
        <v>19</v>
      </c>
      <c r="G690" s="7" t="s">
        <v>31</v>
      </c>
      <c r="H690" s="7" t="s">
        <v>17</v>
      </c>
      <c r="I690" s="7" t="s">
        <v>17</v>
      </c>
      <c r="J690" s="7" t="s">
        <v>637</v>
      </c>
    </row>
    <row r="691" spans="1:10" x14ac:dyDescent="0.25" outlineLevel="3" collapsed="1">
      <c r="A691" s="7" t="s">
        <v>15</v>
      </c>
      <c r="B691" s="7" t="s">
        <v>16</v>
      </c>
      <c r="C691" s="7" t="s">
        <v>17</v>
      </c>
      <c r="D691" s="7"/>
      <c r="E691" s="7" t="s">
        <v>638</v>
      </c>
      <c r="F691" s="7" t="s">
        <v>19</v>
      </c>
      <c r="G691" s="7" t="s">
        <v>31</v>
      </c>
      <c r="H691" s="7" t="s">
        <v>17</v>
      </c>
      <c r="I691" s="7" t="s">
        <v>17</v>
      </c>
      <c r="J691" s="7" t="s">
        <v>640</v>
      </c>
    </row>
    <row r="692" spans="1:10" x14ac:dyDescent="0.25" outlineLevel="3" collapsed="1">
      <c r="A692" s="7" t="s">
        <v>15</v>
      </c>
      <c r="B692" s="7" t="s">
        <v>16</v>
      </c>
      <c r="C692" s="7" t="s">
        <v>17</v>
      </c>
      <c r="D692" s="7"/>
      <c r="E692" s="7" t="s">
        <v>9</v>
      </c>
      <c r="F692" s="7" t="s">
        <v>19</v>
      </c>
      <c r="G692" s="7" t="s">
        <v>31</v>
      </c>
      <c r="H692" s="7" t="s">
        <v>17</v>
      </c>
      <c r="I692" s="7" t="s">
        <v>17</v>
      </c>
      <c r="J692" s="7" t="s">
        <v>843</v>
      </c>
    </row>
    <row r="693" spans="1:10" x14ac:dyDescent="0.25" outlineLevel="3" collapsed="1">
      <c r="A693" s="7" t="s">
        <v>19</v>
      </c>
      <c r="B693" s="7" t="s">
        <v>16</v>
      </c>
      <c r="C693" s="7" t="s">
        <v>17</v>
      </c>
      <c r="D693" s="7"/>
      <c r="E693" s="7" t="s">
        <v>1600</v>
      </c>
      <c r="F693" s="7" t="s">
        <v>19</v>
      </c>
      <c r="G693" s="7" t="s">
        <v>31</v>
      </c>
      <c r="H693" s="7" t="s">
        <v>17</v>
      </c>
      <c r="I693" s="7" t="s">
        <v>17</v>
      </c>
      <c r="J693" s="7" t="s">
        <v>1424</v>
      </c>
    </row>
    <row r="694" spans="1:10" x14ac:dyDescent="0.25" outlineLevel="3" collapsed="1">
      <c r="A694" s="7" t="s">
        <v>15</v>
      </c>
      <c r="B694" s="7" t="s">
        <v>16</v>
      </c>
      <c r="C694" s="7" t="s">
        <v>17</v>
      </c>
      <c r="D694" s="7"/>
      <c r="E694" s="7" t="s">
        <v>1601</v>
      </c>
      <c r="F694" s="7" t="s">
        <v>19</v>
      </c>
      <c r="G694" s="7" t="s">
        <v>31</v>
      </c>
      <c r="H694" s="7" t="s">
        <v>17</v>
      </c>
      <c r="I694" s="7" t="s">
        <v>17</v>
      </c>
      <c r="J694" s="7" t="s">
        <v>1602</v>
      </c>
    </row>
    <row r="695" spans="1:10" x14ac:dyDescent="0.25" outlineLevel="3" collapsed="1">
      <c r="A695" s="7" t="s">
        <v>15</v>
      </c>
      <c r="B695" s="7" t="s">
        <v>16</v>
      </c>
      <c r="C695" s="7" t="s">
        <v>17</v>
      </c>
      <c r="D695" s="7"/>
      <c r="E695" s="7" t="s">
        <v>1671</v>
      </c>
      <c r="F695" s="7" t="s">
        <v>19</v>
      </c>
      <c r="G695" s="7" t="s">
        <v>31</v>
      </c>
      <c r="H695" s="7" t="s">
        <v>17</v>
      </c>
      <c r="I695" s="7" t="s">
        <v>17</v>
      </c>
      <c r="J695" s="7" t="s">
        <v>1672</v>
      </c>
    </row>
    <row r="696" spans="1:10" x14ac:dyDescent="0.25" outlineLevel="3" collapsed="1">
      <c r="A696" s="7" t="s">
        <v>15</v>
      </c>
      <c r="B696" s="7" t="s">
        <v>16</v>
      </c>
      <c r="C696" s="7" t="s">
        <v>17</v>
      </c>
      <c r="D696" s="7"/>
      <c r="E696" s="7" t="s">
        <v>1673</v>
      </c>
      <c r="F696" s="7" t="s">
        <v>19</v>
      </c>
      <c r="G696" s="7" t="s">
        <v>31</v>
      </c>
      <c r="H696" s="7" t="s">
        <v>17</v>
      </c>
      <c r="I696" s="7" t="s">
        <v>17</v>
      </c>
      <c r="J696" s="7" t="s">
        <v>1674</v>
      </c>
    </row>
    <row r="697" spans="1:10" x14ac:dyDescent="0.25" outlineLevel="3" collapsed="1">
      <c r="A697" s="7" t="s">
        <v>15</v>
      </c>
      <c r="B697" s="7" t="s">
        <v>16</v>
      </c>
      <c r="C697" s="7" t="s">
        <v>17</v>
      </c>
      <c r="D697" s="7"/>
      <c r="E697" s="7" t="s">
        <v>2618</v>
      </c>
      <c r="F697" s="7" t="s">
        <v>19</v>
      </c>
      <c r="G697" s="7" t="s">
        <v>31</v>
      </c>
      <c r="H697" s="7" t="s">
        <v>17</v>
      </c>
      <c r="I697" s="7" t="s">
        <v>17</v>
      </c>
      <c r="J697" s="7" t="s">
        <v>1422</v>
      </c>
    </row>
    <row r="698" spans="1:10" x14ac:dyDescent="0.25" outlineLevel="3" collapsed="1">
      <c r="A698" s="7" t="s">
        <v>15</v>
      </c>
      <c r="B698" s="7" t="s">
        <v>284</v>
      </c>
      <c r="C698" s="11" t="s">
        <v>2619</v>
      </c>
      <c r="D698" s="7"/>
      <c r="E698" s="7" t="s">
        <v>1605</v>
      </c>
      <c r="F698" s="7" t="s">
        <v>19</v>
      </c>
      <c r="G698" s="7" t="s">
        <v>1606</v>
      </c>
      <c r="H698" s="7" t="s">
        <v>17</v>
      </c>
      <c r="I698" s="7" t="s">
        <v>17</v>
      </c>
      <c r="J698" s="7" t="s">
        <v>1607</v>
      </c>
    </row>
    <row r="699" spans="1:10" x14ac:dyDescent="0.25" outlineLevel="3" collapsed="1">
      <c r="A699" s="7" t="s">
        <v>19</v>
      </c>
      <c r="B699" s="7" t="s">
        <v>63</v>
      </c>
      <c r="C699" s="7" t="s">
        <v>17</v>
      </c>
      <c r="D699" s="7">
        <f>EXACT(G698,"Single value")</f>
      </c>
      <c r="E699" s="7" t="s">
        <v>2620</v>
      </c>
      <c r="F699" s="7" t="s">
        <v>19</v>
      </c>
      <c r="G699" s="7">
        <v>1</v>
      </c>
      <c r="H699" s="7" t="s">
        <v>17</v>
      </c>
      <c r="I699" s="7" t="s">
        <v>17</v>
      </c>
      <c r="J699" s="7" t="s">
        <v>1609</v>
      </c>
    </row>
    <row r="700" spans="1:10" x14ac:dyDescent="0.25" outlineLevel="3" collapsed="1">
      <c r="A700" s="7" t="s">
        <v>19</v>
      </c>
      <c r="B700" s="7" t="s">
        <v>16</v>
      </c>
      <c r="C700" s="7" t="s">
        <v>17</v>
      </c>
      <c r="D700" s="7"/>
      <c r="E700" s="7" t="s">
        <v>1677</v>
      </c>
      <c r="F700" s="7" t="s">
        <v>19</v>
      </c>
      <c r="G700" s="7" t="s">
        <v>31</v>
      </c>
      <c r="H700" s="7" t="s">
        <v>17</v>
      </c>
      <c r="I700" s="7" t="s">
        <v>17</v>
      </c>
      <c r="J700" s="7" t="s">
        <v>1678</v>
      </c>
    </row>
    <row r="701" spans="1:10" x14ac:dyDescent="0.25" outlineLevel="3" collapsed="1">
      <c r="A701" s="7" t="s">
        <v>15</v>
      </c>
      <c r="B701" s="7" t="s">
        <v>16</v>
      </c>
      <c r="C701" s="7" t="s">
        <v>17</v>
      </c>
      <c r="D701" s="7"/>
      <c r="E701" s="7" t="s">
        <v>1679</v>
      </c>
      <c r="F701" s="7" t="s">
        <v>19</v>
      </c>
      <c r="G701" s="7" t="s">
        <v>31</v>
      </c>
      <c r="H701" s="7" t="s">
        <v>17</v>
      </c>
      <c r="I701" s="7" t="s">
        <v>17</v>
      </c>
      <c r="J701" s="7" t="s">
        <v>1680</v>
      </c>
    </row>
    <row r="702" spans="1:10" x14ac:dyDescent="0.25" outlineLevel="3" collapsed="1">
      <c r="A702" s="7" t="s">
        <v>15</v>
      </c>
      <c r="B702" s="7" t="s">
        <v>284</v>
      </c>
      <c r="C702" s="11" t="s">
        <v>2621</v>
      </c>
      <c r="D702" s="7"/>
      <c r="E702" s="7" t="s">
        <v>1612</v>
      </c>
      <c r="F702" s="7" t="s">
        <v>19</v>
      </c>
      <c r="G702" s="7" t="s">
        <v>1613</v>
      </c>
      <c r="H702" s="7" t="s">
        <v>17</v>
      </c>
      <c r="I702" s="7" t="s">
        <v>17</v>
      </c>
      <c r="J702" s="7" t="s">
        <v>1614</v>
      </c>
    </row>
    <row r="703" spans="1:10" x14ac:dyDescent="0.25" outlineLevel="3" collapsed="1">
      <c r="A703" s="7" t="s">
        <v>19</v>
      </c>
      <c r="B703" s="7" t="s">
        <v>16</v>
      </c>
      <c r="C703" s="7" t="s">
        <v>17</v>
      </c>
      <c r="D703" s="7"/>
      <c r="E703" s="7" t="s">
        <v>1681</v>
      </c>
      <c r="F703" s="7" t="s">
        <v>19</v>
      </c>
      <c r="G703" s="7" t="s">
        <v>31</v>
      </c>
      <c r="H703" s="7" t="s">
        <v>17</v>
      </c>
      <c r="I703" s="7" t="s">
        <v>17</v>
      </c>
      <c r="J703" s="7" t="s">
        <v>1682</v>
      </c>
    </row>
    <row r="704" spans="1:10" x14ac:dyDescent="0.25" outlineLevel="3" collapsed="1">
      <c r="A704" s="7" t="s">
        <v>19</v>
      </c>
      <c r="B704" s="7" t="s">
        <v>16</v>
      </c>
      <c r="C704" s="7" t="s">
        <v>17</v>
      </c>
      <c r="D704" s="7"/>
      <c r="E704" s="7" t="s">
        <v>1615</v>
      </c>
      <c r="F704" s="7" t="s">
        <v>19</v>
      </c>
      <c r="G704" s="7" t="s">
        <v>31</v>
      </c>
      <c r="H704" s="7" t="s">
        <v>17</v>
      </c>
      <c r="I704" s="7" t="s">
        <v>17</v>
      </c>
      <c r="J704" s="7" t="s">
        <v>1616</v>
      </c>
    </row>
    <row r="705" spans="1:10" x14ac:dyDescent="0.25" outlineLevel="2" collapsed="1">
      <c r="A705" s="8" t="s">
        <v>15</v>
      </c>
      <c r="B705" s="9" t="s">
        <v>2617</v>
      </c>
      <c r="C705" s="8" t="s">
        <v>17</v>
      </c>
      <c r="D705" s="8"/>
      <c r="E705" s="8" t="s">
        <v>1685</v>
      </c>
      <c r="F705" s="8" t="s">
        <v>19</v>
      </c>
      <c r="G705" s="8" t="s">
        <v>17</v>
      </c>
      <c r="H705" s="8" t="s">
        <v>17</v>
      </c>
      <c r="I705" s="8" t="s">
        <v>17</v>
      </c>
      <c r="J705" s="8" t="s">
        <v>636</v>
      </c>
    </row>
    <row r="706" spans="1:10" x14ac:dyDescent="0.25" outlineLevel="3" collapsed="1">
      <c r="A706" s="7" t="s">
        <v>15</v>
      </c>
      <c r="B706" s="7" t="s">
        <v>16</v>
      </c>
      <c r="C706" s="7" t="s">
        <v>17</v>
      </c>
      <c r="D706" s="7"/>
      <c r="E706" s="7" t="s">
        <v>1670</v>
      </c>
      <c r="F706" s="7" t="s">
        <v>19</v>
      </c>
      <c r="G706" s="7" t="s">
        <v>31</v>
      </c>
      <c r="H706" s="7" t="s">
        <v>17</v>
      </c>
      <c r="I706" s="7" t="s">
        <v>17</v>
      </c>
      <c r="J706" s="7" t="s">
        <v>637</v>
      </c>
    </row>
    <row r="707" spans="1:10" x14ac:dyDescent="0.25" outlineLevel="3" collapsed="1">
      <c r="A707" s="7" t="s">
        <v>15</v>
      </c>
      <c r="B707" s="7" t="s">
        <v>16</v>
      </c>
      <c r="C707" s="7" t="s">
        <v>17</v>
      </c>
      <c r="D707" s="7"/>
      <c r="E707" s="7" t="s">
        <v>638</v>
      </c>
      <c r="F707" s="7" t="s">
        <v>19</v>
      </c>
      <c r="G707" s="7" t="s">
        <v>31</v>
      </c>
      <c r="H707" s="7" t="s">
        <v>17</v>
      </c>
      <c r="I707" s="7" t="s">
        <v>17</v>
      </c>
      <c r="J707" s="7" t="s">
        <v>640</v>
      </c>
    </row>
    <row r="708" spans="1:10" x14ac:dyDescent="0.25" outlineLevel="3" collapsed="1">
      <c r="A708" s="7" t="s">
        <v>15</v>
      </c>
      <c r="B708" s="7" t="s">
        <v>16</v>
      </c>
      <c r="C708" s="7" t="s">
        <v>17</v>
      </c>
      <c r="D708" s="7"/>
      <c r="E708" s="7" t="s">
        <v>9</v>
      </c>
      <c r="F708" s="7" t="s">
        <v>19</v>
      </c>
      <c r="G708" s="7" t="s">
        <v>31</v>
      </c>
      <c r="H708" s="7" t="s">
        <v>17</v>
      </c>
      <c r="I708" s="7" t="s">
        <v>17</v>
      </c>
      <c r="J708" s="7" t="s">
        <v>843</v>
      </c>
    </row>
    <row r="709" spans="1:10" x14ac:dyDescent="0.25" outlineLevel="3" collapsed="1">
      <c r="A709" s="7" t="s">
        <v>19</v>
      </c>
      <c r="B709" s="7" t="s">
        <v>16</v>
      </c>
      <c r="C709" s="7" t="s">
        <v>17</v>
      </c>
      <c r="D709" s="7"/>
      <c r="E709" s="7" t="s">
        <v>1600</v>
      </c>
      <c r="F709" s="7" t="s">
        <v>19</v>
      </c>
      <c r="G709" s="7" t="s">
        <v>31</v>
      </c>
      <c r="H709" s="7" t="s">
        <v>17</v>
      </c>
      <c r="I709" s="7" t="s">
        <v>17</v>
      </c>
      <c r="J709" s="7" t="s">
        <v>1424</v>
      </c>
    </row>
    <row r="710" spans="1:10" x14ac:dyDescent="0.25" outlineLevel="3" collapsed="1">
      <c r="A710" s="7" t="s">
        <v>15</v>
      </c>
      <c r="B710" s="7" t="s">
        <v>16</v>
      </c>
      <c r="C710" s="7" t="s">
        <v>17</v>
      </c>
      <c r="D710" s="7"/>
      <c r="E710" s="7" t="s">
        <v>1601</v>
      </c>
      <c r="F710" s="7" t="s">
        <v>19</v>
      </c>
      <c r="G710" s="7" t="s">
        <v>31</v>
      </c>
      <c r="H710" s="7" t="s">
        <v>17</v>
      </c>
      <c r="I710" s="7" t="s">
        <v>17</v>
      </c>
      <c r="J710" s="7" t="s">
        <v>1602</v>
      </c>
    </row>
    <row r="711" spans="1:10" x14ac:dyDescent="0.25" outlineLevel="3" collapsed="1">
      <c r="A711" s="7" t="s">
        <v>15</v>
      </c>
      <c r="B711" s="7" t="s">
        <v>16</v>
      </c>
      <c r="C711" s="7" t="s">
        <v>17</v>
      </c>
      <c r="D711" s="7"/>
      <c r="E711" s="7" t="s">
        <v>1671</v>
      </c>
      <c r="F711" s="7" t="s">
        <v>19</v>
      </c>
      <c r="G711" s="7" t="s">
        <v>31</v>
      </c>
      <c r="H711" s="7" t="s">
        <v>17</v>
      </c>
      <c r="I711" s="7" t="s">
        <v>17</v>
      </c>
      <c r="J711" s="7" t="s">
        <v>1672</v>
      </c>
    </row>
    <row r="712" spans="1:10" x14ac:dyDescent="0.25" outlineLevel="3" collapsed="1">
      <c r="A712" s="7" t="s">
        <v>15</v>
      </c>
      <c r="B712" s="7" t="s">
        <v>16</v>
      </c>
      <c r="C712" s="7" t="s">
        <v>17</v>
      </c>
      <c r="D712" s="7"/>
      <c r="E712" s="7" t="s">
        <v>1673</v>
      </c>
      <c r="F712" s="7" t="s">
        <v>19</v>
      </c>
      <c r="G712" s="7" t="s">
        <v>31</v>
      </c>
      <c r="H712" s="7" t="s">
        <v>17</v>
      </c>
      <c r="I712" s="7" t="s">
        <v>17</v>
      </c>
      <c r="J712" s="7" t="s">
        <v>1674</v>
      </c>
    </row>
    <row r="713" spans="1:10" x14ac:dyDescent="0.25" outlineLevel="3" collapsed="1">
      <c r="A713" s="7" t="s">
        <v>15</v>
      </c>
      <c r="B713" s="7" t="s">
        <v>16</v>
      </c>
      <c r="C713" s="7" t="s">
        <v>17</v>
      </c>
      <c r="D713" s="7"/>
      <c r="E713" s="7" t="s">
        <v>2618</v>
      </c>
      <c r="F713" s="7" t="s">
        <v>19</v>
      </c>
      <c r="G713" s="7" t="s">
        <v>31</v>
      </c>
      <c r="H713" s="7" t="s">
        <v>17</v>
      </c>
      <c r="I713" s="7" t="s">
        <v>17</v>
      </c>
      <c r="J713" s="7" t="s">
        <v>1422</v>
      </c>
    </row>
    <row r="714" spans="1:10" x14ac:dyDescent="0.25" outlineLevel="3" collapsed="1">
      <c r="A714" s="7" t="s">
        <v>15</v>
      </c>
      <c r="B714" s="7" t="s">
        <v>284</v>
      </c>
      <c r="C714" s="11" t="s">
        <v>2619</v>
      </c>
      <c r="D714" s="7"/>
      <c r="E714" s="7" t="s">
        <v>1605</v>
      </c>
      <c r="F714" s="7" t="s">
        <v>19</v>
      </c>
      <c r="G714" s="7" t="s">
        <v>1606</v>
      </c>
      <c r="H714" s="7" t="s">
        <v>17</v>
      </c>
      <c r="I714" s="7" t="s">
        <v>17</v>
      </c>
      <c r="J714" s="7" t="s">
        <v>1607</v>
      </c>
    </row>
    <row r="715" spans="1:10" x14ac:dyDescent="0.25" outlineLevel="3" collapsed="1">
      <c r="A715" s="7" t="s">
        <v>19</v>
      </c>
      <c r="B715" s="7" t="s">
        <v>63</v>
      </c>
      <c r="C715" s="7" t="s">
        <v>17</v>
      </c>
      <c r="D715" s="7">
        <f>EXACT(G714,"Single value")</f>
      </c>
      <c r="E715" s="7" t="s">
        <v>2620</v>
      </c>
      <c r="F715" s="7" t="s">
        <v>19</v>
      </c>
      <c r="G715" s="7">
        <v>1</v>
      </c>
      <c r="H715" s="7" t="s">
        <v>17</v>
      </c>
      <c r="I715" s="7" t="s">
        <v>17</v>
      </c>
      <c r="J715" s="7" t="s">
        <v>1609</v>
      </c>
    </row>
    <row r="716" spans="1:10" x14ac:dyDescent="0.25" outlineLevel="3" collapsed="1">
      <c r="A716" s="7" t="s">
        <v>19</v>
      </c>
      <c r="B716" s="7" t="s">
        <v>16</v>
      </c>
      <c r="C716" s="7" t="s">
        <v>17</v>
      </c>
      <c r="D716" s="7"/>
      <c r="E716" s="7" t="s">
        <v>1677</v>
      </c>
      <c r="F716" s="7" t="s">
        <v>19</v>
      </c>
      <c r="G716" s="7" t="s">
        <v>31</v>
      </c>
      <c r="H716" s="7" t="s">
        <v>17</v>
      </c>
      <c r="I716" s="7" t="s">
        <v>17</v>
      </c>
      <c r="J716" s="7" t="s">
        <v>1678</v>
      </c>
    </row>
    <row r="717" spans="1:10" x14ac:dyDescent="0.25" outlineLevel="3" collapsed="1">
      <c r="A717" s="7" t="s">
        <v>15</v>
      </c>
      <c r="B717" s="7" t="s">
        <v>16</v>
      </c>
      <c r="C717" s="7" t="s">
        <v>17</v>
      </c>
      <c r="D717" s="7"/>
      <c r="E717" s="7" t="s">
        <v>1679</v>
      </c>
      <c r="F717" s="7" t="s">
        <v>19</v>
      </c>
      <c r="G717" s="7" t="s">
        <v>31</v>
      </c>
      <c r="H717" s="7" t="s">
        <v>17</v>
      </c>
      <c r="I717" s="7" t="s">
        <v>17</v>
      </c>
      <c r="J717" s="7" t="s">
        <v>1680</v>
      </c>
    </row>
    <row r="718" spans="1:10" x14ac:dyDescent="0.25" outlineLevel="3" collapsed="1">
      <c r="A718" s="7" t="s">
        <v>15</v>
      </c>
      <c r="B718" s="7" t="s">
        <v>284</v>
      </c>
      <c r="C718" s="11" t="s">
        <v>2621</v>
      </c>
      <c r="D718" s="7"/>
      <c r="E718" s="7" t="s">
        <v>1612</v>
      </c>
      <c r="F718" s="7" t="s">
        <v>19</v>
      </c>
      <c r="G718" s="7" t="s">
        <v>1613</v>
      </c>
      <c r="H718" s="7" t="s">
        <v>17</v>
      </c>
      <c r="I718" s="7" t="s">
        <v>17</v>
      </c>
      <c r="J718" s="7" t="s">
        <v>1614</v>
      </c>
    </row>
    <row r="719" spans="1:10" x14ac:dyDescent="0.25" outlineLevel="3" collapsed="1">
      <c r="A719" s="7" t="s">
        <v>19</v>
      </c>
      <c r="B719" s="7" t="s">
        <v>16</v>
      </c>
      <c r="C719" s="7" t="s">
        <v>17</v>
      </c>
      <c r="D719" s="7"/>
      <c r="E719" s="7" t="s">
        <v>1681</v>
      </c>
      <c r="F719" s="7" t="s">
        <v>19</v>
      </c>
      <c r="G719" s="7" t="s">
        <v>31</v>
      </c>
      <c r="H719" s="7" t="s">
        <v>17</v>
      </c>
      <c r="I719" s="7" t="s">
        <v>17</v>
      </c>
      <c r="J719" s="7" t="s">
        <v>1682</v>
      </c>
    </row>
    <row r="720" spans="1:10" x14ac:dyDescent="0.25" outlineLevel="3" collapsed="1">
      <c r="A720" s="7" t="s">
        <v>19</v>
      </c>
      <c r="B720" s="7" t="s">
        <v>16</v>
      </c>
      <c r="C720" s="7" t="s">
        <v>17</v>
      </c>
      <c r="D720" s="7"/>
      <c r="E720" s="7" t="s">
        <v>1615</v>
      </c>
      <c r="F720" s="7" t="s">
        <v>19</v>
      </c>
      <c r="G720" s="7" t="s">
        <v>31</v>
      </c>
      <c r="H720" s="7" t="s">
        <v>17</v>
      </c>
      <c r="I720" s="7" t="s">
        <v>17</v>
      </c>
      <c r="J720" s="7" t="s">
        <v>1616</v>
      </c>
    </row>
    <row r="721" spans="1:10" x14ac:dyDescent="0.25" outlineLevel="2" collapsed="1">
      <c r="A721" s="8" t="s">
        <v>15</v>
      </c>
      <c r="B721" s="9" t="s">
        <v>2617</v>
      </c>
      <c r="C721" s="8" t="s">
        <v>17</v>
      </c>
      <c r="D721" s="8"/>
      <c r="E721" s="8" t="s">
        <v>1686</v>
      </c>
      <c r="F721" s="8" t="s">
        <v>19</v>
      </c>
      <c r="G721" s="8" t="s">
        <v>17</v>
      </c>
      <c r="H721" s="8" t="s">
        <v>17</v>
      </c>
      <c r="I721" s="8" t="s">
        <v>17</v>
      </c>
      <c r="J721" s="8" t="s">
        <v>1687</v>
      </c>
    </row>
    <row r="722" spans="1:10" x14ac:dyDescent="0.25" outlineLevel="3" collapsed="1">
      <c r="A722" s="7" t="s">
        <v>15</v>
      </c>
      <c r="B722" s="7" t="s">
        <v>16</v>
      </c>
      <c r="C722" s="7" t="s">
        <v>17</v>
      </c>
      <c r="D722" s="7"/>
      <c r="E722" s="7" t="s">
        <v>1670</v>
      </c>
      <c r="F722" s="7" t="s">
        <v>19</v>
      </c>
      <c r="G722" s="7" t="s">
        <v>31</v>
      </c>
      <c r="H722" s="7" t="s">
        <v>17</v>
      </c>
      <c r="I722" s="7" t="s">
        <v>17</v>
      </c>
      <c r="J722" s="7" t="s">
        <v>637</v>
      </c>
    </row>
    <row r="723" spans="1:10" x14ac:dyDescent="0.25" outlineLevel="3" collapsed="1">
      <c r="A723" s="7" t="s">
        <v>15</v>
      </c>
      <c r="B723" s="7" t="s">
        <v>16</v>
      </c>
      <c r="C723" s="7" t="s">
        <v>17</v>
      </c>
      <c r="D723" s="7"/>
      <c r="E723" s="7" t="s">
        <v>638</v>
      </c>
      <c r="F723" s="7" t="s">
        <v>19</v>
      </c>
      <c r="G723" s="7" t="s">
        <v>31</v>
      </c>
      <c r="H723" s="7" t="s">
        <v>17</v>
      </c>
      <c r="I723" s="7" t="s">
        <v>17</v>
      </c>
      <c r="J723" s="7" t="s">
        <v>640</v>
      </c>
    </row>
    <row r="724" spans="1:10" x14ac:dyDescent="0.25" outlineLevel="3" collapsed="1">
      <c r="A724" s="7" t="s">
        <v>15</v>
      </c>
      <c r="B724" s="7" t="s">
        <v>16</v>
      </c>
      <c r="C724" s="7" t="s">
        <v>17</v>
      </c>
      <c r="D724" s="7"/>
      <c r="E724" s="7" t="s">
        <v>9</v>
      </c>
      <c r="F724" s="7" t="s">
        <v>19</v>
      </c>
      <c r="G724" s="7" t="s">
        <v>31</v>
      </c>
      <c r="H724" s="7" t="s">
        <v>17</v>
      </c>
      <c r="I724" s="7" t="s">
        <v>17</v>
      </c>
      <c r="J724" s="7" t="s">
        <v>843</v>
      </c>
    </row>
    <row r="725" spans="1:10" x14ac:dyDescent="0.25" outlineLevel="3" collapsed="1">
      <c r="A725" s="7" t="s">
        <v>19</v>
      </c>
      <c r="B725" s="7" t="s">
        <v>16</v>
      </c>
      <c r="C725" s="7" t="s">
        <v>17</v>
      </c>
      <c r="D725" s="7"/>
      <c r="E725" s="7" t="s">
        <v>1600</v>
      </c>
      <c r="F725" s="7" t="s">
        <v>19</v>
      </c>
      <c r="G725" s="7" t="s">
        <v>31</v>
      </c>
      <c r="H725" s="7" t="s">
        <v>17</v>
      </c>
      <c r="I725" s="7" t="s">
        <v>17</v>
      </c>
      <c r="J725" s="7" t="s">
        <v>1424</v>
      </c>
    </row>
    <row r="726" spans="1:10" x14ac:dyDescent="0.25" outlineLevel="3" collapsed="1">
      <c r="A726" s="7" t="s">
        <v>15</v>
      </c>
      <c r="B726" s="7" t="s">
        <v>16</v>
      </c>
      <c r="C726" s="7" t="s">
        <v>17</v>
      </c>
      <c r="D726" s="7"/>
      <c r="E726" s="7" t="s">
        <v>1601</v>
      </c>
      <c r="F726" s="7" t="s">
        <v>19</v>
      </c>
      <c r="G726" s="7" t="s">
        <v>31</v>
      </c>
      <c r="H726" s="7" t="s">
        <v>17</v>
      </c>
      <c r="I726" s="7" t="s">
        <v>17</v>
      </c>
      <c r="J726" s="7" t="s">
        <v>1602</v>
      </c>
    </row>
    <row r="727" spans="1:10" x14ac:dyDescent="0.25" outlineLevel="3" collapsed="1">
      <c r="A727" s="7" t="s">
        <v>15</v>
      </c>
      <c r="B727" s="7" t="s">
        <v>16</v>
      </c>
      <c r="C727" s="7" t="s">
        <v>17</v>
      </c>
      <c r="D727" s="7"/>
      <c r="E727" s="7" t="s">
        <v>1671</v>
      </c>
      <c r="F727" s="7" t="s">
        <v>19</v>
      </c>
      <c r="G727" s="7" t="s">
        <v>31</v>
      </c>
      <c r="H727" s="7" t="s">
        <v>17</v>
      </c>
      <c r="I727" s="7" t="s">
        <v>17</v>
      </c>
      <c r="J727" s="7" t="s">
        <v>1672</v>
      </c>
    </row>
    <row r="728" spans="1:10" x14ac:dyDescent="0.25" outlineLevel="3" collapsed="1">
      <c r="A728" s="7" t="s">
        <v>15</v>
      </c>
      <c r="B728" s="7" t="s">
        <v>16</v>
      </c>
      <c r="C728" s="7" t="s">
        <v>17</v>
      </c>
      <c r="D728" s="7"/>
      <c r="E728" s="7" t="s">
        <v>1673</v>
      </c>
      <c r="F728" s="7" t="s">
        <v>19</v>
      </c>
      <c r="G728" s="7" t="s">
        <v>31</v>
      </c>
      <c r="H728" s="7" t="s">
        <v>17</v>
      </c>
      <c r="I728" s="7" t="s">
        <v>17</v>
      </c>
      <c r="J728" s="7" t="s">
        <v>1674</v>
      </c>
    </row>
    <row r="729" spans="1:10" x14ac:dyDescent="0.25" outlineLevel="3" collapsed="1">
      <c r="A729" s="7" t="s">
        <v>15</v>
      </c>
      <c r="B729" s="7" t="s">
        <v>16</v>
      </c>
      <c r="C729" s="7" t="s">
        <v>17</v>
      </c>
      <c r="D729" s="7"/>
      <c r="E729" s="7" t="s">
        <v>2618</v>
      </c>
      <c r="F729" s="7" t="s">
        <v>19</v>
      </c>
      <c r="G729" s="7" t="s">
        <v>31</v>
      </c>
      <c r="H729" s="7" t="s">
        <v>17</v>
      </c>
      <c r="I729" s="7" t="s">
        <v>17</v>
      </c>
      <c r="J729" s="7" t="s">
        <v>1422</v>
      </c>
    </row>
    <row r="730" spans="1:10" x14ac:dyDescent="0.25" outlineLevel="3" collapsed="1">
      <c r="A730" s="7" t="s">
        <v>15</v>
      </c>
      <c r="B730" s="7" t="s">
        <v>284</v>
      </c>
      <c r="C730" s="11" t="s">
        <v>2619</v>
      </c>
      <c r="D730" s="7"/>
      <c r="E730" s="7" t="s">
        <v>1605</v>
      </c>
      <c r="F730" s="7" t="s">
        <v>19</v>
      </c>
      <c r="G730" s="7" t="s">
        <v>1606</v>
      </c>
      <c r="H730" s="7" t="s">
        <v>17</v>
      </c>
      <c r="I730" s="7" t="s">
        <v>17</v>
      </c>
      <c r="J730" s="7" t="s">
        <v>1607</v>
      </c>
    </row>
    <row r="731" spans="1:10" x14ac:dyDescent="0.25" outlineLevel="3" collapsed="1">
      <c r="A731" s="7" t="s">
        <v>19</v>
      </c>
      <c r="B731" s="7" t="s">
        <v>63</v>
      </c>
      <c r="C731" s="7" t="s">
        <v>17</v>
      </c>
      <c r="D731" s="7">
        <f>EXACT(G730,"Single value")</f>
      </c>
      <c r="E731" s="7" t="s">
        <v>2620</v>
      </c>
      <c r="F731" s="7" t="s">
        <v>19</v>
      </c>
      <c r="G731" s="7">
        <v>1</v>
      </c>
      <c r="H731" s="7" t="s">
        <v>17</v>
      </c>
      <c r="I731" s="7" t="s">
        <v>17</v>
      </c>
      <c r="J731" s="7" t="s">
        <v>1609</v>
      </c>
    </row>
    <row r="732" spans="1:10" x14ac:dyDescent="0.25" outlineLevel="3" collapsed="1">
      <c r="A732" s="7" t="s">
        <v>19</v>
      </c>
      <c r="B732" s="7" t="s">
        <v>16</v>
      </c>
      <c r="C732" s="7" t="s">
        <v>17</v>
      </c>
      <c r="D732" s="7"/>
      <c r="E732" s="7" t="s">
        <v>1677</v>
      </c>
      <c r="F732" s="7" t="s">
        <v>19</v>
      </c>
      <c r="G732" s="7" t="s">
        <v>31</v>
      </c>
      <c r="H732" s="7" t="s">
        <v>17</v>
      </c>
      <c r="I732" s="7" t="s">
        <v>17</v>
      </c>
      <c r="J732" s="7" t="s">
        <v>1678</v>
      </c>
    </row>
    <row r="733" spans="1:10" x14ac:dyDescent="0.25" outlineLevel="3" collapsed="1">
      <c r="A733" s="7" t="s">
        <v>15</v>
      </c>
      <c r="B733" s="7" t="s">
        <v>16</v>
      </c>
      <c r="C733" s="7" t="s">
        <v>17</v>
      </c>
      <c r="D733" s="7"/>
      <c r="E733" s="7" t="s">
        <v>1679</v>
      </c>
      <c r="F733" s="7" t="s">
        <v>19</v>
      </c>
      <c r="G733" s="7" t="s">
        <v>31</v>
      </c>
      <c r="H733" s="7" t="s">
        <v>17</v>
      </c>
      <c r="I733" s="7" t="s">
        <v>17</v>
      </c>
      <c r="J733" s="7" t="s">
        <v>1680</v>
      </c>
    </row>
    <row r="734" spans="1:10" x14ac:dyDescent="0.25" outlineLevel="3" collapsed="1">
      <c r="A734" s="7" t="s">
        <v>15</v>
      </c>
      <c r="B734" s="7" t="s">
        <v>284</v>
      </c>
      <c r="C734" s="11" t="s">
        <v>2621</v>
      </c>
      <c r="D734" s="7"/>
      <c r="E734" s="7" t="s">
        <v>1612</v>
      </c>
      <c r="F734" s="7" t="s">
        <v>19</v>
      </c>
      <c r="G734" s="7" t="s">
        <v>1613</v>
      </c>
      <c r="H734" s="7" t="s">
        <v>17</v>
      </c>
      <c r="I734" s="7" t="s">
        <v>17</v>
      </c>
      <c r="J734" s="7" t="s">
        <v>1614</v>
      </c>
    </row>
    <row r="735" spans="1:10" x14ac:dyDescent="0.25" outlineLevel="3" collapsed="1">
      <c r="A735" s="7" t="s">
        <v>19</v>
      </c>
      <c r="B735" s="7" t="s">
        <v>16</v>
      </c>
      <c r="C735" s="7" t="s">
        <v>17</v>
      </c>
      <c r="D735" s="7"/>
      <c r="E735" s="7" t="s">
        <v>1681</v>
      </c>
      <c r="F735" s="7" t="s">
        <v>19</v>
      </c>
      <c r="G735" s="7" t="s">
        <v>31</v>
      </c>
      <c r="H735" s="7" t="s">
        <v>17</v>
      </c>
      <c r="I735" s="7" t="s">
        <v>17</v>
      </c>
      <c r="J735" s="7" t="s">
        <v>1682</v>
      </c>
    </row>
    <row r="736" spans="1:10" x14ac:dyDescent="0.25" outlineLevel="3" collapsed="1">
      <c r="A736" s="7" t="s">
        <v>19</v>
      </c>
      <c r="B736" s="7" t="s">
        <v>16</v>
      </c>
      <c r="C736" s="7" t="s">
        <v>17</v>
      </c>
      <c r="D736" s="7"/>
      <c r="E736" s="7" t="s">
        <v>1615</v>
      </c>
      <c r="F736" s="7" t="s">
        <v>19</v>
      </c>
      <c r="G736" s="7" t="s">
        <v>31</v>
      </c>
      <c r="H736" s="7" t="s">
        <v>17</v>
      </c>
      <c r="I736" s="7" t="s">
        <v>17</v>
      </c>
      <c r="J736" s="7" t="s">
        <v>1616</v>
      </c>
    </row>
    <row r="737" spans="1:10" x14ac:dyDescent="0.25" outlineLevel="2" collapsed="1">
      <c r="A737" s="8" t="s">
        <v>15</v>
      </c>
      <c r="B737" s="9" t="s">
        <v>2617</v>
      </c>
      <c r="C737" s="8" t="s">
        <v>17</v>
      </c>
      <c r="D737" s="8"/>
      <c r="E737" s="8" t="s">
        <v>1688</v>
      </c>
      <c r="F737" s="8" t="s">
        <v>19</v>
      </c>
      <c r="G737" s="8" t="s">
        <v>17</v>
      </c>
      <c r="H737" s="8" t="s">
        <v>17</v>
      </c>
      <c r="I737" s="8" t="s">
        <v>17</v>
      </c>
      <c r="J737" s="8" t="s">
        <v>1689</v>
      </c>
    </row>
    <row r="738" spans="1:10" x14ac:dyDescent="0.25" outlineLevel="3" collapsed="1">
      <c r="A738" s="7" t="s">
        <v>15</v>
      </c>
      <c r="B738" s="7" t="s">
        <v>16</v>
      </c>
      <c r="C738" s="7" t="s">
        <v>17</v>
      </c>
      <c r="D738" s="7"/>
      <c r="E738" s="7" t="s">
        <v>1670</v>
      </c>
      <c r="F738" s="7" t="s">
        <v>19</v>
      </c>
      <c r="G738" s="7" t="s">
        <v>31</v>
      </c>
      <c r="H738" s="7" t="s">
        <v>17</v>
      </c>
      <c r="I738" s="7" t="s">
        <v>17</v>
      </c>
      <c r="J738" s="7" t="s">
        <v>637</v>
      </c>
    </row>
    <row r="739" spans="1:10" x14ac:dyDescent="0.25" outlineLevel="3" collapsed="1">
      <c r="A739" s="7" t="s">
        <v>15</v>
      </c>
      <c r="B739" s="7" t="s">
        <v>16</v>
      </c>
      <c r="C739" s="7" t="s">
        <v>17</v>
      </c>
      <c r="D739" s="7"/>
      <c r="E739" s="7" t="s">
        <v>638</v>
      </c>
      <c r="F739" s="7" t="s">
        <v>19</v>
      </c>
      <c r="G739" s="7" t="s">
        <v>31</v>
      </c>
      <c r="H739" s="7" t="s">
        <v>17</v>
      </c>
      <c r="I739" s="7" t="s">
        <v>17</v>
      </c>
      <c r="J739" s="7" t="s">
        <v>640</v>
      </c>
    </row>
    <row r="740" spans="1:10" x14ac:dyDescent="0.25" outlineLevel="3" collapsed="1">
      <c r="A740" s="7" t="s">
        <v>15</v>
      </c>
      <c r="B740" s="7" t="s">
        <v>16</v>
      </c>
      <c r="C740" s="7" t="s">
        <v>17</v>
      </c>
      <c r="D740" s="7"/>
      <c r="E740" s="7" t="s">
        <v>9</v>
      </c>
      <c r="F740" s="7" t="s">
        <v>19</v>
      </c>
      <c r="G740" s="7" t="s">
        <v>31</v>
      </c>
      <c r="H740" s="7" t="s">
        <v>17</v>
      </c>
      <c r="I740" s="7" t="s">
        <v>17</v>
      </c>
      <c r="J740" s="7" t="s">
        <v>843</v>
      </c>
    </row>
    <row r="741" spans="1:10" x14ac:dyDescent="0.25" outlineLevel="3" collapsed="1">
      <c r="A741" s="7" t="s">
        <v>19</v>
      </c>
      <c r="B741" s="7" t="s">
        <v>16</v>
      </c>
      <c r="C741" s="7" t="s">
        <v>17</v>
      </c>
      <c r="D741" s="7"/>
      <c r="E741" s="7" t="s">
        <v>1600</v>
      </c>
      <c r="F741" s="7" t="s">
        <v>19</v>
      </c>
      <c r="G741" s="7" t="s">
        <v>31</v>
      </c>
      <c r="H741" s="7" t="s">
        <v>17</v>
      </c>
      <c r="I741" s="7" t="s">
        <v>17</v>
      </c>
      <c r="J741" s="7" t="s">
        <v>1424</v>
      </c>
    </row>
    <row r="742" spans="1:10" x14ac:dyDescent="0.25" outlineLevel="3" collapsed="1">
      <c r="A742" s="7" t="s">
        <v>15</v>
      </c>
      <c r="B742" s="7" t="s">
        <v>16</v>
      </c>
      <c r="C742" s="7" t="s">
        <v>17</v>
      </c>
      <c r="D742" s="7"/>
      <c r="E742" s="7" t="s">
        <v>1601</v>
      </c>
      <c r="F742" s="7" t="s">
        <v>19</v>
      </c>
      <c r="G742" s="7" t="s">
        <v>31</v>
      </c>
      <c r="H742" s="7" t="s">
        <v>17</v>
      </c>
      <c r="I742" s="7" t="s">
        <v>17</v>
      </c>
      <c r="J742" s="7" t="s">
        <v>1602</v>
      </c>
    </row>
    <row r="743" spans="1:10" x14ac:dyDescent="0.25" outlineLevel="3" collapsed="1">
      <c r="A743" s="7" t="s">
        <v>15</v>
      </c>
      <c r="B743" s="7" t="s">
        <v>16</v>
      </c>
      <c r="C743" s="7" t="s">
        <v>17</v>
      </c>
      <c r="D743" s="7"/>
      <c r="E743" s="7" t="s">
        <v>1671</v>
      </c>
      <c r="F743" s="7" t="s">
        <v>19</v>
      </c>
      <c r="G743" s="7" t="s">
        <v>31</v>
      </c>
      <c r="H743" s="7" t="s">
        <v>17</v>
      </c>
      <c r="I743" s="7" t="s">
        <v>17</v>
      </c>
      <c r="J743" s="7" t="s">
        <v>1672</v>
      </c>
    </row>
    <row r="744" spans="1:10" x14ac:dyDescent="0.25" outlineLevel="3" collapsed="1">
      <c r="A744" s="7" t="s">
        <v>15</v>
      </c>
      <c r="B744" s="7" t="s">
        <v>16</v>
      </c>
      <c r="C744" s="7" t="s">
        <v>17</v>
      </c>
      <c r="D744" s="7"/>
      <c r="E744" s="7" t="s">
        <v>1673</v>
      </c>
      <c r="F744" s="7" t="s">
        <v>19</v>
      </c>
      <c r="G744" s="7" t="s">
        <v>31</v>
      </c>
      <c r="H744" s="7" t="s">
        <v>17</v>
      </c>
      <c r="I744" s="7" t="s">
        <v>17</v>
      </c>
      <c r="J744" s="7" t="s">
        <v>1674</v>
      </c>
    </row>
    <row r="745" spans="1:10" x14ac:dyDescent="0.25" outlineLevel="3" collapsed="1">
      <c r="A745" s="7" t="s">
        <v>15</v>
      </c>
      <c r="B745" s="7" t="s">
        <v>16</v>
      </c>
      <c r="C745" s="7" t="s">
        <v>17</v>
      </c>
      <c r="D745" s="7"/>
      <c r="E745" s="7" t="s">
        <v>2618</v>
      </c>
      <c r="F745" s="7" t="s">
        <v>19</v>
      </c>
      <c r="G745" s="7" t="s">
        <v>31</v>
      </c>
      <c r="H745" s="7" t="s">
        <v>17</v>
      </c>
      <c r="I745" s="7" t="s">
        <v>17</v>
      </c>
      <c r="J745" s="7" t="s">
        <v>1422</v>
      </c>
    </row>
    <row r="746" spans="1:10" x14ac:dyDescent="0.25" outlineLevel="3" collapsed="1">
      <c r="A746" s="7" t="s">
        <v>15</v>
      </c>
      <c r="B746" s="7" t="s">
        <v>284</v>
      </c>
      <c r="C746" s="11" t="s">
        <v>2619</v>
      </c>
      <c r="D746" s="7"/>
      <c r="E746" s="7" t="s">
        <v>1605</v>
      </c>
      <c r="F746" s="7" t="s">
        <v>19</v>
      </c>
      <c r="G746" s="7" t="s">
        <v>1606</v>
      </c>
      <c r="H746" s="7" t="s">
        <v>17</v>
      </c>
      <c r="I746" s="7" t="s">
        <v>17</v>
      </c>
      <c r="J746" s="7" t="s">
        <v>1607</v>
      </c>
    </row>
    <row r="747" spans="1:10" x14ac:dyDescent="0.25" outlineLevel="3" collapsed="1">
      <c r="A747" s="7" t="s">
        <v>19</v>
      </c>
      <c r="B747" s="7" t="s">
        <v>63</v>
      </c>
      <c r="C747" s="7" t="s">
        <v>17</v>
      </c>
      <c r="D747" s="7">
        <f>EXACT(G746,"Single value")</f>
      </c>
      <c r="E747" s="7" t="s">
        <v>2620</v>
      </c>
      <c r="F747" s="7" t="s">
        <v>19</v>
      </c>
      <c r="G747" s="7">
        <v>1</v>
      </c>
      <c r="H747" s="7" t="s">
        <v>17</v>
      </c>
      <c r="I747" s="7" t="s">
        <v>17</v>
      </c>
      <c r="J747" s="7" t="s">
        <v>1609</v>
      </c>
    </row>
    <row r="748" spans="1:10" x14ac:dyDescent="0.25" outlineLevel="3" collapsed="1">
      <c r="A748" s="7" t="s">
        <v>19</v>
      </c>
      <c r="B748" s="7" t="s">
        <v>16</v>
      </c>
      <c r="C748" s="7" t="s">
        <v>17</v>
      </c>
      <c r="D748" s="7"/>
      <c r="E748" s="7" t="s">
        <v>1677</v>
      </c>
      <c r="F748" s="7" t="s">
        <v>19</v>
      </c>
      <c r="G748" s="7" t="s">
        <v>31</v>
      </c>
      <c r="H748" s="7" t="s">
        <v>17</v>
      </c>
      <c r="I748" s="7" t="s">
        <v>17</v>
      </c>
      <c r="J748" s="7" t="s">
        <v>1678</v>
      </c>
    </row>
    <row r="749" spans="1:10" x14ac:dyDescent="0.25" outlineLevel="3" collapsed="1">
      <c r="A749" s="7" t="s">
        <v>15</v>
      </c>
      <c r="B749" s="7" t="s">
        <v>16</v>
      </c>
      <c r="C749" s="7" t="s">
        <v>17</v>
      </c>
      <c r="D749" s="7"/>
      <c r="E749" s="7" t="s">
        <v>1679</v>
      </c>
      <c r="F749" s="7" t="s">
        <v>19</v>
      </c>
      <c r="G749" s="7" t="s">
        <v>31</v>
      </c>
      <c r="H749" s="7" t="s">
        <v>17</v>
      </c>
      <c r="I749" s="7" t="s">
        <v>17</v>
      </c>
      <c r="J749" s="7" t="s">
        <v>1680</v>
      </c>
    </row>
    <row r="750" spans="1:10" x14ac:dyDescent="0.25" outlineLevel="3" collapsed="1">
      <c r="A750" s="7" t="s">
        <v>15</v>
      </c>
      <c r="B750" s="7" t="s">
        <v>284</v>
      </c>
      <c r="C750" s="11" t="s">
        <v>2621</v>
      </c>
      <c r="D750" s="7"/>
      <c r="E750" s="7" t="s">
        <v>1612</v>
      </c>
      <c r="F750" s="7" t="s">
        <v>19</v>
      </c>
      <c r="G750" s="7" t="s">
        <v>1613</v>
      </c>
      <c r="H750" s="7" t="s">
        <v>17</v>
      </c>
      <c r="I750" s="7" t="s">
        <v>17</v>
      </c>
      <c r="J750" s="7" t="s">
        <v>1614</v>
      </c>
    </row>
    <row r="751" spans="1:10" x14ac:dyDescent="0.25" outlineLevel="3" collapsed="1">
      <c r="A751" s="7" t="s">
        <v>19</v>
      </c>
      <c r="B751" s="7" t="s">
        <v>16</v>
      </c>
      <c r="C751" s="7" t="s">
        <v>17</v>
      </c>
      <c r="D751" s="7"/>
      <c r="E751" s="7" t="s">
        <v>1681</v>
      </c>
      <c r="F751" s="7" t="s">
        <v>19</v>
      </c>
      <c r="G751" s="7" t="s">
        <v>31</v>
      </c>
      <c r="H751" s="7" t="s">
        <v>17</v>
      </c>
      <c r="I751" s="7" t="s">
        <v>17</v>
      </c>
      <c r="J751" s="7" t="s">
        <v>1682</v>
      </c>
    </row>
    <row r="752" spans="1:10" x14ac:dyDescent="0.25" outlineLevel="3" collapsed="1">
      <c r="A752" s="7" t="s">
        <v>19</v>
      </c>
      <c r="B752" s="7" t="s">
        <v>16</v>
      </c>
      <c r="C752" s="7" t="s">
        <v>17</v>
      </c>
      <c r="D752" s="7"/>
      <c r="E752" s="7" t="s">
        <v>1615</v>
      </c>
      <c r="F752" s="7" t="s">
        <v>19</v>
      </c>
      <c r="G752" s="7" t="s">
        <v>31</v>
      </c>
      <c r="H752" s="7" t="s">
        <v>17</v>
      </c>
      <c r="I752" s="7" t="s">
        <v>17</v>
      </c>
      <c r="J752" s="7" t="s">
        <v>1616</v>
      </c>
    </row>
    <row r="753" spans="1:10" x14ac:dyDescent="0.25" outlineLevel="2" collapsed="1">
      <c r="A753" s="8" t="s">
        <v>19</v>
      </c>
      <c r="B753" s="9" t="s">
        <v>2617</v>
      </c>
      <c r="C753" s="8" t="s">
        <v>17</v>
      </c>
      <c r="D753" s="8"/>
      <c r="E753" s="8" t="s">
        <v>1690</v>
      </c>
      <c r="F753" s="8" t="s">
        <v>19</v>
      </c>
      <c r="G753" s="8" t="s">
        <v>17</v>
      </c>
      <c r="H753" s="8" t="s">
        <v>17</v>
      </c>
      <c r="I753" s="8" t="s">
        <v>17</v>
      </c>
      <c r="J753" s="8" t="s">
        <v>1691</v>
      </c>
    </row>
    <row r="754" spans="1:10" x14ac:dyDescent="0.25" outlineLevel="3" collapsed="1">
      <c r="A754" s="7" t="s">
        <v>15</v>
      </c>
      <c r="B754" s="7" t="s">
        <v>16</v>
      </c>
      <c r="C754" s="7" t="s">
        <v>17</v>
      </c>
      <c r="D754" s="7"/>
      <c r="E754" s="7" t="s">
        <v>1670</v>
      </c>
      <c r="F754" s="7" t="s">
        <v>19</v>
      </c>
      <c r="G754" s="7" t="s">
        <v>31</v>
      </c>
      <c r="H754" s="7" t="s">
        <v>17</v>
      </c>
      <c r="I754" s="7" t="s">
        <v>17</v>
      </c>
      <c r="J754" s="7" t="s">
        <v>637</v>
      </c>
    </row>
    <row r="755" spans="1:10" x14ac:dyDescent="0.25" outlineLevel="3" collapsed="1">
      <c r="A755" s="7" t="s">
        <v>15</v>
      </c>
      <c r="B755" s="7" t="s">
        <v>16</v>
      </c>
      <c r="C755" s="7" t="s">
        <v>17</v>
      </c>
      <c r="D755" s="7"/>
      <c r="E755" s="7" t="s">
        <v>638</v>
      </c>
      <c r="F755" s="7" t="s">
        <v>19</v>
      </c>
      <c r="G755" s="7" t="s">
        <v>31</v>
      </c>
      <c r="H755" s="7" t="s">
        <v>17</v>
      </c>
      <c r="I755" s="7" t="s">
        <v>17</v>
      </c>
      <c r="J755" s="7" t="s">
        <v>640</v>
      </c>
    </row>
    <row r="756" spans="1:10" x14ac:dyDescent="0.25" outlineLevel="3" collapsed="1">
      <c r="A756" s="7" t="s">
        <v>15</v>
      </c>
      <c r="B756" s="7" t="s">
        <v>16</v>
      </c>
      <c r="C756" s="7" t="s">
        <v>17</v>
      </c>
      <c r="D756" s="7"/>
      <c r="E756" s="7" t="s">
        <v>9</v>
      </c>
      <c r="F756" s="7" t="s">
        <v>19</v>
      </c>
      <c r="G756" s="7" t="s">
        <v>31</v>
      </c>
      <c r="H756" s="7" t="s">
        <v>17</v>
      </c>
      <c r="I756" s="7" t="s">
        <v>17</v>
      </c>
      <c r="J756" s="7" t="s">
        <v>843</v>
      </c>
    </row>
    <row r="757" spans="1:10" x14ac:dyDescent="0.25" outlineLevel="3" collapsed="1">
      <c r="A757" s="7" t="s">
        <v>19</v>
      </c>
      <c r="B757" s="7" t="s">
        <v>16</v>
      </c>
      <c r="C757" s="7" t="s">
        <v>17</v>
      </c>
      <c r="D757" s="7"/>
      <c r="E757" s="7" t="s">
        <v>1600</v>
      </c>
      <c r="F757" s="7" t="s">
        <v>19</v>
      </c>
      <c r="G757" s="7" t="s">
        <v>31</v>
      </c>
      <c r="H757" s="7" t="s">
        <v>17</v>
      </c>
      <c r="I757" s="7" t="s">
        <v>17</v>
      </c>
      <c r="J757" s="7" t="s">
        <v>1424</v>
      </c>
    </row>
    <row r="758" spans="1:10" x14ac:dyDescent="0.25" outlineLevel="3" collapsed="1">
      <c r="A758" s="7" t="s">
        <v>15</v>
      </c>
      <c r="B758" s="7" t="s">
        <v>16</v>
      </c>
      <c r="C758" s="7" t="s">
        <v>17</v>
      </c>
      <c r="D758" s="7"/>
      <c r="E758" s="7" t="s">
        <v>1601</v>
      </c>
      <c r="F758" s="7" t="s">
        <v>19</v>
      </c>
      <c r="G758" s="7" t="s">
        <v>31</v>
      </c>
      <c r="H758" s="7" t="s">
        <v>17</v>
      </c>
      <c r="I758" s="7" t="s">
        <v>17</v>
      </c>
      <c r="J758" s="7" t="s">
        <v>1602</v>
      </c>
    </row>
    <row r="759" spans="1:10" x14ac:dyDescent="0.25" outlineLevel="3" collapsed="1">
      <c r="A759" s="7" t="s">
        <v>15</v>
      </c>
      <c r="B759" s="7" t="s">
        <v>16</v>
      </c>
      <c r="C759" s="7" t="s">
        <v>17</v>
      </c>
      <c r="D759" s="7"/>
      <c r="E759" s="7" t="s">
        <v>1671</v>
      </c>
      <c r="F759" s="7" t="s">
        <v>19</v>
      </c>
      <c r="G759" s="7" t="s">
        <v>31</v>
      </c>
      <c r="H759" s="7" t="s">
        <v>17</v>
      </c>
      <c r="I759" s="7" t="s">
        <v>17</v>
      </c>
      <c r="J759" s="7" t="s">
        <v>1672</v>
      </c>
    </row>
    <row r="760" spans="1:10" x14ac:dyDescent="0.25" outlineLevel="3" collapsed="1">
      <c r="A760" s="7" t="s">
        <v>15</v>
      </c>
      <c r="B760" s="7" t="s">
        <v>16</v>
      </c>
      <c r="C760" s="7" t="s">
        <v>17</v>
      </c>
      <c r="D760" s="7"/>
      <c r="E760" s="7" t="s">
        <v>1673</v>
      </c>
      <c r="F760" s="7" t="s">
        <v>19</v>
      </c>
      <c r="G760" s="7" t="s">
        <v>31</v>
      </c>
      <c r="H760" s="7" t="s">
        <v>17</v>
      </c>
      <c r="I760" s="7" t="s">
        <v>17</v>
      </c>
      <c r="J760" s="7" t="s">
        <v>1674</v>
      </c>
    </row>
    <row r="761" spans="1:10" x14ac:dyDescent="0.25" outlineLevel="3" collapsed="1">
      <c r="A761" s="7" t="s">
        <v>15</v>
      </c>
      <c r="B761" s="7" t="s">
        <v>16</v>
      </c>
      <c r="C761" s="7" t="s">
        <v>17</v>
      </c>
      <c r="D761" s="7"/>
      <c r="E761" s="7" t="s">
        <v>2618</v>
      </c>
      <c r="F761" s="7" t="s">
        <v>19</v>
      </c>
      <c r="G761" s="7" t="s">
        <v>31</v>
      </c>
      <c r="H761" s="7" t="s">
        <v>17</v>
      </c>
      <c r="I761" s="7" t="s">
        <v>17</v>
      </c>
      <c r="J761" s="7" t="s">
        <v>1422</v>
      </c>
    </row>
    <row r="762" spans="1:10" x14ac:dyDescent="0.25" outlineLevel="3" collapsed="1">
      <c r="A762" s="7" t="s">
        <v>15</v>
      </c>
      <c r="B762" s="7" t="s">
        <v>284</v>
      </c>
      <c r="C762" s="11" t="s">
        <v>2619</v>
      </c>
      <c r="D762" s="7"/>
      <c r="E762" s="7" t="s">
        <v>1605</v>
      </c>
      <c r="F762" s="7" t="s">
        <v>19</v>
      </c>
      <c r="G762" s="7" t="s">
        <v>1606</v>
      </c>
      <c r="H762" s="7" t="s">
        <v>17</v>
      </c>
      <c r="I762" s="7" t="s">
        <v>17</v>
      </c>
      <c r="J762" s="7" t="s">
        <v>1607</v>
      </c>
    </row>
    <row r="763" spans="1:10" x14ac:dyDescent="0.25" outlineLevel="3" collapsed="1">
      <c r="A763" s="7" t="s">
        <v>19</v>
      </c>
      <c r="B763" s="7" t="s">
        <v>63</v>
      </c>
      <c r="C763" s="7" t="s">
        <v>17</v>
      </c>
      <c r="D763" s="7">
        <f>EXACT(G762,"Single value")</f>
      </c>
      <c r="E763" s="7" t="s">
        <v>2620</v>
      </c>
      <c r="F763" s="7" t="s">
        <v>19</v>
      </c>
      <c r="G763" s="7">
        <v>1</v>
      </c>
      <c r="H763" s="7" t="s">
        <v>17</v>
      </c>
      <c r="I763" s="7" t="s">
        <v>17</v>
      </c>
      <c r="J763" s="7" t="s">
        <v>1609</v>
      </c>
    </row>
    <row r="764" spans="1:10" x14ac:dyDescent="0.25" outlineLevel="3" collapsed="1">
      <c r="A764" s="7" t="s">
        <v>19</v>
      </c>
      <c r="B764" s="7" t="s">
        <v>16</v>
      </c>
      <c r="C764" s="7" t="s">
        <v>17</v>
      </c>
      <c r="D764" s="7"/>
      <c r="E764" s="7" t="s">
        <v>1677</v>
      </c>
      <c r="F764" s="7" t="s">
        <v>19</v>
      </c>
      <c r="G764" s="7" t="s">
        <v>31</v>
      </c>
      <c r="H764" s="7" t="s">
        <v>17</v>
      </c>
      <c r="I764" s="7" t="s">
        <v>17</v>
      </c>
      <c r="J764" s="7" t="s">
        <v>1678</v>
      </c>
    </row>
    <row r="765" spans="1:10" x14ac:dyDescent="0.25" outlineLevel="3" collapsed="1">
      <c r="A765" s="7" t="s">
        <v>15</v>
      </c>
      <c r="B765" s="7" t="s">
        <v>16</v>
      </c>
      <c r="C765" s="7" t="s">
        <v>17</v>
      </c>
      <c r="D765" s="7"/>
      <c r="E765" s="7" t="s">
        <v>1679</v>
      </c>
      <c r="F765" s="7" t="s">
        <v>19</v>
      </c>
      <c r="G765" s="7" t="s">
        <v>31</v>
      </c>
      <c r="H765" s="7" t="s">
        <v>17</v>
      </c>
      <c r="I765" s="7" t="s">
        <v>17</v>
      </c>
      <c r="J765" s="7" t="s">
        <v>1680</v>
      </c>
    </row>
    <row r="766" spans="1:10" x14ac:dyDescent="0.25" outlineLevel="3" collapsed="1">
      <c r="A766" s="7" t="s">
        <v>15</v>
      </c>
      <c r="B766" s="7" t="s">
        <v>284</v>
      </c>
      <c r="C766" s="11" t="s">
        <v>2621</v>
      </c>
      <c r="D766" s="7"/>
      <c r="E766" s="7" t="s">
        <v>1612</v>
      </c>
      <c r="F766" s="7" t="s">
        <v>19</v>
      </c>
      <c r="G766" s="7" t="s">
        <v>1613</v>
      </c>
      <c r="H766" s="7" t="s">
        <v>17</v>
      </c>
      <c r="I766" s="7" t="s">
        <v>17</v>
      </c>
      <c r="J766" s="7" t="s">
        <v>1614</v>
      </c>
    </row>
    <row r="767" spans="1:10" x14ac:dyDescent="0.25" outlineLevel="3" collapsed="1">
      <c r="A767" s="7" t="s">
        <v>19</v>
      </c>
      <c r="B767" s="7" t="s">
        <v>16</v>
      </c>
      <c r="C767" s="7" t="s">
        <v>17</v>
      </c>
      <c r="D767" s="7"/>
      <c r="E767" s="7" t="s">
        <v>1681</v>
      </c>
      <c r="F767" s="7" t="s">
        <v>19</v>
      </c>
      <c r="G767" s="7" t="s">
        <v>31</v>
      </c>
      <c r="H767" s="7" t="s">
        <v>17</v>
      </c>
      <c r="I767" s="7" t="s">
        <v>17</v>
      </c>
      <c r="J767" s="7" t="s">
        <v>1682</v>
      </c>
    </row>
    <row r="768" spans="1:10" x14ac:dyDescent="0.25" outlineLevel="3" collapsed="1">
      <c r="A768" s="7" t="s">
        <v>19</v>
      </c>
      <c r="B768" s="7" t="s">
        <v>16</v>
      </c>
      <c r="C768" s="7" t="s">
        <v>17</v>
      </c>
      <c r="D768" s="7"/>
      <c r="E768" s="7" t="s">
        <v>1615</v>
      </c>
      <c r="F768" s="7" t="s">
        <v>19</v>
      </c>
      <c r="G768" s="7" t="s">
        <v>31</v>
      </c>
      <c r="H768" s="7" t="s">
        <v>17</v>
      </c>
      <c r="I768" s="7" t="s">
        <v>17</v>
      </c>
      <c r="J768" s="7" t="s">
        <v>1616</v>
      </c>
    </row>
    <row r="769" spans="1:10" x14ac:dyDescent="0.25" outlineLevel="2" collapsed="1">
      <c r="A769" s="8" t="s">
        <v>19</v>
      </c>
      <c r="B769" s="9" t="s">
        <v>2617</v>
      </c>
      <c r="C769" s="8" t="s">
        <v>17</v>
      </c>
      <c r="D769" s="8"/>
      <c r="E769" s="8" t="s">
        <v>1692</v>
      </c>
      <c r="F769" s="8" t="s">
        <v>19</v>
      </c>
      <c r="G769" s="8" t="s">
        <v>17</v>
      </c>
      <c r="H769" s="8" t="s">
        <v>17</v>
      </c>
      <c r="I769" s="8" t="s">
        <v>17</v>
      </c>
      <c r="J769" s="8" t="s">
        <v>1693</v>
      </c>
    </row>
    <row r="770" spans="1:10" x14ac:dyDescent="0.25" outlineLevel="3" collapsed="1">
      <c r="A770" s="7" t="s">
        <v>15</v>
      </c>
      <c r="B770" s="7" t="s">
        <v>16</v>
      </c>
      <c r="C770" s="7" t="s">
        <v>17</v>
      </c>
      <c r="D770" s="7"/>
      <c r="E770" s="7" t="s">
        <v>1670</v>
      </c>
      <c r="F770" s="7" t="s">
        <v>19</v>
      </c>
      <c r="G770" s="7" t="s">
        <v>31</v>
      </c>
      <c r="H770" s="7" t="s">
        <v>17</v>
      </c>
      <c r="I770" s="7" t="s">
        <v>17</v>
      </c>
      <c r="J770" s="7" t="s">
        <v>637</v>
      </c>
    </row>
    <row r="771" spans="1:10" x14ac:dyDescent="0.25" outlineLevel="3" collapsed="1">
      <c r="A771" s="7" t="s">
        <v>15</v>
      </c>
      <c r="B771" s="7" t="s">
        <v>16</v>
      </c>
      <c r="C771" s="7" t="s">
        <v>17</v>
      </c>
      <c r="D771" s="7"/>
      <c r="E771" s="7" t="s">
        <v>638</v>
      </c>
      <c r="F771" s="7" t="s">
        <v>19</v>
      </c>
      <c r="G771" s="7" t="s">
        <v>31</v>
      </c>
      <c r="H771" s="7" t="s">
        <v>17</v>
      </c>
      <c r="I771" s="7" t="s">
        <v>17</v>
      </c>
      <c r="J771" s="7" t="s">
        <v>640</v>
      </c>
    </row>
    <row r="772" spans="1:10" x14ac:dyDescent="0.25" outlineLevel="3" collapsed="1">
      <c r="A772" s="7" t="s">
        <v>15</v>
      </c>
      <c r="B772" s="7" t="s">
        <v>16</v>
      </c>
      <c r="C772" s="7" t="s">
        <v>17</v>
      </c>
      <c r="D772" s="7"/>
      <c r="E772" s="7" t="s">
        <v>9</v>
      </c>
      <c r="F772" s="7" t="s">
        <v>19</v>
      </c>
      <c r="G772" s="7" t="s">
        <v>31</v>
      </c>
      <c r="H772" s="7" t="s">
        <v>17</v>
      </c>
      <c r="I772" s="7" t="s">
        <v>17</v>
      </c>
      <c r="J772" s="7" t="s">
        <v>843</v>
      </c>
    </row>
    <row r="773" spans="1:10" x14ac:dyDescent="0.25" outlineLevel="3" collapsed="1">
      <c r="A773" s="7" t="s">
        <v>19</v>
      </c>
      <c r="B773" s="7" t="s">
        <v>16</v>
      </c>
      <c r="C773" s="7" t="s">
        <v>17</v>
      </c>
      <c r="D773" s="7"/>
      <c r="E773" s="7" t="s">
        <v>1600</v>
      </c>
      <c r="F773" s="7" t="s">
        <v>19</v>
      </c>
      <c r="G773" s="7" t="s">
        <v>31</v>
      </c>
      <c r="H773" s="7" t="s">
        <v>17</v>
      </c>
      <c r="I773" s="7" t="s">
        <v>17</v>
      </c>
      <c r="J773" s="7" t="s">
        <v>1424</v>
      </c>
    </row>
    <row r="774" spans="1:10" x14ac:dyDescent="0.25" outlineLevel="3" collapsed="1">
      <c r="A774" s="7" t="s">
        <v>15</v>
      </c>
      <c r="B774" s="7" t="s">
        <v>16</v>
      </c>
      <c r="C774" s="7" t="s">
        <v>17</v>
      </c>
      <c r="D774" s="7"/>
      <c r="E774" s="7" t="s">
        <v>1601</v>
      </c>
      <c r="F774" s="7" t="s">
        <v>19</v>
      </c>
      <c r="G774" s="7" t="s">
        <v>31</v>
      </c>
      <c r="H774" s="7" t="s">
        <v>17</v>
      </c>
      <c r="I774" s="7" t="s">
        <v>17</v>
      </c>
      <c r="J774" s="7" t="s">
        <v>1602</v>
      </c>
    </row>
    <row r="775" spans="1:10" x14ac:dyDescent="0.25" outlineLevel="3" collapsed="1">
      <c r="A775" s="7" t="s">
        <v>15</v>
      </c>
      <c r="B775" s="7" t="s">
        <v>16</v>
      </c>
      <c r="C775" s="7" t="s">
        <v>17</v>
      </c>
      <c r="D775" s="7"/>
      <c r="E775" s="7" t="s">
        <v>1671</v>
      </c>
      <c r="F775" s="7" t="s">
        <v>19</v>
      </c>
      <c r="G775" s="7" t="s">
        <v>31</v>
      </c>
      <c r="H775" s="7" t="s">
        <v>17</v>
      </c>
      <c r="I775" s="7" t="s">
        <v>17</v>
      </c>
      <c r="J775" s="7" t="s">
        <v>1672</v>
      </c>
    </row>
    <row r="776" spans="1:10" x14ac:dyDescent="0.25" outlineLevel="3" collapsed="1">
      <c r="A776" s="7" t="s">
        <v>15</v>
      </c>
      <c r="B776" s="7" t="s">
        <v>16</v>
      </c>
      <c r="C776" s="7" t="s">
        <v>17</v>
      </c>
      <c r="D776" s="7"/>
      <c r="E776" s="7" t="s">
        <v>1673</v>
      </c>
      <c r="F776" s="7" t="s">
        <v>19</v>
      </c>
      <c r="G776" s="7" t="s">
        <v>31</v>
      </c>
      <c r="H776" s="7" t="s">
        <v>17</v>
      </c>
      <c r="I776" s="7" t="s">
        <v>17</v>
      </c>
      <c r="J776" s="7" t="s">
        <v>1674</v>
      </c>
    </row>
    <row r="777" spans="1:10" x14ac:dyDescent="0.25" outlineLevel="3" collapsed="1">
      <c r="A777" s="7" t="s">
        <v>15</v>
      </c>
      <c r="B777" s="7" t="s">
        <v>16</v>
      </c>
      <c r="C777" s="7" t="s">
        <v>17</v>
      </c>
      <c r="D777" s="7"/>
      <c r="E777" s="7" t="s">
        <v>2618</v>
      </c>
      <c r="F777" s="7" t="s">
        <v>19</v>
      </c>
      <c r="G777" s="7" t="s">
        <v>31</v>
      </c>
      <c r="H777" s="7" t="s">
        <v>17</v>
      </c>
      <c r="I777" s="7" t="s">
        <v>17</v>
      </c>
      <c r="J777" s="7" t="s">
        <v>1422</v>
      </c>
    </row>
    <row r="778" spans="1:10" x14ac:dyDescent="0.25" outlineLevel="3" collapsed="1">
      <c r="A778" s="7" t="s">
        <v>15</v>
      </c>
      <c r="B778" s="7" t="s">
        <v>284</v>
      </c>
      <c r="C778" s="11" t="s">
        <v>2619</v>
      </c>
      <c r="D778" s="7"/>
      <c r="E778" s="7" t="s">
        <v>1605</v>
      </c>
      <c r="F778" s="7" t="s">
        <v>19</v>
      </c>
      <c r="G778" s="7" t="s">
        <v>1606</v>
      </c>
      <c r="H778" s="7" t="s">
        <v>17</v>
      </c>
      <c r="I778" s="7" t="s">
        <v>17</v>
      </c>
      <c r="J778" s="7" t="s">
        <v>1607</v>
      </c>
    </row>
    <row r="779" spans="1:10" x14ac:dyDescent="0.25" outlineLevel="3" collapsed="1">
      <c r="A779" s="7" t="s">
        <v>19</v>
      </c>
      <c r="B779" s="7" t="s">
        <v>63</v>
      </c>
      <c r="C779" s="7" t="s">
        <v>17</v>
      </c>
      <c r="D779" s="7">
        <f>EXACT(G778,"Single value")</f>
      </c>
      <c r="E779" s="7" t="s">
        <v>2620</v>
      </c>
      <c r="F779" s="7" t="s">
        <v>19</v>
      </c>
      <c r="G779" s="7">
        <v>1</v>
      </c>
      <c r="H779" s="7" t="s">
        <v>17</v>
      </c>
      <c r="I779" s="7" t="s">
        <v>17</v>
      </c>
      <c r="J779" s="7" t="s">
        <v>1609</v>
      </c>
    </row>
    <row r="780" spans="1:10" x14ac:dyDescent="0.25" outlineLevel="3" collapsed="1">
      <c r="A780" s="7" t="s">
        <v>19</v>
      </c>
      <c r="B780" s="7" t="s">
        <v>16</v>
      </c>
      <c r="C780" s="7" t="s">
        <v>17</v>
      </c>
      <c r="D780" s="7"/>
      <c r="E780" s="7" t="s">
        <v>1677</v>
      </c>
      <c r="F780" s="7" t="s">
        <v>19</v>
      </c>
      <c r="G780" s="7" t="s">
        <v>31</v>
      </c>
      <c r="H780" s="7" t="s">
        <v>17</v>
      </c>
      <c r="I780" s="7" t="s">
        <v>17</v>
      </c>
      <c r="J780" s="7" t="s">
        <v>1678</v>
      </c>
    </row>
    <row r="781" spans="1:10" x14ac:dyDescent="0.25" outlineLevel="3" collapsed="1">
      <c r="A781" s="7" t="s">
        <v>15</v>
      </c>
      <c r="B781" s="7" t="s">
        <v>16</v>
      </c>
      <c r="C781" s="7" t="s">
        <v>17</v>
      </c>
      <c r="D781" s="7"/>
      <c r="E781" s="7" t="s">
        <v>1679</v>
      </c>
      <c r="F781" s="7" t="s">
        <v>19</v>
      </c>
      <c r="G781" s="7" t="s">
        <v>31</v>
      </c>
      <c r="H781" s="7" t="s">
        <v>17</v>
      </c>
      <c r="I781" s="7" t="s">
        <v>17</v>
      </c>
      <c r="J781" s="7" t="s">
        <v>1680</v>
      </c>
    </row>
    <row r="782" spans="1:10" x14ac:dyDescent="0.25" outlineLevel="3" collapsed="1">
      <c r="A782" s="7" t="s">
        <v>15</v>
      </c>
      <c r="B782" s="7" t="s">
        <v>284</v>
      </c>
      <c r="C782" s="11" t="s">
        <v>2621</v>
      </c>
      <c r="D782" s="7"/>
      <c r="E782" s="7" t="s">
        <v>1612</v>
      </c>
      <c r="F782" s="7" t="s">
        <v>19</v>
      </c>
      <c r="G782" s="7" t="s">
        <v>1613</v>
      </c>
      <c r="H782" s="7" t="s">
        <v>17</v>
      </c>
      <c r="I782" s="7" t="s">
        <v>17</v>
      </c>
      <c r="J782" s="7" t="s">
        <v>1614</v>
      </c>
    </row>
    <row r="783" spans="1:10" x14ac:dyDescent="0.25" outlineLevel="3" collapsed="1">
      <c r="A783" s="7" t="s">
        <v>19</v>
      </c>
      <c r="B783" s="7" t="s">
        <v>16</v>
      </c>
      <c r="C783" s="7" t="s">
        <v>17</v>
      </c>
      <c r="D783" s="7"/>
      <c r="E783" s="7" t="s">
        <v>1681</v>
      </c>
      <c r="F783" s="7" t="s">
        <v>19</v>
      </c>
      <c r="G783" s="7" t="s">
        <v>31</v>
      </c>
      <c r="H783" s="7" t="s">
        <v>17</v>
      </c>
      <c r="I783" s="7" t="s">
        <v>17</v>
      </c>
      <c r="J783" s="7" t="s">
        <v>1682</v>
      </c>
    </row>
    <row r="784" spans="1:10" x14ac:dyDescent="0.25" outlineLevel="3" collapsed="1">
      <c r="A784" s="7" t="s">
        <v>19</v>
      </c>
      <c r="B784" s="7" t="s">
        <v>16</v>
      </c>
      <c r="C784" s="7" t="s">
        <v>17</v>
      </c>
      <c r="D784" s="7"/>
      <c r="E784" s="7" t="s">
        <v>1615</v>
      </c>
      <c r="F784" s="7" t="s">
        <v>19</v>
      </c>
      <c r="G784" s="7" t="s">
        <v>31</v>
      </c>
      <c r="H784" s="7" t="s">
        <v>17</v>
      </c>
      <c r="I784" s="7" t="s">
        <v>17</v>
      </c>
      <c r="J784" s="7" t="s">
        <v>1616</v>
      </c>
    </row>
    <row r="785" spans="1:10" x14ac:dyDescent="0.25" outlineLevel="1" collapsed="1">
      <c r="A785" s="8" t="s">
        <v>19</v>
      </c>
      <c r="B785" s="9" t="s">
        <v>2622</v>
      </c>
      <c r="C785" s="8" t="s">
        <v>17</v>
      </c>
      <c r="D785" s="8"/>
      <c r="E785" s="8" t="s">
        <v>1695</v>
      </c>
      <c r="F785" s="8" t="s">
        <v>19</v>
      </c>
      <c r="G785" s="8" t="s">
        <v>17</v>
      </c>
      <c r="H785" s="8" t="s">
        <v>17</v>
      </c>
      <c r="I785" s="8" t="s">
        <v>17</v>
      </c>
      <c r="J785" s="8" t="s">
        <v>1696</v>
      </c>
    </row>
    <row r="786" spans="1:10" x14ac:dyDescent="0.25" outlineLevel="2" collapsed="1">
      <c r="A786" s="8" t="s">
        <v>19</v>
      </c>
      <c r="B786" s="9" t="s">
        <v>2617</v>
      </c>
      <c r="C786" s="8" t="s">
        <v>17</v>
      </c>
      <c r="D786" s="8"/>
      <c r="E786" s="8" t="s">
        <v>1697</v>
      </c>
      <c r="F786" s="8" t="s">
        <v>19</v>
      </c>
      <c r="G786" s="8" t="s">
        <v>17</v>
      </c>
      <c r="H786" s="8" t="s">
        <v>17</v>
      </c>
      <c r="I786" s="8" t="s">
        <v>17</v>
      </c>
      <c r="J786" s="8" t="s">
        <v>1698</v>
      </c>
    </row>
    <row r="787" spans="1:10" x14ac:dyDescent="0.25" outlineLevel="3" collapsed="1">
      <c r="A787" s="7" t="s">
        <v>15</v>
      </c>
      <c r="B787" s="7" t="s">
        <v>16</v>
      </c>
      <c r="C787" s="7" t="s">
        <v>17</v>
      </c>
      <c r="D787" s="7"/>
      <c r="E787" s="7" t="s">
        <v>1670</v>
      </c>
      <c r="F787" s="7" t="s">
        <v>19</v>
      </c>
      <c r="G787" s="7" t="s">
        <v>31</v>
      </c>
      <c r="H787" s="7" t="s">
        <v>17</v>
      </c>
      <c r="I787" s="7" t="s">
        <v>17</v>
      </c>
      <c r="J787" s="7" t="s">
        <v>637</v>
      </c>
    </row>
    <row r="788" spans="1:10" x14ac:dyDescent="0.25" outlineLevel="3" collapsed="1">
      <c r="A788" s="7" t="s">
        <v>15</v>
      </c>
      <c r="B788" s="7" t="s">
        <v>16</v>
      </c>
      <c r="C788" s="7" t="s">
        <v>17</v>
      </c>
      <c r="D788" s="7"/>
      <c r="E788" s="7" t="s">
        <v>638</v>
      </c>
      <c r="F788" s="7" t="s">
        <v>19</v>
      </c>
      <c r="G788" s="7" t="s">
        <v>31</v>
      </c>
      <c r="H788" s="7" t="s">
        <v>17</v>
      </c>
      <c r="I788" s="7" t="s">
        <v>17</v>
      </c>
      <c r="J788" s="7" t="s">
        <v>640</v>
      </c>
    </row>
    <row r="789" spans="1:10" x14ac:dyDescent="0.25" outlineLevel="3" collapsed="1">
      <c r="A789" s="7" t="s">
        <v>15</v>
      </c>
      <c r="B789" s="7" t="s">
        <v>16</v>
      </c>
      <c r="C789" s="7" t="s">
        <v>17</v>
      </c>
      <c r="D789" s="7"/>
      <c r="E789" s="7" t="s">
        <v>9</v>
      </c>
      <c r="F789" s="7" t="s">
        <v>19</v>
      </c>
      <c r="G789" s="7" t="s">
        <v>31</v>
      </c>
      <c r="H789" s="7" t="s">
        <v>17</v>
      </c>
      <c r="I789" s="7" t="s">
        <v>17</v>
      </c>
      <c r="J789" s="7" t="s">
        <v>843</v>
      </c>
    </row>
    <row r="790" spans="1:10" x14ac:dyDescent="0.25" outlineLevel="3" collapsed="1">
      <c r="A790" s="7" t="s">
        <v>19</v>
      </c>
      <c r="B790" s="7" t="s">
        <v>16</v>
      </c>
      <c r="C790" s="7" t="s">
        <v>17</v>
      </c>
      <c r="D790" s="7"/>
      <c r="E790" s="7" t="s">
        <v>1600</v>
      </c>
      <c r="F790" s="7" t="s">
        <v>19</v>
      </c>
      <c r="G790" s="7" t="s">
        <v>31</v>
      </c>
      <c r="H790" s="7" t="s">
        <v>17</v>
      </c>
      <c r="I790" s="7" t="s">
        <v>17</v>
      </c>
      <c r="J790" s="7" t="s">
        <v>1424</v>
      </c>
    </row>
    <row r="791" spans="1:10" x14ac:dyDescent="0.25" outlineLevel="3" collapsed="1">
      <c r="A791" s="7" t="s">
        <v>15</v>
      </c>
      <c r="B791" s="7" t="s">
        <v>16</v>
      </c>
      <c r="C791" s="7" t="s">
        <v>17</v>
      </c>
      <c r="D791" s="7"/>
      <c r="E791" s="7" t="s">
        <v>1601</v>
      </c>
      <c r="F791" s="7" t="s">
        <v>19</v>
      </c>
      <c r="G791" s="7" t="s">
        <v>31</v>
      </c>
      <c r="H791" s="7" t="s">
        <v>17</v>
      </c>
      <c r="I791" s="7" t="s">
        <v>17</v>
      </c>
      <c r="J791" s="7" t="s">
        <v>1602</v>
      </c>
    </row>
    <row r="792" spans="1:10" x14ac:dyDescent="0.25" outlineLevel="3" collapsed="1">
      <c r="A792" s="7" t="s">
        <v>15</v>
      </c>
      <c r="B792" s="7" t="s">
        <v>16</v>
      </c>
      <c r="C792" s="7" t="s">
        <v>17</v>
      </c>
      <c r="D792" s="7"/>
      <c r="E792" s="7" t="s">
        <v>1671</v>
      </c>
      <c r="F792" s="7" t="s">
        <v>19</v>
      </c>
      <c r="G792" s="7" t="s">
        <v>31</v>
      </c>
      <c r="H792" s="7" t="s">
        <v>17</v>
      </c>
      <c r="I792" s="7" t="s">
        <v>17</v>
      </c>
      <c r="J792" s="7" t="s">
        <v>1672</v>
      </c>
    </row>
    <row r="793" spans="1:10" x14ac:dyDescent="0.25" outlineLevel="3" collapsed="1">
      <c r="A793" s="7" t="s">
        <v>15</v>
      </c>
      <c r="B793" s="7" t="s">
        <v>16</v>
      </c>
      <c r="C793" s="7" t="s">
        <v>17</v>
      </c>
      <c r="D793" s="7"/>
      <c r="E793" s="7" t="s">
        <v>1673</v>
      </c>
      <c r="F793" s="7" t="s">
        <v>19</v>
      </c>
      <c r="G793" s="7" t="s">
        <v>31</v>
      </c>
      <c r="H793" s="7" t="s">
        <v>17</v>
      </c>
      <c r="I793" s="7" t="s">
        <v>17</v>
      </c>
      <c r="J793" s="7" t="s">
        <v>1674</v>
      </c>
    </row>
    <row r="794" spans="1:10" x14ac:dyDescent="0.25" outlineLevel="3" collapsed="1">
      <c r="A794" s="7" t="s">
        <v>15</v>
      </c>
      <c r="B794" s="7" t="s">
        <v>16</v>
      </c>
      <c r="C794" s="7" t="s">
        <v>17</v>
      </c>
      <c r="D794" s="7"/>
      <c r="E794" s="7" t="s">
        <v>2618</v>
      </c>
      <c r="F794" s="7" t="s">
        <v>19</v>
      </c>
      <c r="G794" s="7" t="s">
        <v>31</v>
      </c>
      <c r="H794" s="7" t="s">
        <v>17</v>
      </c>
      <c r="I794" s="7" t="s">
        <v>17</v>
      </c>
      <c r="J794" s="7" t="s">
        <v>1422</v>
      </c>
    </row>
    <row r="795" spans="1:10" x14ac:dyDescent="0.25" outlineLevel="3" collapsed="1">
      <c r="A795" s="7" t="s">
        <v>15</v>
      </c>
      <c r="B795" s="7" t="s">
        <v>284</v>
      </c>
      <c r="C795" s="11" t="s">
        <v>2619</v>
      </c>
      <c r="D795" s="7"/>
      <c r="E795" s="7" t="s">
        <v>1605</v>
      </c>
      <c r="F795" s="7" t="s">
        <v>19</v>
      </c>
      <c r="G795" s="7" t="s">
        <v>1606</v>
      </c>
      <c r="H795" s="7" t="s">
        <v>17</v>
      </c>
      <c r="I795" s="7" t="s">
        <v>17</v>
      </c>
      <c r="J795" s="7" t="s">
        <v>1607</v>
      </c>
    </row>
    <row r="796" spans="1:10" x14ac:dyDescent="0.25" outlineLevel="3" collapsed="1">
      <c r="A796" s="7" t="s">
        <v>19</v>
      </c>
      <c r="B796" s="7" t="s">
        <v>63</v>
      </c>
      <c r="C796" s="7" t="s">
        <v>17</v>
      </c>
      <c r="D796" s="7">
        <f>EXACT(G795,"Single value")</f>
      </c>
      <c r="E796" s="7" t="s">
        <v>2620</v>
      </c>
      <c r="F796" s="7" t="s">
        <v>19</v>
      </c>
      <c r="G796" s="7">
        <v>1</v>
      </c>
      <c r="H796" s="7" t="s">
        <v>17</v>
      </c>
      <c r="I796" s="7" t="s">
        <v>17</v>
      </c>
      <c r="J796" s="7" t="s">
        <v>1609</v>
      </c>
    </row>
    <row r="797" spans="1:10" x14ac:dyDescent="0.25" outlineLevel="3" collapsed="1">
      <c r="A797" s="7" t="s">
        <v>19</v>
      </c>
      <c r="B797" s="7" t="s">
        <v>16</v>
      </c>
      <c r="C797" s="7" t="s">
        <v>17</v>
      </c>
      <c r="D797" s="7"/>
      <c r="E797" s="7" t="s">
        <v>1677</v>
      </c>
      <c r="F797" s="7" t="s">
        <v>19</v>
      </c>
      <c r="G797" s="7" t="s">
        <v>31</v>
      </c>
      <c r="H797" s="7" t="s">
        <v>17</v>
      </c>
      <c r="I797" s="7" t="s">
        <v>17</v>
      </c>
      <c r="J797" s="7" t="s">
        <v>1678</v>
      </c>
    </row>
    <row r="798" spans="1:10" x14ac:dyDescent="0.25" outlineLevel="3" collapsed="1">
      <c r="A798" s="7" t="s">
        <v>15</v>
      </c>
      <c r="B798" s="7" t="s">
        <v>16</v>
      </c>
      <c r="C798" s="7" t="s">
        <v>17</v>
      </c>
      <c r="D798" s="7"/>
      <c r="E798" s="7" t="s">
        <v>1679</v>
      </c>
      <c r="F798" s="7" t="s">
        <v>19</v>
      </c>
      <c r="G798" s="7" t="s">
        <v>31</v>
      </c>
      <c r="H798" s="7" t="s">
        <v>17</v>
      </c>
      <c r="I798" s="7" t="s">
        <v>17</v>
      </c>
      <c r="J798" s="7" t="s">
        <v>1680</v>
      </c>
    </row>
    <row r="799" spans="1:10" x14ac:dyDescent="0.25" outlineLevel="3" collapsed="1">
      <c r="A799" s="7" t="s">
        <v>15</v>
      </c>
      <c r="B799" s="7" t="s">
        <v>284</v>
      </c>
      <c r="C799" s="11" t="s">
        <v>2621</v>
      </c>
      <c r="D799" s="7"/>
      <c r="E799" s="7" t="s">
        <v>1612</v>
      </c>
      <c r="F799" s="7" t="s">
        <v>19</v>
      </c>
      <c r="G799" s="7" t="s">
        <v>1613</v>
      </c>
      <c r="H799" s="7" t="s">
        <v>17</v>
      </c>
      <c r="I799" s="7" t="s">
        <v>17</v>
      </c>
      <c r="J799" s="7" t="s">
        <v>1614</v>
      </c>
    </row>
    <row r="800" spans="1:10" x14ac:dyDescent="0.25" outlineLevel="3" collapsed="1">
      <c r="A800" s="7" t="s">
        <v>19</v>
      </c>
      <c r="B800" s="7" t="s">
        <v>16</v>
      </c>
      <c r="C800" s="7" t="s">
        <v>17</v>
      </c>
      <c r="D800" s="7"/>
      <c r="E800" s="7" t="s">
        <v>1681</v>
      </c>
      <c r="F800" s="7" t="s">
        <v>19</v>
      </c>
      <c r="G800" s="7" t="s">
        <v>31</v>
      </c>
      <c r="H800" s="7" t="s">
        <v>17</v>
      </c>
      <c r="I800" s="7" t="s">
        <v>17</v>
      </c>
      <c r="J800" s="7" t="s">
        <v>1682</v>
      </c>
    </row>
    <row r="801" spans="1:10" x14ac:dyDescent="0.25" outlineLevel="3" collapsed="1">
      <c r="A801" s="7" t="s">
        <v>19</v>
      </c>
      <c r="B801" s="7" t="s">
        <v>16</v>
      </c>
      <c r="C801" s="7" t="s">
        <v>17</v>
      </c>
      <c r="D801" s="7"/>
      <c r="E801" s="7" t="s">
        <v>1615</v>
      </c>
      <c r="F801" s="7" t="s">
        <v>19</v>
      </c>
      <c r="G801" s="7" t="s">
        <v>31</v>
      </c>
      <c r="H801" s="7" t="s">
        <v>17</v>
      </c>
      <c r="I801" s="7" t="s">
        <v>17</v>
      </c>
      <c r="J801" s="7" t="s">
        <v>1616</v>
      </c>
    </row>
    <row r="802" spans="1:10" x14ac:dyDescent="0.25" outlineLevel="2" collapsed="1">
      <c r="A802" s="8" t="s">
        <v>19</v>
      </c>
      <c r="B802" s="9" t="s">
        <v>2617</v>
      </c>
      <c r="C802" s="8" t="s">
        <v>17</v>
      </c>
      <c r="D802" s="8"/>
      <c r="E802" s="8" t="s">
        <v>1699</v>
      </c>
      <c r="F802" s="8" t="s">
        <v>19</v>
      </c>
      <c r="G802" s="8" t="s">
        <v>17</v>
      </c>
      <c r="H802" s="8" t="s">
        <v>17</v>
      </c>
      <c r="I802" s="8" t="s">
        <v>17</v>
      </c>
      <c r="J802" s="8" t="s">
        <v>1700</v>
      </c>
    </row>
    <row r="803" spans="1:10" x14ac:dyDescent="0.25" outlineLevel="3" collapsed="1">
      <c r="A803" s="7" t="s">
        <v>15</v>
      </c>
      <c r="B803" s="7" t="s">
        <v>16</v>
      </c>
      <c r="C803" s="7" t="s">
        <v>17</v>
      </c>
      <c r="D803" s="7"/>
      <c r="E803" s="7" t="s">
        <v>1670</v>
      </c>
      <c r="F803" s="7" t="s">
        <v>19</v>
      </c>
      <c r="G803" s="7" t="s">
        <v>31</v>
      </c>
      <c r="H803" s="7" t="s">
        <v>17</v>
      </c>
      <c r="I803" s="7" t="s">
        <v>17</v>
      </c>
      <c r="J803" s="7" t="s">
        <v>637</v>
      </c>
    </row>
    <row r="804" spans="1:10" x14ac:dyDescent="0.25" outlineLevel="3" collapsed="1">
      <c r="A804" s="7" t="s">
        <v>15</v>
      </c>
      <c r="B804" s="7" t="s">
        <v>16</v>
      </c>
      <c r="C804" s="7" t="s">
        <v>17</v>
      </c>
      <c r="D804" s="7"/>
      <c r="E804" s="7" t="s">
        <v>638</v>
      </c>
      <c r="F804" s="7" t="s">
        <v>19</v>
      </c>
      <c r="G804" s="7" t="s">
        <v>31</v>
      </c>
      <c r="H804" s="7" t="s">
        <v>17</v>
      </c>
      <c r="I804" s="7" t="s">
        <v>17</v>
      </c>
      <c r="J804" s="7" t="s">
        <v>640</v>
      </c>
    </row>
    <row r="805" spans="1:10" x14ac:dyDescent="0.25" outlineLevel="3" collapsed="1">
      <c r="A805" s="7" t="s">
        <v>15</v>
      </c>
      <c r="B805" s="7" t="s">
        <v>16</v>
      </c>
      <c r="C805" s="7" t="s">
        <v>17</v>
      </c>
      <c r="D805" s="7"/>
      <c r="E805" s="7" t="s">
        <v>9</v>
      </c>
      <c r="F805" s="7" t="s">
        <v>19</v>
      </c>
      <c r="G805" s="7" t="s">
        <v>31</v>
      </c>
      <c r="H805" s="7" t="s">
        <v>17</v>
      </c>
      <c r="I805" s="7" t="s">
        <v>17</v>
      </c>
      <c r="J805" s="7" t="s">
        <v>843</v>
      </c>
    </row>
    <row r="806" spans="1:10" x14ac:dyDescent="0.25" outlineLevel="3" collapsed="1">
      <c r="A806" s="7" t="s">
        <v>19</v>
      </c>
      <c r="B806" s="7" t="s">
        <v>16</v>
      </c>
      <c r="C806" s="7" t="s">
        <v>17</v>
      </c>
      <c r="D806" s="7"/>
      <c r="E806" s="7" t="s">
        <v>1600</v>
      </c>
      <c r="F806" s="7" t="s">
        <v>19</v>
      </c>
      <c r="G806" s="7" t="s">
        <v>31</v>
      </c>
      <c r="H806" s="7" t="s">
        <v>17</v>
      </c>
      <c r="I806" s="7" t="s">
        <v>17</v>
      </c>
      <c r="J806" s="7" t="s">
        <v>1424</v>
      </c>
    </row>
    <row r="807" spans="1:10" x14ac:dyDescent="0.25" outlineLevel="3" collapsed="1">
      <c r="A807" s="7" t="s">
        <v>15</v>
      </c>
      <c r="B807" s="7" t="s">
        <v>16</v>
      </c>
      <c r="C807" s="7" t="s">
        <v>17</v>
      </c>
      <c r="D807" s="7"/>
      <c r="E807" s="7" t="s">
        <v>1601</v>
      </c>
      <c r="F807" s="7" t="s">
        <v>19</v>
      </c>
      <c r="G807" s="7" t="s">
        <v>31</v>
      </c>
      <c r="H807" s="7" t="s">
        <v>17</v>
      </c>
      <c r="I807" s="7" t="s">
        <v>17</v>
      </c>
      <c r="J807" s="7" t="s">
        <v>1602</v>
      </c>
    </row>
    <row r="808" spans="1:10" x14ac:dyDescent="0.25" outlineLevel="3" collapsed="1">
      <c r="A808" s="7" t="s">
        <v>15</v>
      </c>
      <c r="B808" s="7" t="s">
        <v>16</v>
      </c>
      <c r="C808" s="7" t="s">
        <v>17</v>
      </c>
      <c r="D808" s="7"/>
      <c r="E808" s="7" t="s">
        <v>1671</v>
      </c>
      <c r="F808" s="7" t="s">
        <v>19</v>
      </c>
      <c r="G808" s="7" t="s">
        <v>31</v>
      </c>
      <c r="H808" s="7" t="s">
        <v>17</v>
      </c>
      <c r="I808" s="7" t="s">
        <v>17</v>
      </c>
      <c r="J808" s="7" t="s">
        <v>1672</v>
      </c>
    </row>
    <row r="809" spans="1:10" x14ac:dyDescent="0.25" outlineLevel="3" collapsed="1">
      <c r="A809" s="7" t="s">
        <v>15</v>
      </c>
      <c r="B809" s="7" t="s">
        <v>16</v>
      </c>
      <c r="C809" s="7" t="s">
        <v>17</v>
      </c>
      <c r="D809" s="7"/>
      <c r="E809" s="7" t="s">
        <v>1673</v>
      </c>
      <c r="F809" s="7" t="s">
        <v>19</v>
      </c>
      <c r="G809" s="7" t="s">
        <v>31</v>
      </c>
      <c r="H809" s="7" t="s">
        <v>17</v>
      </c>
      <c r="I809" s="7" t="s">
        <v>17</v>
      </c>
      <c r="J809" s="7" t="s">
        <v>1674</v>
      </c>
    </row>
    <row r="810" spans="1:10" x14ac:dyDescent="0.25" outlineLevel="3" collapsed="1">
      <c r="A810" s="7" t="s">
        <v>15</v>
      </c>
      <c r="B810" s="7" t="s">
        <v>16</v>
      </c>
      <c r="C810" s="7" t="s">
        <v>17</v>
      </c>
      <c r="D810" s="7"/>
      <c r="E810" s="7" t="s">
        <v>2618</v>
      </c>
      <c r="F810" s="7" t="s">
        <v>19</v>
      </c>
      <c r="G810" s="7" t="s">
        <v>31</v>
      </c>
      <c r="H810" s="7" t="s">
        <v>17</v>
      </c>
      <c r="I810" s="7" t="s">
        <v>17</v>
      </c>
      <c r="J810" s="7" t="s">
        <v>1422</v>
      </c>
    </row>
    <row r="811" spans="1:10" x14ac:dyDescent="0.25" outlineLevel="3" collapsed="1">
      <c r="A811" s="7" t="s">
        <v>15</v>
      </c>
      <c r="B811" s="7" t="s">
        <v>284</v>
      </c>
      <c r="C811" s="11" t="s">
        <v>2619</v>
      </c>
      <c r="D811" s="7"/>
      <c r="E811" s="7" t="s">
        <v>1605</v>
      </c>
      <c r="F811" s="7" t="s">
        <v>19</v>
      </c>
      <c r="G811" s="7" t="s">
        <v>1606</v>
      </c>
      <c r="H811" s="7" t="s">
        <v>17</v>
      </c>
      <c r="I811" s="7" t="s">
        <v>17</v>
      </c>
      <c r="J811" s="7" t="s">
        <v>1607</v>
      </c>
    </row>
    <row r="812" spans="1:10" x14ac:dyDescent="0.25" outlineLevel="3" collapsed="1">
      <c r="A812" s="7" t="s">
        <v>19</v>
      </c>
      <c r="B812" s="7" t="s">
        <v>63</v>
      </c>
      <c r="C812" s="7" t="s">
        <v>17</v>
      </c>
      <c r="D812" s="7">
        <f>EXACT(G811,"Single value")</f>
      </c>
      <c r="E812" s="7" t="s">
        <v>2620</v>
      </c>
      <c r="F812" s="7" t="s">
        <v>19</v>
      </c>
      <c r="G812" s="7">
        <v>1</v>
      </c>
      <c r="H812" s="7" t="s">
        <v>17</v>
      </c>
      <c r="I812" s="7" t="s">
        <v>17</v>
      </c>
      <c r="J812" s="7" t="s">
        <v>1609</v>
      </c>
    </row>
    <row r="813" spans="1:10" x14ac:dyDescent="0.25" outlineLevel="3" collapsed="1">
      <c r="A813" s="7" t="s">
        <v>19</v>
      </c>
      <c r="B813" s="7" t="s">
        <v>16</v>
      </c>
      <c r="C813" s="7" t="s">
        <v>17</v>
      </c>
      <c r="D813" s="7"/>
      <c r="E813" s="7" t="s">
        <v>1677</v>
      </c>
      <c r="F813" s="7" t="s">
        <v>19</v>
      </c>
      <c r="G813" s="7" t="s">
        <v>31</v>
      </c>
      <c r="H813" s="7" t="s">
        <v>17</v>
      </c>
      <c r="I813" s="7" t="s">
        <v>17</v>
      </c>
      <c r="J813" s="7" t="s">
        <v>1678</v>
      </c>
    </row>
    <row r="814" spans="1:10" x14ac:dyDescent="0.25" outlineLevel="3" collapsed="1">
      <c r="A814" s="7" t="s">
        <v>15</v>
      </c>
      <c r="B814" s="7" t="s">
        <v>16</v>
      </c>
      <c r="C814" s="7" t="s">
        <v>17</v>
      </c>
      <c r="D814" s="7"/>
      <c r="E814" s="7" t="s">
        <v>1679</v>
      </c>
      <c r="F814" s="7" t="s">
        <v>19</v>
      </c>
      <c r="G814" s="7" t="s">
        <v>31</v>
      </c>
      <c r="H814" s="7" t="s">
        <v>17</v>
      </c>
      <c r="I814" s="7" t="s">
        <v>17</v>
      </c>
      <c r="J814" s="7" t="s">
        <v>1680</v>
      </c>
    </row>
    <row r="815" spans="1:10" x14ac:dyDescent="0.25" outlineLevel="3" collapsed="1">
      <c r="A815" s="7" t="s">
        <v>15</v>
      </c>
      <c r="B815" s="7" t="s">
        <v>284</v>
      </c>
      <c r="C815" s="11" t="s">
        <v>2621</v>
      </c>
      <c r="D815" s="7"/>
      <c r="E815" s="7" t="s">
        <v>1612</v>
      </c>
      <c r="F815" s="7" t="s">
        <v>19</v>
      </c>
      <c r="G815" s="7" t="s">
        <v>1613</v>
      </c>
      <c r="H815" s="7" t="s">
        <v>17</v>
      </c>
      <c r="I815" s="7" t="s">
        <v>17</v>
      </c>
      <c r="J815" s="7" t="s">
        <v>1614</v>
      </c>
    </row>
    <row r="816" spans="1:10" x14ac:dyDescent="0.25" outlineLevel="3" collapsed="1">
      <c r="A816" s="7" t="s">
        <v>19</v>
      </c>
      <c r="B816" s="7" t="s">
        <v>16</v>
      </c>
      <c r="C816" s="7" t="s">
        <v>17</v>
      </c>
      <c r="D816" s="7"/>
      <c r="E816" s="7" t="s">
        <v>1681</v>
      </c>
      <c r="F816" s="7" t="s">
        <v>19</v>
      </c>
      <c r="G816" s="7" t="s">
        <v>31</v>
      </c>
      <c r="H816" s="7" t="s">
        <v>17</v>
      </c>
      <c r="I816" s="7" t="s">
        <v>17</v>
      </c>
      <c r="J816" s="7" t="s">
        <v>1682</v>
      </c>
    </row>
    <row r="817" spans="1:10" x14ac:dyDescent="0.25" outlineLevel="3" collapsed="1">
      <c r="A817" s="7" t="s">
        <v>19</v>
      </c>
      <c r="B817" s="7" t="s">
        <v>16</v>
      </c>
      <c r="C817" s="7" t="s">
        <v>17</v>
      </c>
      <c r="D817" s="7"/>
      <c r="E817" s="7" t="s">
        <v>1615</v>
      </c>
      <c r="F817" s="7" t="s">
        <v>19</v>
      </c>
      <c r="G817" s="7" t="s">
        <v>31</v>
      </c>
      <c r="H817" s="7" t="s">
        <v>17</v>
      </c>
      <c r="I817" s="7" t="s">
        <v>17</v>
      </c>
      <c r="J817" s="7" t="s">
        <v>1616</v>
      </c>
    </row>
    <row r="818" spans="1:10" x14ac:dyDescent="0.25" outlineLevel="2" collapsed="1">
      <c r="A818" s="8" t="s">
        <v>19</v>
      </c>
      <c r="B818" s="9" t="s">
        <v>2617</v>
      </c>
      <c r="C818" s="8" t="s">
        <v>17</v>
      </c>
      <c r="D818" s="8"/>
      <c r="E818" s="8" t="s">
        <v>1701</v>
      </c>
      <c r="F818" s="8" t="s">
        <v>19</v>
      </c>
      <c r="G818" s="8" t="s">
        <v>17</v>
      </c>
      <c r="H818" s="8" t="s">
        <v>17</v>
      </c>
      <c r="I818" s="8" t="s">
        <v>17</v>
      </c>
      <c r="J818" s="8" t="s">
        <v>1702</v>
      </c>
    </row>
    <row r="819" spans="1:10" x14ac:dyDescent="0.25" outlineLevel="3" collapsed="1">
      <c r="A819" s="7" t="s">
        <v>15</v>
      </c>
      <c r="B819" s="7" t="s">
        <v>16</v>
      </c>
      <c r="C819" s="7" t="s">
        <v>17</v>
      </c>
      <c r="D819" s="7"/>
      <c r="E819" s="7" t="s">
        <v>1670</v>
      </c>
      <c r="F819" s="7" t="s">
        <v>19</v>
      </c>
      <c r="G819" s="7" t="s">
        <v>31</v>
      </c>
      <c r="H819" s="7" t="s">
        <v>17</v>
      </c>
      <c r="I819" s="7" t="s">
        <v>17</v>
      </c>
      <c r="J819" s="7" t="s">
        <v>637</v>
      </c>
    </row>
    <row r="820" spans="1:10" x14ac:dyDescent="0.25" outlineLevel="3" collapsed="1">
      <c r="A820" s="7" t="s">
        <v>15</v>
      </c>
      <c r="B820" s="7" t="s">
        <v>16</v>
      </c>
      <c r="C820" s="7" t="s">
        <v>17</v>
      </c>
      <c r="D820" s="7"/>
      <c r="E820" s="7" t="s">
        <v>638</v>
      </c>
      <c r="F820" s="7" t="s">
        <v>19</v>
      </c>
      <c r="G820" s="7" t="s">
        <v>31</v>
      </c>
      <c r="H820" s="7" t="s">
        <v>17</v>
      </c>
      <c r="I820" s="7" t="s">
        <v>17</v>
      </c>
      <c r="J820" s="7" t="s">
        <v>640</v>
      </c>
    </row>
    <row r="821" spans="1:10" x14ac:dyDescent="0.25" outlineLevel="3" collapsed="1">
      <c r="A821" s="7" t="s">
        <v>15</v>
      </c>
      <c r="B821" s="7" t="s">
        <v>16</v>
      </c>
      <c r="C821" s="7" t="s">
        <v>17</v>
      </c>
      <c r="D821" s="7"/>
      <c r="E821" s="7" t="s">
        <v>9</v>
      </c>
      <c r="F821" s="7" t="s">
        <v>19</v>
      </c>
      <c r="G821" s="7" t="s">
        <v>31</v>
      </c>
      <c r="H821" s="7" t="s">
        <v>17</v>
      </c>
      <c r="I821" s="7" t="s">
        <v>17</v>
      </c>
      <c r="J821" s="7" t="s">
        <v>843</v>
      </c>
    </row>
    <row r="822" spans="1:10" x14ac:dyDescent="0.25" outlineLevel="3" collapsed="1">
      <c r="A822" s="7" t="s">
        <v>19</v>
      </c>
      <c r="B822" s="7" t="s">
        <v>16</v>
      </c>
      <c r="C822" s="7" t="s">
        <v>17</v>
      </c>
      <c r="D822" s="7"/>
      <c r="E822" s="7" t="s">
        <v>1600</v>
      </c>
      <c r="F822" s="7" t="s">
        <v>19</v>
      </c>
      <c r="G822" s="7" t="s">
        <v>31</v>
      </c>
      <c r="H822" s="7" t="s">
        <v>17</v>
      </c>
      <c r="I822" s="7" t="s">
        <v>17</v>
      </c>
      <c r="J822" s="7" t="s">
        <v>1424</v>
      </c>
    </row>
    <row r="823" spans="1:10" x14ac:dyDescent="0.25" outlineLevel="3" collapsed="1">
      <c r="A823" s="7" t="s">
        <v>15</v>
      </c>
      <c r="B823" s="7" t="s">
        <v>16</v>
      </c>
      <c r="C823" s="7" t="s">
        <v>17</v>
      </c>
      <c r="D823" s="7"/>
      <c r="E823" s="7" t="s">
        <v>1601</v>
      </c>
      <c r="F823" s="7" t="s">
        <v>19</v>
      </c>
      <c r="G823" s="7" t="s">
        <v>31</v>
      </c>
      <c r="H823" s="7" t="s">
        <v>17</v>
      </c>
      <c r="I823" s="7" t="s">
        <v>17</v>
      </c>
      <c r="J823" s="7" t="s">
        <v>1602</v>
      </c>
    </row>
    <row r="824" spans="1:10" x14ac:dyDescent="0.25" outlineLevel="3" collapsed="1">
      <c r="A824" s="7" t="s">
        <v>15</v>
      </c>
      <c r="B824" s="7" t="s">
        <v>16</v>
      </c>
      <c r="C824" s="7" t="s">
        <v>17</v>
      </c>
      <c r="D824" s="7"/>
      <c r="E824" s="7" t="s">
        <v>1671</v>
      </c>
      <c r="F824" s="7" t="s">
        <v>19</v>
      </c>
      <c r="G824" s="7" t="s">
        <v>31</v>
      </c>
      <c r="H824" s="7" t="s">
        <v>17</v>
      </c>
      <c r="I824" s="7" t="s">
        <v>17</v>
      </c>
      <c r="J824" s="7" t="s">
        <v>1672</v>
      </c>
    </row>
    <row r="825" spans="1:10" x14ac:dyDescent="0.25" outlineLevel="3" collapsed="1">
      <c r="A825" s="7" t="s">
        <v>15</v>
      </c>
      <c r="B825" s="7" t="s">
        <v>16</v>
      </c>
      <c r="C825" s="7" t="s">
        <v>17</v>
      </c>
      <c r="D825" s="7"/>
      <c r="E825" s="7" t="s">
        <v>1673</v>
      </c>
      <c r="F825" s="7" t="s">
        <v>19</v>
      </c>
      <c r="G825" s="7" t="s">
        <v>31</v>
      </c>
      <c r="H825" s="7" t="s">
        <v>17</v>
      </c>
      <c r="I825" s="7" t="s">
        <v>17</v>
      </c>
      <c r="J825" s="7" t="s">
        <v>1674</v>
      </c>
    </row>
    <row r="826" spans="1:10" x14ac:dyDescent="0.25" outlineLevel="3" collapsed="1">
      <c r="A826" s="7" t="s">
        <v>15</v>
      </c>
      <c r="B826" s="7" t="s">
        <v>16</v>
      </c>
      <c r="C826" s="7" t="s">
        <v>17</v>
      </c>
      <c r="D826" s="7"/>
      <c r="E826" s="7" t="s">
        <v>2618</v>
      </c>
      <c r="F826" s="7" t="s">
        <v>19</v>
      </c>
      <c r="G826" s="7" t="s">
        <v>31</v>
      </c>
      <c r="H826" s="7" t="s">
        <v>17</v>
      </c>
      <c r="I826" s="7" t="s">
        <v>17</v>
      </c>
      <c r="J826" s="7" t="s">
        <v>1422</v>
      </c>
    </row>
    <row r="827" spans="1:10" x14ac:dyDescent="0.25" outlineLevel="3" collapsed="1">
      <c r="A827" s="7" t="s">
        <v>15</v>
      </c>
      <c r="B827" s="7" t="s">
        <v>284</v>
      </c>
      <c r="C827" s="11" t="s">
        <v>2619</v>
      </c>
      <c r="D827" s="7"/>
      <c r="E827" s="7" t="s">
        <v>1605</v>
      </c>
      <c r="F827" s="7" t="s">
        <v>19</v>
      </c>
      <c r="G827" s="7" t="s">
        <v>1606</v>
      </c>
      <c r="H827" s="7" t="s">
        <v>17</v>
      </c>
      <c r="I827" s="7" t="s">
        <v>17</v>
      </c>
      <c r="J827" s="7" t="s">
        <v>1607</v>
      </c>
    </row>
    <row r="828" spans="1:10" x14ac:dyDescent="0.25" outlineLevel="3" collapsed="1">
      <c r="A828" s="7" t="s">
        <v>19</v>
      </c>
      <c r="B828" s="7" t="s">
        <v>63</v>
      </c>
      <c r="C828" s="7" t="s">
        <v>17</v>
      </c>
      <c r="D828" s="7">
        <f>EXACT(G827,"Single value")</f>
      </c>
      <c r="E828" s="7" t="s">
        <v>2620</v>
      </c>
      <c r="F828" s="7" t="s">
        <v>19</v>
      </c>
      <c r="G828" s="7">
        <v>1</v>
      </c>
      <c r="H828" s="7" t="s">
        <v>17</v>
      </c>
      <c r="I828" s="7" t="s">
        <v>17</v>
      </c>
      <c r="J828" s="7" t="s">
        <v>1609</v>
      </c>
    </row>
    <row r="829" spans="1:10" x14ac:dyDescent="0.25" outlineLevel="3" collapsed="1">
      <c r="A829" s="7" t="s">
        <v>19</v>
      </c>
      <c r="B829" s="7" t="s">
        <v>16</v>
      </c>
      <c r="C829" s="7" t="s">
        <v>17</v>
      </c>
      <c r="D829" s="7"/>
      <c r="E829" s="7" t="s">
        <v>1677</v>
      </c>
      <c r="F829" s="7" t="s">
        <v>19</v>
      </c>
      <c r="G829" s="7" t="s">
        <v>31</v>
      </c>
      <c r="H829" s="7" t="s">
        <v>17</v>
      </c>
      <c r="I829" s="7" t="s">
        <v>17</v>
      </c>
      <c r="J829" s="7" t="s">
        <v>1678</v>
      </c>
    </row>
    <row r="830" spans="1:10" x14ac:dyDescent="0.25" outlineLevel="3" collapsed="1">
      <c r="A830" s="7" t="s">
        <v>15</v>
      </c>
      <c r="B830" s="7" t="s">
        <v>16</v>
      </c>
      <c r="C830" s="7" t="s">
        <v>17</v>
      </c>
      <c r="D830" s="7"/>
      <c r="E830" s="7" t="s">
        <v>1679</v>
      </c>
      <c r="F830" s="7" t="s">
        <v>19</v>
      </c>
      <c r="G830" s="7" t="s">
        <v>31</v>
      </c>
      <c r="H830" s="7" t="s">
        <v>17</v>
      </c>
      <c r="I830" s="7" t="s">
        <v>17</v>
      </c>
      <c r="J830" s="7" t="s">
        <v>1680</v>
      </c>
    </row>
    <row r="831" spans="1:10" x14ac:dyDescent="0.25" outlineLevel="3" collapsed="1">
      <c r="A831" s="7" t="s">
        <v>15</v>
      </c>
      <c r="B831" s="7" t="s">
        <v>284</v>
      </c>
      <c r="C831" s="11" t="s">
        <v>2621</v>
      </c>
      <c r="D831" s="7"/>
      <c r="E831" s="7" t="s">
        <v>1612</v>
      </c>
      <c r="F831" s="7" t="s">
        <v>19</v>
      </c>
      <c r="G831" s="7" t="s">
        <v>1613</v>
      </c>
      <c r="H831" s="7" t="s">
        <v>17</v>
      </c>
      <c r="I831" s="7" t="s">
        <v>17</v>
      </c>
      <c r="J831" s="7" t="s">
        <v>1614</v>
      </c>
    </row>
    <row r="832" spans="1:10" x14ac:dyDescent="0.25" outlineLevel="3" collapsed="1">
      <c r="A832" s="7" t="s">
        <v>19</v>
      </c>
      <c r="B832" s="7" t="s">
        <v>16</v>
      </c>
      <c r="C832" s="7" t="s">
        <v>17</v>
      </c>
      <c r="D832" s="7"/>
      <c r="E832" s="7" t="s">
        <v>1681</v>
      </c>
      <c r="F832" s="7" t="s">
        <v>19</v>
      </c>
      <c r="G832" s="7" t="s">
        <v>31</v>
      </c>
      <c r="H832" s="7" t="s">
        <v>17</v>
      </c>
      <c r="I832" s="7" t="s">
        <v>17</v>
      </c>
      <c r="J832" s="7" t="s">
        <v>1682</v>
      </c>
    </row>
    <row r="833" spans="1:10" x14ac:dyDescent="0.25" outlineLevel="3" collapsed="1">
      <c r="A833" s="7" t="s">
        <v>19</v>
      </c>
      <c r="B833" s="7" t="s">
        <v>16</v>
      </c>
      <c r="C833" s="7" t="s">
        <v>17</v>
      </c>
      <c r="D833" s="7"/>
      <c r="E833" s="7" t="s">
        <v>1615</v>
      </c>
      <c r="F833" s="7" t="s">
        <v>19</v>
      </c>
      <c r="G833" s="7" t="s">
        <v>31</v>
      </c>
      <c r="H833" s="7" t="s">
        <v>17</v>
      </c>
      <c r="I833" s="7" t="s">
        <v>17</v>
      </c>
      <c r="J833" s="7" t="s">
        <v>1616</v>
      </c>
    </row>
    <row r="834" spans="1:10" x14ac:dyDescent="0.25" outlineLevel="2" collapsed="1">
      <c r="A834" s="8" t="s">
        <v>19</v>
      </c>
      <c r="B834" s="9" t="s">
        <v>2617</v>
      </c>
      <c r="C834" s="8" t="s">
        <v>17</v>
      </c>
      <c r="D834" s="8"/>
      <c r="E834" s="8" t="s">
        <v>1703</v>
      </c>
      <c r="F834" s="8" t="s">
        <v>19</v>
      </c>
      <c r="G834" s="8" t="s">
        <v>17</v>
      </c>
      <c r="H834" s="8" t="s">
        <v>17</v>
      </c>
      <c r="I834" s="8" t="s">
        <v>17</v>
      </c>
      <c r="J834" s="8" t="s">
        <v>1704</v>
      </c>
    </row>
    <row r="835" spans="1:10" x14ac:dyDescent="0.25" outlineLevel="3" collapsed="1">
      <c r="A835" s="7" t="s">
        <v>15</v>
      </c>
      <c r="B835" s="7" t="s">
        <v>16</v>
      </c>
      <c r="C835" s="7" t="s">
        <v>17</v>
      </c>
      <c r="D835" s="7"/>
      <c r="E835" s="7" t="s">
        <v>1670</v>
      </c>
      <c r="F835" s="7" t="s">
        <v>19</v>
      </c>
      <c r="G835" s="7" t="s">
        <v>31</v>
      </c>
      <c r="H835" s="7" t="s">
        <v>17</v>
      </c>
      <c r="I835" s="7" t="s">
        <v>17</v>
      </c>
      <c r="J835" s="7" t="s">
        <v>637</v>
      </c>
    </row>
    <row r="836" spans="1:10" x14ac:dyDescent="0.25" outlineLevel="3" collapsed="1">
      <c r="A836" s="7" t="s">
        <v>15</v>
      </c>
      <c r="B836" s="7" t="s">
        <v>16</v>
      </c>
      <c r="C836" s="7" t="s">
        <v>17</v>
      </c>
      <c r="D836" s="7"/>
      <c r="E836" s="7" t="s">
        <v>638</v>
      </c>
      <c r="F836" s="7" t="s">
        <v>19</v>
      </c>
      <c r="G836" s="7" t="s">
        <v>31</v>
      </c>
      <c r="H836" s="7" t="s">
        <v>17</v>
      </c>
      <c r="I836" s="7" t="s">
        <v>17</v>
      </c>
      <c r="J836" s="7" t="s">
        <v>640</v>
      </c>
    </row>
    <row r="837" spans="1:10" x14ac:dyDescent="0.25" outlineLevel="3" collapsed="1">
      <c r="A837" s="7" t="s">
        <v>15</v>
      </c>
      <c r="B837" s="7" t="s">
        <v>16</v>
      </c>
      <c r="C837" s="7" t="s">
        <v>17</v>
      </c>
      <c r="D837" s="7"/>
      <c r="E837" s="7" t="s">
        <v>9</v>
      </c>
      <c r="F837" s="7" t="s">
        <v>19</v>
      </c>
      <c r="G837" s="7" t="s">
        <v>31</v>
      </c>
      <c r="H837" s="7" t="s">
        <v>17</v>
      </c>
      <c r="I837" s="7" t="s">
        <v>17</v>
      </c>
      <c r="J837" s="7" t="s">
        <v>843</v>
      </c>
    </row>
    <row r="838" spans="1:10" x14ac:dyDescent="0.25" outlineLevel="3" collapsed="1">
      <c r="A838" s="7" t="s">
        <v>19</v>
      </c>
      <c r="B838" s="7" t="s">
        <v>16</v>
      </c>
      <c r="C838" s="7" t="s">
        <v>17</v>
      </c>
      <c r="D838" s="7"/>
      <c r="E838" s="7" t="s">
        <v>1600</v>
      </c>
      <c r="F838" s="7" t="s">
        <v>19</v>
      </c>
      <c r="G838" s="7" t="s">
        <v>31</v>
      </c>
      <c r="H838" s="7" t="s">
        <v>17</v>
      </c>
      <c r="I838" s="7" t="s">
        <v>17</v>
      </c>
      <c r="J838" s="7" t="s">
        <v>1424</v>
      </c>
    </row>
    <row r="839" spans="1:10" x14ac:dyDescent="0.25" outlineLevel="3" collapsed="1">
      <c r="A839" s="7" t="s">
        <v>15</v>
      </c>
      <c r="B839" s="7" t="s">
        <v>16</v>
      </c>
      <c r="C839" s="7" t="s">
        <v>17</v>
      </c>
      <c r="D839" s="7"/>
      <c r="E839" s="7" t="s">
        <v>1601</v>
      </c>
      <c r="F839" s="7" t="s">
        <v>19</v>
      </c>
      <c r="G839" s="7" t="s">
        <v>31</v>
      </c>
      <c r="H839" s="7" t="s">
        <v>17</v>
      </c>
      <c r="I839" s="7" t="s">
        <v>17</v>
      </c>
      <c r="J839" s="7" t="s">
        <v>1602</v>
      </c>
    </row>
    <row r="840" spans="1:10" x14ac:dyDescent="0.25" outlineLevel="3" collapsed="1">
      <c r="A840" s="7" t="s">
        <v>15</v>
      </c>
      <c r="B840" s="7" t="s">
        <v>16</v>
      </c>
      <c r="C840" s="7" t="s">
        <v>17</v>
      </c>
      <c r="D840" s="7"/>
      <c r="E840" s="7" t="s">
        <v>1671</v>
      </c>
      <c r="F840" s="7" t="s">
        <v>19</v>
      </c>
      <c r="G840" s="7" t="s">
        <v>31</v>
      </c>
      <c r="H840" s="7" t="s">
        <v>17</v>
      </c>
      <c r="I840" s="7" t="s">
        <v>17</v>
      </c>
      <c r="J840" s="7" t="s">
        <v>1672</v>
      </c>
    </row>
    <row r="841" spans="1:10" x14ac:dyDescent="0.25" outlineLevel="3" collapsed="1">
      <c r="A841" s="7" t="s">
        <v>15</v>
      </c>
      <c r="B841" s="7" t="s">
        <v>16</v>
      </c>
      <c r="C841" s="7" t="s">
        <v>17</v>
      </c>
      <c r="D841" s="7"/>
      <c r="E841" s="7" t="s">
        <v>1673</v>
      </c>
      <c r="F841" s="7" t="s">
        <v>19</v>
      </c>
      <c r="G841" s="7" t="s">
        <v>31</v>
      </c>
      <c r="H841" s="7" t="s">
        <v>17</v>
      </c>
      <c r="I841" s="7" t="s">
        <v>17</v>
      </c>
      <c r="J841" s="7" t="s">
        <v>1674</v>
      </c>
    </row>
    <row r="842" spans="1:10" x14ac:dyDescent="0.25" outlineLevel="3" collapsed="1">
      <c r="A842" s="7" t="s">
        <v>15</v>
      </c>
      <c r="B842" s="7" t="s">
        <v>16</v>
      </c>
      <c r="C842" s="7" t="s">
        <v>17</v>
      </c>
      <c r="D842" s="7"/>
      <c r="E842" s="7" t="s">
        <v>2618</v>
      </c>
      <c r="F842" s="7" t="s">
        <v>19</v>
      </c>
      <c r="G842" s="7" t="s">
        <v>31</v>
      </c>
      <c r="H842" s="7" t="s">
        <v>17</v>
      </c>
      <c r="I842" s="7" t="s">
        <v>17</v>
      </c>
      <c r="J842" s="7" t="s">
        <v>1422</v>
      </c>
    </row>
    <row r="843" spans="1:10" x14ac:dyDescent="0.25" outlineLevel="3" collapsed="1">
      <c r="A843" s="7" t="s">
        <v>15</v>
      </c>
      <c r="B843" s="7" t="s">
        <v>284</v>
      </c>
      <c r="C843" s="11" t="s">
        <v>2619</v>
      </c>
      <c r="D843" s="7"/>
      <c r="E843" s="7" t="s">
        <v>1605</v>
      </c>
      <c r="F843" s="7" t="s">
        <v>19</v>
      </c>
      <c r="G843" s="7" t="s">
        <v>1606</v>
      </c>
      <c r="H843" s="7" t="s">
        <v>17</v>
      </c>
      <c r="I843" s="7" t="s">
        <v>17</v>
      </c>
      <c r="J843" s="7" t="s">
        <v>1607</v>
      </c>
    </row>
    <row r="844" spans="1:10" x14ac:dyDescent="0.25" outlineLevel="3" collapsed="1">
      <c r="A844" s="7" t="s">
        <v>19</v>
      </c>
      <c r="B844" s="7" t="s">
        <v>63</v>
      </c>
      <c r="C844" s="7" t="s">
        <v>17</v>
      </c>
      <c r="D844" s="7">
        <f>EXACT(G843,"Single value")</f>
      </c>
      <c r="E844" s="7" t="s">
        <v>2620</v>
      </c>
      <c r="F844" s="7" t="s">
        <v>19</v>
      </c>
      <c r="G844" s="7">
        <v>1</v>
      </c>
      <c r="H844" s="7" t="s">
        <v>17</v>
      </c>
      <c r="I844" s="7" t="s">
        <v>17</v>
      </c>
      <c r="J844" s="7" t="s">
        <v>1609</v>
      </c>
    </row>
    <row r="845" spans="1:10" x14ac:dyDescent="0.25" outlineLevel="3" collapsed="1">
      <c r="A845" s="7" t="s">
        <v>19</v>
      </c>
      <c r="B845" s="7" t="s">
        <v>16</v>
      </c>
      <c r="C845" s="7" t="s">
        <v>17</v>
      </c>
      <c r="D845" s="7"/>
      <c r="E845" s="7" t="s">
        <v>1677</v>
      </c>
      <c r="F845" s="7" t="s">
        <v>19</v>
      </c>
      <c r="G845" s="7" t="s">
        <v>31</v>
      </c>
      <c r="H845" s="7" t="s">
        <v>17</v>
      </c>
      <c r="I845" s="7" t="s">
        <v>17</v>
      </c>
      <c r="J845" s="7" t="s">
        <v>1678</v>
      </c>
    </row>
    <row r="846" spans="1:10" x14ac:dyDescent="0.25" outlineLevel="3" collapsed="1">
      <c r="A846" s="7" t="s">
        <v>15</v>
      </c>
      <c r="B846" s="7" t="s">
        <v>16</v>
      </c>
      <c r="C846" s="7" t="s">
        <v>17</v>
      </c>
      <c r="D846" s="7"/>
      <c r="E846" s="7" t="s">
        <v>1679</v>
      </c>
      <c r="F846" s="7" t="s">
        <v>19</v>
      </c>
      <c r="G846" s="7" t="s">
        <v>31</v>
      </c>
      <c r="H846" s="7" t="s">
        <v>17</v>
      </c>
      <c r="I846" s="7" t="s">
        <v>17</v>
      </c>
      <c r="J846" s="7" t="s">
        <v>1680</v>
      </c>
    </row>
    <row r="847" spans="1:10" x14ac:dyDescent="0.25" outlineLevel="3" collapsed="1">
      <c r="A847" s="7" t="s">
        <v>15</v>
      </c>
      <c r="B847" s="7" t="s">
        <v>284</v>
      </c>
      <c r="C847" s="11" t="s">
        <v>2621</v>
      </c>
      <c r="D847" s="7"/>
      <c r="E847" s="7" t="s">
        <v>1612</v>
      </c>
      <c r="F847" s="7" t="s">
        <v>19</v>
      </c>
      <c r="G847" s="7" t="s">
        <v>1613</v>
      </c>
      <c r="H847" s="7" t="s">
        <v>17</v>
      </c>
      <c r="I847" s="7" t="s">
        <v>17</v>
      </c>
      <c r="J847" s="7" t="s">
        <v>1614</v>
      </c>
    </row>
    <row r="848" spans="1:10" x14ac:dyDescent="0.25" outlineLevel="3" collapsed="1">
      <c r="A848" s="7" t="s">
        <v>19</v>
      </c>
      <c r="B848" s="7" t="s">
        <v>16</v>
      </c>
      <c r="C848" s="7" t="s">
        <v>17</v>
      </c>
      <c r="D848" s="7"/>
      <c r="E848" s="7" t="s">
        <v>1681</v>
      </c>
      <c r="F848" s="7" t="s">
        <v>19</v>
      </c>
      <c r="G848" s="7" t="s">
        <v>31</v>
      </c>
      <c r="H848" s="7" t="s">
        <v>17</v>
      </c>
      <c r="I848" s="7" t="s">
        <v>17</v>
      </c>
      <c r="J848" s="7" t="s">
        <v>1682</v>
      </c>
    </row>
    <row r="849" spans="1:10" x14ac:dyDescent="0.25" outlineLevel="3" collapsed="1">
      <c r="A849" s="7" t="s">
        <v>19</v>
      </c>
      <c r="B849" s="7" t="s">
        <v>16</v>
      </c>
      <c r="C849" s="7" t="s">
        <v>17</v>
      </c>
      <c r="D849" s="7"/>
      <c r="E849" s="7" t="s">
        <v>1615</v>
      </c>
      <c r="F849" s="7" t="s">
        <v>19</v>
      </c>
      <c r="G849" s="7" t="s">
        <v>31</v>
      </c>
      <c r="H849" s="7" t="s">
        <v>17</v>
      </c>
      <c r="I849" s="7" t="s">
        <v>17</v>
      </c>
      <c r="J849" s="7" t="s">
        <v>1616</v>
      </c>
    </row>
    <row r="850" spans="1:10" x14ac:dyDescent="0.25" outlineLevel="2" collapsed="1">
      <c r="A850" s="8" t="s">
        <v>19</v>
      </c>
      <c r="B850" s="9" t="s">
        <v>2617</v>
      </c>
      <c r="C850" s="8" t="s">
        <v>17</v>
      </c>
      <c r="D850" s="8"/>
      <c r="E850" s="8" t="s">
        <v>1705</v>
      </c>
      <c r="F850" s="8" t="s">
        <v>19</v>
      </c>
      <c r="G850" s="8" t="s">
        <v>17</v>
      </c>
      <c r="H850" s="8" t="s">
        <v>17</v>
      </c>
      <c r="I850" s="8" t="s">
        <v>17</v>
      </c>
      <c r="J850" s="8" t="s">
        <v>1706</v>
      </c>
    </row>
    <row r="851" spans="1:10" x14ac:dyDescent="0.25" outlineLevel="3" collapsed="1">
      <c r="A851" s="7" t="s">
        <v>15</v>
      </c>
      <c r="B851" s="7" t="s">
        <v>16</v>
      </c>
      <c r="C851" s="7" t="s">
        <v>17</v>
      </c>
      <c r="D851" s="7"/>
      <c r="E851" s="7" t="s">
        <v>1670</v>
      </c>
      <c r="F851" s="7" t="s">
        <v>19</v>
      </c>
      <c r="G851" s="7" t="s">
        <v>31</v>
      </c>
      <c r="H851" s="7" t="s">
        <v>17</v>
      </c>
      <c r="I851" s="7" t="s">
        <v>17</v>
      </c>
      <c r="J851" s="7" t="s">
        <v>637</v>
      </c>
    </row>
    <row r="852" spans="1:10" x14ac:dyDescent="0.25" outlineLevel="3" collapsed="1">
      <c r="A852" s="7" t="s">
        <v>15</v>
      </c>
      <c r="B852" s="7" t="s">
        <v>16</v>
      </c>
      <c r="C852" s="7" t="s">
        <v>17</v>
      </c>
      <c r="D852" s="7"/>
      <c r="E852" s="7" t="s">
        <v>638</v>
      </c>
      <c r="F852" s="7" t="s">
        <v>19</v>
      </c>
      <c r="G852" s="7" t="s">
        <v>31</v>
      </c>
      <c r="H852" s="7" t="s">
        <v>17</v>
      </c>
      <c r="I852" s="7" t="s">
        <v>17</v>
      </c>
      <c r="J852" s="7" t="s">
        <v>640</v>
      </c>
    </row>
    <row r="853" spans="1:10" x14ac:dyDescent="0.25" outlineLevel="3" collapsed="1">
      <c r="A853" s="7" t="s">
        <v>15</v>
      </c>
      <c r="B853" s="7" t="s">
        <v>16</v>
      </c>
      <c r="C853" s="7" t="s">
        <v>17</v>
      </c>
      <c r="D853" s="7"/>
      <c r="E853" s="7" t="s">
        <v>9</v>
      </c>
      <c r="F853" s="7" t="s">
        <v>19</v>
      </c>
      <c r="G853" s="7" t="s">
        <v>31</v>
      </c>
      <c r="H853" s="7" t="s">
        <v>17</v>
      </c>
      <c r="I853" s="7" t="s">
        <v>17</v>
      </c>
      <c r="J853" s="7" t="s">
        <v>843</v>
      </c>
    </row>
    <row r="854" spans="1:10" x14ac:dyDescent="0.25" outlineLevel="3" collapsed="1">
      <c r="A854" s="7" t="s">
        <v>19</v>
      </c>
      <c r="B854" s="7" t="s">
        <v>16</v>
      </c>
      <c r="C854" s="7" t="s">
        <v>17</v>
      </c>
      <c r="D854" s="7"/>
      <c r="E854" s="7" t="s">
        <v>1600</v>
      </c>
      <c r="F854" s="7" t="s">
        <v>19</v>
      </c>
      <c r="G854" s="7" t="s">
        <v>31</v>
      </c>
      <c r="H854" s="7" t="s">
        <v>17</v>
      </c>
      <c r="I854" s="7" t="s">
        <v>17</v>
      </c>
      <c r="J854" s="7" t="s">
        <v>1424</v>
      </c>
    </row>
    <row r="855" spans="1:10" x14ac:dyDescent="0.25" outlineLevel="3" collapsed="1">
      <c r="A855" s="7" t="s">
        <v>15</v>
      </c>
      <c r="B855" s="7" t="s">
        <v>16</v>
      </c>
      <c r="C855" s="7" t="s">
        <v>17</v>
      </c>
      <c r="D855" s="7"/>
      <c r="E855" s="7" t="s">
        <v>1601</v>
      </c>
      <c r="F855" s="7" t="s">
        <v>19</v>
      </c>
      <c r="G855" s="7" t="s">
        <v>31</v>
      </c>
      <c r="H855" s="7" t="s">
        <v>17</v>
      </c>
      <c r="I855" s="7" t="s">
        <v>17</v>
      </c>
      <c r="J855" s="7" t="s">
        <v>1602</v>
      </c>
    </row>
    <row r="856" spans="1:10" x14ac:dyDescent="0.25" outlineLevel="3" collapsed="1">
      <c r="A856" s="7" t="s">
        <v>15</v>
      </c>
      <c r="B856" s="7" t="s">
        <v>16</v>
      </c>
      <c r="C856" s="7" t="s">
        <v>17</v>
      </c>
      <c r="D856" s="7"/>
      <c r="E856" s="7" t="s">
        <v>1671</v>
      </c>
      <c r="F856" s="7" t="s">
        <v>19</v>
      </c>
      <c r="G856" s="7" t="s">
        <v>31</v>
      </c>
      <c r="H856" s="7" t="s">
        <v>17</v>
      </c>
      <c r="I856" s="7" t="s">
        <v>17</v>
      </c>
      <c r="J856" s="7" t="s">
        <v>1672</v>
      </c>
    </row>
    <row r="857" spans="1:10" x14ac:dyDescent="0.25" outlineLevel="3" collapsed="1">
      <c r="A857" s="7" t="s">
        <v>15</v>
      </c>
      <c r="B857" s="7" t="s">
        <v>16</v>
      </c>
      <c r="C857" s="7" t="s">
        <v>17</v>
      </c>
      <c r="D857" s="7"/>
      <c r="E857" s="7" t="s">
        <v>1673</v>
      </c>
      <c r="F857" s="7" t="s">
        <v>19</v>
      </c>
      <c r="G857" s="7" t="s">
        <v>31</v>
      </c>
      <c r="H857" s="7" t="s">
        <v>17</v>
      </c>
      <c r="I857" s="7" t="s">
        <v>17</v>
      </c>
      <c r="J857" s="7" t="s">
        <v>1674</v>
      </c>
    </row>
    <row r="858" spans="1:10" x14ac:dyDescent="0.25" outlineLevel="3" collapsed="1">
      <c r="A858" s="7" t="s">
        <v>15</v>
      </c>
      <c r="B858" s="7" t="s">
        <v>16</v>
      </c>
      <c r="C858" s="7" t="s">
        <v>17</v>
      </c>
      <c r="D858" s="7"/>
      <c r="E858" s="7" t="s">
        <v>2618</v>
      </c>
      <c r="F858" s="7" t="s">
        <v>19</v>
      </c>
      <c r="G858" s="7" t="s">
        <v>31</v>
      </c>
      <c r="H858" s="7" t="s">
        <v>17</v>
      </c>
      <c r="I858" s="7" t="s">
        <v>17</v>
      </c>
      <c r="J858" s="7" t="s">
        <v>1422</v>
      </c>
    </row>
    <row r="859" spans="1:10" x14ac:dyDescent="0.25" outlineLevel="3" collapsed="1">
      <c r="A859" s="7" t="s">
        <v>15</v>
      </c>
      <c r="B859" s="7" t="s">
        <v>284</v>
      </c>
      <c r="C859" s="11" t="s">
        <v>2619</v>
      </c>
      <c r="D859" s="7"/>
      <c r="E859" s="7" t="s">
        <v>1605</v>
      </c>
      <c r="F859" s="7" t="s">
        <v>19</v>
      </c>
      <c r="G859" s="7" t="s">
        <v>1606</v>
      </c>
      <c r="H859" s="7" t="s">
        <v>17</v>
      </c>
      <c r="I859" s="7" t="s">
        <v>17</v>
      </c>
      <c r="J859" s="7" t="s">
        <v>1607</v>
      </c>
    </row>
    <row r="860" spans="1:10" x14ac:dyDescent="0.25" outlineLevel="3" collapsed="1">
      <c r="A860" s="7" t="s">
        <v>19</v>
      </c>
      <c r="B860" s="7" t="s">
        <v>63</v>
      </c>
      <c r="C860" s="7" t="s">
        <v>17</v>
      </c>
      <c r="D860" s="7">
        <f>EXACT(G859,"Single value")</f>
      </c>
      <c r="E860" s="7" t="s">
        <v>2620</v>
      </c>
      <c r="F860" s="7" t="s">
        <v>19</v>
      </c>
      <c r="G860" s="7">
        <v>1</v>
      </c>
      <c r="H860" s="7" t="s">
        <v>17</v>
      </c>
      <c r="I860" s="7" t="s">
        <v>17</v>
      </c>
      <c r="J860" s="7" t="s">
        <v>1609</v>
      </c>
    </row>
    <row r="861" spans="1:10" x14ac:dyDescent="0.25" outlineLevel="3" collapsed="1">
      <c r="A861" s="7" t="s">
        <v>19</v>
      </c>
      <c r="B861" s="7" t="s">
        <v>16</v>
      </c>
      <c r="C861" s="7" t="s">
        <v>17</v>
      </c>
      <c r="D861" s="7"/>
      <c r="E861" s="7" t="s">
        <v>1677</v>
      </c>
      <c r="F861" s="7" t="s">
        <v>19</v>
      </c>
      <c r="G861" s="7" t="s">
        <v>31</v>
      </c>
      <c r="H861" s="7" t="s">
        <v>17</v>
      </c>
      <c r="I861" s="7" t="s">
        <v>17</v>
      </c>
      <c r="J861" s="7" t="s">
        <v>1678</v>
      </c>
    </row>
    <row r="862" spans="1:10" x14ac:dyDescent="0.25" outlineLevel="3" collapsed="1">
      <c r="A862" s="7" t="s">
        <v>15</v>
      </c>
      <c r="B862" s="7" t="s">
        <v>16</v>
      </c>
      <c r="C862" s="7" t="s">
        <v>17</v>
      </c>
      <c r="D862" s="7"/>
      <c r="E862" s="7" t="s">
        <v>1679</v>
      </c>
      <c r="F862" s="7" t="s">
        <v>19</v>
      </c>
      <c r="G862" s="7" t="s">
        <v>31</v>
      </c>
      <c r="H862" s="7" t="s">
        <v>17</v>
      </c>
      <c r="I862" s="7" t="s">
        <v>17</v>
      </c>
      <c r="J862" s="7" t="s">
        <v>1680</v>
      </c>
    </row>
    <row r="863" spans="1:10" x14ac:dyDescent="0.25" outlineLevel="3" collapsed="1">
      <c r="A863" s="7" t="s">
        <v>15</v>
      </c>
      <c r="B863" s="7" t="s">
        <v>284</v>
      </c>
      <c r="C863" s="11" t="s">
        <v>2621</v>
      </c>
      <c r="D863" s="7"/>
      <c r="E863" s="7" t="s">
        <v>1612</v>
      </c>
      <c r="F863" s="7" t="s">
        <v>19</v>
      </c>
      <c r="G863" s="7" t="s">
        <v>1613</v>
      </c>
      <c r="H863" s="7" t="s">
        <v>17</v>
      </c>
      <c r="I863" s="7" t="s">
        <v>17</v>
      </c>
      <c r="J863" s="7" t="s">
        <v>1614</v>
      </c>
    </row>
    <row r="864" spans="1:10" x14ac:dyDescent="0.25" outlineLevel="3" collapsed="1">
      <c r="A864" s="7" t="s">
        <v>19</v>
      </c>
      <c r="B864" s="7" t="s">
        <v>16</v>
      </c>
      <c r="C864" s="7" t="s">
        <v>17</v>
      </c>
      <c r="D864" s="7"/>
      <c r="E864" s="7" t="s">
        <v>1681</v>
      </c>
      <c r="F864" s="7" t="s">
        <v>19</v>
      </c>
      <c r="G864" s="7" t="s">
        <v>31</v>
      </c>
      <c r="H864" s="7" t="s">
        <v>17</v>
      </c>
      <c r="I864" s="7" t="s">
        <v>17</v>
      </c>
      <c r="J864" s="7" t="s">
        <v>1682</v>
      </c>
    </row>
    <row r="865" spans="1:10" x14ac:dyDescent="0.25" outlineLevel="3" collapsed="1">
      <c r="A865" s="7" t="s">
        <v>19</v>
      </c>
      <c r="B865" s="7" t="s">
        <v>16</v>
      </c>
      <c r="C865" s="7" t="s">
        <v>17</v>
      </c>
      <c r="D865" s="7"/>
      <c r="E865" s="7" t="s">
        <v>1615</v>
      </c>
      <c r="F865" s="7" t="s">
        <v>19</v>
      </c>
      <c r="G865" s="7" t="s">
        <v>31</v>
      </c>
      <c r="H865" s="7" t="s">
        <v>17</v>
      </c>
      <c r="I865" s="7" t="s">
        <v>17</v>
      </c>
      <c r="J865" s="7" t="s">
        <v>1616</v>
      </c>
    </row>
    <row r="866" spans="1:10" x14ac:dyDescent="0.25" outlineLevel="2" collapsed="1">
      <c r="A866" s="7" t="s">
        <v>19</v>
      </c>
      <c r="B866" s="7" t="s">
        <v>284</v>
      </c>
      <c r="C866" s="11" t="s">
        <v>2623</v>
      </c>
      <c r="D866" s="7"/>
      <c r="E866" s="7" t="s">
        <v>1708</v>
      </c>
      <c r="F866" s="7" t="s">
        <v>19</v>
      </c>
      <c r="G866" s="7" t="s">
        <v>1709</v>
      </c>
      <c r="H866" s="7" t="s">
        <v>17</v>
      </c>
      <c r="I866" s="7" t="s">
        <v>17</v>
      </c>
      <c r="J866" s="7" t="s">
        <v>1710</v>
      </c>
    </row>
    <row r="867" spans="1:10" x14ac:dyDescent="0.25" outlineLevel="2" collapsed="1">
      <c r="A867" s="7" t="s">
        <v>19</v>
      </c>
      <c r="B867" s="7" t="s">
        <v>284</v>
      </c>
      <c r="C867" s="11" t="s">
        <v>2624</v>
      </c>
      <c r="D867" s="7"/>
      <c r="E867" s="7" t="s">
        <v>1712</v>
      </c>
      <c r="F867" s="7" t="s">
        <v>19</v>
      </c>
      <c r="G867" s="7" t="s">
        <v>1713</v>
      </c>
      <c r="H867" s="7" t="s">
        <v>17</v>
      </c>
      <c r="I867" s="7" t="s">
        <v>17</v>
      </c>
      <c r="J867" s="7" t="s">
        <v>1714</v>
      </c>
    </row>
    <row r="868" spans="1:10" x14ac:dyDescent="0.25" outlineLevel="2" collapsed="1">
      <c r="A868" s="8" t="s">
        <v>19</v>
      </c>
      <c r="B868" s="9" t="s">
        <v>1715</v>
      </c>
      <c r="C868" s="8" t="s">
        <v>17</v>
      </c>
      <c r="D868" s="8"/>
      <c r="E868" s="8" t="s">
        <v>1716</v>
      </c>
      <c r="F868" s="8" t="s">
        <v>15</v>
      </c>
      <c r="G868" s="8" t="s">
        <v>17</v>
      </c>
      <c r="H868" s="8" t="s">
        <v>17</v>
      </c>
      <c r="I868" s="8" t="s">
        <v>17</v>
      </c>
      <c r="J868" s="8" t="s">
        <v>1717</v>
      </c>
    </row>
    <row r="869" spans="1:10" x14ac:dyDescent="0.25" outlineLevel="3" collapsed="1">
      <c r="A869" s="7" t="s">
        <v>15</v>
      </c>
      <c r="B869" s="7" t="s">
        <v>16</v>
      </c>
      <c r="C869" s="7" t="s">
        <v>17</v>
      </c>
      <c r="D869" s="7"/>
      <c r="E869" s="7" t="s">
        <v>1718</v>
      </c>
      <c r="F869" s="7" t="s">
        <v>19</v>
      </c>
      <c r="G869" s="7" t="s">
        <v>31</v>
      </c>
      <c r="H869" s="7" t="s">
        <v>17</v>
      </c>
      <c r="I869" s="7" t="s">
        <v>17</v>
      </c>
      <c r="J869" s="7" t="s">
        <v>1719</v>
      </c>
    </row>
    <row r="870" spans="1:10" x14ac:dyDescent="0.25" outlineLevel="3" collapsed="1">
      <c r="A870" s="7" t="s">
        <v>15</v>
      </c>
      <c r="B870" s="7" t="s">
        <v>284</v>
      </c>
      <c r="C870" s="11" t="s">
        <v>1720</v>
      </c>
      <c r="D870" s="7"/>
      <c r="E870" s="7" t="s">
        <v>1721</v>
      </c>
      <c r="F870" s="7" t="s">
        <v>19</v>
      </c>
      <c r="G870" s="7" t="s">
        <v>1722</v>
      </c>
      <c r="H870" s="7" t="s">
        <v>17</v>
      </c>
      <c r="I870" s="7" t="s">
        <v>17</v>
      </c>
      <c r="J870" s="7" t="s">
        <v>1723</v>
      </c>
    </row>
    <row r="871" spans="1:10" x14ac:dyDescent="0.25" outlineLevel="3" collapsed="1">
      <c r="A871" s="7" t="s">
        <v>15</v>
      </c>
      <c r="B871" s="7" t="s">
        <v>16</v>
      </c>
      <c r="C871" s="7" t="s">
        <v>17</v>
      </c>
      <c r="D871" s="7"/>
      <c r="E871" s="7" t="s">
        <v>1724</v>
      </c>
      <c r="F871" s="7" t="s">
        <v>19</v>
      </c>
      <c r="G871" s="7" t="s">
        <v>31</v>
      </c>
      <c r="H871" s="7" t="s">
        <v>17</v>
      </c>
      <c r="I871" s="7" t="s">
        <v>17</v>
      </c>
      <c r="J871" s="7" t="s">
        <v>1725</v>
      </c>
    </row>
    <row r="872" spans="1:10" x14ac:dyDescent="0.25" outlineLevel="3" collapsed="1">
      <c r="A872" s="7" t="s">
        <v>15</v>
      </c>
      <c r="B872" s="7" t="s">
        <v>284</v>
      </c>
      <c r="C872" s="11" t="s">
        <v>1726</v>
      </c>
      <c r="D872" s="7"/>
      <c r="E872" s="7" t="s">
        <v>1727</v>
      </c>
      <c r="F872" s="7" t="s">
        <v>19</v>
      </c>
      <c r="G872" s="7" t="s">
        <v>1709</v>
      </c>
      <c r="H872" s="7" t="s">
        <v>17</v>
      </c>
      <c r="I872" s="7" t="s">
        <v>17</v>
      </c>
      <c r="J872" s="7" t="s">
        <v>1710</v>
      </c>
    </row>
    <row r="873" spans="1:10" x14ac:dyDescent="0.25" outlineLevel="3" collapsed="1">
      <c r="A873" s="7" t="s">
        <v>15</v>
      </c>
      <c r="B873" s="7" t="s">
        <v>284</v>
      </c>
      <c r="C873" s="11" t="s">
        <v>1728</v>
      </c>
      <c r="D873" s="7"/>
      <c r="E873" s="7" t="s">
        <v>1729</v>
      </c>
      <c r="F873" s="7" t="s">
        <v>19</v>
      </c>
      <c r="G873" s="7" t="s">
        <v>1713</v>
      </c>
      <c r="H873" s="7" t="s">
        <v>17</v>
      </c>
      <c r="I873" s="7" t="s">
        <v>17</v>
      </c>
      <c r="J873" s="7" t="s">
        <v>1714</v>
      </c>
    </row>
    <row r="874" spans="1:10" x14ac:dyDescent="0.25" outlineLevel="3" collapsed="1">
      <c r="A874" s="7" t="s">
        <v>15</v>
      </c>
      <c r="B874" s="7" t="s">
        <v>63</v>
      </c>
      <c r="C874" s="7" t="s">
        <v>17</v>
      </c>
      <c r="D874" s="7"/>
      <c r="E874" s="7" t="s">
        <v>1730</v>
      </c>
      <c r="F874" s="7" t="s">
        <v>19</v>
      </c>
      <c r="G874" s="7">
        <v>1</v>
      </c>
      <c r="H874" s="7" t="s">
        <v>17</v>
      </c>
      <c r="I874" s="7" t="s">
        <v>17</v>
      </c>
      <c r="J874" s="7" t="s">
        <v>1698</v>
      </c>
    </row>
    <row r="875" spans="1:10" x14ac:dyDescent="0.25" outlineLevel="3" collapsed="1">
      <c r="A875" s="7" t="s">
        <v>19</v>
      </c>
      <c r="B875" s="7" t="s">
        <v>63</v>
      </c>
      <c r="C875" s="7" t="s">
        <v>17</v>
      </c>
      <c r="D875" s="7"/>
      <c r="E875" s="7" t="s">
        <v>1731</v>
      </c>
      <c r="F875" s="7" t="s">
        <v>19</v>
      </c>
      <c r="G875" s="7">
        <v>1</v>
      </c>
      <c r="H875" s="7" t="s">
        <v>17</v>
      </c>
      <c r="I875" s="7" t="s">
        <v>17</v>
      </c>
      <c r="J875" s="7" t="s">
        <v>1700</v>
      </c>
    </row>
    <row r="876" spans="1:10" x14ac:dyDescent="0.25" outlineLevel="3" collapsed="1">
      <c r="A876" s="7" t="s">
        <v>19</v>
      </c>
      <c r="B876" s="7" t="s">
        <v>63</v>
      </c>
      <c r="C876" s="7" t="s">
        <v>17</v>
      </c>
      <c r="D876" s="7"/>
      <c r="E876" s="7" t="s">
        <v>1732</v>
      </c>
      <c r="F876" s="7" t="s">
        <v>19</v>
      </c>
      <c r="G876" s="7">
        <v>1</v>
      </c>
      <c r="H876" s="7" t="s">
        <v>17</v>
      </c>
      <c r="I876" s="7" t="s">
        <v>17</v>
      </c>
      <c r="J876" s="7" t="s">
        <v>1702</v>
      </c>
    </row>
    <row r="877" spans="1:10" x14ac:dyDescent="0.25" outlineLevel="3" collapsed="1">
      <c r="A877" s="7" t="s">
        <v>19</v>
      </c>
      <c r="B877" s="7" t="s">
        <v>63</v>
      </c>
      <c r="C877" s="7" t="s">
        <v>17</v>
      </c>
      <c r="D877" s="7"/>
      <c r="E877" s="7" t="s">
        <v>1733</v>
      </c>
      <c r="F877" s="7" t="s">
        <v>19</v>
      </c>
      <c r="G877" s="7">
        <v>1</v>
      </c>
      <c r="H877" s="7" t="s">
        <v>17</v>
      </c>
      <c r="I877" s="7" t="s">
        <v>17</v>
      </c>
      <c r="J877" s="7" t="s">
        <v>1704</v>
      </c>
    </row>
    <row r="878" spans="1:10" x14ac:dyDescent="0.25" outlineLevel="3" collapsed="1">
      <c r="A878" s="7" t="s">
        <v>19</v>
      </c>
      <c r="B878" s="7" t="s">
        <v>63</v>
      </c>
      <c r="C878" s="7" t="s">
        <v>17</v>
      </c>
      <c r="D878" s="7"/>
      <c r="E878" s="7" t="s">
        <v>1734</v>
      </c>
      <c r="F878" s="7" t="s">
        <v>19</v>
      </c>
      <c r="G878" s="7">
        <v>1</v>
      </c>
      <c r="H878" s="7" t="s">
        <v>17</v>
      </c>
      <c r="I878" s="7" t="s">
        <v>17</v>
      </c>
      <c r="J878" s="7" t="s">
        <v>1706</v>
      </c>
    </row>
    <row r="879" spans="1:10" x14ac:dyDescent="0.25" outlineLevel="1" collapsed="1">
      <c r="A879" s="8" t="s">
        <v>19</v>
      </c>
      <c r="B879" s="9" t="s">
        <v>2625</v>
      </c>
      <c r="C879" s="8" t="s">
        <v>17</v>
      </c>
      <c r="D879" s="8"/>
      <c r="E879" s="8" t="s">
        <v>1736</v>
      </c>
      <c r="F879" s="8" t="s">
        <v>19</v>
      </c>
      <c r="G879" s="8" t="s">
        <v>17</v>
      </c>
      <c r="H879" s="8" t="s">
        <v>17</v>
      </c>
      <c r="I879" s="8" t="s">
        <v>17</v>
      </c>
      <c r="J879" s="8" t="s">
        <v>1737</v>
      </c>
    </row>
    <row r="880" spans="1:10" x14ac:dyDescent="0.25" outlineLevel="2" collapsed="1">
      <c r="A880" s="8" t="s">
        <v>19</v>
      </c>
      <c r="B880" s="9" t="s">
        <v>2617</v>
      </c>
      <c r="C880" s="8" t="s">
        <v>17</v>
      </c>
      <c r="D880" s="8"/>
      <c r="E880" s="8" t="s">
        <v>1738</v>
      </c>
      <c r="F880" s="8" t="s">
        <v>19</v>
      </c>
      <c r="G880" s="8" t="s">
        <v>17</v>
      </c>
      <c r="H880" s="8" t="s">
        <v>17</v>
      </c>
      <c r="I880" s="8" t="s">
        <v>17</v>
      </c>
      <c r="J880" s="8" t="s">
        <v>1739</v>
      </c>
    </row>
    <row r="881" spans="1:10" x14ac:dyDescent="0.25" outlineLevel="3" collapsed="1">
      <c r="A881" s="7" t="s">
        <v>15</v>
      </c>
      <c r="B881" s="7" t="s">
        <v>16</v>
      </c>
      <c r="C881" s="7" t="s">
        <v>17</v>
      </c>
      <c r="D881" s="7"/>
      <c r="E881" s="7" t="s">
        <v>1670</v>
      </c>
      <c r="F881" s="7" t="s">
        <v>19</v>
      </c>
      <c r="G881" s="7" t="s">
        <v>31</v>
      </c>
      <c r="H881" s="7" t="s">
        <v>17</v>
      </c>
      <c r="I881" s="7" t="s">
        <v>17</v>
      </c>
      <c r="J881" s="7" t="s">
        <v>637</v>
      </c>
    </row>
    <row r="882" spans="1:10" x14ac:dyDescent="0.25" outlineLevel="3" collapsed="1">
      <c r="A882" s="7" t="s">
        <v>15</v>
      </c>
      <c r="B882" s="7" t="s">
        <v>16</v>
      </c>
      <c r="C882" s="7" t="s">
        <v>17</v>
      </c>
      <c r="D882" s="7"/>
      <c r="E882" s="7" t="s">
        <v>638</v>
      </c>
      <c r="F882" s="7" t="s">
        <v>19</v>
      </c>
      <c r="G882" s="7" t="s">
        <v>31</v>
      </c>
      <c r="H882" s="7" t="s">
        <v>17</v>
      </c>
      <c r="I882" s="7" t="s">
        <v>17</v>
      </c>
      <c r="J882" s="7" t="s">
        <v>640</v>
      </c>
    </row>
    <row r="883" spans="1:10" x14ac:dyDescent="0.25" outlineLevel="3" collapsed="1">
      <c r="A883" s="7" t="s">
        <v>15</v>
      </c>
      <c r="B883" s="7" t="s">
        <v>16</v>
      </c>
      <c r="C883" s="7" t="s">
        <v>17</v>
      </c>
      <c r="D883" s="7"/>
      <c r="E883" s="7" t="s">
        <v>9</v>
      </c>
      <c r="F883" s="7" t="s">
        <v>19</v>
      </c>
      <c r="G883" s="7" t="s">
        <v>31</v>
      </c>
      <c r="H883" s="7" t="s">
        <v>17</v>
      </c>
      <c r="I883" s="7" t="s">
        <v>17</v>
      </c>
      <c r="J883" s="7" t="s">
        <v>843</v>
      </c>
    </row>
    <row r="884" spans="1:10" x14ac:dyDescent="0.25" outlineLevel="3" collapsed="1">
      <c r="A884" s="7" t="s">
        <v>19</v>
      </c>
      <c r="B884" s="7" t="s">
        <v>16</v>
      </c>
      <c r="C884" s="7" t="s">
        <v>17</v>
      </c>
      <c r="D884" s="7"/>
      <c r="E884" s="7" t="s">
        <v>1600</v>
      </c>
      <c r="F884" s="7" t="s">
        <v>19</v>
      </c>
      <c r="G884" s="7" t="s">
        <v>31</v>
      </c>
      <c r="H884" s="7" t="s">
        <v>17</v>
      </c>
      <c r="I884" s="7" t="s">
        <v>17</v>
      </c>
      <c r="J884" s="7" t="s">
        <v>1424</v>
      </c>
    </row>
    <row r="885" spans="1:10" x14ac:dyDescent="0.25" outlineLevel="3" collapsed="1">
      <c r="A885" s="7" t="s">
        <v>15</v>
      </c>
      <c r="B885" s="7" t="s">
        <v>16</v>
      </c>
      <c r="C885" s="7" t="s">
        <v>17</v>
      </c>
      <c r="D885" s="7"/>
      <c r="E885" s="7" t="s">
        <v>1601</v>
      </c>
      <c r="F885" s="7" t="s">
        <v>19</v>
      </c>
      <c r="G885" s="7" t="s">
        <v>31</v>
      </c>
      <c r="H885" s="7" t="s">
        <v>17</v>
      </c>
      <c r="I885" s="7" t="s">
        <v>17</v>
      </c>
      <c r="J885" s="7" t="s">
        <v>1602</v>
      </c>
    </row>
    <row r="886" spans="1:10" x14ac:dyDescent="0.25" outlineLevel="3" collapsed="1">
      <c r="A886" s="7" t="s">
        <v>15</v>
      </c>
      <c r="B886" s="7" t="s">
        <v>16</v>
      </c>
      <c r="C886" s="7" t="s">
        <v>17</v>
      </c>
      <c r="D886" s="7"/>
      <c r="E886" s="7" t="s">
        <v>1671</v>
      </c>
      <c r="F886" s="7" t="s">
        <v>19</v>
      </c>
      <c r="G886" s="7" t="s">
        <v>31</v>
      </c>
      <c r="H886" s="7" t="s">
        <v>17</v>
      </c>
      <c r="I886" s="7" t="s">
        <v>17</v>
      </c>
      <c r="J886" s="7" t="s">
        <v>1672</v>
      </c>
    </row>
    <row r="887" spans="1:10" x14ac:dyDescent="0.25" outlineLevel="3" collapsed="1">
      <c r="A887" s="7" t="s">
        <v>15</v>
      </c>
      <c r="B887" s="7" t="s">
        <v>16</v>
      </c>
      <c r="C887" s="7" t="s">
        <v>17</v>
      </c>
      <c r="D887" s="7"/>
      <c r="E887" s="7" t="s">
        <v>1673</v>
      </c>
      <c r="F887" s="7" t="s">
        <v>19</v>
      </c>
      <c r="G887" s="7" t="s">
        <v>31</v>
      </c>
      <c r="H887" s="7" t="s">
        <v>17</v>
      </c>
      <c r="I887" s="7" t="s">
        <v>17</v>
      </c>
      <c r="J887" s="7" t="s">
        <v>1674</v>
      </c>
    </row>
    <row r="888" spans="1:10" x14ac:dyDescent="0.25" outlineLevel="3" collapsed="1">
      <c r="A888" s="7" t="s">
        <v>15</v>
      </c>
      <c r="B888" s="7" t="s">
        <v>16</v>
      </c>
      <c r="C888" s="7" t="s">
        <v>17</v>
      </c>
      <c r="D888" s="7"/>
      <c r="E888" s="7" t="s">
        <v>2618</v>
      </c>
      <c r="F888" s="7" t="s">
        <v>19</v>
      </c>
      <c r="G888" s="7" t="s">
        <v>31</v>
      </c>
      <c r="H888" s="7" t="s">
        <v>17</v>
      </c>
      <c r="I888" s="7" t="s">
        <v>17</v>
      </c>
      <c r="J888" s="7" t="s">
        <v>1422</v>
      </c>
    </row>
    <row r="889" spans="1:10" x14ac:dyDescent="0.25" outlineLevel="3" collapsed="1">
      <c r="A889" s="7" t="s">
        <v>15</v>
      </c>
      <c r="B889" s="7" t="s">
        <v>284</v>
      </c>
      <c r="C889" s="11" t="s">
        <v>2619</v>
      </c>
      <c r="D889" s="7"/>
      <c r="E889" s="7" t="s">
        <v>1605</v>
      </c>
      <c r="F889" s="7" t="s">
        <v>19</v>
      </c>
      <c r="G889" s="7" t="s">
        <v>1606</v>
      </c>
      <c r="H889" s="7" t="s">
        <v>17</v>
      </c>
      <c r="I889" s="7" t="s">
        <v>17</v>
      </c>
      <c r="J889" s="7" t="s">
        <v>1607</v>
      </c>
    </row>
    <row r="890" spans="1:10" x14ac:dyDescent="0.25" outlineLevel="3" collapsed="1">
      <c r="A890" s="7" t="s">
        <v>19</v>
      </c>
      <c r="B890" s="7" t="s">
        <v>63</v>
      </c>
      <c r="C890" s="7" t="s">
        <v>17</v>
      </c>
      <c r="D890" s="7">
        <f>EXACT(G889,"Single value")</f>
      </c>
      <c r="E890" s="7" t="s">
        <v>2620</v>
      </c>
      <c r="F890" s="7" t="s">
        <v>19</v>
      </c>
      <c r="G890" s="7">
        <v>1</v>
      </c>
      <c r="H890" s="7" t="s">
        <v>17</v>
      </c>
      <c r="I890" s="7" t="s">
        <v>17</v>
      </c>
      <c r="J890" s="7" t="s">
        <v>1609</v>
      </c>
    </row>
    <row r="891" spans="1:10" x14ac:dyDescent="0.25" outlineLevel="3" collapsed="1">
      <c r="A891" s="7" t="s">
        <v>19</v>
      </c>
      <c r="B891" s="7" t="s">
        <v>16</v>
      </c>
      <c r="C891" s="7" t="s">
        <v>17</v>
      </c>
      <c r="D891" s="7"/>
      <c r="E891" s="7" t="s">
        <v>1677</v>
      </c>
      <c r="F891" s="7" t="s">
        <v>19</v>
      </c>
      <c r="G891" s="7" t="s">
        <v>31</v>
      </c>
      <c r="H891" s="7" t="s">
        <v>17</v>
      </c>
      <c r="I891" s="7" t="s">
        <v>17</v>
      </c>
      <c r="J891" s="7" t="s">
        <v>1678</v>
      </c>
    </row>
    <row r="892" spans="1:10" x14ac:dyDescent="0.25" outlineLevel="3" collapsed="1">
      <c r="A892" s="7" t="s">
        <v>15</v>
      </c>
      <c r="B892" s="7" t="s">
        <v>16</v>
      </c>
      <c r="C892" s="7" t="s">
        <v>17</v>
      </c>
      <c r="D892" s="7"/>
      <c r="E892" s="7" t="s">
        <v>1679</v>
      </c>
      <c r="F892" s="7" t="s">
        <v>19</v>
      </c>
      <c r="G892" s="7" t="s">
        <v>31</v>
      </c>
      <c r="H892" s="7" t="s">
        <v>17</v>
      </c>
      <c r="I892" s="7" t="s">
        <v>17</v>
      </c>
      <c r="J892" s="7" t="s">
        <v>1680</v>
      </c>
    </row>
    <row r="893" spans="1:10" x14ac:dyDescent="0.25" outlineLevel="3" collapsed="1">
      <c r="A893" s="7" t="s">
        <v>15</v>
      </c>
      <c r="B893" s="7" t="s">
        <v>284</v>
      </c>
      <c r="C893" s="11" t="s">
        <v>2621</v>
      </c>
      <c r="D893" s="7"/>
      <c r="E893" s="7" t="s">
        <v>1612</v>
      </c>
      <c r="F893" s="7" t="s">
        <v>19</v>
      </c>
      <c r="G893" s="7" t="s">
        <v>1613</v>
      </c>
      <c r="H893" s="7" t="s">
        <v>17</v>
      </c>
      <c r="I893" s="7" t="s">
        <v>17</v>
      </c>
      <c r="J893" s="7" t="s">
        <v>1614</v>
      </c>
    </row>
    <row r="894" spans="1:10" x14ac:dyDescent="0.25" outlineLevel="3" collapsed="1">
      <c r="A894" s="7" t="s">
        <v>19</v>
      </c>
      <c r="B894" s="7" t="s">
        <v>16</v>
      </c>
      <c r="C894" s="7" t="s">
        <v>17</v>
      </c>
      <c r="D894" s="7"/>
      <c r="E894" s="7" t="s">
        <v>1681</v>
      </c>
      <c r="F894" s="7" t="s">
        <v>19</v>
      </c>
      <c r="G894" s="7" t="s">
        <v>31</v>
      </c>
      <c r="H894" s="7" t="s">
        <v>17</v>
      </c>
      <c r="I894" s="7" t="s">
        <v>17</v>
      </c>
      <c r="J894" s="7" t="s">
        <v>1682</v>
      </c>
    </row>
    <row r="895" spans="1:10" x14ac:dyDescent="0.25" outlineLevel="3" collapsed="1">
      <c r="A895" s="7" t="s">
        <v>19</v>
      </c>
      <c r="B895" s="7" t="s">
        <v>16</v>
      </c>
      <c r="C895" s="7" t="s">
        <v>17</v>
      </c>
      <c r="D895" s="7"/>
      <c r="E895" s="7" t="s">
        <v>1615</v>
      </c>
      <c r="F895" s="7" t="s">
        <v>19</v>
      </c>
      <c r="G895" s="7" t="s">
        <v>31</v>
      </c>
      <c r="H895" s="7" t="s">
        <v>17</v>
      </c>
      <c r="I895" s="7" t="s">
        <v>17</v>
      </c>
      <c r="J895" s="7" t="s">
        <v>1616</v>
      </c>
    </row>
    <row r="896" spans="1:10" x14ac:dyDescent="0.25" outlineLevel="2" collapsed="1">
      <c r="A896" s="8" t="s">
        <v>19</v>
      </c>
      <c r="B896" s="9" t="s">
        <v>2617</v>
      </c>
      <c r="C896" s="8" t="s">
        <v>17</v>
      </c>
      <c r="D896" s="8"/>
      <c r="E896" s="8" t="s">
        <v>1740</v>
      </c>
      <c r="F896" s="8" t="s">
        <v>19</v>
      </c>
      <c r="G896" s="8" t="s">
        <v>17</v>
      </c>
      <c r="H896" s="8" t="s">
        <v>17</v>
      </c>
      <c r="I896" s="8" t="s">
        <v>17</v>
      </c>
      <c r="J896" s="8" t="s">
        <v>1741</v>
      </c>
    </row>
    <row r="897" spans="1:10" x14ac:dyDescent="0.25" outlineLevel="3" collapsed="1">
      <c r="A897" s="7" t="s">
        <v>15</v>
      </c>
      <c r="B897" s="7" t="s">
        <v>16</v>
      </c>
      <c r="C897" s="7" t="s">
        <v>17</v>
      </c>
      <c r="D897" s="7"/>
      <c r="E897" s="7" t="s">
        <v>1670</v>
      </c>
      <c r="F897" s="7" t="s">
        <v>19</v>
      </c>
      <c r="G897" s="7" t="s">
        <v>31</v>
      </c>
      <c r="H897" s="7" t="s">
        <v>17</v>
      </c>
      <c r="I897" s="7" t="s">
        <v>17</v>
      </c>
      <c r="J897" s="7" t="s">
        <v>637</v>
      </c>
    </row>
    <row r="898" spans="1:10" x14ac:dyDescent="0.25" outlineLevel="3" collapsed="1">
      <c r="A898" s="7" t="s">
        <v>15</v>
      </c>
      <c r="B898" s="7" t="s">
        <v>16</v>
      </c>
      <c r="C898" s="7" t="s">
        <v>17</v>
      </c>
      <c r="D898" s="7"/>
      <c r="E898" s="7" t="s">
        <v>638</v>
      </c>
      <c r="F898" s="7" t="s">
        <v>19</v>
      </c>
      <c r="G898" s="7" t="s">
        <v>31</v>
      </c>
      <c r="H898" s="7" t="s">
        <v>17</v>
      </c>
      <c r="I898" s="7" t="s">
        <v>17</v>
      </c>
      <c r="J898" s="7" t="s">
        <v>640</v>
      </c>
    </row>
    <row r="899" spans="1:10" x14ac:dyDescent="0.25" outlineLevel="3" collapsed="1">
      <c r="A899" s="7" t="s">
        <v>15</v>
      </c>
      <c r="B899" s="7" t="s">
        <v>16</v>
      </c>
      <c r="C899" s="7" t="s">
        <v>17</v>
      </c>
      <c r="D899" s="7"/>
      <c r="E899" s="7" t="s">
        <v>9</v>
      </c>
      <c r="F899" s="7" t="s">
        <v>19</v>
      </c>
      <c r="G899" s="7" t="s">
        <v>31</v>
      </c>
      <c r="H899" s="7" t="s">
        <v>17</v>
      </c>
      <c r="I899" s="7" t="s">
        <v>17</v>
      </c>
      <c r="J899" s="7" t="s">
        <v>843</v>
      </c>
    </row>
    <row r="900" spans="1:10" x14ac:dyDescent="0.25" outlineLevel="3" collapsed="1">
      <c r="A900" s="7" t="s">
        <v>19</v>
      </c>
      <c r="B900" s="7" t="s">
        <v>16</v>
      </c>
      <c r="C900" s="7" t="s">
        <v>17</v>
      </c>
      <c r="D900" s="7"/>
      <c r="E900" s="7" t="s">
        <v>1600</v>
      </c>
      <c r="F900" s="7" t="s">
        <v>19</v>
      </c>
      <c r="G900" s="7" t="s">
        <v>31</v>
      </c>
      <c r="H900" s="7" t="s">
        <v>17</v>
      </c>
      <c r="I900" s="7" t="s">
        <v>17</v>
      </c>
      <c r="J900" s="7" t="s">
        <v>1424</v>
      </c>
    </row>
    <row r="901" spans="1:10" x14ac:dyDescent="0.25" outlineLevel="3" collapsed="1">
      <c r="A901" s="7" t="s">
        <v>15</v>
      </c>
      <c r="B901" s="7" t="s">
        <v>16</v>
      </c>
      <c r="C901" s="7" t="s">
        <v>17</v>
      </c>
      <c r="D901" s="7"/>
      <c r="E901" s="7" t="s">
        <v>1601</v>
      </c>
      <c r="F901" s="7" t="s">
        <v>19</v>
      </c>
      <c r="G901" s="7" t="s">
        <v>31</v>
      </c>
      <c r="H901" s="7" t="s">
        <v>17</v>
      </c>
      <c r="I901" s="7" t="s">
        <v>17</v>
      </c>
      <c r="J901" s="7" t="s">
        <v>1602</v>
      </c>
    </row>
    <row r="902" spans="1:10" x14ac:dyDescent="0.25" outlineLevel="3" collapsed="1">
      <c r="A902" s="7" t="s">
        <v>15</v>
      </c>
      <c r="B902" s="7" t="s">
        <v>16</v>
      </c>
      <c r="C902" s="7" t="s">
        <v>17</v>
      </c>
      <c r="D902" s="7"/>
      <c r="E902" s="7" t="s">
        <v>1671</v>
      </c>
      <c r="F902" s="7" t="s">
        <v>19</v>
      </c>
      <c r="G902" s="7" t="s">
        <v>31</v>
      </c>
      <c r="H902" s="7" t="s">
        <v>17</v>
      </c>
      <c r="I902" s="7" t="s">
        <v>17</v>
      </c>
      <c r="J902" s="7" t="s">
        <v>1672</v>
      </c>
    </row>
    <row r="903" spans="1:10" x14ac:dyDescent="0.25" outlineLevel="3" collapsed="1">
      <c r="A903" s="7" t="s">
        <v>15</v>
      </c>
      <c r="B903" s="7" t="s">
        <v>16</v>
      </c>
      <c r="C903" s="7" t="s">
        <v>17</v>
      </c>
      <c r="D903" s="7"/>
      <c r="E903" s="7" t="s">
        <v>1673</v>
      </c>
      <c r="F903" s="7" t="s">
        <v>19</v>
      </c>
      <c r="G903" s="7" t="s">
        <v>31</v>
      </c>
      <c r="H903" s="7" t="s">
        <v>17</v>
      </c>
      <c r="I903" s="7" t="s">
        <v>17</v>
      </c>
      <c r="J903" s="7" t="s">
        <v>1674</v>
      </c>
    </row>
    <row r="904" spans="1:10" x14ac:dyDescent="0.25" outlineLevel="3" collapsed="1">
      <c r="A904" s="7" t="s">
        <v>15</v>
      </c>
      <c r="B904" s="7" t="s">
        <v>16</v>
      </c>
      <c r="C904" s="7" t="s">
        <v>17</v>
      </c>
      <c r="D904" s="7"/>
      <c r="E904" s="7" t="s">
        <v>2618</v>
      </c>
      <c r="F904" s="7" t="s">
        <v>19</v>
      </c>
      <c r="G904" s="7" t="s">
        <v>31</v>
      </c>
      <c r="H904" s="7" t="s">
        <v>17</v>
      </c>
      <c r="I904" s="7" t="s">
        <v>17</v>
      </c>
      <c r="J904" s="7" t="s">
        <v>1422</v>
      </c>
    </row>
    <row r="905" spans="1:10" x14ac:dyDescent="0.25" outlineLevel="3" collapsed="1">
      <c r="A905" s="7" t="s">
        <v>15</v>
      </c>
      <c r="B905" s="7" t="s">
        <v>284</v>
      </c>
      <c r="C905" s="11" t="s">
        <v>2619</v>
      </c>
      <c r="D905" s="7"/>
      <c r="E905" s="7" t="s">
        <v>1605</v>
      </c>
      <c r="F905" s="7" t="s">
        <v>19</v>
      </c>
      <c r="G905" s="7" t="s">
        <v>1606</v>
      </c>
      <c r="H905" s="7" t="s">
        <v>17</v>
      </c>
      <c r="I905" s="7" t="s">
        <v>17</v>
      </c>
      <c r="J905" s="7" t="s">
        <v>1607</v>
      </c>
    </row>
    <row r="906" spans="1:10" x14ac:dyDescent="0.25" outlineLevel="3" collapsed="1">
      <c r="A906" s="7" t="s">
        <v>19</v>
      </c>
      <c r="B906" s="7" t="s">
        <v>63</v>
      </c>
      <c r="C906" s="7" t="s">
        <v>17</v>
      </c>
      <c r="D906" s="7">
        <f>EXACT(G905,"Single value")</f>
      </c>
      <c r="E906" s="7" t="s">
        <v>2620</v>
      </c>
      <c r="F906" s="7" t="s">
        <v>19</v>
      </c>
      <c r="G906" s="7">
        <v>1</v>
      </c>
      <c r="H906" s="7" t="s">
        <v>17</v>
      </c>
      <c r="I906" s="7" t="s">
        <v>17</v>
      </c>
      <c r="J906" s="7" t="s">
        <v>1609</v>
      </c>
    </row>
    <row r="907" spans="1:10" x14ac:dyDescent="0.25" outlineLevel="3" collapsed="1">
      <c r="A907" s="7" t="s">
        <v>19</v>
      </c>
      <c r="B907" s="7" t="s">
        <v>16</v>
      </c>
      <c r="C907" s="7" t="s">
        <v>17</v>
      </c>
      <c r="D907" s="7"/>
      <c r="E907" s="7" t="s">
        <v>1677</v>
      </c>
      <c r="F907" s="7" t="s">
        <v>19</v>
      </c>
      <c r="G907" s="7" t="s">
        <v>31</v>
      </c>
      <c r="H907" s="7" t="s">
        <v>17</v>
      </c>
      <c r="I907" s="7" t="s">
        <v>17</v>
      </c>
      <c r="J907" s="7" t="s">
        <v>1678</v>
      </c>
    </row>
    <row r="908" spans="1:10" x14ac:dyDescent="0.25" outlineLevel="3" collapsed="1">
      <c r="A908" s="7" t="s">
        <v>15</v>
      </c>
      <c r="B908" s="7" t="s">
        <v>16</v>
      </c>
      <c r="C908" s="7" t="s">
        <v>17</v>
      </c>
      <c r="D908" s="7"/>
      <c r="E908" s="7" t="s">
        <v>1679</v>
      </c>
      <c r="F908" s="7" t="s">
        <v>19</v>
      </c>
      <c r="G908" s="7" t="s">
        <v>31</v>
      </c>
      <c r="H908" s="7" t="s">
        <v>17</v>
      </c>
      <c r="I908" s="7" t="s">
        <v>17</v>
      </c>
      <c r="J908" s="7" t="s">
        <v>1680</v>
      </c>
    </row>
    <row r="909" spans="1:10" x14ac:dyDescent="0.25" outlineLevel="3" collapsed="1">
      <c r="A909" s="7" t="s">
        <v>15</v>
      </c>
      <c r="B909" s="7" t="s">
        <v>284</v>
      </c>
      <c r="C909" s="11" t="s">
        <v>2621</v>
      </c>
      <c r="D909" s="7"/>
      <c r="E909" s="7" t="s">
        <v>1612</v>
      </c>
      <c r="F909" s="7" t="s">
        <v>19</v>
      </c>
      <c r="G909" s="7" t="s">
        <v>1613</v>
      </c>
      <c r="H909" s="7" t="s">
        <v>17</v>
      </c>
      <c r="I909" s="7" t="s">
        <v>17</v>
      </c>
      <c r="J909" s="7" t="s">
        <v>1614</v>
      </c>
    </row>
    <row r="910" spans="1:10" x14ac:dyDescent="0.25" outlineLevel="3" collapsed="1">
      <c r="A910" s="7" t="s">
        <v>19</v>
      </c>
      <c r="B910" s="7" t="s">
        <v>16</v>
      </c>
      <c r="C910" s="7" t="s">
        <v>17</v>
      </c>
      <c r="D910" s="7"/>
      <c r="E910" s="7" t="s">
        <v>1681</v>
      </c>
      <c r="F910" s="7" t="s">
        <v>19</v>
      </c>
      <c r="G910" s="7" t="s">
        <v>31</v>
      </c>
      <c r="H910" s="7" t="s">
        <v>17</v>
      </c>
      <c r="I910" s="7" t="s">
        <v>17</v>
      </c>
      <c r="J910" s="7" t="s">
        <v>1682</v>
      </c>
    </row>
    <row r="911" spans="1:10" x14ac:dyDescent="0.25" outlineLevel="3" collapsed="1">
      <c r="A911" s="7" t="s">
        <v>19</v>
      </c>
      <c r="B911" s="7" t="s">
        <v>16</v>
      </c>
      <c r="C911" s="7" t="s">
        <v>17</v>
      </c>
      <c r="D911" s="7"/>
      <c r="E911" s="7" t="s">
        <v>1615</v>
      </c>
      <c r="F911" s="7" t="s">
        <v>19</v>
      </c>
      <c r="G911" s="7" t="s">
        <v>31</v>
      </c>
      <c r="H911" s="7" t="s">
        <v>17</v>
      </c>
      <c r="I911" s="7" t="s">
        <v>17</v>
      </c>
      <c r="J911" s="7" t="s">
        <v>1616</v>
      </c>
    </row>
    <row r="912" spans="1:10" x14ac:dyDescent="0.25" outlineLevel="2" collapsed="1">
      <c r="A912" s="8" t="s">
        <v>19</v>
      </c>
      <c r="B912" s="9" t="s">
        <v>2617</v>
      </c>
      <c r="C912" s="8" t="s">
        <v>17</v>
      </c>
      <c r="D912" s="8"/>
      <c r="E912" s="8" t="s">
        <v>1742</v>
      </c>
      <c r="F912" s="8" t="s">
        <v>19</v>
      </c>
      <c r="G912" s="8" t="s">
        <v>17</v>
      </c>
      <c r="H912" s="8" t="s">
        <v>17</v>
      </c>
      <c r="I912" s="8" t="s">
        <v>17</v>
      </c>
      <c r="J912" s="8" t="s">
        <v>1743</v>
      </c>
    </row>
    <row r="913" spans="1:10" x14ac:dyDescent="0.25" outlineLevel="3" collapsed="1">
      <c r="A913" s="7" t="s">
        <v>15</v>
      </c>
      <c r="B913" s="7" t="s">
        <v>16</v>
      </c>
      <c r="C913" s="7" t="s">
        <v>17</v>
      </c>
      <c r="D913" s="7"/>
      <c r="E913" s="7" t="s">
        <v>1670</v>
      </c>
      <c r="F913" s="7" t="s">
        <v>19</v>
      </c>
      <c r="G913" s="7" t="s">
        <v>31</v>
      </c>
      <c r="H913" s="7" t="s">
        <v>17</v>
      </c>
      <c r="I913" s="7" t="s">
        <v>17</v>
      </c>
      <c r="J913" s="7" t="s">
        <v>637</v>
      </c>
    </row>
    <row r="914" spans="1:10" x14ac:dyDescent="0.25" outlineLevel="3" collapsed="1">
      <c r="A914" s="7" t="s">
        <v>15</v>
      </c>
      <c r="B914" s="7" t="s">
        <v>16</v>
      </c>
      <c r="C914" s="7" t="s">
        <v>17</v>
      </c>
      <c r="D914" s="7"/>
      <c r="E914" s="7" t="s">
        <v>638</v>
      </c>
      <c r="F914" s="7" t="s">
        <v>19</v>
      </c>
      <c r="G914" s="7" t="s">
        <v>31</v>
      </c>
      <c r="H914" s="7" t="s">
        <v>17</v>
      </c>
      <c r="I914" s="7" t="s">
        <v>17</v>
      </c>
      <c r="J914" s="7" t="s">
        <v>640</v>
      </c>
    </row>
    <row r="915" spans="1:10" x14ac:dyDescent="0.25" outlineLevel="3" collapsed="1">
      <c r="A915" s="7" t="s">
        <v>15</v>
      </c>
      <c r="B915" s="7" t="s">
        <v>16</v>
      </c>
      <c r="C915" s="7" t="s">
        <v>17</v>
      </c>
      <c r="D915" s="7"/>
      <c r="E915" s="7" t="s">
        <v>9</v>
      </c>
      <c r="F915" s="7" t="s">
        <v>19</v>
      </c>
      <c r="G915" s="7" t="s">
        <v>31</v>
      </c>
      <c r="H915" s="7" t="s">
        <v>17</v>
      </c>
      <c r="I915" s="7" t="s">
        <v>17</v>
      </c>
      <c r="J915" s="7" t="s">
        <v>843</v>
      </c>
    </row>
    <row r="916" spans="1:10" x14ac:dyDescent="0.25" outlineLevel="3" collapsed="1">
      <c r="A916" s="7" t="s">
        <v>19</v>
      </c>
      <c r="B916" s="7" t="s">
        <v>16</v>
      </c>
      <c r="C916" s="7" t="s">
        <v>17</v>
      </c>
      <c r="D916" s="7"/>
      <c r="E916" s="7" t="s">
        <v>1600</v>
      </c>
      <c r="F916" s="7" t="s">
        <v>19</v>
      </c>
      <c r="G916" s="7" t="s">
        <v>31</v>
      </c>
      <c r="H916" s="7" t="s">
        <v>17</v>
      </c>
      <c r="I916" s="7" t="s">
        <v>17</v>
      </c>
      <c r="J916" s="7" t="s">
        <v>1424</v>
      </c>
    </row>
    <row r="917" spans="1:10" x14ac:dyDescent="0.25" outlineLevel="3" collapsed="1">
      <c r="A917" s="7" t="s">
        <v>15</v>
      </c>
      <c r="B917" s="7" t="s">
        <v>16</v>
      </c>
      <c r="C917" s="7" t="s">
        <v>17</v>
      </c>
      <c r="D917" s="7"/>
      <c r="E917" s="7" t="s">
        <v>1601</v>
      </c>
      <c r="F917" s="7" t="s">
        <v>19</v>
      </c>
      <c r="G917" s="7" t="s">
        <v>31</v>
      </c>
      <c r="H917" s="7" t="s">
        <v>17</v>
      </c>
      <c r="I917" s="7" t="s">
        <v>17</v>
      </c>
      <c r="J917" s="7" t="s">
        <v>1602</v>
      </c>
    </row>
    <row r="918" spans="1:10" x14ac:dyDescent="0.25" outlineLevel="3" collapsed="1">
      <c r="A918" s="7" t="s">
        <v>15</v>
      </c>
      <c r="B918" s="7" t="s">
        <v>16</v>
      </c>
      <c r="C918" s="7" t="s">
        <v>17</v>
      </c>
      <c r="D918" s="7"/>
      <c r="E918" s="7" t="s">
        <v>1671</v>
      </c>
      <c r="F918" s="7" t="s">
        <v>19</v>
      </c>
      <c r="G918" s="7" t="s">
        <v>31</v>
      </c>
      <c r="H918" s="7" t="s">
        <v>17</v>
      </c>
      <c r="I918" s="7" t="s">
        <v>17</v>
      </c>
      <c r="J918" s="7" t="s">
        <v>1672</v>
      </c>
    </row>
    <row r="919" spans="1:10" x14ac:dyDescent="0.25" outlineLevel="3" collapsed="1">
      <c r="A919" s="7" t="s">
        <v>15</v>
      </c>
      <c r="B919" s="7" t="s">
        <v>16</v>
      </c>
      <c r="C919" s="7" t="s">
        <v>17</v>
      </c>
      <c r="D919" s="7"/>
      <c r="E919" s="7" t="s">
        <v>1673</v>
      </c>
      <c r="F919" s="7" t="s">
        <v>19</v>
      </c>
      <c r="G919" s="7" t="s">
        <v>31</v>
      </c>
      <c r="H919" s="7" t="s">
        <v>17</v>
      </c>
      <c r="I919" s="7" t="s">
        <v>17</v>
      </c>
      <c r="J919" s="7" t="s">
        <v>1674</v>
      </c>
    </row>
    <row r="920" spans="1:10" x14ac:dyDescent="0.25" outlineLevel="3" collapsed="1">
      <c r="A920" s="7" t="s">
        <v>15</v>
      </c>
      <c r="B920" s="7" t="s">
        <v>16</v>
      </c>
      <c r="C920" s="7" t="s">
        <v>17</v>
      </c>
      <c r="D920" s="7"/>
      <c r="E920" s="7" t="s">
        <v>2618</v>
      </c>
      <c r="F920" s="7" t="s">
        <v>19</v>
      </c>
      <c r="G920" s="7" t="s">
        <v>31</v>
      </c>
      <c r="H920" s="7" t="s">
        <v>17</v>
      </c>
      <c r="I920" s="7" t="s">
        <v>17</v>
      </c>
      <c r="J920" s="7" t="s">
        <v>1422</v>
      </c>
    </row>
    <row r="921" spans="1:10" x14ac:dyDescent="0.25" outlineLevel="3" collapsed="1">
      <c r="A921" s="7" t="s">
        <v>15</v>
      </c>
      <c r="B921" s="7" t="s">
        <v>284</v>
      </c>
      <c r="C921" s="11" t="s">
        <v>2619</v>
      </c>
      <c r="D921" s="7"/>
      <c r="E921" s="7" t="s">
        <v>1605</v>
      </c>
      <c r="F921" s="7" t="s">
        <v>19</v>
      </c>
      <c r="G921" s="7" t="s">
        <v>1606</v>
      </c>
      <c r="H921" s="7" t="s">
        <v>17</v>
      </c>
      <c r="I921" s="7" t="s">
        <v>17</v>
      </c>
      <c r="J921" s="7" t="s">
        <v>1607</v>
      </c>
    </row>
    <row r="922" spans="1:10" x14ac:dyDescent="0.25" outlineLevel="3" collapsed="1">
      <c r="A922" s="7" t="s">
        <v>19</v>
      </c>
      <c r="B922" s="7" t="s">
        <v>63</v>
      </c>
      <c r="C922" s="7" t="s">
        <v>17</v>
      </c>
      <c r="D922" s="7">
        <f>EXACT(G921,"Single value")</f>
      </c>
      <c r="E922" s="7" t="s">
        <v>2620</v>
      </c>
      <c r="F922" s="7" t="s">
        <v>19</v>
      </c>
      <c r="G922" s="7">
        <v>1</v>
      </c>
      <c r="H922" s="7" t="s">
        <v>17</v>
      </c>
      <c r="I922" s="7" t="s">
        <v>17</v>
      </c>
      <c r="J922" s="7" t="s">
        <v>1609</v>
      </c>
    </row>
    <row r="923" spans="1:10" x14ac:dyDescent="0.25" outlineLevel="3" collapsed="1">
      <c r="A923" s="7" t="s">
        <v>19</v>
      </c>
      <c r="B923" s="7" t="s">
        <v>16</v>
      </c>
      <c r="C923" s="7" t="s">
        <v>17</v>
      </c>
      <c r="D923" s="7"/>
      <c r="E923" s="7" t="s">
        <v>1677</v>
      </c>
      <c r="F923" s="7" t="s">
        <v>19</v>
      </c>
      <c r="G923" s="7" t="s">
        <v>31</v>
      </c>
      <c r="H923" s="7" t="s">
        <v>17</v>
      </c>
      <c r="I923" s="7" t="s">
        <v>17</v>
      </c>
      <c r="J923" s="7" t="s">
        <v>1678</v>
      </c>
    </row>
    <row r="924" spans="1:10" x14ac:dyDescent="0.25" outlineLevel="3" collapsed="1">
      <c r="A924" s="7" t="s">
        <v>15</v>
      </c>
      <c r="B924" s="7" t="s">
        <v>16</v>
      </c>
      <c r="C924" s="7" t="s">
        <v>17</v>
      </c>
      <c r="D924" s="7"/>
      <c r="E924" s="7" t="s">
        <v>1679</v>
      </c>
      <c r="F924" s="7" t="s">
        <v>19</v>
      </c>
      <c r="G924" s="7" t="s">
        <v>31</v>
      </c>
      <c r="H924" s="7" t="s">
        <v>17</v>
      </c>
      <c r="I924" s="7" t="s">
        <v>17</v>
      </c>
      <c r="J924" s="7" t="s">
        <v>1680</v>
      </c>
    </row>
    <row r="925" spans="1:10" x14ac:dyDescent="0.25" outlineLevel="3" collapsed="1">
      <c r="A925" s="7" t="s">
        <v>15</v>
      </c>
      <c r="B925" s="7" t="s">
        <v>284</v>
      </c>
      <c r="C925" s="11" t="s">
        <v>2621</v>
      </c>
      <c r="D925" s="7"/>
      <c r="E925" s="7" t="s">
        <v>1612</v>
      </c>
      <c r="F925" s="7" t="s">
        <v>19</v>
      </c>
      <c r="G925" s="7" t="s">
        <v>1613</v>
      </c>
      <c r="H925" s="7" t="s">
        <v>17</v>
      </c>
      <c r="I925" s="7" t="s">
        <v>17</v>
      </c>
      <c r="J925" s="7" t="s">
        <v>1614</v>
      </c>
    </row>
    <row r="926" spans="1:10" x14ac:dyDescent="0.25" outlineLevel="3" collapsed="1">
      <c r="A926" s="7" t="s">
        <v>19</v>
      </c>
      <c r="B926" s="7" t="s">
        <v>16</v>
      </c>
      <c r="C926" s="7" t="s">
        <v>17</v>
      </c>
      <c r="D926" s="7"/>
      <c r="E926" s="7" t="s">
        <v>1681</v>
      </c>
      <c r="F926" s="7" t="s">
        <v>19</v>
      </c>
      <c r="G926" s="7" t="s">
        <v>31</v>
      </c>
      <c r="H926" s="7" t="s">
        <v>17</v>
      </c>
      <c r="I926" s="7" t="s">
        <v>17</v>
      </c>
      <c r="J926" s="7" t="s">
        <v>1682</v>
      </c>
    </row>
    <row r="927" spans="1:10" x14ac:dyDescent="0.25" outlineLevel="3" collapsed="1">
      <c r="A927" s="7" t="s">
        <v>19</v>
      </c>
      <c r="B927" s="7" t="s">
        <v>16</v>
      </c>
      <c r="C927" s="7" t="s">
        <v>17</v>
      </c>
      <c r="D927" s="7"/>
      <c r="E927" s="7" t="s">
        <v>1615</v>
      </c>
      <c r="F927" s="7" t="s">
        <v>19</v>
      </c>
      <c r="G927" s="7" t="s">
        <v>31</v>
      </c>
      <c r="H927" s="7" t="s">
        <v>17</v>
      </c>
      <c r="I927" s="7" t="s">
        <v>17</v>
      </c>
      <c r="J927" s="7" t="s">
        <v>1616</v>
      </c>
    </row>
    <row r="928" spans="1:10" x14ac:dyDescent="0.25" outlineLevel="2" collapsed="1">
      <c r="A928" s="8" t="s">
        <v>19</v>
      </c>
      <c r="B928" s="9" t="s">
        <v>2617</v>
      </c>
      <c r="C928" s="8" t="s">
        <v>17</v>
      </c>
      <c r="D928" s="8"/>
      <c r="E928" s="8" t="s">
        <v>1744</v>
      </c>
      <c r="F928" s="8" t="s">
        <v>19</v>
      </c>
      <c r="G928" s="8" t="s">
        <v>17</v>
      </c>
      <c r="H928" s="8" t="s">
        <v>17</v>
      </c>
      <c r="I928" s="8" t="s">
        <v>17</v>
      </c>
      <c r="J928" s="8" t="s">
        <v>1745</v>
      </c>
    </row>
    <row r="929" spans="1:10" x14ac:dyDescent="0.25" outlineLevel="3" collapsed="1">
      <c r="A929" s="7" t="s">
        <v>15</v>
      </c>
      <c r="B929" s="7" t="s">
        <v>16</v>
      </c>
      <c r="C929" s="7" t="s">
        <v>17</v>
      </c>
      <c r="D929" s="7"/>
      <c r="E929" s="7" t="s">
        <v>1670</v>
      </c>
      <c r="F929" s="7" t="s">
        <v>19</v>
      </c>
      <c r="G929" s="7" t="s">
        <v>31</v>
      </c>
      <c r="H929" s="7" t="s">
        <v>17</v>
      </c>
      <c r="I929" s="7" t="s">
        <v>17</v>
      </c>
      <c r="J929" s="7" t="s">
        <v>637</v>
      </c>
    </row>
    <row r="930" spans="1:10" x14ac:dyDescent="0.25" outlineLevel="3" collapsed="1">
      <c r="A930" s="7" t="s">
        <v>15</v>
      </c>
      <c r="B930" s="7" t="s">
        <v>16</v>
      </c>
      <c r="C930" s="7" t="s">
        <v>17</v>
      </c>
      <c r="D930" s="7"/>
      <c r="E930" s="7" t="s">
        <v>638</v>
      </c>
      <c r="F930" s="7" t="s">
        <v>19</v>
      </c>
      <c r="G930" s="7" t="s">
        <v>31</v>
      </c>
      <c r="H930" s="7" t="s">
        <v>17</v>
      </c>
      <c r="I930" s="7" t="s">
        <v>17</v>
      </c>
      <c r="J930" s="7" t="s">
        <v>640</v>
      </c>
    </row>
    <row r="931" spans="1:10" x14ac:dyDescent="0.25" outlineLevel="3" collapsed="1">
      <c r="A931" s="7" t="s">
        <v>15</v>
      </c>
      <c r="B931" s="7" t="s">
        <v>16</v>
      </c>
      <c r="C931" s="7" t="s">
        <v>17</v>
      </c>
      <c r="D931" s="7"/>
      <c r="E931" s="7" t="s">
        <v>9</v>
      </c>
      <c r="F931" s="7" t="s">
        <v>19</v>
      </c>
      <c r="G931" s="7" t="s">
        <v>31</v>
      </c>
      <c r="H931" s="7" t="s">
        <v>17</v>
      </c>
      <c r="I931" s="7" t="s">
        <v>17</v>
      </c>
      <c r="J931" s="7" t="s">
        <v>843</v>
      </c>
    </row>
    <row r="932" spans="1:10" x14ac:dyDescent="0.25" outlineLevel="3" collapsed="1">
      <c r="A932" s="7" t="s">
        <v>19</v>
      </c>
      <c r="B932" s="7" t="s">
        <v>16</v>
      </c>
      <c r="C932" s="7" t="s">
        <v>17</v>
      </c>
      <c r="D932" s="7"/>
      <c r="E932" s="7" t="s">
        <v>1600</v>
      </c>
      <c r="F932" s="7" t="s">
        <v>19</v>
      </c>
      <c r="G932" s="7" t="s">
        <v>31</v>
      </c>
      <c r="H932" s="7" t="s">
        <v>17</v>
      </c>
      <c r="I932" s="7" t="s">
        <v>17</v>
      </c>
      <c r="J932" s="7" t="s">
        <v>1424</v>
      </c>
    </row>
    <row r="933" spans="1:10" x14ac:dyDescent="0.25" outlineLevel="3" collapsed="1">
      <c r="A933" s="7" t="s">
        <v>15</v>
      </c>
      <c r="B933" s="7" t="s">
        <v>16</v>
      </c>
      <c r="C933" s="7" t="s">
        <v>17</v>
      </c>
      <c r="D933" s="7"/>
      <c r="E933" s="7" t="s">
        <v>1601</v>
      </c>
      <c r="F933" s="7" t="s">
        <v>19</v>
      </c>
      <c r="G933" s="7" t="s">
        <v>31</v>
      </c>
      <c r="H933" s="7" t="s">
        <v>17</v>
      </c>
      <c r="I933" s="7" t="s">
        <v>17</v>
      </c>
      <c r="J933" s="7" t="s">
        <v>1602</v>
      </c>
    </row>
    <row r="934" spans="1:10" x14ac:dyDescent="0.25" outlineLevel="3" collapsed="1">
      <c r="A934" s="7" t="s">
        <v>15</v>
      </c>
      <c r="B934" s="7" t="s">
        <v>16</v>
      </c>
      <c r="C934" s="7" t="s">
        <v>17</v>
      </c>
      <c r="D934" s="7"/>
      <c r="E934" s="7" t="s">
        <v>1671</v>
      </c>
      <c r="F934" s="7" t="s">
        <v>19</v>
      </c>
      <c r="G934" s="7" t="s">
        <v>31</v>
      </c>
      <c r="H934" s="7" t="s">
        <v>17</v>
      </c>
      <c r="I934" s="7" t="s">
        <v>17</v>
      </c>
      <c r="J934" s="7" t="s">
        <v>1672</v>
      </c>
    </row>
    <row r="935" spans="1:10" x14ac:dyDescent="0.25" outlineLevel="3" collapsed="1">
      <c r="A935" s="7" t="s">
        <v>15</v>
      </c>
      <c r="B935" s="7" t="s">
        <v>16</v>
      </c>
      <c r="C935" s="7" t="s">
        <v>17</v>
      </c>
      <c r="D935" s="7"/>
      <c r="E935" s="7" t="s">
        <v>1673</v>
      </c>
      <c r="F935" s="7" t="s">
        <v>19</v>
      </c>
      <c r="G935" s="7" t="s">
        <v>31</v>
      </c>
      <c r="H935" s="7" t="s">
        <v>17</v>
      </c>
      <c r="I935" s="7" t="s">
        <v>17</v>
      </c>
      <c r="J935" s="7" t="s">
        <v>1674</v>
      </c>
    </row>
    <row r="936" spans="1:10" x14ac:dyDescent="0.25" outlineLevel="3" collapsed="1">
      <c r="A936" s="7" t="s">
        <v>15</v>
      </c>
      <c r="B936" s="7" t="s">
        <v>16</v>
      </c>
      <c r="C936" s="7" t="s">
        <v>17</v>
      </c>
      <c r="D936" s="7"/>
      <c r="E936" s="7" t="s">
        <v>2618</v>
      </c>
      <c r="F936" s="7" t="s">
        <v>19</v>
      </c>
      <c r="G936" s="7" t="s">
        <v>31</v>
      </c>
      <c r="H936" s="7" t="s">
        <v>17</v>
      </c>
      <c r="I936" s="7" t="s">
        <v>17</v>
      </c>
      <c r="J936" s="7" t="s">
        <v>1422</v>
      </c>
    </row>
    <row r="937" spans="1:10" x14ac:dyDescent="0.25" outlineLevel="3" collapsed="1">
      <c r="A937" s="7" t="s">
        <v>15</v>
      </c>
      <c r="B937" s="7" t="s">
        <v>284</v>
      </c>
      <c r="C937" s="11" t="s">
        <v>2619</v>
      </c>
      <c r="D937" s="7"/>
      <c r="E937" s="7" t="s">
        <v>1605</v>
      </c>
      <c r="F937" s="7" t="s">
        <v>19</v>
      </c>
      <c r="G937" s="7" t="s">
        <v>1606</v>
      </c>
      <c r="H937" s="7" t="s">
        <v>17</v>
      </c>
      <c r="I937" s="7" t="s">
        <v>17</v>
      </c>
      <c r="J937" s="7" t="s">
        <v>1607</v>
      </c>
    </row>
    <row r="938" spans="1:10" x14ac:dyDescent="0.25" outlineLevel="3" collapsed="1">
      <c r="A938" s="7" t="s">
        <v>19</v>
      </c>
      <c r="B938" s="7" t="s">
        <v>63</v>
      </c>
      <c r="C938" s="7" t="s">
        <v>17</v>
      </c>
      <c r="D938" s="7">
        <f>EXACT(G937,"Single value")</f>
      </c>
      <c r="E938" s="7" t="s">
        <v>2620</v>
      </c>
      <c r="F938" s="7" t="s">
        <v>19</v>
      </c>
      <c r="G938" s="7">
        <v>1</v>
      </c>
      <c r="H938" s="7" t="s">
        <v>17</v>
      </c>
      <c r="I938" s="7" t="s">
        <v>17</v>
      </c>
      <c r="J938" s="7" t="s">
        <v>1609</v>
      </c>
    </row>
    <row r="939" spans="1:10" x14ac:dyDescent="0.25" outlineLevel="3" collapsed="1">
      <c r="A939" s="7" t="s">
        <v>19</v>
      </c>
      <c r="B939" s="7" t="s">
        <v>16</v>
      </c>
      <c r="C939" s="7" t="s">
        <v>17</v>
      </c>
      <c r="D939" s="7"/>
      <c r="E939" s="7" t="s">
        <v>1677</v>
      </c>
      <c r="F939" s="7" t="s">
        <v>19</v>
      </c>
      <c r="G939" s="7" t="s">
        <v>31</v>
      </c>
      <c r="H939" s="7" t="s">
        <v>17</v>
      </c>
      <c r="I939" s="7" t="s">
        <v>17</v>
      </c>
      <c r="J939" s="7" t="s">
        <v>1678</v>
      </c>
    </row>
    <row r="940" spans="1:10" x14ac:dyDescent="0.25" outlineLevel="3" collapsed="1">
      <c r="A940" s="7" t="s">
        <v>15</v>
      </c>
      <c r="B940" s="7" t="s">
        <v>16</v>
      </c>
      <c r="C940" s="7" t="s">
        <v>17</v>
      </c>
      <c r="D940" s="7"/>
      <c r="E940" s="7" t="s">
        <v>1679</v>
      </c>
      <c r="F940" s="7" t="s">
        <v>19</v>
      </c>
      <c r="G940" s="7" t="s">
        <v>31</v>
      </c>
      <c r="H940" s="7" t="s">
        <v>17</v>
      </c>
      <c r="I940" s="7" t="s">
        <v>17</v>
      </c>
      <c r="J940" s="7" t="s">
        <v>1680</v>
      </c>
    </row>
    <row r="941" spans="1:10" x14ac:dyDescent="0.25" outlineLevel="3" collapsed="1">
      <c r="A941" s="7" t="s">
        <v>15</v>
      </c>
      <c r="B941" s="7" t="s">
        <v>284</v>
      </c>
      <c r="C941" s="11" t="s">
        <v>2621</v>
      </c>
      <c r="D941" s="7"/>
      <c r="E941" s="7" t="s">
        <v>1612</v>
      </c>
      <c r="F941" s="7" t="s">
        <v>19</v>
      </c>
      <c r="G941" s="7" t="s">
        <v>1613</v>
      </c>
      <c r="H941" s="7" t="s">
        <v>17</v>
      </c>
      <c r="I941" s="7" t="s">
        <v>17</v>
      </c>
      <c r="J941" s="7" t="s">
        <v>1614</v>
      </c>
    </row>
    <row r="942" spans="1:10" x14ac:dyDescent="0.25" outlineLevel="3" collapsed="1">
      <c r="A942" s="7" t="s">
        <v>19</v>
      </c>
      <c r="B942" s="7" t="s">
        <v>16</v>
      </c>
      <c r="C942" s="7" t="s">
        <v>17</v>
      </c>
      <c r="D942" s="7"/>
      <c r="E942" s="7" t="s">
        <v>1681</v>
      </c>
      <c r="F942" s="7" t="s">
        <v>19</v>
      </c>
      <c r="G942" s="7" t="s">
        <v>31</v>
      </c>
      <c r="H942" s="7" t="s">
        <v>17</v>
      </c>
      <c r="I942" s="7" t="s">
        <v>17</v>
      </c>
      <c r="J942" s="7" t="s">
        <v>1682</v>
      </c>
    </row>
    <row r="943" spans="1:10" x14ac:dyDescent="0.25" outlineLevel="3" collapsed="1">
      <c r="A943" s="7" t="s">
        <v>19</v>
      </c>
      <c r="B943" s="7" t="s">
        <v>16</v>
      </c>
      <c r="C943" s="7" t="s">
        <v>17</v>
      </c>
      <c r="D943" s="7"/>
      <c r="E943" s="7" t="s">
        <v>1615</v>
      </c>
      <c r="F943" s="7" t="s">
        <v>19</v>
      </c>
      <c r="G943" s="7" t="s">
        <v>31</v>
      </c>
      <c r="H943" s="7" t="s">
        <v>17</v>
      </c>
      <c r="I943" s="7" t="s">
        <v>17</v>
      </c>
      <c r="J943" s="7" t="s">
        <v>1616</v>
      </c>
    </row>
    <row r="944" spans="1:10" x14ac:dyDescent="0.25" outlineLevel="2" collapsed="1">
      <c r="A944" s="8" t="s">
        <v>19</v>
      </c>
      <c r="B944" s="9" t="s">
        <v>2617</v>
      </c>
      <c r="C944" s="8" t="s">
        <v>17</v>
      </c>
      <c r="D944" s="8"/>
      <c r="E944" s="8" t="s">
        <v>1746</v>
      </c>
      <c r="F944" s="8" t="s">
        <v>19</v>
      </c>
      <c r="G944" s="8" t="s">
        <v>17</v>
      </c>
      <c r="H944" s="8" t="s">
        <v>17</v>
      </c>
      <c r="I944" s="8" t="s">
        <v>17</v>
      </c>
      <c r="J944" s="8" t="s">
        <v>1747</v>
      </c>
    </row>
    <row r="945" spans="1:10" x14ac:dyDescent="0.25" outlineLevel="3" collapsed="1">
      <c r="A945" s="7" t="s">
        <v>15</v>
      </c>
      <c r="B945" s="7" t="s">
        <v>16</v>
      </c>
      <c r="C945" s="7" t="s">
        <v>17</v>
      </c>
      <c r="D945" s="7"/>
      <c r="E945" s="7" t="s">
        <v>1670</v>
      </c>
      <c r="F945" s="7" t="s">
        <v>19</v>
      </c>
      <c r="G945" s="7" t="s">
        <v>31</v>
      </c>
      <c r="H945" s="7" t="s">
        <v>17</v>
      </c>
      <c r="I945" s="7" t="s">
        <v>17</v>
      </c>
      <c r="J945" s="7" t="s">
        <v>637</v>
      </c>
    </row>
    <row r="946" spans="1:10" x14ac:dyDescent="0.25" outlineLevel="3" collapsed="1">
      <c r="A946" s="7" t="s">
        <v>15</v>
      </c>
      <c r="B946" s="7" t="s">
        <v>16</v>
      </c>
      <c r="C946" s="7" t="s">
        <v>17</v>
      </c>
      <c r="D946" s="7"/>
      <c r="E946" s="7" t="s">
        <v>638</v>
      </c>
      <c r="F946" s="7" t="s">
        <v>19</v>
      </c>
      <c r="G946" s="7" t="s">
        <v>31</v>
      </c>
      <c r="H946" s="7" t="s">
        <v>17</v>
      </c>
      <c r="I946" s="7" t="s">
        <v>17</v>
      </c>
      <c r="J946" s="7" t="s">
        <v>640</v>
      </c>
    </row>
    <row r="947" spans="1:10" x14ac:dyDescent="0.25" outlineLevel="3" collapsed="1">
      <c r="A947" s="7" t="s">
        <v>15</v>
      </c>
      <c r="B947" s="7" t="s">
        <v>16</v>
      </c>
      <c r="C947" s="7" t="s">
        <v>17</v>
      </c>
      <c r="D947" s="7"/>
      <c r="E947" s="7" t="s">
        <v>9</v>
      </c>
      <c r="F947" s="7" t="s">
        <v>19</v>
      </c>
      <c r="G947" s="7" t="s">
        <v>31</v>
      </c>
      <c r="H947" s="7" t="s">
        <v>17</v>
      </c>
      <c r="I947" s="7" t="s">
        <v>17</v>
      </c>
      <c r="J947" s="7" t="s">
        <v>843</v>
      </c>
    </row>
    <row r="948" spans="1:10" x14ac:dyDescent="0.25" outlineLevel="3" collapsed="1">
      <c r="A948" s="7" t="s">
        <v>19</v>
      </c>
      <c r="B948" s="7" t="s">
        <v>16</v>
      </c>
      <c r="C948" s="7" t="s">
        <v>17</v>
      </c>
      <c r="D948" s="7"/>
      <c r="E948" s="7" t="s">
        <v>1600</v>
      </c>
      <c r="F948" s="7" t="s">
        <v>19</v>
      </c>
      <c r="G948" s="7" t="s">
        <v>31</v>
      </c>
      <c r="H948" s="7" t="s">
        <v>17</v>
      </c>
      <c r="I948" s="7" t="s">
        <v>17</v>
      </c>
      <c r="J948" s="7" t="s">
        <v>1424</v>
      </c>
    </row>
    <row r="949" spans="1:10" x14ac:dyDescent="0.25" outlineLevel="3" collapsed="1">
      <c r="A949" s="7" t="s">
        <v>15</v>
      </c>
      <c r="B949" s="7" t="s">
        <v>16</v>
      </c>
      <c r="C949" s="7" t="s">
        <v>17</v>
      </c>
      <c r="D949" s="7"/>
      <c r="E949" s="7" t="s">
        <v>1601</v>
      </c>
      <c r="F949" s="7" t="s">
        <v>19</v>
      </c>
      <c r="G949" s="7" t="s">
        <v>31</v>
      </c>
      <c r="H949" s="7" t="s">
        <v>17</v>
      </c>
      <c r="I949" s="7" t="s">
        <v>17</v>
      </c>
      <c r="J949" s="7" t="s">
        <v>1602</v>
      </c>
    </row>
    <row r="950" spans="1:10" x14ac:dyDescent="0.25" outlineLevel="3" collapsed="1">
      <c r="A950" s="7" t="s">
        <v>15</v>
      </c>
      <c r="B950" s="7" t="s">
        <v>16</v>
      </c>
      <c r="C950" s="7" t="s">
        <v>17</v>
      </c>
      <c r="D950" s="7"/>
      <c r="E950" s="7" t="s">
        <v>1671</v>
      </c>
      <c r="F950" s="7" t="s">
        <v>19</v>
      </c>
      <c r="G950" s="7" t="s">
        <v>31</v>
      </c>
      <c r="H950" s="7" t="s">
        <v>17</v>
      </c>
      <c r="I950" s="7" t="s">
        <v>17</v>
      </c>
      <c r="J950" s="7" t="s">
        <v>1672</v>
      </c>
    </row>
    <row r="951" spans="1:10" x14ac:dyDescent="0.25" outlineLevel="3" collapsed="1">
      <c r="A951" s="7" t="s">
        <v>15</v>
      </c>
      <c r="B951" s="7" t="s">
        <v>16</v>
      </c>
      <c r="C951" s="7" t="s">
        <v>17</v>
      </c>
      <c r="D951" s="7"/>
      <c r="E951" s="7" t="s">
        <v>1673</v>
      </c>
      <c r="F951" s="7" t="s">
        <v>19</v>
      </c>
      <c r="G951" s="7" t="s">
        <v>31</v>
      </c>
      <c r="H951" s="7" t="s">
        <v>17</v>
      </c>
      <c r="I951" s="7" t="s">
        <v>17</v>
      </c>
      <c r="J951" s="7" t="s">
        <v>1674</v>
      </c>
    </row>
    <row r="952" spans="1:10" x14ac:dyDescent="0.25" outlineLevel="3" collapsed="1">
      <c r="A952" s="7" t="s">
        <v>15</v>
      </c>
      <c r="B952" s="7" t="s">
        <v>16</v>
      </c>
      <c r="C952" s="7" t="s">
        <v>17</v>
      </c>
      <c r="D952" s="7"/>
      <c r="E952" s="7" t="s">
        <v>2618</v>
      </c>
      <c r="F952" s="7" t="s">
        <v>19</v>
      </c>
      <c r="G952" s="7" t="s">
        <v>31</v>
      </c>
      <c r="H952" s="7" t="s">
        <v>17</v>
      </c>
      <c r="I952" s="7" t="s">
        <v>17</v>
      </c>
      <c r="J952" s="7" t="s">
        <v>1422</v>
      </c>
    </row>
    <row r="953" spans="1:10" x14ac:dyDescent="0.25" outlineLevel="3" collapsed="1">
      <c r="A953" s="7" t="s">
        <v>15</v>
      </c>
      <c r="B953" s="7" t="s">
        <v>284</v>
      </c>
      <c r="C953" s="11" t="s">
        <v>2619</v>
      </c>
      <c r="D953" s="7"/>
      <c r="E953" s="7" t="s">
        <v>1605</v>
      </c>
      <c r="F953" s="7" t="s">
        <v>19</v>
      </c>
      <c r="G953" s="7" t="s">
        <v>1606</v>
      </c>
      <c r="H953" s="7" t="s">
        <v>17</v>
      </c>
      <c r="I953" s="7" t="s">
        <v>17</v>
      </c>
      <c r="J953" s="7" t="s">
        <v>1607</v>
      </c>
    </row>
    <row r="954" spans="1:10" x14ac:dyDescent="0.25" outlineLevel="3" collapsed="1">
      <c r="A954" s="7" t="s">
        <v>19</v>
      </c>
      <c r="B954" s="7" t="s">
        <v>63</v>
      </c>
      <c r="C954" s="7" t="s">
        <v>17</v>
      </c>
      <c r="D954" s="7">
        <f>EXACT(G953,"Single value")</f>
      </c>
      <c r="E954" s="7" t="s">
        <v>2620</v>
      </c>
      <c r="F954" s="7" t="s">
        <v>19</v>
      </c>
      <c r="G954" s="7">
        <v>1</v>
      </c>
      <c r="H954" s="7" t="s">
        <v>17</v>
      </c>
      <c r="I954" s="7" t="s">
        <v>17</v>
      </c>
      <c r="J954" s="7" t="s">
        <v>1609</v>
      </c>
    </row>
    <row r="955" spans="1:10" x14ac:dyDescent="0.25" outlineLevel="3" collapsed="1">
      <c r="A955" s="7" t="s">
        <v>19</v>
      </c>
      <c r="B955" s="7" t="s">
        <v>16</v>
      </c>
      <c r="C955" s="7" t="s">
        <v>17</v>
      </c>
      <c r="D955" s="7"/>
      <c r="E955" s="7" t="s">
        <v>1677</v>
      </c>
      <c r="F955" s="7" t="s">
        <v>19</v>
      </c>
      <c r="G955" s="7" t="s">
        <v>31</v>
      </c>
      <c r="H955" s="7" t="s">
        <v>17</v>
      </c>
      <c r="I955" s="7" t="s">
        <v>17</v>
      </c>
      <c r="J955" s="7" t="s">
        <v>1678</v>
      </c>
    </row>
    <row r="956" spans="1:10" x14ac:dyDescent="0.25" outlineLevel="3" collapsed="1">
      <c r="A956" s="7" t="s">
        <v>15</v>
      </c>
      <c r="B956" s="7" t="s">
        <v>16</v>
      </c>
      <c r="C956" s="7" t="s">
        <v>17</v>
      </c>
      <c r="D956" s="7"/>
      <c r="E956" s="7" t="s">
        <v>1679</v>
      </c>
      <c r="F956" s="7" t="s">
        <v>19</v>
      </c>
      <c r="G956" s="7" t="s">
        <v>31</v>
      </c>
      <c r="H956" s="7" t="s">
        <v>17</v>
      </c>
      <c r="I956" s="7" t="s">
        <v>17</v>
      </c>
      <c r="J956" s="7" t="s">
        <v>1680</v>
      </c>
    </row>
    <row r="957" spans="1:10" x14ac:dyDescent="0.25" outlineLevel="3" collapsed="1">
      <c r="A957" s="7" t="s">
        <v>15</v>
      </c>
      <c r="B957" s="7" t="s">
        <v>284</v>
      </c>
      <c r="C957" s="11" t="s">
        <v>2621</v>
      </c>
      <c r="D957" s="7"/>
      <c r="E957" s="7" t="s">
        <v>1612</v>
      </c>
      <c r="F957" s="7" t="s">
        <v>19</v>
      </c>
      <c r="G957" s="7" t="s">
        <v>1613</v>
      </c>
      <c r="H957" s="7" t="s">
        <v>17</v>
      </c>
      <c r="I957" s="7" t="s">
        <v>17</v>
      </c>
      <c r="J957" s="7" t="s">
        <v>1614</v>
      </c>
    </row>
    <row r="958" spans="1:10" x14ac:dyDescent="0.25" outlineLevel="3" collapsed="1">
      <c r="A958" s="7" t="s">
        <v>19</v>
      </c>
      <c r="B958" s="7" t="s">
        <v>16</v>
      </c>
      <c r="C958" s="7" t="s">
        <v>17</v>
      </c>
      <c r="D958" s="7"/>
      <c r="E958" s="7" t="s">
        <v>1681</v>
      </c>
      <c r="F958" s="7" t="s">
        <v>19</v>
      </c>
      <c r="G958" s="7" t="s">
        <v>31</v>
      </c>
      <c r="H958" s="7" t="s">
        <v>17</v>
      </c>
      <c r="I958" s="7" t="s">
        <v>17</v>
      </c>
      <c r="J958" s="7" t="s">
        <v>1682</v>
      </c>
    </row>
    <row r="959" spans="1:10" x14ac:dyDescent="0.25" outlineLevel="3" collapsed="1">
      <c r="A959" s="7" t="s">
        <v>19</v>
      </c>
      <c r="B959" s="7" t="s">
        <v>16</v>
      </c>
      <c r="C959" s="7" t="s">
        <v>17</v>
      </c>
      <c r="D959" s="7"/>
      <c r="E959" s="7" t="s">
        <v>1615</v>
      </c>
      <c r="F959" s="7" t="s">
        <v>19</v>
      </c>
      <c r="G959" s="7" t="s">
        <v>31</v>
      </c>
      <c r="H959" s="7" t="s">
        <v>17</v>
      </c>
      <c r="I959" s="7" t="s">
        <v>17</v>
      </c>
      <c r="J959" s="7" t="s">
        <v>1616</v>
      </c>
    </row>
    <row r="960" spans="1:10" x14ac:dyDescent="0.25" outlineLevel="2" collapsed="1">
      <c r="A960" s="8" t="s">
        <v>19</v>
      </c>
      <c r="B960" s="9" t="s">
        <v>2617</v>
      </c>
      <c r="C960" s="8" t="s">
        <v>17</v>
      </c>
      <c r="D960" s="8"/>
      <c r="E960" s="8" t="s">
        <v>1748</v>
      </c>
      <c r="F960" s="8" t="s">
        <v>19</v>
      </c>
      <c r="G960" s="8" t="s">
        <v>17</v>
      </c>
      <c r="H960" s="8" t="s">
        <v>17</v>
      </c>
      <c r="I960" s="8" t="s">
        <v>17</v>
      </c>
      <c r="J960" s="8" t="s">
        <v>1749</v>
      </c>
    </row>
    <row r="961" spans="1:10" x14ac:dyDescent="0.25" outlineLevel="3" collapsed="1">
      <c r="A961" s="7" t="s">
        <v>15</v>
      </c>
      <c r="B961" s="7" t="s">
        <v>16</v>
      </c>
      <c r="C961" s="7" t="s">
        <v>17</v>
      </c>
      <c r="D961" s="7"/>
      <c r="E961" s="7" t="s">
        <v>1670</v>
      </c>
      <c r="F961" s="7" t="s">
        <v>19</v>
      </c>
      <c r="G961" s="7" t="s">
        <v>31</v>
      </c>
      <c r="H961" s="7" t="s">
        <v>17</v>
      </c>
      <c r="I961" s="7" t="s">
        <v>17</v>
      </c>
      <c r="J961" s="7" t="s">
        <v>637</v>
      </c>
    </row>
    <row r="962" spans="1:10" x14ac:dyDescent="0.25" outlineLevel="3" collapsed="1">
      <c r="A962" s="7" t="s">
        <v>15</v>
      </c>
      <c r="B962" s="7" t="s">
        <v>16</v>
      </c>
      <c r="C962" s="7" t="s">
        <v>17</v>
      </c>
      <c r="D962" s="7"/>
      <c r="E962" s="7" t="s">
        <v>638</v>
      </c>
      <c r="F962" s="7" t="s">
        <v>19</v>
      </c>
      <c r="G962" s="7" t="s">
        <v>31</v>
      </c>
      <c r="H962" s="7" t="s">
        <v>17</v>
      </c>
      <c r="I962" s="7" t="s">
        <v>17</v>
      </c>
      <c r="J962" s="7" t="s">
        <v>640</v>
      </c>
    </row>
    <row r="963" spans="1:10" x14ac:dyDescent="0.25" outlineLevel="3" collapsed="1">
      <c r="A963" s="7" t="s">
        <v>15</v>
      </c>
      <c r="B963" s="7" t="s">
        <v>16</v>
      </c>
      <c r="C963" s="7" t="s">
        <v>17</v>
      </c>
      <c r="D963" s="7"/>
      <c r="E963" s="7" t="s">
        <v>9</v>
      </c>
      <c r="F963" s="7" t="s">
        <v>19</v>
      </c>
      <c r="G963" s="7" t="s">
        <v>31</v>
      </c>
      <c r="H963" s="7" t="s">
        <v>17</v>
      </c>
      <c r="I963" s="7" t="s">
        <v>17</v>
      </c>
      <c r="J963" s="7" t="s">
        <v>843</v>
      </c>
    </row>
    <row r="964" spans="1:10" x14ac:dyDescent="0.25" outlineLevel="3" collapsed="1">
      <c r="A964" s="7" t="s">
        <v>19</v>
      </c>
      <c r="B964" s="7" t="s">
        <v>16</v>
      </c>
      <c r="C964" s="7" t="s">
        <v>17</v>
      </c>
      <c r="D964" s="7"/>
      <c r="E964" s="7" t="s">
        <v>1600</v>
      </c>
      <c r="F964" s="7" t="s">
        <v>19</v>
      </c>
      <c r="G964" s="7" t="s">
        <v>31</v>
      </c>
      <c r="H964" s="7" t="s">
        <v>17</v>
      </c>
      <c r="I964" s="7" t="s">
        <v>17</v>
      </c>
      <c r="J964" s="7" t="s">
        <v>1424</v>
      </c>
    </row>
    <row r="965" spans="1:10" x14ac:dyDescent="0.25" outlineLevel="3" collapsed="1">
      <c r="A965" s="7" t="s">
        <v>15</v>
      </c>
      <c r="B965" s="7" t="s">
        <v>16</v>
      </c>
      <c r="C965" s="7" t="s">
        <v>17</v>
      </c>
      <c r="D965" s="7"/>
      <c r="E965" s="7" t="s">
        <v>1601</v>
      </c>
      <c r="F965" s="7" t="s">
        <v>19</v>
      </c>
      <c r="G965" s="7" t="s">
        <v>31</v>
      </c>
      <c r="H965" s="7" t="s">
        <v>17</v>
      </c>
      <c r="I965" s="7" t="s">
        <v>17</v>
      </c>
      <c r="J965" s="7" t="s">
        <v>1602</v>
      </c>
    </row>
    <row r="966" spans="1:10" x14ac:dyDescent="0.25" outlineLevel="3" collapsed="1">
      <c r="A966" s="7" t="s">
        <v>15</v>
      </c>
      <c r="B966" s="7" t="s">
        <v>16</v>
      </c>
      <c r="C966" s="7" t="s">
        <v>17</v>
      </c>
      <c r="D966" s="7"/>
      <c r="E966" s="7" t="s">
        <v>1671</v>
      </c>
      <c r="F966" s="7" t="s">
        <v>19</v>
      </c>
      <c r="G966" s="7" t="s">
        <v>31</v>
      </c>
      <c r="H966" s="7" t="s">
        <v>17</v>
      </c>
      <c r="I966" s="7" t="s">
        <v>17</v>
      </c>
      <c r="J966" s="7" t="s">
        <v>1672</v>
      </c>
    </row>
    <row r="967" spans="1:10" x14ac:dyDescent="0.25" outlineLevel="3" collapsed="1">
      <c r="A967" s="7" t="s">
        <v>15</v>
      </c>
      <c r="B967" s="7" t="s">
        <v>16</v>
      </c>
      <c r="C967" s="7" t="s">
        <v>17</v>
      </c>
      <c r="D967" s="7"/>
      <c r="E967" s="7" t="s">
        <v>1673</v>
      </c>
      <c r="F967" s="7" t="s">
        <v>19</v>
      </c>
      <c r="G967" s="7" t="s">
        <v>31</v>
      </c>
      <c r="H967" s="7" t="s">
        <v>17</v>
      </c>
      <c r="I967" s="7" t="s">
        <v>17</v>
      </c>
      <c r="J967" s="7" t="s">
        <v>1674</v>
      </c>
    </row>
    <row r="968" spans="1:10" x14ac:dyDescent="0.25" outlineLevel="3" collapsed="1">
      <c r="A968" s="7" t="s">
        <v>15</v>
      </c>
      <c r="B968" s="7" t="s">
        <v>16</v>
      </c>
      <c r="C968" s="7" t="s">
        <v>17</v>
      </c>
      <c r="D968" s="7"/>
      <c r="E968" s="7" t="s">
        <v>2618</v>
      </c>
      <c r="F968" s="7" t="s">
        <v>19</v>
      </c>
      <c r="G968" s="7" t="s">
        <v>31</v>
      </c>
      <c r="H968" s="7" t="s">
        <v>17</v>
      </c>
      <c r="I968" s="7" t="s">
        <v>17</v>
      </c>
      <c r="J968" s="7" t="s">
        <v>1422</v>
      </c>
    </row>
    <row r="969" spans="1:10" x14ac:dyDescent="0.25" outlineLevel="3" collapsed="1">
      <c r="A969" s="7" t="s">
        <v>15</v>
      </c>
      <c r="B969" s="7" t="s">
        <v>284</v>
      </c>
      <c r="C969" s="11" t="s">
        <v>2619</v>
      </c>
      <c r="D969" s="7"/>
      <c r="E969" s="7" t="s">
        <v>1605</v>
      </c>
      <c r="F969" s="7" t="s">
        <v>19</v>
      </c>
      <c r="G969" s="7" t="s">
        <v>1606</v>
      </c>
      <c r="H969" s="7" t="s">
        <v>17</v>
      </c>
      <c r="I969" s="7" t="s">
        <v>17</v>
      </c>
      <c r="J969" s="7" t="s">
        <v>1607</v>
      </c>
    </row>
    <row r="970" spans="1:10" x14ac:dyDescent="0.25" outlineLevel="3" collapsed="1">
      <c r="A970" s="7" t="s">
        <v>19</v>
      </c>
      <c r="B970" s="7" t="s">
        <v>63</v>
      </c>
      <c r="C970" s="7" t="s">
        <v>17</v>
      </c>
      <c r="D970" s="7">
        <f>EXACT(G969,"Single value")</f>
      </c>
      <c r="E970" s="7" t="s">
        <v>2620</v>
      </c>
      <c r="F970" s="7" t="s">
        <v>19</v>
      </c>
      <c r="G970" s="7">
        <v>1</v>
      </c>
      <c r="H970" s="7" t="s">
        <v>17</v>
      </c>
      <c r="I970" s="7" t="s">
        <v>17</v>
      </c>
      <c r="J970" s="7" t="s">
        <v>1609</v>
      </c>
    </row>
    <row r="971" spans="1:10" x14ac:dyDescent="0.25" outlineLevel="3" collapsed="1">
      <c r="A971" s="7" t="s">
        <v>19</v>
      </c>
      <c r="B971" s="7" t="s">
        <v>16</v>
      </c>
      <c r="C971" s="7" t="s">
        <v>17</v>
      </c>
      <c r="D971" s="7"/>
      <c r="E971" s="7" t="s">
        <v>1677</v>
      </c>
      <c r="F971" s="7" t="s">
        <v>19</v>
      </c>
      <c r="G971" s="7" t="s">
        <v>31</v>
      </c>
      <c r="H971" s="7" t="s">
        <v>17</v>
      </c>
      <c r="I971" s="7" t="s">
        <v>17</v>
      </c>
      <c r="J971" s="7" t="s">
        <v>1678</v>
      </c>
    </row>
    <row r="972" spans="1:10" x14ac:dyDescent="0.25" outlineLevel="3" collapsed="1">
      <c r="A972" s="7" t="s">
        <v>15</v>
      </c>
      <c r="B972" s="7" t="s">
        <v>16</v>
      </c>
      <c r="C972" s="7" t="s">
        <v>17</v>
      </c>
      <c r="D972" s="7"/>
      <c r="E972" s="7" t="s">
        <v>1679</v>
      </c>
      <c r="F972" s="7" t="s">
        <v>19</v>
      </c>
      <c r="G972" s="7" t="s">
        <v>31</v>
      </c>
      <c r="H972" s="7" t="s">
        <v>17</v>
      </c>
      <c r="I972" s="7" t="s">
        <v>17</v>
      </c>
      <c r="J972" s="7" t="s">
        <v>1680</v>
      </c>
    </row>
    <row r="973" spans="1:10" x14ac:dyDescent="0.25" outlineLevel="3" collapsed="1">
      <c r="A973" s="7" t="s">
        <v>15</v>
      </c>
      <c r="B973" s="7" t="s">
        <v>284</v>
      </c>
      <c r="C973" s="11" t="s">
        <v>2621</v>
      </c>
      <c r="D973" s="7"/>
      <c r="E973" s="7" t="s">
        <v>1612</v>
      </c>
      <c r="F973" s="7" t="s">
        <v>19</v>
      </c>
      <c r="G973" s="7" t="s">
        <v>1613</v>
      </c>
      <c r="H973" s="7" t="s">
        <v>17</v>
      </c>
      <c r="I973" s="7" t="s">
        <v>17</v>
      </c>
      <c r="J973" s="7" t="s">
        <v>1614</v>
      </c>
    </row>
    <row r="974" spans="1:10" x14ac:dyDescent="0.25" outlineLevel="3" collapsed="1">
      <c r="A974" s="7" t="s">
        <v>19</v>
      </c>
      <c r="B974" s="7" t="s">
        <v>16</v>
      </c>
      <c r="C974" s="7" t="s">
        <v>17</v>
      </c>
      <c r="D974" s="7"/>
      <c r="E974" s="7" t="s">
        <v>1681</v>
      </c>
      <c r="F974" s="7" t="s">
        <v>19</v>
      </c>
      <c r="G974" s="7" t="s">
        <v>31</v>
      </c>
      <c r="H974" s="7" t="s">
        <v>17</v>
      </c>
      <c r="I974" s="7" t="s">
        <v>17</v>
      </c>
      <c r="J974" s="7" t="s">
        <v>1682</v>
      </c>
    </row>
    <row r="975" spans="1:10" x14ac:dyDescent="0.25" outlineLevel="3" collapsed="1">
      <c r="A975" s="7" t="s">
        <v>19</v>
      </c>
      <c r="B975" s="7" t="s">
        <v>16</v>
      </c>
      <c r="C975" s="7" t="s">
        <v>17</v>
      </c>
      <c r="D975" s="7"/>
      <c r="E975" s="7" t="s">
        <v>1615</v>
      </c>
      <c r="F975" s="7" t="s">
        <v>19</v>
      </c>
      <c r="G975" s="7" t="s">
        <v>31</v>
      </c>
      <c r="H975" s="7" t="s">
        <v>17</v>
      </c>
      <c r="I975" s="7" t="s">
        <v>17</v>
      </c>
      <c r="J975" s="7" t="s">
        <v>1616</v>
      </c>
    </row>
    <row r="976" spans="1:10" x14ac:dyDescent="0.25" outlineLevel="2" collapsed="1">
      <c r="A976" s="8" t="s">
        <v>19</v>
      </c>
      <c r="B976" s="9" t="s">
        <v>2617</v>
      </c>
      <c r="C976" s="8" t="s">
        <v>17</v>
      </c>
      <c r="D976" s="8"/>
      <c r="E976" s="8" t="s">
        <v>1750</v>
      </c>
      <c r="F976" s="8" t="s">
        <v>19</v>
      </c>
      <c r="G976" s="8" t="s">
        <v>17</v>
      </c>
      <c r="H976" s="8" t="s">
        <v>17</v>
      </c>
      <c r="I976" s="8" t="s">
        <v>17</v>
      </c>
      <c r="J976" s="8" t="s">
        <v>1751</v>
      </c>
    </row>
    <row r="977" spans="1:10" x14ac:dyDescent="0.25" outlineLevel="3" collapsed="1">
      <c r="A977" s="7" t="s">
        <v>15</v>
      </c>
      <c r="B977" s="7" t="s">
        <v>16</v>
      </c>
      <c r="C977" s="7" t="s">
        <v>17</v>
      </c>
      <c r="D977" s="7"/>
      <c r="E977" s="7" t="s">
        <v>1670</v>
      </c>
      <c r="F977" s="7" t="s">
        <v>19</v>
      </c>
      <c r="G977" s="7" t="s">
        <v>31</v>
      </c>
      <c r="H977" s="7" t="s">
        <v>17</v>
      </c>
      <c r="I977" s="7" t="s">
        <v>17</v>
      </c>
      <c r="J977" s="7" t="s">
        <v>637</v>
      </c>
    </row>
    <row r="978" spans="1:10" x14ac:dyDescent="0.25" outlineLevel="3" collapsed="1">
      <c r="A978" s="7" t="s">
        <v>15</v>
      </c>
      <c r="B978" s="7" t="s">
        <v>16</v>
      </c>
      <c r="C978" s="7" t="s">
        <v>17</v>
      </c>
      <c r="D978" s="7"/>
      <c r="E978" s="7" t="s">
        <v>638</v>
      </c>
      <c r="F978" s="7" t="s">
        <v>19</v>
      </c>
      <c r="G978" s="7" t="s">
        <v>31</v>
      </c>
      <c r="H978" s="7" t="s">
        <v>17</v>
      </c>
      <c r="I978" s="7" t="s">
        <v>17</v>
      </c>
      <c r="J978" s="7" t="s">
        <v>640</v>
      </c>
    </row>
    <row r="979" spans="1:10" x14ac:dyDescent="0.25" outlineLevel="3" collapsed="1">
      <c r="A979" s="7" t="s">
        <v>15</v>
      </c>
      <c r="B979" s="7" t="s">
        <v>16</v>
      </c>
      <c r="C979" s="7" t="s">
        <v>17</v>
      </c>
      <c r="D979" s="7"/>
      <c r="E979" s="7" t="s">
        <v>9</v>
      </c>
      <c r="F979" s="7" t="s">
        <v>19</v>
      </c>
      <c r="G979" s="7" t="s">
        <v>31</v>
      </c>
      <c r="H979" s="7" t="s">
        <v>17</v>
      </c>
      <c r="I979" s="7" t="s">
        <v>17</v>
      </c>
      <c r="J979" s="7" t="s">
        <v>843</v>
      </c>
    </row>
    <row r="980" spans="1:10" x14ac:dyDescent="0.25" outlineLevel="3" collapsed="1">
      <c r="A980" s="7" t="s">
        <v>19</v>
      </c>
      <c r="B980" s="7" t="s">
        <v>16</v>
      </c>
      <c r="C980" s="7" t="s">
        <v>17</v>
      </c>
      <c r="D980" s="7"/>
      <c r="E980" s="7" t="s">
        <v>1600</v>
      </c>
      <c r="F980" s="7" t="s">
        <v>19</v>
      </c>
      <c r="G980" s="7" t="s">
        <v>31</v>
      </c>
      <c r="H980" s="7" t="s">
        <v>17</v>
      </c>
      <c r="I980" s="7" t="s">
        <v>17</v>
      </c>
      <c r="J980" s="7" t="s">
        <v>1424</v>
      </c>
    </row>
    <row r="981" spans="1:10" x14ac:dyDescent="0.25" outlineLevel="3" collapsed="1">
      <c r="A981" s="7" t="s">
        <v>15</v>
      </c>
      <c r="B981" s="7" t="s">
        <v>16</v>
      </c>
      <c r="C981" s="7" t="s">
        <v>17</v>
      </c>
      <c r="D981" s="7"/>
      <c r="E981" s="7" t="s">
        <v>1601</v>
      </c>
      <c r="F981" s="7" t="s">
        <v>19</v>
      </c>
      <c r="G981" s="7" t="s">
        <v>31</v>
      </c>
      <c r="H981" s="7" t="s">
        <v>17</v>
      </c>
      <c r="I981" s="7" t="s">
        <v>17</v>
      </c>
      <c r="J981" s="7" t="s">
        <v>1602</v>
      </c>
    </row>
    <row r="982" spans="1:10" x14ac:dyDescent="0.25" outlineLevel="3" collapsed="1">
      <c r="A982" s="7" t="s">
        <v>15</v>
      </c>
      <c r="B982" s="7" t="s">
        <v>16</v>
      </c>
      <c r="C982" s="7" t="s">
        <v>17</v>
      </c>
      <c r="D982" s="7"/>
      <c r="E982" s="7" t="s">
        <v>1671</v>
      </c>
      <c r="F982" s="7" t="s">
        <v>19</v>
      </c>
      <c r="G982" s="7" t="s">
        <v>31</v>
      </c>
      <c r="H982" s="7" t="s">
        <v>17</v>
      </c>
      <c r="I982" s="7" t="s">
        <v>17</v>
      </c>
      <c r="J982" s="7" t="s">
        <v>1672</v>
      </c>
    </row>
    <row r="983" spans="1:10" x14ac:dyDescent="0.25" outlineLevel="3" collapsed="1">
      <c r="A983" s="7" t="s">
        <v>15</v>
      </c>
      <c r="B983" s="7" t="s">
        <v>16</v>
      </c>
      <c r="C983" s="7" t="s">
        <v>17</v>
      </c>
      <c r="D983" s="7"/>
      <c r="E983" s="7" t="s">
        <v>1673</v>
      </c>
      <c r="F983" s="7" t="s">
        <v>19</v>
      </c>
      <c r="G983" s="7" t="s">
        <v>31</v>
      </c>
      <c r="H983" s="7" t="s">
        <v>17</v>
      </c>
      <c r="I983" s="7" t="s">
        <v>17</v>
      </c>
      <c r="J983" s="7" t="s">
        <v>1674</v>
      </c>
    </row>
    <row r="984" spans="1:10" x14ac:dyDescent="0.25" outlineLevel="3" collapsed="1">
      <c r="A984" s="7" t="s">
        <v>15</v>
      </c>
      <c r="B984" s="7" t="s">
        <v>16</v>
      </c>
      <c r="C984" s="7" t="s">
        <v>17</v>
      </c>
      <c r="D984" s="7"/>
      <c r="E984" s="7" t="s">
        <v>2618</v>
      </c>
      <c r="F984" s="7" t="s">
        <v>19</v>
      </c>
      <c r="G984" s="7" t="s">
        <v>31</v>
      </c>
      <c r="H984" s="7" t="s">
        <v>17</v>
      </c>
      <c r="I984" s="7" t="s">
        <v>17</v>
      </c>
      <c r="J984" s="7" t="s">
        <v>1422</v>
      </c>
    </row>
    <row r="985" spans="1:10" x14ac:dyDescent="0.25" outlineLevel="3" collapsed="1">
      <c r="A985" s="7" t="s">
        <v>15</v>
      </c>
      <c r="B985" s="7" t="s">
        <v>284</v>
      </c>
      <c r="C985" s="11" t="s">
        <v>2619</v>
      </c>
      <c r="D985" s="7"/>
      <c r="E985" s="7" t="s">
        <v>1605</v>
      </c>
      <c r="F985" s="7" t="s">
        <v>19</v>
      </c>
      <c r="G985" s="7" t="s">
        <v>1606</v>
      </c>
      <c r="H985" s="7" t="s">
        <v>17</v>
      </c>
      <c r="I985" s="7" t="s">
        <v>17</v>
      </c>
      <c r="J985" s="7" t="s">
        <v>1607</v>
      </c>
    </row>
    <row r="986" spans="1:10" x14ac:dyDescent="0.25" outlineLevel="3" collapsed="1">
      <c r="A986" s="7" t="s">
        <v>19</v>
      </c>
      <c r="B986" s="7" t="s">
        <v>63</v>
      </c>
      <c r="C986" s="7" t="s">
        <v>17</v>
      </c>
      <c r="D986" s="7">
        <f>EXACT(G985,"Single value")</f>
      </c>
      <c r="E986" s="7" t="s">
        <v>2620</v>
      </c>
      <c r="F986" s="7" t="s">
        <v>19</v>
      </c>
      <c r="G986" s="7">
        <v>1</v>
      </c>
      <c r="H986" s="7" t="s">
        <v>17</v>
      </c>
      <c r="I986" s="7" t="s">
        <v>17</v>
      </c>
      <c r="J986" s="7" t="s">
        <v>1609</v>
      </c>
    </row>
    <row r="987" spans="1:10" x14ac:dyDescent="0.25" outlineLevel="3" collapsed="1">
      <c r="A987" s="7" t="s">
        <v>19</v>
      </c>
      <c r="B987" s="7" t="s">
        <v>16</v>
      </c>
      <c r="C987" s="7" t="s">
        <v>17</v>
      </c>
      <c r="D987" s="7"/>
      <c r="E987" s="7" t="s">
        <v>1677</v>
      </c>
      <c r="F987" s="7" t="s">
        <v>19</v>
      </c>
      <c r="G987" s="7" t="s">
        <v>31</v>
      </c>
      <c r="H987" s="7" t="s">
        <v>17</v>
      </c>
      <c r="I987" s="7" t="s">
        <v>17</v>
      </c>
      <c r="J987" s="7" t="s">
        <v>1678</v>
      </c>
    </row>
    <row r="988" spans="1:10" x14ac:dyDescent="0.25" outlineLevel="3" collapsed="1">
      <c r="A988" s="7" t="s">
        <v>15</v>
      </c>
      <c r="B988" s="7" t="s">
        <v>16</v>
      </c>
      <c r="C988" s="7" t="s">
        <v>17</v>
      </c>
      <c r="D988" s="7"/>
      <c r="E988" s="7" t="s">
        <v>1679</v>
      </c>
      <c r="F988" s="7" t="s">
        <v>19</v>
      </c>
      <c r="G988" s="7" t="s">
        <v>31</v>
      </c>
      <c r="H988" s="7" t="s">
        <v>17</v>
      </c>
      <c r="I988" s="7" t="s">
        <v>17</v>
      </c>
      <c r="J988" s="7" t="s">
        <v>1680</v>
      </c>
    </row>
    <row r="989" spans="1:10" x14ac:dyDescent="0.25" outlineLevel="3" collapsed="1">
      <c r="A989" s="7" t="s">
        <v>15</v>
      </c>
      <c r="B989" s="7" t="s">
        <v>284</v>
      </c>
      <c r="C989" s="11" t="s">
        <v>2621</v>
      </c>
      <c r="D989" s="7"/>
      <c r="E989" s="7" t="s">
        <v>1612</v>
      </c>
      <c r="F989" s="7" t="s">
        <v>19</v>
      </c>
      <c r="G989" s="7" t="s">
        <v>1613</v>
      </c>
      <c r="H989" s="7" t="s">
        <v>17</v>
      </c>
      <c r="I989" s="7" t="s">
        <v>17</v>
      </c>
      <c r="J989" s="7" t="s">
        <v>1614</v>
      </c>
    </row>
    <row r="990" spans="1:10" x14ac:dyDescent="0.25" outlineLevel="3" collapsed="1">
      <c r="A990" s="7" t="s">
        <v>19</v>
      </c>
      <c r="B990" s="7" t="s">
        <v>16</v>
      </c>
      <c r="C990" s="7" t="s">
        <v>17</v>
      </c>
      <c r="D990" s="7"/>
      <c r="E990" s="7" t="s">
        <v>1681</v>
      </c>
      <c r="F990" s="7" t="s">
        <v>19</v>
      </c>
      <c r="G990" s="7" t="s">
        <v>31</v>
      </c>
      <c r="H990" s="7" t="s">
        <v>17</v>
      </c>
      <c r="I990" s="7" t="s">
        <v>17</v>
      </c>
      <c r="J990" s="7" t="s">
        <v>1682</v>
      </c>
    </row>
    <row r="991" spans="1:10" x14ac:dyDescent="0.25" outlineLevel="3" collapsed="1">
      <c r="A991" s="7" t="s">
        <v>19</v>
      </c>
      <c r="B991" s="7" t="s">
        <v>16</v>
      </c>
      <c r="C991" s="7" t="s">
        <v>17</v>
      </c>
      <c r="D991" s="7"/>
      <c r="E991" s="7" t="s">
        <v>1615</v>
      </c>
      <c r="F991" s="7" t="s">
        <v>19</v>
      </c>
      <c r="G991" s="7" t="s">
        <v>31</v>
      </c>
      <c r="H991" s="7" t="s">
        <v>17</v>
      </c>
      <c r="I991" s="7" t="s">
        <v>17</v>
      </c>
      <c r="J991" s="7" t="s">
        <v>1616</v>
      </c>
    </row>
    <row r="992" spans="1:10" x14ac:dyDescent="0.25" outlineLevel="2" collapsed="1">
      <c r="A992" s="8" t="s">
        <v>19</v>
      </c>
      <c r="B992" s="9" t="s">
        <v>2617</v>
      </c>
      <c r="C992" s="8" t="s">
        <v>17</v>
      </c>
      <c r="D992" s="8"/>
      <c r="E992" s="8" t="s">
        <v>1752</v>
      </c>
      <c r="F992" s="8" t="s">
        <v>19</v>
      </c>
      <c r="G992" s="8" t="s">
        <v>17</v>
      </c>
      <c r="H992" s="8" t="s">
        <v>17</v>
      </c>
      <c r="I992" s="8" t="s">
        <v>17</v>
      </c>
      <c r="J992" s="8" t="s">
        <v>1753</v>
      </c>
    </row>
    <row r="993" spans="1:10" x14ac:dyDescent="0.25" outlineLevel="3" collapsed="1">
      <c r="A993" s="7" t="s">
        <v>15</v>
      </c>
      <c r="B993" s="7" t="s">
        <v>16</v>
      </c>
      <c r="C993" s="7" t="s">
        <v>17</v>
      </c>
      <c r="D993" s="7"/>
      <c r="E993" s="7" t="s">
        <v>1670</v>
      </c>
      <c r="F993" s="7" t="s">
        <v>19</v>
      </c>
      <c r="G993" s="7" t="s">
        <v>31</v>
      </c>
      <c r="H993" s="7" t="s">
        <v>17</v>
      </c>
      <c r="I993" s="7" t="s">
        <v>17</v>
      </c>
      <c r="J993" s="7" t="s">
        <v>637</v>
      </c>
    </row>
    <row r="994" spans="1:10" x14ac:dyDescent="0.25" outlineLevel="3" collapsed="1">
      <c r="A994" s="7" t="s">
        <v>15</v>
      </c>
      <c r="B994" s="7" t="s">
        <v>16</v>
      </c>
      <c r="C994" s="7" t="s">
        <v>17</v>
      </c>
      <c r="D994" s="7"/>
      <c r="E994" s="7" t="s">
        <v>638</v>
      </c>
      <c r="F994" s="7" t="s">
        <v>19</v>
      </c>
      <c r="G994" s="7" t="s">
        <v>31</v>
      </c>
      <c r="H994" s="7" t="s">
        <v>17</v>
      </c>
      <c r="I994" s="7" t="s">
        <v>17</v>
      </c>
      <c r="J994" s="7" t="s">
        <v>640</v>
      </c>
    </row>
    <row r="995" spans="1:10" x14ac:dyDescent="0.25" outlineLevel="3" collapsed="1">
      <c r="A995" s="7" t="s">
        <v>15</v>
      </c>
      <c r="B995" s="7" t="s">
        <v>16</v>
      </c>
      <c r="C995" s="7" t="s">
        <v>17</v>
      </c>
      <c r="D995" s="7"/>
      <c r="E995" s="7" t="s">
        <v>9</v>
      </c>
      <c r="F995" s="7" t="s">
        <v>19</v>
      </c>
      <c r="G995" s="7" t="s">
        <v>31</v>
      </c>
      <c r="H995" s="7" t="s">
        <v>17</v>
      </c>
      <c r="I995" s="7" t="s">
        <v>17</v>
      </c>
      <c r="J995" s="7" t="s">
        <v>843</v>
      </c>
    </row>
    <row r="996" spans="1:10" x14ac:dyDescent="0.25" outlineLevel="3" collapsed="1">
      <c r="A996" s="7" t="s">
        <v>19</v>
      </c>
      <c r="B996" s="7" t="s">
        <v>16</v>
      </c>
      <c r="C996" s="7" t="s">
        <v>17</v>
      </c>
      <c r="D996" s="7"/>
      <c r="E996" s="7" t="s">
        <v>1600</v>
      </c>
      <c r="F996" s="7" t="s">
        <v>19</v>
      </c>
      <c r="G996" s="7" t="s">
        <v>31</v>
      </c>
      <c r="H996" s="7" t="s">
        <v>17</v>
      </c>
      <c r="I996" s="7" t="s">
        <v>17</v>
      </c>
      <c r="J996" s="7" t="s">
        <v>1424</v>
      </c>
    </row>
    <row r="997" spans="1:10" x14ac:dyDescent="0.25" outlineLevel="3" collapsed="1">
      <c r="A997" s="7" t="s">
        <v>15</v>
      </c>
      <c r="B997" s="7" t="s">
        <v>16</v>
      </c>
      <c r="C997" s="7" t="s">
        <v>17</v>
      </c>
      <c r="D997" s="7"/>
      <c r="E997" s="7" t="s">
        <v>1601</v>
      </c>
      <c r="F997" s="7" t="s">
        <v>19</v>
      </c>
      <c r="G997" s="7" t="s">
        <v>31</v>
      </c>
      <c r="H997" s="7" t="s">
        <v>17</v>
      </c>
      <c r="I997" s="7" t="s">
        <v>17</v>
      </c>
      <c r="J997" s="7" t="s">
        <v>1602</v>
      </c>
    </row>
    <row r="998" spans="1:10" x14ac:dyDescent="0.25" outlineLevel="3" collapsed="1">
      <c r="A998" s="7" t="s">
        <v>15</v>
      </c>
      <c r="B998" s="7" t="s">
        <v>16</v>
      </c>
      <c r="C998" s="7" t="s">
        <v>17</v>
      </c>
      <c r="D998" s="7"/>
      <c r="E998" s="7" t="s">
        <v>1671</v>
      </c>
      <c r="F998" s="7" t="s">
        <v>19</v>
      </c>
      <c r="G998" s="7" t="s">
        <v>31</v>
      </c>
      <c r="H998" s="7" t="s">
        <v>17</v>
      </c>
      <c r="I998" s="7" t="s">
        <v>17</v>
      </c>
      <c r="J998" s="7" t="s">
        <v>1672</v>
      </c>
    </row>
    <row r="999" spans="1:10" x14ac:dyDescent="0.25" outlineLevel="3" collapsed="1">
      <c r="A999" s="7" t="s">
        <v>15</v>
      </c>
      <c r="B999" s="7" t="s">
        <v>16</v>
      </c>
      <c r="C999" s="7" t="s">
        <v>17</v>
      </c>
      <c r="D999" s="7"/>
      <c r="E999" s="7" t="s">
        <v>1673</v>
      </c>
      <c r="F999" s="7" t="s">
        <v>19</v>
      </c>
      <c r="G999" s="7" t="s">
        <v>31</v>
      </c>
      <c r="H999" s="7" t="s">
        <v>17</v>
      </c>
      <c r="I999" s="7" t="s">
        <v>17</v>
      </c>
      <c r="J999" s="7" t="s">
        <v>1674</v>
      </c>
    </row>
    <row r="1000" spans="1:10" x14ac:dyDescent="0.25" outlineLevel="3" collapsed="1">
      <c r="A1000" s="7" t="s">
        <v>15</v>
      </c>
      <c r="B1000" s="7" t="s">
        <v>16</v>
      </c>
      <c r="C1000" s="7" t="s">
        <v>17</v>
      </c>
      <c r="D1000" s="7"/>
      <c r="E1000" s="7" t="s">
        <v>2618</v>
      </c>
      <c r="F1000" s="7" t="s">
        <v>19</v>
      </c>
      <c r="G1000" s="7" t="s">
        <v>31</v>
      </c>
      <c r="H1000" s="7" t="s">
        <v>17</v>
      </c>
      <c r="I1000" s="7" t="s">
        <v>17</v>
      </c>
      <c r="J1000" s="7" t="s">
        <v>1422</v>
      </c>
    </row>
    <row r="1001" spans="1:10" x14ac:dyDescent="0.25" outlineLevel="3" collapsed="1">
      <c r="A1001" s="7" t="s">
        <v>15</v>
      </c>
      <c r="B1001" s="7" t="s">
        <v>284</v>
      </c>
      <c r="C1001" s="11" t="s">
        <v>2619</v>
      </c>
      <c r="D1001" s="7"/>
      <c r="E1001" s="7" t="s">
        <v>1605</v>
      </c>
      <c r="F1001" s="7" t="s">
        <v>19</v>
      </c>
      <c r="G1001" s="7" t="s">
        <v>1606</v>
      </c>
      <c r="H1001" s="7" t="s">
        <v>17</v>
      </c>
      <c r="I1001" s="7" t="s">
        <v>17</v>
      </c>
      <c r="J1001" s="7" t="s">
        <v>1607</v>
      </c>
    </row>
    <row r="1002" spans="1:10" x14ac:dyDescent="0.25" outlineLevel="3" collapsed="1">
      <c r="A1002" s="7" t="s">
        <v>19</v>
      </c>
      <c r="B1002" s="7" t="s">
        <v>63</v>
      </c>
      <c r="C1002" s="7" t="s">
        <v>17</v>
      </c>
      <c r="D1002" s="7">
        <f>EXACT(G1001,"Single value")</f>
      </c>
      <c r="E1002" s="7" t="s">
        <v>2620</v>
      </c>
      <c r="F1002" s="7" t="s">
        <v>19</v>
      </c>
      <c r="G1002" s="7">
        <v>1</v>
      </c>
      <c r="H1002" s="7" t="s">
        <v>17</v>
      </c>
      <c r="I1002" s="7" t="s">
        <v>17</v>
      </c>
      <c r="J1002" s="7" t="s">
        <v>1609</v>
      </c>
    </row>
    <row r="1003" spans="1:10" x14ac:dyDescent="0.25" outlineLevel="3" collapsed="1">
      <c r="A1003" s="7" t="s">
        <v>19</v>
      </c>
      <c r="B1003" s="7" t="s">
        <v>16</v>
      </c>
      <c r="C1003" s="7" t="s">
        <v>17</v>
      </c>
      <c r="D1003" s="7"/>
      <c r="E1003" s="7" t="s">
        <v>1677</v>
      </c>
      <c r="F1003" s="7" t="s">
        <v>19</v>
      </c>
      <c r="G1003" s="7" t="s">
        <v>31</v>
      </c>
      <c r="H1003" s="7" t="s">
        <v>17</v>
      </c>
      <c r="I1003" s="7" t="s">
        <v>17</v>
      </c>
      <c r="J1003" s="7" t="s">
        <v>1678</v>
      </c>
    </row>
    <row r="1004" spans="1:10" x14ac:dyDescent="0.25" outlineLevel="3" collapsed="1">
      <c r="A1004" s="7" t="s">
        <v>15</v>
      </c>
      <c r="B1004" s="7" t="s">
        <v>16</v>
      </c>
      <c r="C1004" s="7" t="s">
        <v>17</v>
      </c>
      <c r="D1004" s="7"/>
      <c r="E1004" s="7" t="s">
        <v>1679</v>
      </c>
      <c r="F1004" s="7" t="s">
        <v>19</v>
      </c>
      <c r="G1004" s="7" t="s">
        <v>31</v>
      </c>
      <c r="H1004" s="7" t="s">
        <v>17</v>
      </c>
      <c r="I1004" s="7" t="s">
        <v>17</v>
      </c>
      <c r="J1004" s="7" t="s">
        <v>1680</v>
      </c>
    </row>
    <row r="1005" spans="1:10" x14ac:dyDescent="0.25" outlineLevel="3" collapsed="1">
      <c r="A1005" s="7" t="s">
        <v>15</v>
      </c>
      <c r="B1005" s="7" t="s">
        <v>284</v>
      </c>
      <c r="C1005" s="11" t="s">
        <v>2621</v>
      </c>
      <c r="D1005" s="7"/>
      <c r="E1005" s="7" t="s">
        <v>1612</v>
      </c>
      <c r="F1005" s="7" t="s">
        <v>19</v>
      </c>
      <c r="G1005" s="7" t="s">
        <v>1613</v>
      </c>
      <c r="H1005" s="7" t="s">
        <v>17</v>
      </c>
      <c r="I1005" s="7" t="s">
        <v>17</v>
      </c>
      <c r="J1005" s="7" t="s">
        <v>1614</v>
      </c>
    </row>
    <row r="1006" spans="1:10" x14ac:dyDescent="0.25" outlineLevel="3" collapsed="1">
      <c r="A1006" s="7" t="s">
        <v>19</v>
      </c>
      <c r="B1006" s="7" t="s">
        <v>16</v>
      </c>
      <c r="C1006" s="7" t="s">
        <v>17</v>
      </c>
      <c r="D1006" s="7"/>
      <c r="E1006" s="7" t="s">
        <v>1681</v>
      </c>
      <c r="F1006" s="7" t="s">
        <v>19</v>
      </c>
      <c r="G1006" s="7" t="s">
        <v>31</v>
      </c>
      <c r="H1006" s="7" t="s">
        <v>17</v>
      </c>
      <c r="I1006" s="7" t="s">
        <v>17</v>
      </c>
      <c r="J1006" s="7" t="s">
        <v>1682</v>
      </c>
    </row>
    <row r="1007" spans="1:10" x14ac:dyDescent="0.25" outlineLevel="3" collapsed="1">
      <c r="A1007" s="7" t="s">
        <v>19</v>
      </c>
      <c r="B1007" s="7" t="s">
        <v>16</v>
      </c>
      <c r="C1007" s="7" t="s">
        <v>17</v>
      </c>
      <c r="D1007" s="7"/>
      <c r="E1007" s="7" t="s">
        <v>1615</v>
      </c>
      <c r="F1007" s="7" t="s">
        <v>19</v>
      </c>
      <c r="G1007" s="7" t="s">
        <v>31</v>
      </c>
      <c r="H1007" s="7" t="s">
        <v>17</v>
      </c>
      <c r="I1007" s="7" t="s">
        <v>17</v>
      </c>
      <c r="J1007" s="7" t="s">
        <v>1616</v>
      </c>
    </row>
    <row r="1008" spans="1:10" x14ac:dyDescent="0.25" outlineLevel="2" collapsed="1">
      <c r="A1008" s="8" t="s">
        <v>19</v>
      </c>
      <c r="B1008" s="9" t="s">
        <v>2617</v>
      </c>
      <c r="C1008" s="8" t="s">
        <v>17</v>
      </c>
      <c r="D1008" s="8"/>
      <c r="E1008" s="8" t="s">
        <v>1754</v>
      </c>
      <c r="F1008" s="8" t="s">
        <v>19</v>
      </c>
      <c r="G1008" s="8" t="s">
        <v>17</v>
      </c>
      <c r="H1008" s="8" t="s">
        <v>17</v>
      </c>
      <c r="I1008" s="8" t="s">
        <v>17</v>
      </c>
      <c r="J1008" s="8" t="s">
        <v>1755</v>
      </c>
    </row>
    <row r="1009" spans="1:10" x14ac:dyDescent="0.25" outlineLevel="3" collapsed="1">
      <c r="A1009" s="7" t="s">
        <v>15</v>
      </c>
      <c r="B1009" s="7" t="s">
        <v>16</v>
      </c>
      <c r="C1009" s="7" t="s">
        <v>17</v>
      </c>
      <c r="D1009" s="7"/>
      <c r="E1009" s="7" t="s">
        <v>1670</v>
      </c>
      <c r="F1009" s="7" t="s">
        <v>19</v>
      </c>
      <c r="G1009" s="7" t="s">
        <v>31</v>
      </c>
      <c r="H1009" s="7" t="s">
        <v>17</v>
      </c>
      <c r="I1009" s="7" t="s">
        <v>17</v>
      </c>
      <c r="J1009" s="7" t="s">
        <v>637</v>
      </c>
    </row>
    <row r="1010" spans="1:10" x14ac:dyDescent="0.25" outlineLevel="3" collapsed="1">
      <c r="A1010" s="7" t="s">
        <v>15</v>
      </c>
      <c r="B1010" s="7" t="s">
        <v>16</v>
      </c>
      <c r="C1010" s="7" t="s">
        <v>17</v>
      </c>
      <c r="D1010" s="7"/>
      <c r="E1010" s="7" t="s">
        <v>638</v>
      </c>
      <c r="F1010" s="7" t="s">
        <v>19</v>
      </c>
      <c r="G1010" s="7" t="s">
        <v>31</v>
      </c>
      <c r="H1010" s="7" t="s">
        <v>17</v>
      </c>
      <c r="I1010" s="7" t="s">
        <v>17</v>
      </c>
      <c r="J1010" s="7" t="s">
        <v>640</v>
      </c>
    </row>
    <row r="1011" spans="1:10" x14ac:dyDescent="0.25" outlineLevel="3" collapsed="1">
      <c r="A1011" s="7" t="s">
        <v>15</v>
      </c>
      <c r="B1011" s="7" t="s">
        <v>16</v>
      </c>
      <c r="C1011" s="7" t="s">
        <v>17</v>
      </c>
      <c r="D1011" s="7"/>
      <c r="E1011" s="7" t="s">
        <v>9</v>
      </c>
      <c r="F1011" s="7" t="s">
        <v>19</v>
      </c>
      <c r="G1011" s="7" t="s">
        <v>31</v>
      </c>
      <c r="H1011" s="7" t="s">
        <v>17</v>
      </c>
      <c r="I1011" s="7" t="s">
        <v>17</v>
      </c>
      <c r="J1011" s="7" t="s">
        <v>843</v>
      </c>
    </row>
    <row r="1012" spans="1:10" x14ac:dyDescent="0.25" outlineLevel="3" collapsed="1">
      <c r="A1012" s="7" t="s">
        <v>19</v>
      </c>
      <c r="B1012" s="7" t="s">
        <v>16</v>
      </c>
      <c r="C1012" s="7" t="s">
        <v>17</v>
      </c>
      <c r="D1012" s="7"/>
      <c r="E1012" s="7" t="s">
        <v>1600</v>
      </c>
      <c r="F1012" s="7" t="s">
        <v>19</v>
      </c>
      <c r="G1012" s="7" t="s">
        <v>31</v>
      </c>
      <c r="H1012" s="7" t="s">
        <v>17</v>
      </c>
      <c r="I1012" s="7" t="s">
        <v>17</v>
      </c>
      <c r="J1012" s="7" t="s">
        <v>1424</v>
      </c>
    </row>
    <row r="1013" spans="1:10" x14ac:dyDescent="0.25" outlineLevel="3" collapsed="1">
      <c r="A1013" s="7" t="s">
        <v>15</v>
      </c>
      <c r="B1013" s="7" t="s">
        <v>16</v>
      </c>
      <c r="C1013" s="7" t="s">
        <v>17</v>
      </c>
      <c r="D1013" s="7"/>
      <c r="E1013" s="7" t="s">
        <v>1601</v>
      </c>
      <c r="F1013" s="7" t="s">
        <v>19</v>
      </c>
      <c r="G1013" s="7" t="s">
        <v>31</v>
      </c>
      <c r="H1013" s="7" t="s">
        <v>17</v>
      </c>
      <c r="I1013" s="7" t="s">
        <v>17</v>
      </c>
      <c r="J1013" s="7" t="s">
        <v>1602</v>
      </c>
    </row>
    <row r="1014" spans="1:10" x14ac:dyDescent="0.25" outlineLevel="3" collapsed="1">
      <c r="A1014" s="7" t="s">
        <v>15</v>
      </c>
      <c r="B1014" s="7" t="s">
        <v>16</v>
      </c>
      <c r="C1014" s="7" t="s">
        <v>17</v>
      </c>
      <c r="D1014" s="7"/>
      <c r="E1014" s="7" t="s">
        <v>1671</v>
      </c>
      <c r="F1014" s="7" t="s">
        <v>19</v>
      </c>
      <c r="G1014" s="7" t="s">
        <v>31</v>
      </c>
      <c r="H1014" s="7" t="s">
        <v>17</v>
      </c>
      <c r="I1014" s="7" t="s">
        <v>17</v>
      </c>
      <c r="J1014" s="7" t="s">
        <v>1672</v>
      </c>
    </row>
    <row r="1015" spans="1:10" x14ac:dyDescent="0.25" outlineLevel="3" collapsed="1">
      <c r="A1015" s="7" t="s">
        <v>15</v>
      </c>
      <c r="B1015" s="7" t="s">
        <v>16</v>
      </c>
      <c r="C1015" s="7" t="s">
        <v>17</v>
      </c>
      <c r="D1015" s="7"/>
      <c r="E1015" s="7" t="s">
        <v>1673</v>
      </c>
      <c r="F1015" s="7" t="s">
        <v>19</v>
      </c>
      <c r="G1015" s="7" t="s">
        <v>31</v>
      </c>
      <c r="H1015" s="7" t="s">
        <v>17</v>
      </c>
      <c r="I1015" s="7" t="s">
        <v>17</v>
      </c>
      <c r="J1015" s="7" t="s">
        <v>1674</v>
      </c>
    </row>
    <row r="1016" spans="1:10" x14ac:dyDescent="0.25" outlineLevel="3" collapsed="1">
      <c r="A1016" s="7" t="s">
        <v>15</v>
      </c>
      <c r="B1016" s="7" t="s">
        <v>16</v>
      </c>
      <c r="C1016" s="7" t="s">
        <v>17</v>
      </c>
      <c r="D1016" s="7"/>
      <c r="E1016" s="7" t="s">
        <v>2618</v>
      </c>
      <c r="F1016" s="7" t="s">
        <v>19</v>
      </c>
      <c r="G1016" s="7" t="s">
        <v>31</v>
      </c>
      <c r="H1016" s="7" t="s">
        <v>17</v>
      </c>
      <c r="I1016" s="7" t="s">
        <v>17</v>
      </c>
      <c r="J1016" s="7" t="s">
        <v>1422</v>
      </c>
    </row>
    <row r="1017" spans="1:10" x14ac:dyDescent="0.25" outlineLevel="3" collapsed="1">
      <c r="A1017" s="7" t="s">
        <v>15</v>
      </c>
      <c r="B1017" s="7" t="s">
        <v>284</v>
      </c>
      <c r="C1017" s="11" t="s">
        <v>2619</v>
      </c>
      <c r="D1017" s="7"/>
      <c r="E1017" s="7" t="s">
        <v>1605</v>
      </c>
      <c r="F1017" s="7" t="s">
        <v>19</v>
      </c>
      <c r="G1017" s="7" t="s">
        <v>1606</v>
      </c>
      <c r="H1017" s="7" t="s">
        <v>17</v>
      </c>
      <c r="I1017" s="7" t="s">
        <v>17</v>
      </c>
      <c r="J1017" s="7" t="s">
        <v>1607</v>
      </c>
    </row>
    <row r="1018" spans="1:10" x14ac:dyDescent="0.25" outlineLevel="3" collapsed="1">
      <c r="A1018" s="7" t="s">
        <v>19</v>
      </c>
      <c r="B1018" s="7" t="s">
        <v>63</v>
      </c>
      <c r="C1018" s="7" t="s">
        <v>17</v>
      </c>
      <c r="D1018" s="7">
        <f>EXACT(G1017,"Single value")</f>
      </c>
      <c r="E1018" s="7" t="s">
        <v>2620</v>
      </c>
      <c r="F1018" s="7" t="s">
        <v>19</v>
      </c>
      <c r="G1018" s="7">
        <v>1</v>
      </c>
      <c r="H1018" s="7" t="s">
        <v>17</v>
      </c>
      <c r="I1018" s="7" t="s">
        <v>17</v>
      </c>
      <c r="J1018" s="7" t="s">
        <v>1609</v>
      </c>
    </row>
    <row r="1019" spans="1:10" x14ac:dyDescent="0.25" outlineLevel="3" collapsed="1">
      <c r="A1019" s="7" t="s">
        <v>19</v>
      </c>
      <c r="B1019" s="7" t="s">
        <v>16</v>
      </c>
      <c r="C1019" s="7" t="s">
        <v>17</v>
      </c>
      <c r="D1019" s="7"/>
      <c r="E1019" s="7" t="s">
        <v>1677</v>
      </c>
      <c r="F1019" s="7" t="s">
        <v>19</v>
      </c>
      <c r="G1019" s="7" t="s">
        <v>31</v>
      </c>
      <c r="H1019" s="7" t="s">
        <v>17</v>
      </c>
      <c r="I1019" s="7" t="s">
        <v>17</v>
      </c>
      <c r="J1019" s="7" t="s">
        <v>1678</v>
      </c>
    </row>
    <row r="1020" spans="1:10" x14ac:dyDescent="0.25" outlineLevel="3" collapsed="1">
      <c r="A1020" s="7" t="s">
        <v>15</v>
      </c>
      <c r="B1020" s="7" t="s">
        <v>16</v>
      </c>
      <c r="C1020" s="7" t="s">
        <v>17</v>
      </c>
      <c r="D1020" s="7"/>
      <c r="E1020" s="7" t="s">
        <v>1679</v>
      </c>
      <c r="F1020" s="7" t="s">
        <v>19</v>
      </c>
      <c r="G1020" s="7" t="s">
        <v>31</v>
      </c>
      <c r="H1020" s="7" t="s">
        <v>17</v>
      </c>
      <c r="I1020" s="7" t="s">
        <v>17</v>
      </c>
      <c r="J1020" s="7" t="s">
        <v>1680</v>
      </c>
    </row>
    <row r="1021" spans="1:10" x14ac:dyDescent="0.25" outlineLevel="3" collapsed="1">
      <c r="A1021" s="7" t="s">
        <v>15</v>
      </c>
      <c r="B1021" s="7" t="s">
        <v>284</v>
      </c>
      <c r="C1021" s="11" t="s">
        <v>2621</v>
      </c>
      <c r="D1021" s="7"/>
      <c r="E1021" s="7" t="s">
        <v>1612</v>
      </c>
      <c r="F1021" s="7" t="s">
        <v>19</v>
      </c>
      <c r="G1021" s="7" t="s">
        <v>1613</v>
      </c>
      <c r="H1021" s="7" t="s">
        <v>17</v>
      </c>
      <c r="I1021" s="7" t="s">
        <v>17</v>
      </c>
      <c r="J1021" s="7" t="s">
        <v>1614</v>
      </c>
    </row>
    <row r="1022" spans="1:10" x14ac:dyDescent="0.25" outlineLevel="3" collapsed="1">
      <c r="A1022" s="7" t="s">
        <v>19</v>
      </c>
      <c r="B1022" s="7" t="s">
        <v>16</v>
      </c>
      <c r="C1022" s="7" t="s">
        <v>17</v>
      </c>
      <c r="D1022" s="7"/>
      <c r="E1022" s="7" t="s">
        <v>1681</v>
      </c>
      <c r="F1022" s="7" t="s">
        <v>19</v>
      </c>
      <c r="G1022" s="7" t="s">
        <v>31</v>
      </c>
      <c r="H1022" s="7" t="s">
        <v>17</v>
      </c>
      <c r="I1022" s="7" t="s">
        <v>17</v>
      </c>
      <c r="J1022" s="7" t="s">
        <v>1682</v>
      </c>
    </row>
    <row r="1023" spans="1:10" x14ac:dyDescent="0.25" outlineLevel="3" collapsed="1">
      <c r="A1023" s="7" t="s">
        <v>19</v>
      </c>
      <c r="B1023" s="7" t="s">
        <v>16</v>
      </c>
      <c r="C1023" s="7" t="s">
        <v>17</v>
      </c>
      <c r="D1023" s="7"/>
      <c r="E1023" s="7" t="s">
        <v>1615</v>
      </c>
      <c r="F1023" s="7" t="s">
        <v>19</v>
      </c>
      <c r="G1023" s="7" t="s">
        <v>31</v>
      </c>
      <c r="H1023" s="7" t="s">
        <v>17</v>
      </c>
      <c r="I1023" s="7" t="s">
        <v>17</v>
      </c>
      <c r="J1023" s="7" t="s">
        <v>1616</v>
      </c>
    </row>
    <row r="1024" spans="1:10" x14ac:dyDescent="0.25" outlineLevel="2" collapsed="1">
      <c r="A1024" s="8" t="s">
        <v>19</v>
      </c>
      <c r="B1024" s="9" t="s">
        <v>2617</v>
      </c>
      <c r="C1024" s="8" t="s">
        <v>17</v>
      </c>
      <c r="D1024" s="8"/>
      <c r="E1024" s="8" t="s">
        <v>1756</v>
      </c>
      <c r="F1024" s="8" t="s">
        <v>19</v>
      </c>
      <c r="G1024" s="8" t="s">
        <v>17</v>
      </c>
      <c r="H1024" s="8" t="s">
        <v>17</v>
      </c>
      <c r="I1024" s="8" t="s">
        <v>17</v>
      </c>
      <c r="J1024" s="8" t="s">
        <v>1757</v>
      </c>
    </row>
    <row r="1025" spans="1:10" x14ac:dyDescent="0.25" outlineLevel="3" collapsed="1">
      <c r="A1025" s="7" t="s">
        <v>15</v>
      </c>
      <c r="B1025" s="7" t="s">
        <v>16</v>
      </c>
      <c r="C1025" s="7" t="s">
        <v>17</v>
      </c>
      <c r="D1025" s="7"/>
      <c r="E1025" s="7" t="s">
        <v>1670</v>
      </c>
      <c r="F1025" s="7" t="s">
        <v>19</v>
      </c>
      <c r="G1025" s="7" t="s">
        <v>31</v>
      </c>
      <c r="H1025" s="7" t="s">
        <v>17</v>
      </c>
      <c r="I1025" s="7" t="s">
        <v>17</v>
      </c>
      <c r="J1025" s="7" t="s">
        <v>637</v>
      </c>
    </row>
    <row r="1026" spans="1:10" x14ac:dyDescent="0.25" outlineLevel="3" collapsed="1">
      <c r="A1026" s="7" t="s">
        <v>15</v>
      </c>
      <c r="B1026" s="7" t="s">
        <v>16</v>
      </c>
      <c r="C1026" s="7" t="s">
        <v>17</v>
      </c>
      <c r="D1026" s="7"/>
      <c r="E1026" s="7" t="s">
        <v>638</v>
      </c>
      <c r="F1026" s="7" t="s">
        <v>19</v>
      </c>
      <c r="G1026" s="7" t="s">
        <v>31</v>
      </c>
      <c r="H1026" s="7" t="s">
        <v>17</v>
      </c>
      <c r="I1026" s="7" t="s">
        <v>17</v>
      </c>
      <c r="J1026" s="7" t="s">
        <v>640</v>
      </c>
    </row>
    <row r="1027" spans="1:10" x14ac:dyDescent="0.25" outlineLevel="3" collapsed="1">
      <c r="A1027" s="7" t="s">
        <v>15</v>
      </c>
      <c r="B1027" s="7" t="s">
        <v>16</v>
      </c>
      <c r="C1027" s="7" t="s">
        <v>17</v>
      </c>
      <c r="D1027" s="7"/>
      <c r="E1027" s="7" t="s">
        <v>9</v>
      </c>
      <c r="F1027" s="7" t="s">
        <v>19</v>
      </c>
      <c r="G1027" s="7" t="s">
        <v>31</v>
      </c>
      <c r="H1027" s="7" t="s">
        <v>17</v>
      </c>
      <c r="I1027" s="7" t="s">
        <v>17</v>
      </c>
      <c r="J1027" s="7" t="s">
        <v>843</v>
      </c>
    </row>
    <row r="1028" spans="1:10" x14ac:dyDescent="0.25" outlineLevel="3" collapsed="1">
      <c r="A1028" s="7" t="s">
        <v>19</v>
      </c>
      <c r="B1028" s="7" t="s">
        <v>16</v>
      </c>
      <c r="C1028" s="7" t="s">
        <v>17</v>
      </c>
      <c r="D1028" s="7"/>
      <c r="E1028" s="7" t="s">
        <v>1600</v>
      </c>
      <c r="F1028" s="7" t="s">
        <v>19</v>
      </c>
      <c r="G1028" s="7" t="s">
        <v>31</v>
      </c>
      <c r="H1028" s="7" t="s">
        <v>17</v>
      </c>
      <c r="I1028" s="7" t="s">
        <v>17</v>
      </c>
      <c r="J1028" s="7" t="s">
        <v>1424</v>
      </c>
    </row>
    <row r="1029" spans="1:10" x14ac:dyDescent="0.25" outlineLevel="3" collapsed="1">
      <c r="A1029" s="7" t="s">
        <v>15</v>
      </c>
      <c r="B1029" s="7" t="s">
        <v>16</v>
      </c>
      <c r="C1029" s="7" t="s">
        <v>17</v>
      </c>
      <c r="D1029" s="7"/>
      <c r="E1029" s="7" t="s">
        <v>1601</v>
      </c>
      <c r="F1029" s="7" t="s">
        <v>19</v>
      </c>
      <c r="G1029" s="7" t="s">
        <v>31</v>
      </c>
      <c r="H1029" s="7" t="s">
        <v>17</v>
      </c>
      <c r="I1029" s="7" t="s">
        <v>17</v>
      </c>
      <c r="J1029" s="7" t="s">
        <v>1602</v>
      </c>
    </row>
    <row r="1030" spans="1:10" x14ac:dyDescent="0.25" outlineLevel="3" collapsed="1">
      <c r="A1030" s="7" t="s">
        <v>15</v>
      </c>
      <c r="B1030" s="7" t="s">
        <v>16</v>
      </c>
      <c r="C1030" s="7" t="s">
        <v>17</v>
      </c>
      <c r="D1030" s="7"/>
      <c r="E1030" s="7" t="s">
        <v>1671</v>
      </c>
      <c r="F1030" s="7" t="s">
        <v>19</v>
      </c>
      <c r="G1030" s="7" t="s">
        <v>31</v>
      </c>
      <c r="H1030" s="7" t="s">
        <v>17</v>
      </c>
      <c r="I1030" s="7" t="s">
        <v>17</v>
      </c>
      <c r="J1030" s="7" t="s">
        <v>1672</v>
      </c>
    </row>
    <row r="1031" spans="1:10" x14ac:dyDescent="0.25" outlineLevel="3" collapsed="1">
      <c r="A1031" s="7" t="s">
        <v>15</v>
      </c>
      <c r="B1031" s="7" t="s">
        <v>16</v>
      </c>
      <c r="C1031" s="7" t="s">
        <v>17</v>
      </c>
      <c r="D1031" s="7"/>
      <c r="E1031" s="7" t="s">
        <v>1673</v>
      </c>
      <c r="F1031" s="7" t="s">
        <v>19</v>
      </c>
      <c r="G1031" s="7" t="s">
        <v>31</v>
      </c>
      <c r="H1031" s="7" t="s">
        <v>17</v>
      </c>
      <c r="I1031" s="7" t="s">
        <v>17</v>
      </c>
      <c r="J1031" s="7" t="s">
        <v>1674</v>
      </c>
    </row>
    <row r="1032" spans="1:10" x14ac:dyDescent="0.25" outlineLevel="3" collapsed="1">
      <c r="A1032" s="7" t="s">
        <v>15</v>
      </c>
      <c r="B1032" s="7" t="s">
        <v>16</v>
      </c>
      <c r="C1032" s="7" t="s">
        <v>17</v>
      </c>
      <c r="D1032" s="7"/>
      <c r="E1032" s="7" t="s">
        <v>2618</v>
      </c>
      <c r="F1032" s="7" t="s">
        <v>19</v>
      </c>
      <c r="G1032" s="7" t="s">
        <v>31</v>
      </c>
      <c r="H1032" s="7" t="s">
        <v>17</v>
      </c>
      <c r="I1032" s="7" t="s">
        <v>17</v>
      </c>
      <c r="J1032" s="7" t="s">
        <v>1422</v>
      </c>
    </row>
    <row r="1033" spans="1:10" x14ac:dyDescent="0.25" outlineLevel="3" collapsed="1">
      <c r="A1033" s="7" t="s">
        <v>15</v>
      </c>
      <c r="B1033" s="7" t="s">
        <v>284</v>
      </c>
      <c r="C1033" s="11" t="s">
        <v>2619</v>
      </c>
      <c r="D1033" s="7"/>
      <c r="E1033" s="7" t="s">
        <v>1605</v>
      </c>
      <c r="F1033" s="7" t="s">
        <v>19</v>
      </c>
      <c r="G1033" s="7" t="s">
        <v>1606</v>
      </c>
      <c r="H1033" s="7" t="s">
        <v>17</v>
      </c>
      <c r="I1033" s="7" t="s">
        <v>17</v>
      </c>
      <c r="J1033" s="7" t="s">
        <v>1607</v>
      </c>
    </row>
    <row r="1034" spans="1:10" x14ac:dyDescent="0.25" outlineLevel="3" collapsed="1">
      <c r="A1034" s="7" t="s">
        <v>19</v>
      </c>
      <c r="B1034" s="7" t="s">
        <v>63</v>
      </c>
      <c r="C1034" s="7" t="s">
        <v>17</v>
      </c>
      <c r="D1034" s="7">
        <f>EXACT(G1033,"Single value")</f>
      </c>
      <c r="E1034" s="7" t="s">
        <v>2620</v>
      </c>
      <c r="F1034" s="7" t="s">
        <v>19</v>
      </c>
      <c r="G1034" s="7">
        <v>1</v>
      </c>
      <c r="H1034" s="7" t="s">
        <v>17</v>
      </c>
      <c r="I1034" s="7" t="s">
        <v>17</v>
      </c>
      <c r="J1034" s="7" t="s">
        <v>1609</v>
      </c>
    </row>
    <row r="1035" spans="1:10" x14ac:dyDescent="0.25" outlineLevel="3" collapsed="1">
      <c r="A1035" s="7" t="s">
        <v>19</v>
      </c>
      <c r="B1035" s="7" t="s">
        <v>16</v>
      </c>
      <c r="C1035" s="7" t="s">
        <v>17</v>
      </c>
      <c r="D1035" s="7"/>
      <c r="E1035" s="7" t="s">
        <v>1677</v>
      </c>
      <c r="F1035" s="7" t="s">
        <v>19</v>
      </c>
      <c r="G1035" s="7" t="s">
        <v>31</v>
      </c>
      <c r="H1035" s="7" t="s">
        <v>17</v>
      </c>
      <c r="I1035" s="7" t="s">
        <v>17</v>
      </c>
      <c r="J1035" s="7" t="s">
        <v>1678</v>
      </c>
    </row>
    <row r="1036" spans="1:10" x14ac:dyDescent="0.25" outlineLevel="3" collapsed="1">
      <c r="A1036" s="7" t="s">
        <v>15</v>
      </c>
      <c r="B1036" s="7" t="s">
        <v>16</v>
      </c>
      <c r="C1036" s="7" t="s">
        <v>17</v>
      </c>
      <c r="D1036" s="7"/>
      <c r="E1036" s="7" t="s">
        <v>1679</v>
      </c>
      <c r="F1036" s="7" t="s">
        <v>19</v>
      </c>
      <c r="G1036" s="7" t="s">
        <v>31</v>
      </c>
      <c r="H1036" s="7" t="s">
        <v>17</v>
      </c>
      <c r="I1036" s="7" t="s">
        <v>17</v>
      </c>
      <c r="J1036" s="7" t="s">
        <v>1680</v>
      </c>
    </row>
    <row r="1037" spans="1:10" x14ac:dyDescent="0.25" outlineLevel="3" collapsed="1">
      <c r="A1037" s="7" t="s">
        <v>15</v>
      </c>
      <c r="B1037" s="7" t="s">
        <v>284</v>
      </c>
      <c r="C1037" s="11" t="s">
        <v>2621</v>
      </c>
      <c r="D1037" s="7"/>
      <c r="E1037" s="7" t="s">
        <v>1612</v>
      </c>
      <c r="F1037" s="7" t="s">
        <v>19</v>
      </c>
      <c r="G1037" s="7" t="s">
        <v>1613</v>
      </c>
      <c r="H1037" s="7" t="s">
        <v>17</v>
      </c>
      <c r="I1037" s="7" t="s">
        <v>17</v>
      </c>
      <c r="J1037" s="7" t="s">
        <v>1614</v>
      </c>
    </row>
    <row r="1038" spans="1:10" x14ac:dyDescent="0.25" outlineLevel="3" collapsed="1">
      <c r="A1038" s="7" t="s">
        <v>19</v>
      </c>
      <c r="B1038" s="7" t="s">
        <v>16</v>
      </c>
      <c r="C1038" s="7" t="s">
        <v>17</v>
      </c>
      <c r="D1038" s="7"/>
      <c r="E1038" s="7" t="s">
        <v>1681</v>
      </c>
      <c r="F1038" s="7" t="s">
        <v>19</v>
      </c>
      <c r="G1038" s="7" t="s">
        <v>31</v>
      </c>
      <c r="H1038" s="7" t="s">
        <v>17</v>
      </c>
      <c r="I1038" s="7" t="s">
        <v>17</v>
      </c>
      <c r="J1038" s="7" t="s">
        <v>1682</v>
      </c>
    </row>
    <row r="1039" spans="1:10" x14ac:dyDescent="0.25" outlineLevel="3" collapsed="1">
      <c r="A1039" s="7" t="s">
        <v>19</v>
      </c>
      <c r="B1039" s="7" t="s">
        <v>16</v>
      </c>
      <c r="C1039" s="7" t="s">
        <v>17</v>
      </c>
      <c r="D1039" s="7"/>
      <c r="E1039" s="7" t="s">
        <v>1615</v>
      </c>
      <c r="F1039" s="7" t="s">
        <v>19</v>
      </c>
      <c r="G1039" s="7" t="s">
        <v>31</v>
      </c>
      <c r="H1039" s="7" t="s">
        <v>17</v>
      </c>
      <c r="I1039" s="7" t="s">
        <v>17</v>
      </c>
      <c r="J1039" s="7" t="s">
        <v>1616</v>
      </c>
    </row>
    <row r="1040" spans="1:10" x14ac:dyDescent="0.25" outlineLevel="2" collapsed="1">
      <c r="A1040" s="8" t="s">
        <v>19</v>
      </c>
      <c r="B1040" s="9" t="s">
        <v>2617</v>
      </c>
      <c r="C1040" s="8" t="s">
        <v>17</v>
      </c>
      <c r="D1040" s="8"/>
      <c r="E1040" s="8" t="s">
        <v>1758</v>
      </c>
      <c r="F1040" s="8" t="s">
        <v>19</v>
      </c>
      <c r="G1040" s="8" t="s">
        <v>17</v>
      </c>
      <c r="H1040" s="8" t="s">
        <v>17</v>
      </c>
      <c r="I1040" s="8" t="s">
        <v>17</v>
      </c>
      <c r="J1040" s="8" t="s">
        <v>1759</v>
      </c>
    </row>
    <row r="1041" spans="1:10" x14ac:dyDescent="0.25" outlineLevel="3" collapsed="1">
      <c r="A1041" s="7" t="s">
        <v>15</v>
      </c>
      <c r="B1041" s="7" t="s">
        <v>16</v>
      </c>
      <c r="C1041" s="7" t="s">
        <v>17</v>
      </c>
      <c r="D1041" s="7"/>
      <c r="E1041" s="7" t="s">
        <v>1670</v>
      </c>
      <c r="F1041" s="7" t="s">
        <v>19</v>
      </c>
      <c r="G1041" s="7" t="s">
        <v>31</v>
      </c>
      <c r="H1041" s="7" t="s">
        <v>17</v>
      </c>
      <c r="I1041" s="7" t="s">
        <v>17</v>
      </c>
      <c r="J1041" s="7" t="s">
        <v>637</v>
      </c>
    </row>
    <row r="1042" spans="1:10" x14ac:dyDescent="0.25" outlineLevel="3" collapsed="1">
      <c r="A1042" s="7" t="s">
        <v>15</v>
      </c>
      <c r="B1042" s="7" t="s">
        <v>16</v>
      </c>
      <c r="C1042" s="7" t="s">
        <v>17</v>
      </c>
      <c r="D1042" s="7"/>
      <c r="E1042" s="7" t="s">
        <v>638</v>
      </c>
      <c r="F1042" s="7" t="s">
        <v>19</v>
      </c>
      <c r="G1042" s="7" t="s">
        <v>31</v>
      </c>
      <c r="H1042" s="7" t="s">
        <v>17</v>
      </c>
      <c r="I1042" s="7" t="s">
        <v>17</v>
      </c>
      <c r="J1042" s="7" t="s">
        <v>640</v>
      </c>
    </row>
    <row r="1043" spans="1:10" x14ac:dyDescent="0.25" outlineLevel="3" collapsed="1">
      <c r="A1043" s="7" t="s">
        <v>15</v>
      </c>
      <c r="B1043" s="7" t="s">
        <v>16</v>
      </c>
      <c r="C1043" s="7" t="s">
        <v>17</v>
      </c>
      <c r="D1043" s="7"/>
      <c r="E1043" s="7" t="s">
        <v>9</v>
      </c>
      <c r="F1043" s="7" t="s">
        <v>19</v>
      </c>
      <c r="G1043" s="7" t="s">
        <v>31</v>
      </c>
      <c r="H1043" s="7" t="s">
        <v>17</v>
      </c>
      <c r="I1043" s="7" t="s">
        <v>17</v>
      </c>
      <c r="J1043" s="7" t="s">
        <v>843</v>
      </c>
    </row>
    <row r="1044" spans="1:10" x14ac:dyDescent="0.25" outlineLevel="3" collapsed="1">
      <c r="A1044" s="7" t="s">
        <v>19</v>
      </c>
      <c r="B1044" s="7" t="s">
        <v>16</v>
      </c>
      <c r="C1044" s="7" t="s">
        <v>17</v>
      </c>
      <c r="D1044" s="7"/>
      <c r="E1044" s="7" t="s">
        <v>1600</v>
      </c>
      <c r="F1044" s="7" t="s">
        <v>19</v>
      </c>
      <c r="G1044" s="7" t="s">
        <v>31</v>
      </c>
      <c r="H1044" s="7" t="s">
        <v>17</v>
      </c>
      <c r="I1044" s="7" t="s">
        <v>17</v>
      </c>
      <c r="J1044" s="7" t="s">
        <v>1424</v>
      </c>
    </row>
    <row r="1045" spans="1:10" x14ac:dyDescent="0.25" outlineLevel="3" collapsed="1">
      <c r="A1045" s="7" t="s">
        <v>15</v>
      </c>
      <c r="B1045" s="7" t="s">
        <v>16</v>
      </c>
      <c r="C1045" s="7" t="s">
        <v>17</v>
      </c>
      <c r="D1045" s="7"/>
      <c r="E1045" s="7" t="s">
        <v>1601</v>
      </c>
      <c r="F1045" s="7" t="s">
        <v>19</v>
      </c>
      <c r="G1045" s="7" t="s">
        <v>31</v>
      </c>
      <c r="H1045" s="7" t="s">
        <v>17</v>
      </c>
      <c r="I1045" s="7" t="s">
        <v>17</v>
      </c>
      <c r="J1045" s="7" t="s">
        <v>1602</v>
      </c>
    </row>
    <row r="1046" spans="1:10" x14ac:dyDescent="0.25" outlineLevel="3" collapsed="1">
      <c r="A1046" s="7" t="s">
        <v>15</v>
      </c>
      <c r="B1046" s="7" t="s">
        <v>16</v>
      </c>
      <c r="C1046" s="7" t="s">
        <v>17</v>
      </c>
      <c r="D1046" s="7"/>
      <c r="E1046" s="7" t="s">
        <v>1671</v>
      </c>
      <c r="F1046" s="7" t="s">
        <v>19</v>
      </c>
      <c r="G1046" s="7" t="s">
        <v>31</v>
      </c>
      <c r="H1046" s="7" t="s">
        <v>17</v>
      </c>
      <c r="I1046" s="7" t="s">
        <v>17</v>
      </c>
      <c r="J1046" s="7" t="s">
        <v>1672</v>
      </c>
    </row>
    <row r="1047" spans="1:10" x14ac:dyDescent="0.25" outlineLevel="3" collapsed="1">
      <c r="A1047" s="7" t="s">
        <v>15</v>
      </c>
      <c r="B1047" s="7" t="s">
        <v>16</v>
      </c>
      <c r="C1047" s="7" t="s">
        <v>17</v>
      </c>
      <c r="D1047" s="7"/>
      <c r="E1047" s="7" t="s">
        <v>1673</v>
      </c>
      <c r="F1047" s="7" t="s">
        <v>19</v>
      </c>
      <c r="G1047" s="7" t="s">
        <v>31</v>
      </c>
      <c r="H1047" s="7" t="s">
        <v>17</v>
      </c>
      <c r="I1047" s="7" t="s">
        <v>17</v>
      </c>
      <c r="J1047" s="7" t="s">
        <v>1674</v>
      </c>
    </row>
    <row r="1048" spans="1:10" x14ac:dyDescent="0.25" outlineLevel="3" collapsed="1">
      <c r="A1048" s="7" t="s">
        <v>15</v>
      </c>
      <c r="B1048" s="7" t="s">
        <v>16</v>
      </c>
      <c r="C1048" s="7" t="s">
        <v>17</v>
      </c>
      <c r="D1048" s="7"/>
      <c r="E1048" s="7" t="s">
        <v>2618</v>
      </c>
      <c r="F1048" s="7" t="s">
        <v>19</v>
      </c>
      <c r="G1048" s="7" t="s">
        <v>31</v>
      </c>
      <c r="H1048" s="7" t="s">
        <v>17</v>
      </c>
      <c r="I1048" s="7" t="s">
        <v>17</v>
      </c>
      <c r="J1048" s="7" t="s">
        <v>1422</v>
      </c>
    </row>
    <row r="1049" spans="1:10" x14ac:dyDescent="0.25" outlineLevel="3" collapsed="1">
      <c r="A1049" s="7" t="s">
        <v>15</v>
      </c>
      <c r="B1049" s="7" t="s">
        <v>284</v>
      </c>
      <c r="C1049" s="11" t="s">
        <v>2619</v>
      </c>
      <c r="D1049" s="7"/>
      <c r="E1049" s="7" t="s">
        <v>1605</v>
      </c>
      <c r="F1049" s="7" t="s">
        <v>19</v>
      </c>
      <c r="G1049" s="7" t="s">
        <v>1606</v>
      </c>
      <c r="H1049" s="7" t="s">
        <v>17</v>
      </c>
      <c r="I1049" s="7" t="s">
        <v>17</v>
      </c>
      <c r="J1049" s="7" t="s">
        <v>1607</v>
      </c>
    </row>
    <row r="1050" spans="1:10" x14ac:dyDescent="0.25" outlineLevel="3" collapsed="1">
      <c r="A1050" s="7" t="s">
        <v>19</v>
      </c>
      <c r="B1050" s="7" t="s">
        <v>63</v>
      </c>
      <c r="C1050" s="7" t="s">
        <v>17</v>
      </c>
      <c r="D1050" s="7">
        <f>EXACT(G1049,"Single value")</f>
      </c>
      <c r="E1050" s="7" t="s">
        <v>2620</v>
      </c>
      <c r="F1050" s="7" t="s">
        <v>19</v>
      </c>
      <c r="G1050" s="7">
        <v>1</v>
      </c>
      <c r="H1050" s="7" t="s">
        <v>17</v>
      </c>
      <c r="I1050" s="7" t="s">
        <v>17</v>
      </c>
      <c r="J1050" s="7" t="s">
        <v>1609</v>
      </c>
    </row>
    <row r="1051" spans="1:10" x14ac:dyDescent="0.25" outlineLevel="3" collapsed="1">
      <c r="A1051" s="7" t="s">
        <v>19</v>
      </c>
      <c r="B1051" s="7" t="s">
        <v>16</v>
      </c>
      <c r="C1051" s="7" t="s">
        <v>17</v>
      </c>
      <c r="D1051" s="7"/>
      <c r="E1051" s="7" t="s">
        <v>1677</v>
      </c>
      <c r="F1051" s="7" t="s">
        <v>19</v>
      </c>
      <c r="G1051" s="7" t="s">
        <v>31</v>
      </c>
      <c r="H1051" s="7" t="s">
        <v>17</v>
      </c>
      <c r="I1051" s="7" t="s">
        <v>17</v>
      </c>
      <c r="J1051" s="7" t="s">
        <v>1678</v>
      </c>
    </row>
    <row r="1052" spans="1:10" x14ac:dyDescent="0.25" outlineLevel="3" collapsed="1">
      <c r="A1052" s="7" t="s">
        <v>15</v>
      </c>
      <c r="B1052" s="7" t="s">
        <v>16</v>
      </c>
      <c r="C1052" s="7" t="s">
        <v>17</v>
      </c>
      <c r="D1052" s="7"/>
      <c r="E1052" s="7" t="s">
        <v>1679</v>
      </c>
      <c r="F1052" s="7" t="s">
        <v>19</v>
      </c>
      <c r="G1052" s="7" t="s">
        <v>31</v>
      </c>
      <c r="H1052" s="7" t="s">
        <v>17</v>
      </c>
      <c r="I1052" s="7" t="s">
        <v>17</v>
      </c>
      <c r="J1052" s="7" t="s">
        <v>1680</v>
      </c>
    </row>
    <row r="1053" spans="1:10" x14ac:dyDescent="0.25" outlineLevel="3" collapsed="1">
      <c r="A1053" s="7" t="s">
        <v>15</v>
      </c>
      <c r="B1053" s="7" t="s">
        <v>284</v>
      </c>
      <c r="C1053" s="11" t="s">
        <v>2621</v>
      </c>
      <c r="D1053" s="7"/>
      <c r="E1053" s="7" t="s">
        <v>1612</v>
      </c>
      <c r="F1053" s="7" t="s">
        <v>19</v>
      </c>
      <c r="G1053" s="7" t="s">
        <v>1613</v>
      </c>
      <c r="H1053" s="7" t="s">
        <v>17</v>
      </c>
      <c r="I1053" s="7" t="s">
        <v>17</v>
      </c>
      <c r="J1053" s="7" t="s">
        <v>1614</v>
      </c>
    </row>
    <row r="1054" spans="1:10" x14ac:dyDescent="0.25" outlineLevel="3" collapsed="1">
      <c r="A1054" s="7" t="s">
        <v>19</v>
      </c>
      <c r="B1054" s="7" t="s">
        <v>16</v>
      </c>
      <c r="C1054" s="7" t="s">
        <v>17</v>
      </c>
      <c r="D1054" s="7"/>
      <c r="E1054" s="7" t="s">
        <v>1681</v>
      </c>
      <c r="F1054" s="7" t="s">
        <v>19</v>
      </c>
      <c r="G1054" s="7" t="s">
        <v>31</v>
      </c>
      <c r="H1054" s="7" t="s">
        <v>17</v>
      </c>
      <c r="I1054" s="7" t="s">
        <v>17</v>
      </c>
      <c r="J1054" s="7" t="s">
        <v>1682</v>
      </c>
    </row>
    <row r="1055" spans="1:10" x14ac:dyDescent="0.25" outlineLevel="3" collapsed="1">
      <c r="A1055" s="7" t="s">
        <v>19</v>
      </c>
      <c r="B1055" s="7" t="s">
        <v>16</v>
      </c>
      <c r="C1055" s="7" t="s">
        <v>17</v>
      </c>
      <c r="D1055" s="7"/>
      <c r="E1055" s="7" t="s">
        <v>1615</v>
      </c>
      <c r="F1055" s="7" t="s">
        <v>19</v>
      </c>
      <c r="G1055" s="7" t="s">
        <v>31</v>
      </c>
      <c r="H1055" s="7" t="s">
        <v>17</v>
      </c>
      <c r="I1055" s="7" t="s">
        <v>17</v>
      </c>
      <c r="J1055" s="7" t="s">
        <v>1616</v>
      </c>
    </row>
    <row r="1056" spans="1:10" x14ac:dyDescent="0.25" outlineLevel="2" collapsed="1">
      <c r="A1056" s="8" t="s">
        <v>19</v>
      </c>
      <c r="B1056" s="9" t="s">
        <v>2617</v>
      </c>
      <c r="C1056" s="8" t="s">
        <v>17</v>
      </c>
      <c r="D1056" s="8"/>
      <c r="E1056" s="8" t="s">
        <v>1760</v>
      </c>
      <c r="F1056" s="8" t="s">
        <v>19</v>
      </c>
      <c r="G1056" s="8" t="s">
        <v>17</v>
      </c>
      <c r="H1056" s="8" t="s">
        <v>17</v>
      </c>
      <c r="I1056" s="8" t="s">
        <v>17</v>
      </c>
      <c r="J1056" s="8" t="s">
        <v>1761</v>
      </c>
    </row>
    <row r="1057" spans="1:10" x14ac:dyDescent="0.25" outlineLevel="3" collapsed="1">
      <c r="A1057" s="7" t="s">
        <v>15</v>
      </c>
      <c r="B1057" s="7" t="s">
        <v>16</v>
      </c>
      <c r="C1057" s="7" t="s">
        <v>17</v>
      </c>
      <c r="D1057" s="7"/>
      <c r="E1057" s="7" t="s">
        <v>1670</v>
      </c>
      <c r="F1057" s="7" t="s">
        <v>19</v>
      </c>
      <c r="G1057" s="7" t="s">
        <v>31</v>
      </c>
      <c r="H1057" s="7" t="s">
        <v>17</v>
      </c>
      <c r="I1057" s="7" t="s">
        <v>17</v>
      </c>
      <c r="J1057" s="7" t="s">
        <v>637</v>
      </c>
    </row>
    <row r="1058" spans="1:10" x14ac:dyDescent="0.25" outlineLevel="3" collapsed="1">
      <c r="A1058" s="7" t="s">
        <v>15</v>
      </c>
      <c r="B1058" s="7" t="s">
        <v>16</v>
      </c>
      <c r="C1058" s="7" t="s">
        <v>17</v>
      </c>
      <c r="D1058" s="7"/>
      <c r="E1058" s="7" t="s">
        <v>638</v>
      </c>
      <c r="F1058" s="7" t="s">
        <v>19</v>
      </c>
      <c r="G1058" s="7" t="s">
        <v>31</v>
      </c>
      <c r="H1058" s="7" t="s">
        <v>17</v>
      </c>
      <c r="I1058" s="7" t="s">
        <v>17</v>
      </c>
      <c r="J1058" s="7" t="s">
        <v>640</v>
      </c>
    </row>
    <row r="1059" spans="1:10" x14ac:dyDescent="0.25" outlineLevel="3" collapsed="1">
      <c r="A1059" s="7" t="s">
        <v>15</v>
      </c>
      <c r="B1059" s="7" t="s">
        <v>16</v>
      </c>
      <c r="C1059" s="7" t="s">
        <v>17</v>
      </c>
      <c r="D1059" s="7"/>
      <c r="E1059" s="7" t="s">
        <v>9</v>
      </c>
      <c r="F1059" s="7" t="s">
        <v>19</v>
      </c>
      <c r="G1059" s="7" t="s">
        <v>31</v>
      </c>
      <c r="H1059" s="7" t="s">
        <v>17</v>
      </c>
      <c r="I1059" s="7" t="s">
        <v>17</v>
      </c>
      <c r="J1059" s="7" t="s">
        <v>843</v>
      </c>
    </row>
    <row r="1060" spans="1:10" x14ac:dyDescent="0.25" outlineLevel="3" collapsed="1">
      <c r="A1060" s="7" t="s">
        <v>19</v>
      </c>
      <c r="B1060" s="7" t="s">
        <v>16</v>
      </c>
      <c r="C1060" s="7" t="s">
        <v>17</v>
      </c>
      <c r="D1060" s="7"/>
      <c r="E1060" s="7" t="s">
        <v>1600</v>
      </c>
      <c r="F1060" s="7" t="s">
        <v>19</v>
      </c>
      <c r="G1060" s="7" t="s">
        <v>31</v>
      </c>
      <c r="H1060" s="7" t="s">
        <v>17</v>
      </c>
      <c r="I1060" s="7" t="s">
        <v>17</v>
      </c>
      <c r="J1060" s="7" t="s">
        <v>1424</v>
      </c>
    </row>
    <row r="1061" spans="1:10" x14ac:dyDescent="0.25" outlineLevel="3" collapsed="1">
      <c r="A1061" s="7" t="s">
        <v>15</v>
      </c>
      <c r="B1061" s="7" t="s">
        <v>16</v>
      </c>
      <c r="C1061" s="7" t="s">
        <v>17</v>
      </c>
      <c r="D1061" s="7"/>
      <c r="E1061" s="7" t="s">
        <v>1601</v>
      </c>
      <c r="F1061" s="7" t="s">
        <v>19</v>
      </c>
      <c r="G1061" s="7" t="s">
        <v>31</v>
      </c>
      <c r="H1061" s="7" t="s">
        <v>17</v>
      </c>
      <c r="I1061" s="7" t="s">
        <v>17</v>
      </c>
      <c r="J1061" s="7" t="s">
        <v>1602</v>
      </c>
    </row>
    <row r="1062" spans="1:10" x14ac:dyDescent="0.25" outlineLevel="3" collapsed="1">
      <c r="A1062" s="7" t="s">
        <v>15</v>
      </c>
      <c r="B1062" s="7" t="s">
        <v>16</v>
      </c>
      <c r="C1062" s="7" t="s">
        <v>17</v>
      </c>
      <c r="D1062" s="7"/>
      <c r="E1062" s="7" t="s">
        <v>1671</v>
      </c>
      <c r="F1062" s="7" t="s">
        <v>19</v>
      </c>
      <c r="G1062" s="7" t="s">
        <v>31</v>
      </c>
      <c r="H1062" s="7" t="s">
        <v>17</v>
      </c>
      <c r="I1062" s="7" t="s">
        <v>17</v>
      </c>
      <c r="J1062" s="7" t="s">
        <v>1672</v>
      </c>
    </row>
    <row r="1063" spans="1:10" x14ac:dyDescent="0.25" outlineLevel="3" collapsed="1">
      <c r="A1063" s="7" t="s">
        <v>15</v>
      </c>
      <c r="B1063" s="7" t="s">
        <v>16</v>
      </c>
      <c r="C1063" s="7" t="s">
        <v>17</v>
      </c>
      <c r="D1063" s="7"/>
      <c r="E1063" s="7" t="s">
        <v>1673</v>
      </c>
      <c r="F1063" s="7" t="s">
        <v>19</v>
      </c>
      <c r="G1063" s="7" t="s">
        <v>31</v>
      </c>
      <c r="H1063" s="7" t="s">
        <v>17</v>
      </c>
      <c r="I1063" s="7" t="s">
        <v>17</v>
      </c>
      <c r="J1063" s="7" t="s">
        <v>1674</v>
      </c>
    </row>
    <row r="1064" spans="1:10" x14ac:dyDescent="0.25" outlineLevel="3" collapsed="1">
      <c r="A1064" s="7" t="s">
        <v>15</v>
      </c>
      <c r="B1064" s="7" t="s">
        <v>16</v>
      </c>
      <c r="C1064" s="7" t="s">
        <v>17</v>
      </c>
      <c r="D1064" s="7"/>
      <c r="E1064" s="7" t="s">
        <v>2618</v>
      </c>
      <c r="F1064" s="7" t="s">
        <v>19</v>
      </c>
      <c r="G1064" s="7" t="s">
        <v>31</v>
      </c>
      <c r="H1064" s="7" t="s">
        <v>17</v>
      </c>
      <c r="I1064" s="7" t="s">
        <v>17</v>
      </c>
      <c r="J1064" s="7" t="s">
        <v>1422</v>
      </c>
    </row>
    <row r="1065" spans="1:10" x14ac:dyDescent="0.25" outlineLevel="3" collapsed="1">
      <c r="A1065" s="7" t="s">
        <v>15</v>
      </c>
      <c r="B1065" s="7" t="s">
        <v>284</v>
      </c>
      <c r="C1065" s="11" t="s">
        <v>2619</v>
      </c>
      <c r="D1065" s="7"/>
      <c r="E1065" s="7" t="s">
        <v>1605</v>
      </c>
      <c r="F1065" s="7" t="s">
        <v>19</v>
      </c>
      <c r="G1065" s="7" t="s">
        <v>1606</v>
      </c>
      <c r="H1065" s="7" t="s">
        <v>17</v>
      </c>
      <c r="I1065" s="7" t="s">
        <v>17</v>
      </c>
      <c r="J1065" s="7" t="s">
        <v>1607</v>
      </c>
    </row>
    <row r="1066" spans="1:10" x14ac:dyDescent="0.25" outlineLevel="3" collapsed="1">
      <c r="A1066" s="7" t="s">
        <v>19</v>
      </c>
      <c r="B1066" s="7" t="s">
        <v>63</v>
      </c>
      <c r="C1066" s="7" t="s">
        <v>17</v>
      </c>
      <c r="D1066" s="7">
        <f>EXACT(G1065,"Single value")</f>
      </c>
      <c r="E1066" s="7" t="s">
        <v>2620</v>
      </c>
      <c r="F1066" s="7" t="s">
        <v>19</v>
      </c>
      <c r="G1066" s="7">
        <v>1</v>
      </c>
      <c r="H1066" s="7" t="s">
        <v>17</v>
      </c>
      <c r="I1066" s="7" t="s">
        <v>17</v>
      </c>
      <c r="J1066" s="7" t="s">
        <v>1609</v>
      </c>
    </row>
    <row r="1067" spans="1:10" x14ac:dyDescent="0.25" outlineLevel="3" collapsed="1">
      <c r="A1067" s="7" t="s">
        <v>19</v>
      </c>
      <c r="B1067" s="7" t="s">
        <v>16</v>
      </c>
      <c r="C1067" s="7" t="s">
        <v>17</v>
      </c>
      <c r="D1067" s="7"/>
      <c r="E1067" s="7" t="s">
        <v>1677</v>
      </c>
      <c r="F1067" s="7" t="s">
        <v>19</v>
      </c>
      <c r="G1067" s="7" t="s">
        <v>31</v>
      </c>
      <c r="H1067" s="7" t="s">
        <v>17</v>
      </c>
      <c r="I1067" s="7" t="s">
        <v>17</v>
      </c>
      <c r="J1067" s="7" t="s">
        <v>1678</v>
      </c>
    </row>
    <row r="1068" spans="1:10" x14ac:dyDescent="0.25" outlineLevel="3" collapsed="1">
      <c r="A1068" s="7" t="s">
        <v>15</v>
      </c>
      <c r="B1068" s="7" t="s">
        <v>16</v>
      </c>
      <c r="C1068" s="7" t="s">
        <v>17</v>
      </c>
      <c r="D1068" s="7"/>
      <c r="E1068" s="7" t="s">
        <v>1679</v>
      </c>
      <c r="F1068" s="7" t="s">
        <v>19</v>
      </c>
      <c r="G1068" s="7" t="s">
        <v>31</v>
      </c>
      <c r="H1068" s="7" t="s">
        <v>17</v>
      </c>
      <c r="I1068" s="7" t="s">
        <v>17</v>
      </c>
      <c r="J1068" s="7" t="s">
        <v>1680</v>
      </c>
    </row>
    <row r="1069" spans="1:10" x14ac:dyDescent="0.25" outlineLevel="3" collapsed="1">
      <c r="A1069" s="7" t="s">
        <v>15</v>
      </c>
      <c r="B1069" s="7" t="s">
        <v>284</v>
      </c>
      <c r="C1069" s="11" t="s">
        <v>2621</v>
      </c>
      <c r="D1069" s="7"/>
      <c r="E1069" s="7" t="s">
        <v>1612</v>
      </c>
      <c r="F1069" s="7" t="s">
        <v>19</v>
      </c>
      <c r="G1069" s="7" t="s">
        <v>1613</v>
      </c>
      <c r="H1069" s="7" t="s">
        <v>17</v>
      </c>
      <c r="I1069" s="7" t="s">
        <v>17</v>
      </c>
      <c r="J1069" s="7" t="s">
        <v>1614</v>
      </c>
    </row>
    <row r="1070" spans="1:10" x14ac:dyDescent="0.25" outlineLevel="3" collapsed="1">
      <c r="A1070" s="7" t="s">
        <v>19</v>
      </c>
      <c r="B1070" s="7" t="s">
        <v>16</v>
      </c>
      <c r="C1070" s="7" t="s">
        <v>17</v>
      </c>
      <c r="D1070" s="7"/>
      <c r="E1070" s="7" t="s">
        <v>1681</v>
      </c>
      <c r="F1070" s="7" t="s">
        <v>19</v>
      </c>
      <c r="G1070" s="7" t="s">
        <v>31</v>
      </c>
      <c r="H1070" s="7" t="s">
        <v>17</v>
      </c>
      <c r="I1070" s="7" t="s">
        <v>17</v>
      </c>
      <c r="J1070" s="7" t="s">
        <v>1682</v>
      </c>
    </row>
    <row r="1071" spans="1:10" x14ac:dyDescent="0.25" outlineLevel="3" collapsed="1">
      <c r="A1071" s="7" t="s">
        <v>19</v>
      </c>
      <c r="B1071" s="7" t="s">
        <v>16</v>
      </c>
      <c r="C1071" s="7" t="s">
        <v>17</v>
      </c>
      <c r="D1071" s="7"/>
      <c r="E1071" s="7" t="s">
        <v>1615</v>
      </c>
      <c r="F1071" s="7" t="s">
        <v>19</v>
      </c>
      <c r="G1071" s="7" t="s">
        <v>31</v>
      </c>
      <c r="H1071" s="7" t="s">
        <v>17</v>
      </c>
      <c r="I1071" s="7" t="s">
        <v>17</v>
      </c>
      <c r="J1071" s="7" t="s">
        <v>1616</v>
      </c>
    </row>
    <row r="1072" spans="1:10" x14ac:dyDescent="0.25" outlineLevel="2" collapsed="1">
      <c r="A1072" s="8" t="s">
        <v>19</v>
      </c>
      <c r="B1072" s="9" t="s">
        <v>2617</v>
      </c>
      <c r="C1072" s="8" t="s">
        <v>17</v>
      </c>
      <c r="D1072" s="8"/>
      <c r="E1072" s="8" t="s">
        <v>1762</v>
      </c>
      <c r="F1072" s="8" t="s">
        <v>19</v>
      </c>
      <c r="G1072" s="8" t="s">
        <v>17</v>
      </c>
      <c r="H1072" s="8" t="s">
        <v>17</v>
      </c>
      <c r="I1072" s="8" t="s">
        <v>17</v>
      </c>
      <c r="J1072" s="8" t="s">
        <v>1763</v>
      </c>
    </row>
    <row r="1073" spans="1:10" x14ac:dyDescent="0.25" outlineLevel="3" collapsed="1">
      <c r="A1073" s="7" t="s">
        <v>15</v>
      </c>
      <c r="B1073" s="7" t="s">
        <v>16</v>
      </c>
      <c r="C1073" s="7" t="s">
        <v>17</v>
      </c>
      <c r="D1073" s="7"/>
      <c r="E1073" s="7" t="s">
        <v>1670</v>
      </c>
      <c r="F1073" s="7" t="s">
        <v>19</v>
      </c>
      <c r="G1073" s="7" t="s">
        <v>31</v>
      </c>
      <c r="H1073" s="7" t="s">
        <v>17</v>
      </c>
      <c r="I1073" s="7" t="s">
        <v>17</v>
      </c>
      <c r="J1073" s="7" t="s">
        <v>637</v>
      </c>
    </row>
    <row r="1074" spans="1:10" x14ac:dyDescent="0.25" outlineLevel="3" collapsed="1">
      <c r="A1074" s="7" t="s">
        <v>15</v>
      </c>
      <c r="B1074" s="7" t="s">
        <v>16</v>
      </c>
      <c r="C1074" s="7" t="s">
        <v>17</v>
      </c>
      <c r="D1074" s="7"/>
      <c r="E1074" s="7" t="s">
        <v>638</v>
      </c>
      <c r="F1074" s="7" t="s">
        <v>19</v>
      </c>
      <c r="G1074" s="7" t="s">
        <v>31</v>
      </c>
      <c r="H1074" s="7" t="s">
        <v>17</v>
      </c>
      <c r="I1074" s="7" t="s">
        <v>17</v>
      </c>
      <c r="J1074" s="7" t="s">
        <v>640</v>
      </c>
    </row>
    <row r="1075" spans="1:10" x14ac:dyDescent="0.25" outlineLevel="3" collapsed="1">
      <c r="A1075" s="7" t="s">
        <v>15</v>
      </c>
      <c r="B1075" s="7" t="s">
        <v>16</v>
      </c>
      <c r="C1075" s="7" t="s">
        <v>17</v>
      </c>
      <c r="D1075" s="7"/>
      <c r="E1075" s="7" t="s">
        <v>9</v>
      </c>
      <c r="F1075" s="7" t="s">
        <v>19</v>
      </c>
      <c r="G1075" s="7" t="s">
        <v>31</v>
      </c>
      <c r="H1075" s="7" t="s">
        <v>17</v>
      </c>
      <c r="I1075" s="7" t="s">
        <v>17</v>
      </c>
      <c r="J1075" s="7" t="s">
        <v>843</v>
      </c>
    </row>
    <row r="1076" spans="1:10" x14ac:dyDescent="0.25" outlineLevel="3" collapsed="1">
      <c r="A1076" s="7" t="s">
        <v>19</v>
      </c>
      <c r="B1076" s="7" t="s">
        <v>16</v>
      </c>
      <c r="C1076" s="7" t="s">
        <v>17</v>
      </c>
      <c r="D1076" s="7"/>
      <c r="E1076" s="7" t="s">
        <v>1600</v>
      </c>
      <c r="F1076" s="7" t="s">
        <v>19</v>
      </c>
      <c r="G1076" s="7" t="s">
        <v>31</v>
      </c>
      <c r="H1076" s="7" t="s">
        <v>17</v>
      </c>
      <c r="I1076" s="7" t="s">
        <v>17</v>
      </c>
      <c r="J1076" s="7" t="s">
        <v>1424</v>
      </c>
    </row>
    <row r="1077" spans="1:10" x14ac:dyDescent="0.25" outlineLevel="3" collapsed="1">
      <c r="A1077" s="7" t="s">
        <v>15</v>
      </c>
      <c r="B1077" s="7" t="s">
        <v>16</v>
      </c>
      <c r="C1077" s="7" t="s">
        <v>17</v>
      </c>
      <c r="D1077" s="7"/>
      <c r="E1077" s="7" t="s">
        <v>1601</v>
      </c>
      <c r="F1077" s="7" t="s">
        <v>19</v>
      </c>
      <c r="G1077" s="7" t="s">
        <v>31</v>
      </c>
      <c r="H1077" s="7" t="s">
        <v>17</v>
      </c>
      <c r="I1077" s="7" t="s">
        <v>17</v>
      </c>
      <c r="J1077" s="7" t="s">
        <v>1602</v>
      </c>
    </row>
    <row r="1078" spans="1:10" x14ac:dyDescent="0.25" outlineLevel="3" collapsed="1">
      <c r="A1078" s="7" t="s">
        <v>15</v>
      </c>
      <c r="B1078" s="7" t="s">
        <v>16</v>
      </c>
      <c r="C1078" s="7" t="s">
        <v>17</v>
      </c>
      <c r="D1078" s="7"/>
      <c r="E1078" s="7" t="s">
        <v>1671</v>
      </c>
      <c r="F1078" s="7" t="s">
        <v>19</v>
      </c>
      <c r="G1078" s="7" t="s">
        <v>31</v>
      </c>
      <c r="H1078" s="7" t="s">
        <v>17</v>
      </c>
      <c r="I1078" s="7" t="s">
        <v>17</v>
      </c>
      <c r="J1078" s="7" t="s">
        <v>1672</v>
      </c>
    </row>
    <row r="1079" spans="1:10" x14ac:dyDescent="0.25" outlineLevel="3" collapsed="1">
      <c r="A1079" s="7" t="s">
        <v>15</v>
      </c>
      <c r="B1079" s="7" t="s">
        <v>16</v>
      </c>
      <c r="C1079" s="7" t="s">
        <v>17</v>
      </c>
      <c r="D1079" s="7"/>
      <c r="E1079" s="7" t="s">
        <v>1673</v>
      </c>
      <c r="F1079" s="7" t="s">
        <v>19</v>
      </c>
      <c r="G1079" s="7" t="s">
        <v>31</v>
      </c>
      <c r="H1079" s="7" t="s">
        <v>17</v>
      </c>
      <c r="I1079" s="7" t="s">
        <v>17</v>
      </c>
      <c r="J1079" s="7" t="s">
        <v>1674</v>
      </c>
    </row>
    <row r="1080" spans="1:10" x14ac:dyDescent="0.25" outlineLevel="3" collapsed="1">
      <c r="A1080" s="7" t="s">
        <v>15</v>
      </c>
      <c r="B1080" s="7" t="s">
        <v>16</v>
      </c>
      <c r="C1080" s="7" t="s">
        <v>17</v>
      </c>
      <c r="D1080" s="7"/>
      <c r="E1080" s="7" t="s">
        <v>2618</v>
      </c>
      <c r="F1080" s="7" t="s">
        <v>19</v>
      </c>
      <c r="G1080" s="7" t="s">
        <v>31</v>
      </c>
      <c r="H1080" s="7" t="s">
        <v>17</v>
      </c>
      <c r="I1080" s="7" t="s">
        <v>17</v>
      </c>
      <c r="J1080" s="7" t="s">
        <v>1422</v>
      </c>
    </row>
    <row r="1081" spans="1:10" x14ac:dyDescent="0.25" outlineLevel="3" collapsed="1">
      <c r="A1081" s="7" t="s">
        <v>15</v>
      </c>
      <c r="B1081" s="7" t="s">
        <v>284</v>
      </c>
      <c r="C1081" s="11" t="s">
        <v>2619</v>
      </c>
      <c r="D1081" s="7"/>
      <c r="E1081" s="7" t="s">
        <v>1605</v>
      </c>
      <c r="F1081" s="7" t="s">
        <v>19</v>
      </c>
      <c r="G1081" s="7" t="s">
        <v>1606</v>
      </c>
      <c r="H1081" s="7" t="s">
        <v>17</v>
      </c>
      <c r="I1081" s="7" t="s">
        <v>17</v>
      </c>
      <c r="J1081" s="7" t="s">
        <v>1607</v>
      </c>
    </row>
    <row r="1082" spans="1:10" x14ac:dyDescent="0.25" outlineLevel="3" collapsed="1">
      <c r="A1082" s="7" t="s">
        <v>19</v>
      </c>
      <c r="B1082" s="7" t="s">
        <v>63</v>
      </c>
      <c r="C1082" s="7" t="s">
        <v>17</v>
      </c>
      <c r="D1082" s="7">
        <f>EXACT(G1081,"Single value")</f>
      </c>
      <c r="E1082" s="7" t="s">
        <v>2620</v>
      </c>
      <c r="F1082" s="7" t="s">
        <v>19</v>
      </c>
      <c r="G1082" s="7">
        <v>1</v>
      </c>
      <c r="H1082" s="7" t="s">
        <v>17</v>
      </c>
      <c r="I1082" s="7" t="s">
        <v>17</v>
      </c>
      <c r="J1082" s="7" t="s">
        <v>1609</v>
      </c>
    </row>
    <row r="1083" spans="1:10" x14ac:dyDescent="0.25" outlineLevel="3" collapsed="1">
      <c r="A1083" s="7" t="s">
        <v>19</v>
      </c>
      <c r="B1083" s="7" t="s">
        <v>16</v>
      </c>
      <c r="C1083" s="7" t="s">
        <v>17</v>
      </c>
      <c r="D1083" s="7"/>
      <c r="E1083" s="7" t="s">
        <v>1677</v>
      </c>
      <c r="F1083" s="7" t="s">
        <v>19</v>
      </c>
      <c r="G1083" s="7" t="s">
        <v>31</v>
      </c>
      <c r="H1083" s="7" t="s">
        <v>17</v>
      </c>
      <c r="I1083" s="7" t="s">
        <v>17</v>
      </c>
      <c r="J1083" s="7" t="s">
        <v>1678</v>
      </c>
    </row>
    <row r="1084" spans="1:10" x14ac:dyDescent="0.25" outlineLevel="3" collapsed="1">
      <c r="A1084" s="7" t="s">
        <v>15</v>
      </c>
      <c r="B1084" s="7" t="s">
        <v>16</v>
      </c>
      <c r="C1084" s="7" t="s">
        <v>17</v>
      </c>
      <c r="D1084" s="7"/>
      <c r="E1084" s="7" t="s">
        <v>1679</v>
      </c>
      <c r="F1084" s="7" t="s">
        <v>19</v>
      </c>
      <c r="G1084" s="7" t="s">
        <v>31</v>
      </c>
      <c r="H1084" s="7" t="s">
        <v>17</v>
      </c>
      <c r="I1084" s="7" t="s">
        <v>17</v>
      </c>
      <c r="J1084" s="7" t="s">
        <v>1680</v>
      </c>
    </row>
    <row r="1085" spans="1:10" x14ac:dyDescent="0.25" outlineLevel="3" collapsed="1">
      <c r="A1085" s="7" t="s">
        <v>15</v>
      </c>
      <c r="B1085" s="7" t="s">
        <v>284</v>
      </c>
      <c r="C1085" s="11" t="s">
        <v>2621</v>
      </c>
      <c r="D1085" s="7"/>
      <c r="E1085" s="7" t="s">
        <v>1612</v>
      </c>
      <c r="F1085" s="7" t="s">
        <v>19</v>
      </c>
      <c r="G1085" s="7" t="s">
        <v>1613</v>
      </c>
      <c r="H1085" s="7" t="s">
        <v>17</v>
      </c>
      <c r="I1085" s="7" t="s">
        <v>17</v>
      </c>
      <c r="J1085" s="7" t="s">
        <v>1614</v>
      </c>
    </row>
    <row r="1086" spans="1:10" x14ac:dyDescent="0.25" outlineLevel="3" collapsed="1">
      <c r="A1086" s="7" t="s">
        <v>19</v>
      </c>
      <c r="B1086" s="7" t="s">
        <v>16</v>
      </c>
      <c r="C1086" s="7" t="s">
        <v>17</v>
      </c>
      <c r="D1086" s="7"/>
      <c r="E1086" s="7" t="s">
        <v>1681</v>
      </c>
      <c r="F1086" s="7" t="s">
        <v>19</v>
      </c>
      <c r="G1086" s="7" t="s">
        <v>31</v>
      </c>
      <c r="H1086" s="7" t="s">
        <v>17</v>
      </c>
      <c r="I1086" s="7" t="s">
        <v>17</v>
      </c>
      <c r="J1086" s="7" t="s">
        <v>1682</v>
      </c>
    </row>
    <row r="1087" spans="1:10" x14ac:dyDescent="0.25" outlineLevel="3" collapsed="1">
      <c r="A1087" s="7" t="s">
        <v>19</v>
      </c>
      <c r="B1087" s="7" t="s">
        <v>16</v>
      </c>
      <c r="C1087" s="7" t="s">
        <v>17</v>
      </c>
      <c r="D1087" s="7"/>
      <c r="E1087" s="7" t="s">
        <v>1615</v>
      </c>
      <c r="F1087" s="7" t="s">
        <v>19</v>
      </c>
      <c r="G1087" s="7" t="s">
        <v>31</v>
      </c>
      <c r="H1087" s="7" t="s">
        <v>17</v>
      </c>
      <c r="I1087" s="7" t="s">
        <v>17</v>
      </c>
      <c r="J1087" s="7" t="s">
        <v>1616</v>
      </c>
    </row>
    <row r="1088" spans="1:10" x14ac:dyDescent="0.25" outlineLevel="2" collapsed="1">
      <c r="A1088" s="8" t="s">
        <v>19</v>
      </c>
      <c r="B1088" s="9" t="s">
        <v>2617</v>
      </c>
      <c r="C1088" s="8" t="s">
        <v>17</v>
      </c>
      <c r="D1088" s="8"/>
      <c r="E1088" s="8" t="s">
        <v>1764</v>
      </c>
      <c r="F1088" s="8" t="s">
        <v>19</v>
      </c>
      <c r="G1088" s="8" t="s">
        <v>17</v>
      </c>
      <c r="H1088" s="8" t="s">
        <v>17</v>
      </c>
      <c r="I1088" s="8" t="s">
        <v>17</v>
      </c>
      <c r="J1088" s="8" t="s">
        <v>1765</v>
      </c>
    </row>
    <row r="1089" spans="1:10" x14ac:dyDescent="0.25" outlineLevel="3" collapsed="1">
      <c r="A1089" s="7" t="s">
        <v>15</v>
      </c>
      <c r="B1089" s="7" t="s">
        <v>16</v>
      </c>
      <c r="C1089" s="7" t="s">
        <v>17</v>
      </c>
      <c r="D1089" s="7"/>
      <c r="E1089" s="7" t="s">
        <v>1670</v>
      </c>
      <c r="F1089" s="7" t="s">
        <v>19</v>
      </c>
      <c r="G1089" s="7" t="s">
        <v>31</v>
      </c>
      <c r="H1089" s="7" t="s">
        <v>17</v>
      </c>
      <c r="I1089" s="7" t="s">
        <v>17</v>
      </c>
      <c r="J1089" s="7" t="s">
        <v>637</v>
      </c>
    </row>
    <row r="1090" spans="1:10" x14ac:dyDescent="0.25" outlineLevel="3" collapsed="1">
      <c r="A1090" s="7" t="s">
        <v>15</v>
      </c>
      <c r="B1090" s="7" t="s">
        <v>16</v>
      </c>
      <c r="C1090" s="7" t="s">
        <v>17</v>
      </c>
      <c r="D1090" s="7"/>
      <c r="E1090" s="7" t="s">
        <v>638</v>
      </c>
      <c r="F1090" s="7" t="s">
        <v>19</v>
      </c>
      <c r="G1090" s="7" t="s">
        <v>31</v>
      </c>
      <c r="H1090" s="7" t="s">
        <v>17</v>
      </c>
      <c r="I1090" s="7" t="s">
        <v>17</v>
      </c>
      <c r="J1090" s="7" t="s">
        <v>640</v>
      </c>
    </row>
    <row r="1091" spans="1:10" x14ac:dyDescent="0.25" outlineLevel="3" collapsed="1">
      <c r="A1091" s="7" t="s">
        <v>15</v>
      </c>
      <c r="B1091" s="7" t="s">
        <v>16</v>
      </c>
      <c r="C1091" s="7" t="s">
        <v>17</v>
      </c>
      <c r="D1091" s="7"/>
      <c r="E1091" s="7" t="s">
        <v>9</v>
      </c>
      <c r="F1091" s="7" t="s">
        <v>19</v>
      </c>
      <c r="G1091" s="7" t="s">
        <v>31</v>
      </c>
      <c r="H1091" s="7" t="s">
        <v>17</v>
      </c>
      <c r="I1091" s="7" t="s">
        <v>17</v>
      </c>
      <c r="J1091" s="7" t="s">
        <v>843</v>
      </c>
    </row>
    <row r="1092" spans="1:10" x14ac:dyDescent="0.25" outlineLevel="3" collapsed="1">
      <c r="A1092" s="7" t="s">
        <v>19</v>
      </c>
      <c r="B1092" s="7" t="s">
        <v>16</v>
      </c>
      <c r="C1092" s="7" t="s">
        <v>17</v>
      </c>
      <c r="D1092" s="7"/>
      <c r="E1092" s="7" t="s">
        <v>1600</v>
      </c>
      <c r="F1092" s="7" t="s">
        <v>19</v>
      </c>
      <c r="G1092" s="7" t="s">
        <v>31</v>
      </c>
      <c r="H1092" s="7" t="s">
        <v>17</v>
      </c>
      <c r="I1092" s="7" t="s">
        <v>17</v>
      </c>
      <c r="J1092" s="7" t="s">
        <v>1424</v>
      </c>
    </row>
    <row r="1093" spans="1:10" x14ac:dyDescent="0.25" outlineLevel="3" collapsed="1">
      <c r="A1093" s="7" t="s">
        <v>15</v>
      </c>
      <c r="B1093" s="7" t="s">
        <v>16</v>
      </c>
      <c r="C1093" s="7" t="s">
        <v>17</v>
      </c>
      <c r="D1093" s="7"/>
      <c r="E1093" s="7" t="s">
        <v>1601</v>
      </c>
      <c r="F1093" s="7" t="s">
        <v>19</v>
      </c>
      <c r="G1093" s="7" t="s">
        <v>31</v>
      </c>
      <c r="H1093" s="7" t="s">
        <v>17</v>
      </c>
      <c r="I1093" s="7" t="s">
        <v>17</v>
      </c>
      <c r="J1093" s="7" t="s">
        <v>1602</v>
      </c>
    </row>
    <row r="1094" spans="1:10" x14ac:dyDescent="0.25" outlineLevel="3" collapsed="1">
      <c r="A1094" s="7" t="s">
        <v>15</v>
      </c>
      <c r="B1094" s="7" t="s">
        <v>16</v>
      </c>
      <c r="C1094" s="7" t="s">
        <v>17</v>
      </c>
      <c r="D1094" s="7"/>
      <c r="E1094" s="7" t="s">
        <v>1671</v>
      </c>
      <c r="F1094" s="7" t="s">
        <v>19</v>
      </c>
      <c r="G1094" s="7" t="s">
        <v>31</v>
      </c>
      <c r="H1094" s="7" t="s">
        <v>17</v>
      </c>
      <c r="I1094" s="7" t="s">
        <v>17</v>
      </c>
      <c r="J1094" s="7" t="s">
        <v>1672</v>
      </c>
    </row>
    <row r="1095" spans="1:10" x14ac:dyDescent="0.25" outlineLevel="3" collapsed="1">
      <c r="A1095" s="7" t="s">
        <v>15</v>
      </c>
      <c r="B1095" s="7" t="s">
        <v>16</v>
      </c>
      <c r="C1095" s="7" t="s">
        <v>17</v>
      </c>
      <c r="D1095" s="7"/>
      <c r="E1095" s="7" t="s">
        <v>1673</v>
      </c>
      <c r="F1095" s="7" t="s">
        <v>19</v>
      </c>
      <c r="G1095" s="7" t="s">
        <v>31</v>
      </c>
      <c r="H1095" s="7" t="s">
        <v>17</v>
      </c>
      <c r="I1095" s="7" t="s">
        <v>17</v>
      </c>
      <c r="J1095" s="7" t="s">
        <v>1674</v>
      </c>
    </row>
    <row r="1096" spans="1:10" x14ac:dyDescent="0.25" outlineLevel="3" collapsed="1">
      <c r="A1096" s="7" t="s">
        <v>15</v>
      </c>
      <c r="B1096" s="7" t="s">
        <v>16</v>
      </c>
      <c r="C1096" s="7" t="s">
        <v>17</v>
      </c>
      <c r="D1096" s="7"/>
      <c r="E1096" s="7" t="s">
        <v>2618</v>
      </c>
      <c r="F1096" s="7" t="s">
        <v>19</v>
      </c>
      <c r="G1096" s="7" t="s">
        <v>31</v>
      </c>
      <c r="H1096" s="7" t="s">
        <v>17</v>
      </c>
      <c r="I1096" s="7" t="s">
        <v>17</v>
      </c>
      <c r="J1096" s="7" t="s">
        <v>1422</v>
      </c>
    </row>
    <row r="1097" spans="1:10" x14ac:dyDescent="0.25" outlineLevel="3" collapsed="1">
      <c r="A1097" s="7" t="s">
        <v>15</v>
      </c>
      <c r="B1097" s="7" t="s">
        <v>284</v>
      </c>
      <c r="C1097" s="11" t="s">
        <v>2619</v>
      </c>
      <c r="D1097" s="7"/>
      <c r="E1097" s="7" t="s">
        <v>1605</v>
      </c>
      <c r="F1097" s="7" t="s">
        <v>19</v>
      </c>
      <c r="G1097" s="7" t="s">
        <v>1606</v>
      </c>
      <c r="H1097" s="7" t="s">
        <v>17</v>
      </c>
      <c r="I1097" s="7" t="s">
        <v>17</v>
      </c>
      <c r="J1097" s="7" t="s">
        <v>1607</v>
      </c>
    </row>
    <row r="1098" spans="1:10" x14ac:dyDescent="0.25" outlineLevel="3" collapsed="1">
      <c r="A1098" s="7" t="s">
        <v>19</v>
      </c>
      <c r="B1098" s="7" t="s">
        <v>63</v>
      </c>
      <c r="C1098" s="7" t="s">
        <v>17</v>
      </c>
      <c r="D1098" s="7">
        <f>EXACT(G1097,"Single value")</f>
      </c>
      <c r="E1098" s="7" t="s">
        <v>2620</v>
      </c>
      <c r="F1098" s="7" t="s">
        <v>19</v>
      </c>
      <c r="G1098" s="7">
        <v>1</v>
      </c>
      <c r="H1098" s="7" t="s">
        <v>17</v>
      </c>
      <c r="I1098" s="7" t="s">
        <v>17</v>
      </c>
      <c r="J1098" s="7" t="s">
        <v>1609</v>
      </c>
    </row>
    <row r="1099" spans="1:10" x14ac:dyDescent="0.25" outlineLevel="3" collapsed="1">
      <c r="A1099" s="7" t="s">
        <v>19</v>
      </c>
      <c r="B1099" s="7" t="s">
        <v>16</v>
      </c>
      <c r="C1099" s="7" t="s">
        <v>17</v>
      </c>
      <c r="D1099" s="7"/>
      <c r="E1099" s="7" t="s">
        <v>1677</v>
      </c>
      <c r="F1099" s="7" t="s">
        <v>19</v>
      </c>
      <c r="G1099" s="7" t="s">
        <v>31</v>
      </c>
      <c r="H1099" s="7" t="s">
        <v>17</v>
      </c>
      <c r="I1099" s="7" t="s">
        <v>17</v>
      </c>
      <c r="J1099" s="7" t="s">
        <v>1678</v>
      </c>
    </row>
    <row r="1100" spans="1:10" x14ac:dyDescent="0.25" outlineLevel="3" collapsed="1">
      <c r="A1100" s="7" t="s">
        <v>15</v>
      </c>
      <c r="B1100" s="7" t="s">
        <v>16</v>
      </c>
      <c r="C1100" s="7" t="s">
        <v>17</v>
      </c>
      <c r="D1100" s="7"/>
      <c r="E1100" s="7" t="s">
        <v>1679</v>
      </c>
      <c r="F1100" s="7" t="s">
        <v>19</v>
      </c>
      <c r="G1100" s="7" t="s">
        <v>31</v>
      </c>
      <c r="H1100" s="7" t="s">
        <v>17</v>
      </c>
      <c r="I1100" s="7" t="s">
        <v>17</v>
      </c>
      <c r="J1100" s="7" t="s">
        <v>1680</v>
      </c>
    </row>
    <row r="1101" spans="1:10" x14ac:dyDescent="0.25" outlineLevel="3" collapsed="1">
      <c r="A1101" s="7" t="s">
        <v>15</v>
      </c>
      <c r="B1101" s="7" t="s">
        <v>284</v>
      </c>
      <c r="C1101" s="11" t="s">
        <v>2621</v>
      </c>
      <c r="D1101" s="7"/>
      <c r="E1101" s="7" t="s">
        <v>1612</v>
      </c>
      <c r="F1101" s="7" t="s">
        <v>19</v>
      </c>
      <c r="G1101" s="7" t="s">
        <v>1613</v>
      </c>
      <c r="H1101" s="7" t="s">
        <v>17</v>
      </c>
      <c r="I1101" s="7" t="s">
        <v>17</v>
      </c>
      <c r="J1101" s="7" t="s">
        <v>1614</v>
      </c>
    </row>
    <row r="1102" spans="1:10" x14ac:dyDescent="0.25" outlineLevel="3" collapsed="1">
      <c r="A1102" s="7" t="s">
        <v>19</v>
      </c>
      <c r="B1102" s="7" t="s">
        <v>16</v>
      </c>
      <c r="C1102" s="7" t="s">
        <v>17</v>
      </c>
      <c r="D1102" s="7"/>
      <c r="E1102" s="7" t="s">
        <v>1681</v>
      </c>
      <c r="F1102" s="7" t="s">
        <v>19</v>
      </c>
      <c r="G1102" s="7" t="s">
        <v>31</v>
      </c>
      <c r="H1102" s="7" t="s">
        <v>17</v>
      </c>
      <c r="I1102" s="7" t="s">
        <v>17</v>
      </c>
      <c r="J1102" s="7" t="s">
        <v>1682</v>
      </c>
    </row>
    <row r="1103" spans="1:10" x14ac:dyDescent="0.25" outlineLevel="3" collapsed="1">
      <c r="A1103" s="7" t="s">
        <v>19</v>
      </c>
      <c r="B1103" s="7" t="s">
        <v>16</v>
      </c>
      <c r="C1103" s="7" t="s">
        <v>17</v>
      </c>
      <c r="D1103" s="7"/>
      <c r="E1103" s="7" t="s">
        <v>1615</v>
      </c>
      <c r="F1103" s="7" t="s">
        <v>19</v>
      </c>
      <c r="G1103" s="7" t="s">
        <v>31</v>
      </c>
      <c r="H1103" s="7" t="s">
        <v>17</v>
      </c>
      <c r="I1103" s="7" t="s">
        <v>17</v>
      </c>
      <c r="J1103" s="7" t="s">
        <v>1616</v>
      </c>
    </row>
    <row r="1104" spans="1:10" x14ac:dyDescent="0.25" outlineLevel="2" collapsed="1">
      <c r="A1104" s="8" t="s">
        <v>19</v>
      </c>
      <c r="B1104" s="9" t="s">
        <v>1766</v>
      </c>
      <c r="C1104" s="8" t="s">
        <v>17</v>
      </c>
      <c r="D1104" s="8"/>
      <c r="E1104" s="8" t="s">
        <v>1767</v>
      </c>
      <c r="F1104" s="8" t="s">
        <v>15</v>
      </c>
      <c r="G1104" s="8" t="s">
        <v>17</v>
      </c>
      <c r="H1104" s="8" t="s">
        <v>17</v>
      </c>
      <c r="I1104" s="8" t="s">
        <v>17</v>
      </c>
      <c r="J1104" s="8" t="s">
        <v>1768</v>
      </c>
    </row>
    <row r="1105" spans="1:10" x14ac:dyDescent="0.25" outlineLevel="3" collapsed="1">
      <c r="A1105" s="7" t="s">
        <v>15</v>
      </c>
      <c r="B1105" s="7" t="s">
        <v>16</v>
      </c>
      <c r="C1105" s="7" t="s">
        <v>17</v>
      </c>
      <c r="D1105" s="7"/>
      <c r="E1105" s="7" t="s">
        <v>1769</v>
      </c>
      <c r="F1105" s="7" t="s">
        <v>19</v>
      </c>
      <c r="G1105" s="7" t="s">
        <v>31</v>
      </c>
      <c r="H1105" s="7" t="s">
        <v>17</v>
      </c>
      <c r="I1105" s="7" t="s">
        <v>17</v>
      </c>
      <c r="J1105" s="7" t="s">
        <v>1770</v>
      </c>
    </row>
    <row r="1106" spans="1:10" x14ac:dyDescent="0.25" outlineLevel="3" collapsed="1">
      <c r="A1106" s="7" t="s">
        <v>15</v>
      </c>
      <c r="B1106" s="7" t="s">
        <v>63</v>
      </c>
      <c r="C1106" s="7" t="s">
        <v>17</v>
      </c>
      <c r="D1106" s="7"/>
      <c r="E1106" s="7" t="s">
        <v>1771</v>
      </c>
      <c r="F1106" s="7" t="s">
        <v>19</v>
      </c>
      <c r="G1106" s="7">
        <v>1</v>
      </c>
      <c r="H1106" s="7" t="s">
        <v>17</v>
      </c>
      <c r="I1106" s="7" t="s">
        <v>17</v>
      </c>
      <c r="J1106" s="7" t="s">
        <v>1739</v>
      </c>
    </row>
    <row r="1107" spans="1:10" x14ac:dyDescent="0.25" outlineLevel="3" collapsed="1">
      <c r="A1107" s="7" t="s">
        <v>19</v>
      </c>
      <c r="B1107" s="7" t="s">
        <v>63</v>
      </c>
      <c r="C1107" s="7" t="s">
        <v>17</v>
      </c>
      <c r="D1107" s="7"/>
      <c r="E1107" s="7" t="s">
        <v>1772</v>
      </c>
      <c r="F1107" s="7" t="s">
        <v>19</v>
      </c>
      <c r="G1107" s="7">
        <v>1</v>
      </c>
      <c r="H1107" s="7" t="s">
        <v>17</v>
      </c>
      <c r="I1107" s="7" t="s">
        <v>17</v>
      </c>
      <c r="J1107" s="7" t="s">
        <v>1656</v>
      </c>
    </row>
    <row r="1108" spans="1:10" x14ac:dyDescent="0.25" outlineLevel="3" collapsed="1">
      <c r="A1108" s="7" t="s">
        <v>15</v>
      </c>
      <c r="B1108" s="7" t="s">
        <v>63</v>
      </c>
      <c r="C1108" s="7" t="s">
        <v>17</v>
      </c>
      <c r="D1108" s="7"/>
      <c r="E1108" s="7" t="s">
        <v>1773</v>
      </c>
      <c r="F1108" s="7" t="s">
        <v>19</v>
      </c>
      <c r="G1108" s="7">
        <v>1</v>
      </c>
      <c r="H1108" s="7" t="s">
        <v>17</v>
      </c>
      <c r="I1108" s="7" t="s">
        <v>17</v>
      </c>
      <c r="J1108" s="7" t="s">
        <v>1741</v>
      </c>
    </row>
    <row r="1109" spans="1:10" x14ac:dyDescent="0.25" outlineLevel="3" collapsed="1">
      <c r="A1109" s="7" t="s">
        <v>19</v>
      </c>
      <c r="B1109" s="7" t="s">
        <v>63</v>
      </c>
      <c r="C1109" s="7" t="s">
        <v>17</v>
      </c>
      <c r="D1109" s="7"/>
      <c r="E1109" s="7" t="s">
        <v>1774</v>
      </c>
      <c r="F1109" s="7" t="s">
        <v>19</v>
      </c>
      <c r="G1109" s="7">
        <v>1</v>
      </c>
      <c r="H1109" s="7" t="s">
        <v>17</v>
      </c>
      <c r="I1109" s="7" t="s">
        <v>17</v>
      </c>
      <c r="J1109" s="7" t="s">
        <v>1761</v>
      </c>
    </row>
    <row r="1110" spans="1:10" x14ac:dyDescent="0.25" outlineLevel="3" collapsed="1">
      <c r="A1110" s="7" t="s">
        <v>19</v>
      </c>
      <c r="B1110" s="7" t="s">
        <v>63</v>
      </c>
      <c r="C1110" s="7" t="s">
        <v>17</v>
      </c>
      <c r="D1110" s="7"/>
      <c r="E1110" s="7" t="s">
        <v>1775</v>
      </c>
      <c r="F1110" s="7" t="s">
        <v>19</v>
      </c>
      <c r="G1110" s="7">
        <v>1</v>
      </c>
      <c r="H1110" s="7" t="s">
        <v>17</v>
      </c>
      <c r="I1110" s="7" t="s">
        <v>17</v>
      </c>
      <c r="J1110" s="7" t="s">
        <v>1765</v>
      </c>
    </row>
    <row r="1111" spans="1:10" x14ac:dyDescent="0.25" outlineLevel="3" collapsed="1">
      <c r="A1111" s="7" t="s">
        <v>19</v>
      </c>
      <c r="B1111" s="7" t="s">
        <v>63</v>
      </c>
      <c r="C1111" s="7" t="s">
        <v>17</v>
      </c>
      <c r="D1111" s="7"/>
      <c r="E1111" s="7" t="s">
        <v>1776</v>
      </c>
      <c r="F1111" s="7" t="s">
        <v>19</v>
      </c>
      <c r="G1111" s="7">
        <v>1</v>
      </c>
      <c r="H1111" s="7" t="s">
        <v>17</v>
      </c>
      <c r="I1111" s="7" t="s">
        <v>17</v>
      </c>
      <c r="J1111" s="7" t="s">
        <v>1763</v>
      </c>
    </row>
    <row r="1112" spans="1:10" x14ac:dyDescent="0.25" outlineLevel="2" collapsed="1">
      <c r="A1112" s="8" t="s">
        <v>19</v>
      </c>
      <c r="B1112" s="9" t="s">
        <v>1777</v>
      </c>
      <c r="C1112" s="8" t="s">
        <v>17</v>
      </c>
      <c r="D1112" s="8"/>
      <c r="E1112" s="8" t="s">
        <v>1778</v>
      </c>
      <c r="F1112" s="8" t="s">
        <v>15</v>
      </c>
      <c r="G1112" s="8" t="s">
        <v>17</v>
      </c>
      <c r="H1112" s="8" t="s">
        <v>17</v>
      </c>
      <c r="I1112" s="8" t="s">
        <v>17</v>
      </c>
      <c r="J1112" s="8" t="s">
        <v>1779</v>
      </c>
    </row>
    <row r="1113" spans="1:10" x14ac:dyDescent="0.25" outlineLevel="3" collapsed="1">
      <c r="A1113" s="7" t="s">
        <v>15</v>
      </c>
      <c r="B1113" s="7" t="s">
        <v>16</v>
      </c>
      <c r="C1113" s="7" t="s">
        <v>17</v>
      </c>
      <c r="D1113" s="7"/>
      <c r="E1113" s="7" t="s">
        <v>1780</v>
      </c>
      <c r="F1113" s="7" t="s">
        <v>19</v>
      </c>
      <c r="G1113" s="7" t="s">
        <v>31</v>
      </c>
      <c r="H1113" s="7" t="s">
        <v>17</v>
      </c>
      <c r="I1113" s="7" t="s">
        <v>17</v>
      </c>
      <c r="J1113" s="7" t="s">
        <v>1781</v>
      </c>
    </row>
    <row r="1114" spans="1:10" x14ac:dyDescent="0.25" outlineLevel="3" collapsed="1">
      <c r="A1114" s="7" t="s">
        <v>19</v>
      </c>
      <c r="B1114" s="7" t="s">
        <v>63</v>
      </c>
      <c r="C1114" s="7" t="s">
        <v>17</v>
      </c>
      <c r="D1114" s="7"/>
      <c r="E1114" s="7" t="s">
        <v>1782</v>
      </c>
      <c r="F1114" s="7" t="s">
        <v>19</v>
      </c>
      <c r="G1114" s="7">
        <v>1</v>
      </c>
      <c r="H1114" s="7" t="s">
        <v>17</v>
      </c>
      <c r="I1114" s="7" t="s">
        <v>17</v>
      </c>
      <c r="J1114" s="7" t="s">
        <v>1745</v>
      </c>
    </row>
    <row r="1115" spans="1:10" x14ac:dyDescent="0.25" outlineLevel="3" collapsed="1">
      <c r="A1115" s="7" t="s">
        <v>19</v>
      </c>
      <c r="B1115" s="7" t="s">
        <v>63</v>
      </c>
      <c r="C1115" s="7" t="s">
        <v>17</v>
      </c>
      <c r="D1115" s="7"/>
      <c r="E1115" s="7" t="s">
        <v>1783</v>
      </c>
      <c r="F1115" s="7" t="s">
        <v>19</v>
      </c>
      <c r="G1115" s="7">
        <v>1</v>
      </c>
      <c r="H1115" s="7" t="s">
        <v>17</v>
      </c>
      <c r="I1115" s="7" t="s">
        <v>17</v>
      </c>
      <c r="J1115" s="7" t="s">
        <v>1755</v>
      </c>
    </row>
    <row r="1116" spans="1:10" x14ac:dyDescent="0.25" outlineLevel="3" collapsed="1">
      <c r="A1116" s="7" t="s">
        <v>19</v>
      </c>
      <c r="B1116" s="7" t="s">
        <v>63</v>
      </c>
      <c r="C1116" s="7" t="s">
        <v>17</v>
      </c>
      <c r="D1116" s="7"/>
      <c r="E1116" s="7" t="s">
        <v>1784</v>
      </c>
      <c r="F1116" s="7" t="s">
        <v>19</v>
      </c>
      <c r="G1116" s="7">
        <v>1</v>
      </c>
      <c r="H1116" s="7" t="s">
        <v>17</v>
      </c>
      <c r="I1116" s="7" t="s">
        <v>17</v>
      </c>
      <c r="J1116" s="7" t="s">
        <v>1759</v>
      </c>
    </row>
    <row r="1117" spans="1:10" x14ac:dyDescent="0.25" outlineLevel="3" collapsed="1">
      <c r="A1117" s="7" t="s">
        <v>19</v>
      </c>
      <c r="B1117" s="7" t="s">
        <v>63</v>
      </c>
      <c r="C1117" s="7" t="s">
        <v>17</v>
      </c>
      <c r="D1117" s="7"/>
      <c r="E1117" s="7" t="s">
        <v>1785</v>
      </c>
      <c r="F1117" s="7" t="s">
        <v>19</v>
      </c>
      <c r="G1117" s="7">
        <v>1</v>
      </c>
      <c r="H1117" s="7" t="s">
        <v>17</v>
      </c>
      <c r="I1117" s="7" t="s">
        <v>17</v>
      </c>
      <c r="J1117" s="7" t="s">
        <v>1658</v>
      </c>
    </row>
    <row r="1118" spans="1:10" x14ac:dyDescent="0.25" outlineLevel="3" collapsed="1">
      <c r="A1118" s="7" t="s">
        <v>19</v>
      </c>
      <c r="B1118" s="7" t="s">
        <v>63</v>
      </c>
      <c r="C1118" s="7" t="s">
        <v>17</v>
      </c>
      <c r="D1118" s="7"/>
      <c r="E1118" s="7" t="s">
        <v>1786</v>
      </c>
      <c r="F1118" s="7" t="s">
        <v>19</v>
      </c>
      <c r="G1118" s="7">
        <v>1</v>
      </c>
      <c r="H1118" s="7" t="s">
        <v>17</v>
      </c>
      <c r="I1118" s="7" t="s">
        <v>17</v>
      </c>
      <c r="J1118" s="7" t="s">
        <v>1747</v>
      </c>
    </row>
    <row r="1119" spans="1:10" x14ac:dyDescent="0.25" outlineLevel="3" collapsed="1">
      <c r="A1119" s="7" t="s">
        <v>15</v>
      </c>
      <c r="B1119" s="7" t="s">
        <v>16</v>
      </c>
      <c r="C1119" s="7" t="s">
        <v>17</v>
      </c>
      <c r="D1119" s="7"/>
      <c r="E1119" s="7" t="s">
        <v>1787</v>
      </c>
      <c r="F1119" s="7" t="s">
        <v>19</v>
      </c>
      <c r="G1119" s="7" t="s">
        <v>31</v>
      </c>
      <c r="H1119" s="7" t="s">
        <v>17</v>
      </c>
      <c r="I1119" s="7" t="s">
        <v>17</v>
      </c>
      <c r="J1119" s="7" t="s">
        <v>1725</v>
      </c>
    </row>
    <row r="1120" spans="1:10" x14ac:dyDescent="0.25" outlineLevel="3" collapsed="1">
      <c r="A1120" s="7" t="s">
        <v>19</v>
      </c>
      <c r="B1120" s="7" t="s">
        <v>63</v>
      </c>
      <c r="C1120" s="7" t="s">
        <v>17</v>
      </c>
      <c r="D1120" s="7"/>
      <c r="E1120" s="7" t="s">
        <v>1788</v>
      </c>
      <c r="F1120" s="7" t="s">
        <v>19</v>
      </c>
      <c r="G1120" s="7">
        <v>1</v>
      </c>
      <c r="H1120" s="7" t="s">
        <v>17</v>
      </c>
      <c r="I1120" s="7" t="s">
        <v>17</v>
      </c>
      <c r="J1120" s="7" t="s">
        <v>1749</v>
      </c>
    </row>
    <row r="1121" spans="1:10" x14ac:dyDescent="0.25" outlineLevel="3" collapsed="1">
      <c r="A1121" s="7" t="s">
        <v>19</v>
      </c>
      <c r="B1121" s="7" t="s">
        <v>63</v>
      </c>
      <c r="C1121" s="7" t="s">
        <v>17</v>
      </c>
      <c r="D1121" s="7"/>
      <c r="E1121" s="7" t="s">
        <v>1789</v>
      </c>
      <c r="F1121" s="7" t="s">
        <v>19</v>
      </c>
      <c r="G1121" s="7">
        <v>1</v>
      </c>
      <c r="H1121" s="7" t="s">
        <v>17</v>
      </c>
      <c r="I1121" s="7" t="s">
        <v>17</v>
      </c>
      <c r="J1121" s="7" t="s">
        <v>1751</v>
      </c>
    </row>
    <row r="1122" spans="1:10" x14ac:dyDescent="0.25" outlineLevel="3" collapsed="1">
      <c r="A1122" s="7" t="s">
        <v>19</v>
      </c>
      <c r="B1122" s="7" t="s">
        <v>63</v>
      </c>
      <c r="C1122" s="7" t="s">
        <v>17</v>
      </c>
      <c r="D1122" s="7"/>
      <c r="E1122" s="7" t="s">
        <v>1790</v>
      </c>
      <c r="F1122" s="7" t="s">
        <v>19</v>
      </c>
      <c r="G1122" s="7">
        <v>1</v>
      </c>
      <c r="H1122" s="7" t="s">
        <v>17</v>
      </c>
      <c r="I1122" s="7" t="s">
        <v>17</v>
      </c>
      <c r="J1122" s="7" t="s">
        <v>1753</v>
      </c>
    </row>
    <row r="1123" spans="1:10" x14ac:dyDescent="0.25" outlineLevel="1" collapsed="1">
      <c r="A1123" s="8" t="s">
        <v>15</v>
      </c>
      <c r="B1123" s="9" t="s">
        <v>2626</v>
      </c>
      <c r="C1123" s="8" t="s">
        <v>17</v>
      </c>
      <c r="D1123" s="8"/>
      <c r="E1123" s="8" t="s">
        <v>1792</v>
      </c>
      <c r="F1123" s="8" t="s">
        <v>19</v>
      </c>
      <c r="G1123" s="8" t="s">
        <v>17</v>
      </c>
      <c r="H1123" s="8" t="s">
        <v>17</v>
      </c>
      <c r="I1123" s="8" t="s">
        <v>17</v>
      </c>
      <c r="J1123" s="8" t="s">
        <v>1793</v>
      </c>
    </row>
    <row r="1124" spans="1:10" x14ac:dyDescent="0.25" outlineLevel="2" collapsed="1">
      <c r="A1124" s="8" t="s">
        <v>15</v>
      </c>
      <c r="B1124" s="9" t="s">
        <v>2617</v>
      </c>
      <c r="C1124" s="8" t="s">
        <v>17</v>
      </c>
      <c r="D1124" s="8"/>
      <c r="E1124" s="8" t="s">
        <v>1794</v>
      </c>
      <c r="F1124" s="8" t="s">
        <v>19</v>
      </c>
      <c r="G1124" s="8" t="s">
        <v>17</v>
      </c>
      <c r="H1124" s="8" t="s">
        <v>17</v>
      </c>
      <c r="I1124" s="8" t="s">
        <v>17</v>
      </c>
      <c r="J1124" s="8" t="s">
        <v>1795</v>
      </c>
    </row>
    <row r="1125" spans="1:10" x14ac:dyDescent="0.25" outlineLevel="3" collapsed="1">
      <c r="A1125" s="7" t="s">
        <v>15</v>
      </c>
      <c r="B1125" s="7" t="s">
        <v>16</v>
      </c>
      <c r="C1125" s="7" t="s">
        <v>17</v>
      </c>
      <c r="D1125" s="7"/>
      <c r="E1125" s="7" t="s">
        <v>1670</v>
      </c>
      <c r="F1125" s="7" t="s">
        <v>19</v>
      </c>
      <c r="G1125" s="7" t="s">
        <v>31</v>
      </c>
      <c r="H1125" s="7" t="s">
        <v>17</v>
      </c>
      <c r="I1125" s="7" t="s">
        <v>17</v>
      </c>
      <c r="J1125" s="7" t="s">
        <v>637</v>
      </c>
    </row>
    <row r="1126" spans="1:10" x14ac:dyDescent="0.25" outlineLevel="3" collapsed="1">
      <c r="A1126" s="7" t="s">
        <v>15</v>
      </c>
      <c r="B1126" s="7" t="s">
        <v>16</v>
      </c>
      <c r="C1126" s="7" t="s">
        <v>17</v>
      </c>
      <c r="D1126" s="7"/>
      <c r="E1126" s="7" t="s">
        <v>638</v>
      </c>
      <c r="F1126" s="7" t="s">
        <v>19</v>
      </c>
      <c r="G1126" s="7" t="s">
        <v>31</v>
      </c>
      <c r="H1126" s="7" t="s">
        <v>17</v>
      </c>
      <c r="I1126" s="7" t="s">
        <v>17</v>
      </c>
      <c r="J1126" s="7" t="s">
        <v>640</v>
      </c>
    </row>
    <row r="1127" spans="1:10" x14ac:dyDescent="0.25" outlineLevel="3" collapsed="1">
      <c r="A1127" s="7" t="s">
        <v>15</v>
      </c>
      <c r="B1127" s="7" t="s">
        <v>16</v>
      </c>
      <c r="C1127" s="7" t="s">
        <v>17</v>
      </c>
      <c r="D1127" s="7"/>
      <c r="E1127" s="7" t="s">
        <v>9</v>
      </c>
      <c r="F1127" s="7" t="s">
        <v>19</v>
      </c>
      <c r="G1127" s="7" t="s">
        <v>31</v>
      </c>
      <c r="H1127" s="7" t="s">
        <v>17</v>
      </c>
      <c r="I1127" s="7" t="s">
        <v>17</v>
      </c>
      <c r="J1127" s="7" t="s">
        <v>843</v>
      </c>
    </row>
    <row r="1128" spans="1:10" x14ac:dyDescent="0.25" outlineLevel="3" collapsed="1">
      <c r="A1128" s="7" t="s">
        <v>19</v>
      </c>
      <c r="B1128" s="7" t="s">
        <v>16</v>
      </c>
      <c r="C1128" s="7" t="s">
        <v>17</v>
      </c>
      <c r="D1128" s="7"/>
      <c r="E1128" s="7" t="s">
        <v>1600</v>
      </c>
      <c r="F1128" s="7" t="s">
        <v>19</v>
      </c>
      <c r="G1128" s="7" t="s">
        <v>31</v>
      </c>
      <c r="H1128" s="7" t="s">
        <v>17</v>
      </c>
      <c r="I1128" s="7" t="s">
        <v>17</v>
      </c>
      <c r="J1128" s="7" t="s">
        <v>1424</v>
      </c>
    </row>
    <row r="1129" spans="1:10" x14ac:dyDescent="0.25" outlineLevel="3" collapsed="1">
      <c r="A1129" s="7" t="s">
        <v>15</v>
      </c>
      <c r="B1129" s="7" t="s">
        <v>16</v>
      </c>
      <c r="C1129" s="7" t="s">
        <v>17</v>
      </c>
      <c r="D1129" s="7"/>
      <c r="E1129" s="7" t="s">
        <v>1601</v>
      </c>
      <c r="F1129" s="7" t="s">
        <v>19</v>
      </c>
      <c r="G1129" s="7" t="s">
        <v>31</v>
      </c>
      <c r="H1129" s="7" t="s">
        <v>17</v>
      </c>
      <c r="I1129" s="7" t="s">
        <v>17</v>
      </c>
      <c r="J1129" s="7" t="s">
        <v>1602</v>
      </c>
    </row>
    <row r="1130" spans="1:10" x14ac:dyDescent="0.25" outlineLevel="3" collapsed="1">
      <c r="A1130" s="7" t="s">
        <v>15</v>
      </c>
      <c r="B1130" s="7" t="s">
        <v>16</v>
      </c>
      <c r="C1130" s="7" t="s">
        <v>17</v>
      </c>
      <c r="D1130" s="7"/>
      <c r="E1130" s="7" t="s">
        <v>1671</v>
      </c>
      <c r="F1130" s="7" t="s">
        <v>19</v>
      </c>
      <c r="G1130" s="7" t="s">
        <v>31</v>
      </c>
      <c r="H1130" s="7" t="s">
        <v>17</v>
      </c>
      <c r="I1130" s="7" t="s">
        <v>17</v>
      </c>
      <c r="J1130" s="7" t="s">
        <v>1672</v>
      </c>
    </row>
    <row r="1131" spans="1:10" x14ac:dyDescent="0.25" outlineLevel="3" collapsed="1">
      <c r="A1131" s="7" t="s">
        <v>15</v>
      </c>
      <c r="B1131" s="7" t="s">
        <v>16</v>
      </c>
      <c r="C1131" s="7" t="s">
        <v>17</v>
      </c>
      <c r="D1131" s="7"/>
      <c r="E1131" s="7" t="s">
        <v>1673</v>
      </c>
      <c r="F1131" s="7" t="s">
        <v>19</v>
      </c>
      <c r="G1131" s="7" t="s">
        <v>31</v>
      </c>
      <c r="H1131" s="7" t="s">
        <v>17</v>
      </c>
      <c r="I1131" s="7" t="s">
        <v>17</v>
      </c>
      <c r="J1131" s="7" t="s">
        <v>1674</v>
      </c>
    </row>
    <row r="1132" spans="1:10" x14ac:dyDescent="0.25" outlineLevel="3" collapsed="1">
      <c r="A1132" s="7" t="s">
        <v>15</v>
      </c>
      <c r="B1132" s="7" t="s">
        <v>16</v>
      </c>
      <c r="C1132" s="7" t="s">
        <v>17</v>
      </c>
      <c r="D1132" s="7"/>
      <c r="E1132" s="7" t="s">
        <v>2618</v>
      </c>
      <c r="F1132" s="7" t="s">
        <v>19</v>
      </c>
      <c r="G1132" s="7" t="s">
        <v>31</v>
      </c>
      <c r="H1132" s="7" t="s">
        <v>17</v>
      </c>
      <c r="I1132" s="7" t="s">
        <v>17</v>
      </c>
      <c r="J1132" s="7" t="s">
        <v>1422</v>
      </c>
    </row>
    <row r="1133" spans="1:10" x14ac:dyDescent="0.25" outlineLevel="3" collapsed="1">
      <c r="A1133" s="7" t="s">
        <v>15</v>
      </c>
      <c r="B1133" s="7" t="s">
        <v>284</v>
      </c>
      <c r="C1133" s="11" t="s">
        <v>2619</v>
      </c>
      <c r="D1133" s="7"/>
      <c r="E1133" s="7" t="s">
        <v>1605</v>
      </c>
      <c r="F1133" s="7" t="s">
        <v>19</v>
      </c>
      <c r="G1133" s="7" t="s">
        <v>1606</v>
      </c>
      <c r="H1133" s="7" t="s">
        <v>17</v>
      </c>
      <c r="I1133" s="7" t="s">
        <v>17</v>
      </c>
      <c r="J1133" s="7" t="s">
        <v>1607</v>
      </c>
    </row>
    <row r="1134" spans="1:10" x14ac:dyDescent="0.25" outlineLevel="3" collapsed="1">
      <c r="A1134" s="7" t="s">
        <v>19</v>
      </c>
      <c r="B1134" s="7" t="s">
        <v>63</v>
      </c>
      <c r="C1134" s="7" t="s">
        <v>17</v>
      </c>
      <c r="D1134" s="7">
        <f>EXACT(G1133,"Single value")</f>
      </c>
      <c r="E1134" s="7" t="s">
        <v>2620</v>
      </c>
      <c r="F1134" s="7" t="s">
        <v>19</v>
      </c>
      <c r="G1134" s="7">
        <v>1</v>
      </c>
      <c r="H1134" s="7" t="s">
        <v>17</v>
      </c>
      <c r="I1134" s="7" t="s">
        <v>17</v>
      </c>
      <c r="J1134" s="7" t="s">
        <v>1609</v>
      </c>
    </row>
    <row r="1135" spans="1:10" x14ac:dyDescent="0.25" outlineLevel="3" collapsed="1">
      <c r="A1135" s="7" t="s">
        <v>19</v>
      </c>
      <c r="B1135" s="7" t="s">
        <v>16</v>
      </c>
      <c r="C1135" s="7" t="s">
        <v>17</v>
      </c>
      <c r="D1135" s="7"/>
      <c r="E1135" s="7" t="s">
        <v>1677</v>
      </c>
      <c r="F1135" s="7" t="s">
        <v>19</v>
      </c>
      <c r="G1135" s="7" t="s">
        <v>31</v>
      </c>
      <c r="H1135" s="7" t="s">
        <v>17</v>
      </c>
      <c r="I1135" s="7" t="s">
        <v>17</v>
      </c>
      <c r="J1135" s="7" t="s">
        <v>1678</v>
      </c>
    </row>
    <row r="1136" spans="1:10" x14ac:dyDescent="0.25" outlineLevel="3" collapsed="1">
      <c r="A1136" s="7" t="s">
        <v>15</v>
      </c>
      <c r="B1136" s="7" t="s">
        <v>16</v>
      </c>
      <c r="C1136" s="7" t="s">
        <v>17</v>
      </c>
      <c r="D1136" s="7"/>
      <c r="E1136" s="7" t="s">
        <v>1679</v>
      </c>
      <c r="F1136" s="7" t="s">
        <v>19</v>
      </c>
      <c r="G1136" s="7" t="s">
        <v>31</v>
      </c>
      <c r="H1136" s="7" t="s">
        <v>17</v>
      </c>
      <c r="I1136" s="7" t="s">
        <v>17</v>
      </c>
      <c r="J1136" s="7" t="s">
        <v>1680</v>
      </c>
    </row>
    <row r="1137" spans="1:10" x14ac:dyDescent="0.25" outlineLevel="3" collapsed="1">
      <c r="A1137" s="7" t="s">
        <v>15</v>
      </c>
      <c r="B1137" s="7" t="s">
        <v>284</v>
      </c>
      <c r="C1137" s="11" t="s">
        <v>2621</v>
      </c>
      <c r="D1137" s="7"/>
      <c r="E1137" s="7" t="s">
        <v>1612</v>
      </c>
      <c r="F1137" s="7" t="s">
        <v>19</v>
      </c>
      <c r="G1137" s="7" t="s">
        <v>1613</v>
      </c>
      <c r="H1137" s="7" t="s">
        <v>17</v>
      </c>
      <c r="I1137" s="7" t="s">
        <v>17</v>
      </c>
      <c r="J1137" s="7" t="s">
        <v>1614</v>
      </c>
    </row>
    <row r="1138" spans="1:10" x14ac:dyDescent="0.25" outlineLevel="3" collapsed="1">
      <c r="A1138" s="7" t="s">
        <v>19</v>
      </c>
      <c r="B1138" s="7" t="s">
        <v>16</v>
      </c>
      <c r="C1138" s="7" t="s">
        <v>17</v>
      </c>
      <c r="D1138" s="7"/>
      <c r="E1138" s="7" t="s">
        <v>1681</v>
      </c>
      <c r="F1138" s="7" t="s">
        <v>19</v>
      </c>
      <c r="G1138" s="7" t="s">
        <v>31</v>
      </c>
      <c r="H1138" s="7" t="s">
        <v>17</v>
      </c>
      <c r="I1138" s="7" t="s">
        <v>17</v>
      </c>
      <c r="J1138" s="7" t="s">
        <v>1682</v>
      </c>
    </row>
    <row r="1139" spans="1:10" x14ac:dyDescent="0.25" outlineLevel="3" collapsed="1">
      <c r="A1139" s="7" t="s">
        <v>19</v>
      </c>
      <c r="B1139" s="7" t="s">
        <v>16</v>
      </c>
      <c r="C1139" s="7" t="s">
        <v>17</v>
      </c>
      <c r="D1139" s="7"/>
      <c r="E1139" s="7" t="s">
        <v>1615</v>
      </c>
      <c r="F1139" s="7" t="s">
        <v>19</v>
      </c>
      <c r="G1139" s="7" t="s">
        <v>31</v>
      </c>
      <c r="H1139" s="7" t="s">
        <v>17</v>
      </c>
      <c r="I1139" s="7" t="s">
        <v>17</v>
      </c>
      <c r="J1139" s="7" t="s">
        <v>1616</v>
      </c>
    </row>
    <row r="1140" spans="1:10" x14ac:dyDescent="0.25">
      <c r="A1140" s="5" t="s">
        <v>15</v>
      </c>
      <c r="B1140" s="6" t="s">
        <v>2627</v>
      </c>
      <c r="C1140" s="5" t="s">
        <v>17</v>
      </c>
      <c r="D1140" s="5"/>
      <c r="E1140" s="5" t="s">
        <v>2628</v>
      </c>
      <c r="F1140" s="5" t="s">
        <v>19</v>
      </c>
      <c r="G1140" s="5" t="s">
        <v>17</v>
      </c>
      <c r="H1140" s="5" t="s">
        <v>17</v>
      </c>
      <c r="I1140" s="5" t="s">
        <v>17</v>
      </c>
      <c r="J1140" s="5" t="s">
        <v>1798</v>
      </c>
    </row>
    <row r="1141" spans="1:10" x14ac:dyDescent="0.25" outlineLevel="1" collapsed="1">
      <c r="A1141" s="8" t="s">
        <v>15</v>
      </c>
      <c r="B1141" s="9" t="s">
        <v>2629</v>
      </c>
      <c r="C1141" s="8" t="s">
        <v>17</v>
      </c>
      <c r="D1141" s="8"/>
      <c r="E1141" s="8" t="s">
        <v>2630</v>
      </c>
      <c r="F1141" s="8" t="s">
        <v>15</v>
      </c>
      <c r="G1141" s="8" t="s">
        <v>17</v>
      </c>
      <c r="H1141" s="8" t="s">
        <v>17</v>
      </c>
      <c r="I1141" s="8" t="s">
        <v>17</v>
      </c>
      <c r="J1141" s="8" t="s">
        <v>1803</v>
      </c>
    </row>
    <row r="1142" spans="1:10" x14ac:dyDescent="0.25" outlineLevel="2" collapsed="1">
      <c r="A1142" s="7" t="s">
        <v>15</v>
      </c>
      <c r="B1142" s="7" t="s">
        <v>16</v>
      </c>
      <c r="C1142" s="7" t="s">
        <v>17</v>
      </c>
      <c r="D1142" s="7"/>
      <c r="E1142" s="7" t="s">
        <v>943</v>
      </c>
      <c r="F1142" s="7" t="s">
        <v>19</v>
      </c>
      <c r="G1142" s="7" t="s">
        <v>1989</v>
      </c>
      <c r="H1142" s="7" t="s">
        <v>17</v>
      </c>
      <c r="I1142" s="7" t="s">
        <v>17</v>
      </c>
      <c r="J1142" s="7" t="s">
        <v>944</v>
      </c>
    </row>
    <row r="1143" spans="1:10" x14ac:dyDescent="0.25" outlineLevel="2" collapsed="1">
      <c r="A1143" s="7" t="s">
        <v>19</v>
      </c>
      <c r="B1143" s="7" t="s">
        <v>16</v>
      </c>
      <c r="C1143" s="7" t="s">
        <v>17</v>
      </c>
      <c r="D1143" s="7"/>
      <c r="E1143" s="7" t="s">
        <v>2631</v>
      </c>
      <c r="F1143" s="7" t="s">
        <v>19</v>
      </c>
      <c r="G1143" s="7" t="s">
        <v>31</v>
      </c>
      <c r="H1143" s="7" t="s">
        <v>17</v>
      </c>
      <c r="I1143" s="7" t="s">
        <v>17</v>
      </c>
      <c r="J1143" s="7" t="s">
        <v>2632</v>
      </c>
    </row>
    <row r="1144" spans="1:10" x14ac:dyDescent="0.25" outlineLevel="2" collapsed="1">
      <c r="A1144" s="7" t="s">
        <v>15</v>
      </c>
      <c r="B1144" s="7" t="s">
        <v>284</v>
      </c>
      <c r="C1144" s="11" t="s">
        <v>2633</v>
      </c>
      <c r="D1144" s="7"/>
      <c r="E1144" s="7" t="s">
        <v>2634</v>
      </c>
      <c r="F1144" s="7" t="s">
        <v>19</v>
      </c>
      <c r="G1144" s="7" t="s">
        <v>2635</v>
      </c>
      <c r="H1144" s="7" t="s">
        <v>17</v>
      </c>
      <c r="I1144" s="7" t="s">
        <v>17</v>
      </c>
      <c r="J1144" s="7" t="s">
        <v>2636</v>
      </c>
    </row>
    <row r="1145" spans="1:10" x14ac:dyDescent="0.25" outlineLevel="2" collapsed="1">
      <c r="A1145" s="7" t="s">
        <v>19</v>
      </c>
      <c r="B1145" s="7" t="s">
        <v>16</v>
      </c>
      <c r="C1145" s="7" t="s">
        <v>17</v>
      </c>
      <c r="D1145" s="7"/>
      <c r="E1145" s="7" t="s">
        <v>2637</v>
      </c>
      <c r="F1145" s="7" t="s">
        <v>19</v>
      </c>
      <c r="G1145" s="7" t="s">
        <v>31</v>
      </c>
      <c r="H1145" s="7" t="s">
        <v>17</v>
      </c>
      <c r="I1145" s="7" t="s">
        <v>17</v>
      </c>
      <c r="J1145" s="7" t="s">
        <v>2638</v>
      </c>
    </row>
    <row r="1146" spans="1:10" x14ac:dyDescent="0.25" outlineLevel="2" collapsed="1">
      <c r="A1146" s="7" t="s">
        <v>19</v>
      </c>
      <c r="B1146" s="7" t="s">
        <v>16</v>
      </c>
      <c r="C1146" s="7" t="s">
        <v>17</v>
      </c>
      <c r="D1146" s="7"/>
      <c r="E1146" s="7" t="s">
        <v>2639</v>
      </c>
      <c r="F1146" s="7" t="s">
        <v>19</v>
      </c>
      <c r="G1146" s="7" t="s">
        <v>31</v>
      </c>
      <c r="H1146" s="7" t="s">
        <v>17</v>
      </c>
      <c r="I1146" s="7" t="s">
        <v>17</v>
      </c>
      <c r="J1146" s="7" t="s">
        <v>2640</v>
      </c>
    </row>
    <row r="1147" spans="1:10" x14ac:dyDescent="0.25" outlineLevel="2" collapsed="1">
      <c r="A1147" s="7" t="s">
        <v>19</v>
      </c>
      <c r="B1147" s="7" t="s">
        <v>63</v>
      </c>
      <c r="C1147" s="7" t="s">
        <v>17</v>
      </c>
      <c r="D1147" s="7"/>
      <c r="E1147" s="7" t="s">
        <v>2641</v>
      </c>
      <c r="F1147" s="7" t="s">
        <v>19</v>
      </c>
      <c r="G1147" s="7">
        <v>1</v>
      </c>
      <c r="H1147" s="7" t="s">
        <v>17</v>
      </c>
      <c r="I1147" s="7" t="s">
        <v>17</v>
      </c>
      <c r="J1147" s="7" t="s">
        <v>1806</v>
      </c>
    </row>
    <row r="1148" spans="1:10" x14ac:dyDescent="0.25" outlineLevel="2" collapsed="1">
      <c r="A1148" s="7" t="s">
        <v>15</v>
      </c>
      <c r="B1148" s="7" t="s">
        <v>63</v>
      </c>
      <c r="C1148" s="7" t="s">
        <v>17</v>
      </c>
      <c r="D1148" s="7"/>
      <c r="E1148" s="7" t="s">
        <v>2642</v>
      </c>
      <c r="F1148" s="7" t="s">
        <v>19</v>
      </c>
      <c r="G1148" s="7">
        <v>1</v>
      </c>
      <c r="H1148" s="7" t="s">
        <v>17</v>
      </c>
      <c r="I1148" s="7" t="s">
        <v>17</v>
      </c>
      <c r="J1148" s="7" t="s">
        <v>1684</v>
      </c>
    </row>
    <row r="1149" spans="1:10" x14ac:dyDescent="0.25" outlineLevel="2" collapsed="1">
      <c r="A1149" s="7" t="s">
        <v>15</v>
      </c>
      <c r="B1149" s="7" t="s">
        <v>284</v>
      </c>
      <c r="C1149" s="11" t="s">
        <v>2643</v>
      </c>
      <c r="D1149" s="7"/>
      <c r="E1149" s="7" t="s">
        <v>2644</v>
      </c>
      <c r="F1149" s="7" t="s">
        <v>19</v>
      </c>
      <c r="G1149" s="7" t="s">
        <v>1810</v>
      </c>
      <c r="H1149" s="7" t="s">
        <v>17</v>
      </c>
      <c r="I1149" s="7" t="s">
        <v>17</v>
      </c>
      <c r="J1149" s="7" t="s">
        <v>1811</v>
      </c>
    </row>
    <row r="1150" spans="1:10" x14ac:dyDescent="0.25" outlineLevel="2" collapsed="1">
      <c r="A1150" s="7" t="s">
        <v>19</v>
      </c>
      <c r="B1150" s="7" t="s">
        <v>63</v>
      </c>
      <c r="C1150" s="7" t="s">
        <v>17</v>
      </c>
      <c r="D1150" s="7">
        <f>EXACT(G1149,"Option 1 - measured volume (flow meter / standard vessel)")</f>
      </c>
      <c r="E1150" s="7" t="s">
        <v>2645</v>
      </c>
      <c r="F1150" s="7" t="s">
        <v>19</v>
      </c>
      <c r="G1150" s="7">
        <v>1</v>
      </c>
      <c r="H1150" s="7" t="s">
        <v>17</v>
      </c>
      <c r="I1150" s="7" t="s">
        <v>17</v>
      </c>
      <c r="J1150" s="7" t="s">
        <v>2646</v>
      </c>
    </row>
    <row r="1151" spans="1:10" x14ac:dyDescent="0.25" outlineLevel="2" collapsed="1">
      <c r="A1151" s="7" t="s">
        <v>19</v>
      </c>
      <c r="B1151" s="7" t="s">
        <v>63</v>
      </c>
      <c r="C1151" s="7" t="s">
        <v>17</v>
      </c>
      <c r="D1151" s="7">
        <f>EXACT(G1149,"Option 2.1 - capacity x usage time (AMS-III.AV Eq.(2))")</f>
      </c>
      <c r="E1151" s="7" t="s">
        <v>2647</v>
      </c>
      <c r="F1151" s="7" t="s">
        <v>19</v>
      </c>
      <c r="G1151" s="7">
        <v>1</v>
      </c>
      <c r="H1151" s="7" t="s">
        <v>17</v>
      </c>
      <c r="I1151" s="7" t="s">
        <v>17</v>
      </c>
      <c r="J1151" s="7" t="s">
        <v>1628</v>
      </c>
    </row>
    <row r="1152" spans="1:10" x14ac:dyDescent="0.25" outlineLevel="2" collapsed="1">
      <c r="A1152" s="7" t="s">
        <v>19</v>
      </c>
      <c r="B1152" s="7" t="s">
        <v>63</v>
      </c>
      <c r="C1152" s="7" t="s">
        <v>17</v>
      </c>
      <c r="D1152" s="7">
        <f>EXACT(G1149,"Option 2.1 - capacity x usage time (AMS-III.AV Eq.(2))")</f>
      </c>
      <c r="E1152" s="7" t="s">
        <v>2648</v>
      </c>
      <c r="F1152" s="7" t="s">
        <v>19</v>
      </c>
      <c r="G1152" s="7">
        <v>1</v>
      </c>
      <c r="H1152" s="7" t="s">
        <v>17</v>
      </c>
      <c r="I1152" s="7" t="s">
        <v>17</v>
      </c>
      <c r="J1152" s="7" t="s">
        <v>2649</v>
      </c>
    </row>
    <row r="1153" spans="1:10" x14ac:dyDescent="0.25" outlineLevel="2" collapsed="1">
      <c r="A1153" s="7" t="s">
        <v>19</v>
      </c>
      <c r="B1153" s="7" t="s">
        <v>63</v>
      </c>
      <c r="C1153" s="7" t="s">
        <v>17</v>
      </c>
      <c r="D1153" s="7">
        <f>EXACT(G1149,"Option 2.1 - capacity x usage time (AMS-III.AV Eq.(2))")</f>
      </c>
      <c r="E1153" s="7" t="s">
        <v>2650</v>
      </c>
      <c r="F1153" s="7" t="s">
        <v>19</v>
      </c>
      <c r="G1153" s="7">
        <v>1</v>
      </c>
      <c r="H1153" s="7" t="s">
        <v>17</v>
      </c>
      <c r="I1153" s="7" t="s">
        <v>17</v>
      </c>
      <c r="J1153" s="7" t="s">
        <v>2651</v>
      </c>
    </row>
    <row r="1154" spans="1:10" x14ac:dyDescent="0.25" outlineLevel="2" collapsed="1">
      <c r="A1154" s="7" t="s">
        <v>19</v>
      </c>
      <c r="B1154" s="7" t="s">
        <v>63</v>
      </c>
      <c r="C1154" s="7" t="s">
        <v>17</v>
      </c>
      <c r="D1154" s="7">
        <f>EXACT(G1149,"Option 2.2 - population x volume per person (AMS-III.AV Eq.(3))")</f>
      </c>
      <c r="E1154" s="7" t="s">
        <v>2652</v>
      </c>
      <c r="F1154" s="7" t="s">
        <v>19</v>
      </c>
      <c r="G1154" s="7">
        <v>1</v>
      </c>
      <c r="H1154" s="7" t="s">
        <v>17</v>
      </c>
      <c r="I1154" s="7" t="s">
        <v>17</v>
      </c>
      <c r="J1154" s="7" t="s">
        <v>1630</v>
      </c>
    </row>
    <row r="1155" spans="1:10" x14ac:dyDescent="0.25" outlineLevel="2" collapsed="1">
      <c r="A1155" s="7" t="s">
        <v>15</v>
      </c>
      <c r="B1155" s="7" t="s">
        <v>63</v>
      </c>
      <c r="C1155" s="7" t="s">
        <v>17</v>
      </c>
      <c r="D1155" s="7"/>
      <c r="E1155" s="7" t="s">
        <v>2653</v>
      </c>
      <c r="F1155" s="7" t="s">
        <v>19</v>
      </c>
      <c r="G1155" s="7">
        <v>1</v>
      </c>
      <c r="H1155" s="7" t="s">
        <v>17</v>
      </c>
      <c r="I1155" s="7" t="s">
        <v>17</v>
      </c>
      <c r="J1155" s="7" t="s">
        <v>2654</v>
      </c>
    </row>
    <row r="1156" spans="1:10" x14ac:dyDescent="0.25" outlineLevel="2" collapsed="1">
      <c r="A1156" s="8" t="s">
        <v>15</v>
      </c>
      <c r="B1156" s="9" t="s">
        <v>2655</v>
      </c>
      <c r="C1156" s="8" t="s">
        <v>17</v>
      </c>
      <c r="D1156" s="8"/>
      <c r="E1156" s="8" t="s">
        <v>2656</v>
      </c>
      <c r="F1156" s="8" t="s">
        <v>15</v>
      </c>
      <c r="G1156" s="8" t="s">
        <v>17</v>
      </c>
      <c r="H1156" s="8" t="s">
        <v>17</v>
      </c>
      <c r="I1156" s="8" t="s">
        <v>17</v>
      </c>
      <c r="J1156" s="8" t="s">
        <v>2657</v>
      </c>
    </row>
    <row r="1157" spans="1:10" x14ac:dyDescent="0.25" outlineLevel="3" collapsed="1">
      <c r="A1157" s="7" t="s">
        <v>15</v>
      </c>
      <c r="B1157" s="7" t="s">
        <v>16</v>
      </c>
      <c r="C1157" s="7" t="s">
        <v>17</v>
      </c>
      <c r="D1157" s="7"/>
      <c r="E1157" s="7" t="s">
        <v>2658</v>
      </c>
      <c r="F1157" s="7" t="s">
        <v>19</v>
      </c>
      <c r="G1157" s="7" t="s">
        <v>2659</v>
      </c>
      <c r="H1157" s="7" t="s">
        <v>17</v>
      </c>
      <c r="I1157" s="7" t="s">
        <v>17</v>
      </c>
      <c r="J1157" s="7" t="s">
        <v>2660</v>
      </c>
    </row>
    <row r="1158" spans="1:10" x14ac:dyDescent="0.25" outlineLevel="3" collapsed="1">
      <c r="A1158" s="7" t="s">
        <v>15</v>
      </c>
      <c r="B1158" s="7" t="s">
        <v>284</v>
      </c>
      <c r="C1158" s="11" t="s">
        <v>2661</v>
      </c>
      <c r="D1158" s="7"/>
      <c r="E1158" s="7" t="s">
        <v>2662</v>
      </c>
      <c r="F1158" s="7" t="s">
        <v>19</v>
      </c>
      <c r="G1158" s="7" t="s">
        <v>2663</v>
      </c>
      <c r="H1158" s="7" t="s">
        <v>17</v>
      </c>
      <c r="I1158" s="7" t="s">
        <v>17</v>
      </c>
      <c r="J1158" s="7" t="s">
        <v>2664</v>
      </c>
    </row>
    <row r="1159" spans="1:10" x14ac:dyDescent="0.25" outlineLevel="3" collapsed="1">
      <c r="A1159" s="7" t="s">
        <v>15</v>
      </c>
      <c r="B1159" s="7" t="s">
        <v>284</v>
      </c>
      <c r="C1159" s="11" t="s">
        <v>2665</v>
      </c>
      <c r="D1159" s="7"/>
      <c r="E1159" s="7" t="s">
        <v>2666</v>
      </c>
      <c r="F1159" s="7" t="s">
        <v>19</v>
      </c>
      <c r="G1159" s="7" t="s">
        <v>1929</v>
      </c>
      <c r="H1159" s="7" t="s">
        <v>17</v>
      </c>
      <c r="I1159" s="7" t="s">
        <v>17</v>
      </c>
      <c r="J1159" s="7" t="s">
        <v>1725</v>
      </c>
    </row>
    <row r="1160" spans="1:10" x14ac:dyDescent="0.25" outlineLevel="3" collapsed="1">
      <c r="A1160" s="7" t="s">
        <v>15</v>
      </c>
      <c r="B1160" s="7" t="s">
        <v>284</v>
      </c>
      <c r="C1160" s="11" t="s">
        <v>2667</v>
      </c>
      <c r="D1160" s="7"/>
      <c r="E1160" s="7" t="s">
        <v>2668</v>
      </c>
      <c r="F1160" s="7" t="s">
        <v>19</v>
      </c>
      <c r="G1160" s="7" t="s">
        <v>2669</v>
      </c>
      <c r="H1160" s="7" t="s">
        <v>17</v>
      </c>
      <c r="I1160" s="7" t="s">
        <v>17</v>
      </c>
      <c r="J1160" s="7" t="s">
        <v>2670</v>
      </c>
    </row>
    <row r="1161" spans="1:10" x14ac:dyDescent="0.25" outlineLevel="3" collapsed="1">
      <c r="A1161" s="7" t="s">
        <v>15</v>
      </c>
      <c r="B1161" s="7" t="s">
        <v>63</v>
      </c>
      <c r="C1161" s="7" t="s">
        <v>17</v>
      </c>
      <c r="D1161" s="7"/>
      <c r="E1161" s="7" t="s">
        <v>2671</v>
      </c>
      <c r="F1161" s="7" t="s">
        <v>19</v>
      </c>
      <c r="G1161" s="7">
        <v>0.8</v>
      </c>
      <c r="H1161" s="7" t="s">
        <v>17</v>
      </c>
      <c r="I1161" s="7" t="s">
        <v>17</v>
      </c>
      <c r="J1161" s="7" t="s">
        <v>2672</v>
      </c>
    </row>
    <row r="1162" spans="1:10" x14ac:dyDescent="0.25" outlineLevel="3" collapsed="1">
      <c r="A1162" s="7" t="s">
        <v>15</v>
      </c>
      <c r="B1162" s="7" t="s">
        <v>63</v>
      </c>
      <c r="C1162" s="7" t="s">
        <v>17</v>
      </c>
      <c r="D1162" s="7"/>
      <c r="E1162" s="7" t="s">
        <v>2673</v>
      </c>
      <c r="F1162" s="7" t="s">
        <v>19</v>
      </c>
      <c r="G1162" s="7">
        <v>112</v>
      </c>
      <c r="H1162" s="7" t="s">
        <v>17</v>
      </c>
      <c r="I1162" s="7" t="s">
        <v>17</v>
      </c>
      <c r="J1162" s="7" t="s">
        <v>2674</v>
      </c>
    </row>
    <row r="1163" spans="1:10" x14ac:dyDescent="0.25" outlineLevel="3" collapsed="1">
      <c r="A1163" s="7" t="s">
        <v>15</v>
      </c>
      <c r="B1163" s="7" t="s">
        <v>63</v>
      </c>
      <c r="C1163" s="7" t="s">
        <v>17</v>
      </c>
      <c r="D1163" s="7"/>
      <c r="E1163" s="7" t="s">
        <v>2675</v>
      </c>
      <c r="F1163" s="7" t="s">
        <v>19</v>
      </c>
      <c r="G1163" s="7">
        <v>9.46</v>
      </c>
      <c r="H1163" s="7" t="s">
        <v>17</v>
      </c>
      <c r="I1163" s="7" t="s">
        <v>17</v>
      </c>
      <c r="J1163" s="7" t="s">
        <v>2676</v>
      </c>
    </row>
    <row r="1164" spans="1:10" x14ac:dyDescent="0.25" outlineLevel="3" collapsed="1">
      <c r="A1164" s="7" t="s">
        <v>15</v>
      </c>
      <c r="B1164" s="7" t="s">
        <v>284</v>
      </c>
      <c r="C1164" s="11" t="s">
        <v>2677</v>
      </c>
      <c r="D1164" s="7"/>
      <c r="E1164" s="7" t="s">
        <v>2678</v>
      </c>
      <c r="F1164" s="7" t="s">
        <v>19</v>
      </c>
      <c r="G1164" s="7" t="s">
        <v>2679</v>
      </c>
      <c r="H1164" s="7" t="s">
        <v>17</v>
      </c>
      <c r="I1164" s="7" t="s">
        <v>17</v>
      </c>
      <c r="J1164" s="7" t="s">
        <v>2680</v>
      </c>
    </row>
    <row r="1165" spans="1:10" x14ac:dyDescent="0.25" outlineLevel="3" collapsed="1">
      <c r="A1165" s="7" t="s">
        <v>19</v>
      </c>
      <c r="B1165" s="7" t="s">
        <v>63</v>
      </c>
      <c r="C1165" s="7" t="s">
        <v>17</v>
      </c>
      <c r="D1165" s="7">
        <f>EXACT(G1158,"Non-renewable biomass (woody biomass or charcoal)")</f>
      </c>
      <c r="E1165" s="7" t="s">
        <v>2681</v>
      </c>
      <c r="F1165" s="7" t="s">
        <v>19</v>
      </c>
      <c r="G1165" s="7">
        <v>0.29</v>
      </c>
      <c r="H1165" s="7" t="s">
        <v>17</v>
      </c>
      <c r="I1165" s="7" t="s">
        <v>17</v>
      </c>
      <c r="J1165" s="7" t="s">
        <v>2682</v>
      </c>
    </row>
    <row r="1166" spans="1:10" x14ac:dyDescent="0.25" outlineLevel="3" collapsed="1">
      <c r="A1166" s="7" t="s">
        <v>19</v>
      </c>
      <c r="B1166" s="7" t="s">
        <v>16</v>
      </c>
      <c r="C1166" s="7" t="s">
        <v>17</v>
      </c>
      <c r="D1166" s="7">
        <f>EXACT(G1158,"Non-renewable biomass (woody biomass or charcoal)")</f>
      </c>
      <c r="E1166" s="7" t="s">
        <v>2683</v>
      </c>
      <c r="F1166" s="7" t="s">
        <v>19</v>
      </c>
      <c r="G1166" s="7" t="s">
        <v>31</v>
      </c>
      <c r="H1166" s="7" t="s">
        <v>17</v>
      </c>
      <c r="I1166" s="7" t="s">
        <v>17</v>
      </c>
      <c r="J1166" s="7" t="s">
        <v>2684</v>
      </c>
    </row>
    <row r="1167" spans="1:10" x14ac:dyDescent="0.25" outlineLevel="3" collapsed="1">
      <c r="A1167" s="7" t="s">
        <v>19</v>
      </c>
      <c r="B1167" s="7" t="s">
        <v>63</v>
      </c>
      <c r="C1167" s="7" t="s">
        <v>17</v>
      </c>
      <c r="D1167" s="7">
        <f>EXACT(G1158,"Fossil fuel")</f>
      </c>
      <c r="E1167" s="7" t="s">
        <v>2685</v>
      </c>
      <c r="F1167" s="7" t="s">
        <v>19</v>
      </c>
      <c r="G1167" s="7">
        <v>1</v>
      </c>
      <c r="H1167" s="7" t="s">
        <v>17</v>
      </c>
      <c r="I1167" s="7" t="s">
        <v>17</v>
      </c>
      <c r="J1167" s="7" t="s">
        <v>2686</v>
      </c>
    </row>
    <row r="1168" spans="1:10" x14ac:dyDescent="0.25" outlineLevel="2" collapsed="1">
      <c r="A1168" s="8" t="s">
        <v>19</v>
      </c>
      <c r="B1168" s="9" t="s">
        <v>2687</v>
      </c>
      <c r="C1168" s="8" t="s">
        <v>17</v>
      </c>
      <c r="D1168" s="8"/>
      <c r="E1168" s="8" t="s">
        <v>2688</v>
      </c>
      <c r="F1168" s="8" t="s">
        <v>15</v>
      </c>
      <c r="G1168" s="8" t="s">
        <v>17</v>
      </c>
      <c r="H1168" s="8" t="s">
        <v>17</v>
      </c>
      <c r="I1168" s="8" t="s">
        <v>17</v>
      </c>
      <c r="J1168" s="8" t="s">
        <v>2689</v>
      </c>
    </row>
    <row r="1169" spans="1:10" x14ac:dyDescent="0.25" outlineLevel="3" collapsed="1">
      <c r="A1169" s="7" t="s">
        <v>15</v>
      </c>
      <c r="B1169" s="7" t="s">
        <v>16</v>
      </c>
      <c r="C1169" s="7" t="s">
        <v>17</v>
      </c>
      <c r="D1169" s="7"/>
      <c r="E1169" s="7" t="s">
        <v>2690</v>
      </c>
      <c r="F1169" s="7" t="s">
        <v>19</v>
      </c>
      <c r="G1169" s="7" t="s">
        <v>31</v>
      </c>
      <c r="H1169" s="7" t="s">
        <v>17</v>
      </c>
      <c r="I1169" s="7" t="s">
        <v>17</v>
      </c>
      <c r="J1169" s="7" t="s">
        <v>2691</v>
      </c>
    </row>
    <row r="1170" spans="1:10" x14ac:dyDescent="0.25" outlineLevel="3" collapsed="1">
      <c r="A1170" s="7" t="s">
        <v>15</v>
      </c>
      <c r="B1170" s="7" t="s">
        <v>63</v>
      </c>
      <c r="C1170" s="7" t="s">
        <v>17</v>
      </c>
      <c r="D1170" s="7"/>
      <c r="E1170" s="7" t="s">
        <v>2692</v>
      </c>
      <c r="F1170" s="7" t="s">
        <v>19</v>
      </c>
      <c r="G1170" s="7">
        <v>5</v>
      </c>
      <c r="H1170" s="7" t="s">
        <v>17</v>
      </c>
      <c r="I1170" s="7" t="s">
        <v>17</v>
      </c>
      <c r="J1170" s="7" t="s">
        <v>2693</v>
      </c>
    </row>
    <row r="1171" spans="1:10" x14ac:dyDescent="0.25" outlineLevel="3" collapsed="1">
      <c r="A1171" s="7" t="s">
        <v>15</v>
      </c>
      <c r="B1171" s="7" t="s">
        <v>159</v>
      </c>
      <c r="C1171" s="7" t="s">
        <v>17</v>
      </c>
      <c r="D1171" s="7"/>
      <c r="E1171" s="7" t="s">
        <v>2694</v>
      </c>
      <c r="F1171" s="7" t="s">
        <v>19</v>
      </c>
      <c r="G1171" s="7" t="b">
        <v>1</v>
      </c>
      <c r="H1171" s="7" t="s">
        <v>17</v>
      </c>
      <c r="I1171" s="7" t="s">
        <v>17</v>
      </c>
      <c r="J1171" s="7" t="s">
        <v>2695</v>
      </c>
    </row>
    <row r="1172" spans="1:10" x14ac:dyDescent="0.25" outlineLevel="3" collapsed="1">
      <c r="A1172" s="8" t="s">
        <v>15</v>
      </c>
      <c r="B1172" s="9" t="s">
        <v>2696</v>
      </c>
      <c r="C1172" s="8" t="s">
        <v>17</v>
      </c>
      <c r="D1172" s="8"/>
      <c r="E1172" s="8" t="s">
        <v>2697</v>
      </c>
      <c r="F1172" s="8" t="s">
        <v>15</v>
      </c>
      <c r="G1172" s="8" t="s">
        <v>17</v>
      </c>
      <c r="H1172" s="8" t="s">
        <v>17</v>
      </c>
      <c r="I1172" s="8" t="s">
        <v>17</v>
      </c>
      <c r="J1172" s="8" t="s">
        <v>2698</v>
      </c>
    </row>
    <row r="1173" spans="1:10" x14ac:dyDescent="0.25" outlineLevel="4" collapsed="1">
      <c r="A1173" s="7" t="s">
        <v>15</v>
      </c>
      <c r="B1173" s="7" t="s">
        <v>284</v>
      </c>
      <c r="C1173" s="11" t="s">
        <v>2699</v>
      </c>
      <c r="D1173" s="7"/>
      <c r="E1173" s="7" t="s">
        <v>2700</v>
      </c>
      <c r="F1173" s="7" t="s">
        <v>19</v>
      </c>
      <c r="G1173" s="7" t="s">
        <v>2669</v>
      </c>
      <c r="H1173" s="7" t="s">
        <v>17</v>
      </c>
      <c r="I1173" s="7" t="s">
        <v>17</v>
      </c>
      <c r="J1173" s="7" t="s">
        <v>2701</v>
      </c>
    </row>
    <row r="1174" spans="1:10" x14ac:dyDescent="0.25" outlineLevel="4" collapsed="1">
      <c r="A1174" s="7" t="s">
        <v>15</v>
      </c>
      <c r="B1174" s="7" t="s">
        <v>63</v>
      </c>
      <c r="C1174" s="7" t="s">
        <v>17</v>
      </c>
      <c r="D1174" s="7"/>
      <c r="E1174" s="7" t="s">
        <v>2702</v>
      </c>
      <c r="F1174" s="7" t="s">
        <v>19</v>
      </c>
      <c r="G1174" s="7">
        <v>7</v>
      </c>
      <c r="H1174" s="7" t="s">
        <v>17</v>
      </c>
      <c r="I1174" s="7" t="s">
        <v>17</v>
      </c>
      <c r="J1174" s="7" t="s">
        <v>2703</v>
      </c>
    </row>
    <row r="1175" spans="1:10" x14ac:dyDescent="0.25" outlineLevel="4" collapsed="1">
      <c r="A1175" s="7" t="s">
        <v>15</v>
      </c>
      <c r="B1175" s="7" t="s">
        <v>63</v>
      </c>
      <c r="C1175" s="7" t="s">
        <v>17</v>
      </c>
      <c r="D1175" s="7"/>
      <c r="E1175" s="7" t="s">
        <v>2704</v>
      </c>
      <c r="F1175" s="7" t="s">
        <v>19</v>
      </c>
      <c r="G1175" s="7">
        <v>0.1</v>
      </c>
      <c r="H1175" s="7" t="s">
        <v>17</v>
      </c>
      <c r="I1175" s="7" t="s">
        <v>17</v>
      </c>
      <c r="J1175" s="7" t="s">
        <v>1622</v>
      </c>
    </row>
    <row r="1176" spans="1:10" x14ac:dyDescent="0.25" outlineLevel="4" collapsed="1">
      <c r="A1176" s="7" t="s">
        <v>15</v>
      </c>
      <c r="B1176" s="7" t="s">
        <v>284</v>
      </c>
      <c r="C1176" s="11" t="s">
        <v>2705</v>
      </c>
      <c r="D1176" s="7"/>
      <c r="E1176" s="7" t="s">
        <v>2706</v>
      </c>
      <c r="F1176" s="7" t="s">
        <v>19</v>
      </c>
      <c r="G1176" s="7" t="s">
        <v>2707</v>
      </c>
      <c r="H1176" s="7" t="s">
        <v>17</v>
      </c>
      <c r="I1176" s="7" t="s">
        <v>17</v>
      </c>
      <c r="J1176" s="7" t="s">
        <v>2708</v>
      </c>
    </row>
    <row r="1177" spans="1:10" x14ac:dyDescent="0.25" outlineLevel="3" collapsed="1">
      <c r="A1177" s="7" t="s">
        <v>15</v>
      </c>
      <c r="B1177" s="7" t="s">
        <v>284</v>
      </c>
      <c r="C1177" s="11" t="s">
        <v>2709</v>
      </c>
      <c r="D1177" s="7"/>
      <c r="E1177" s="7" t="s">
        <v>2710</v>
      </c>
      <c r="F1177" s="7" t="s">
        <v>19</v>
      </c>
      <c r="G1177" s="7" t="s">
        <v>2711</v>
      </c>
      <c r="H1177" s="7" t="s">
        <v>17</v>
      </c>
      <c r="I1177" s="7" t="s">
        <v>17</v>
      </c>
      <c r="J1177" s="7" t="s">
        <v>2712</v>
      </c>
    </row>
    <row r="1178" spans="1:10" x14ac:dyDescent="0.25" outlineLevel="3" collapsed="1">
      <c r="A1178" s="7" t="s">
        <v>19</v>
      </c>
      <c r="B1178" s="7" t="s">
        <v>63</v>
      </c>
      <c r="C1178" s="7" t="s">
        <v>17</v>
      </c>
      <c r="D1178" s="7"/>
      <c r="E1178" s="7" t="s">
        <v>2713</v>
      </c>
      <c r="F1178" s="7" t="s">
        <v>19</v>
      </c>
      <c r="G1178" s="7">
        <v>1</v>
      </c>
      <c r="H1178" s="7" t="s">
        <v>17</v>
      </c>
      <c r="I1178" s="7" t="s">
        <v>17</v>
      </c>
      <c r="J1178" s="7" t="s">
        <v>2714</v>
      </c>
    </row>
    <row r="1179" spans="1:10" x14ac:dyDescent="0.25" outlineLevel="3" collapsed="1">
      <c r="A1179" s="7" t="s">
        <v>19</v>
      </c>
      <c r="B1179" s="7" t="s">
        <v>63</v>
      </c>
      <c r="C1179" s="7" t="s">
        <v>17</v>
      </c>
      <c r="D1179" s="7"/>
      <c r="E1179" s="7" t="s">
        <v>2715</v>
      </c>
      <c r="F1179" s="7" t="s">
        <v>19</v>
      </c>
      <c r="G1179" s="7">
        <v>1</v>
      </c>
      <c r="H1179" s="7" t="s">
        <v>17</v>
      </c>
      <c r="I1179" s="7" t="s">
        <v>17</v>
      </c>
      <c r="J1179" s="7" t="s">
        <v>2716</v>
      </c>
    </row>
    <row r="1180" spans="1:10" x14ac:dyDescent="0.25" outlineLevel="2" collapsed="1">
      <c r="A1180" s="7" t="s">
        <v>19</v>
      </c>
      <c r="B1180" s="7" t="s">
        <v>63</v>
      </c>
      <c r="C1180" s="7" t="s">
        <v>17</v>
      </c>
      <c r="D1180" s="7"/>
      <c r="E1180" s="7" t="s">
        <v>2717</v>
      </c>
      <c r="F1180" s="7" t="s">
        <v>19</v>
      </c>
      <c r="G1180" s="7">
        <v>1</v>
      </c>
      <c r="H1180" s="7" t="s">
        <v>17</v>
      </c>
      <c r="I1180" s="7" t="s">
        <v>17</v>
      </c>
      <c r="J1180" s="7" t="s">
        <v>2718</v>
      </c>
    </row>
    <row r="1181" spans="1:10" x14ac:dyDescent="0.25" outlineLevel="1" collapsed="1">
      <c r="A1181" s="8" t="s">
        <v>15</v>
      </c>
      <c r="B1181" s="9" t="s">
        <v>1921</v>
      </c>
      <c r="C1181" s="8" t="s">
        <v>17</v>
      </c>
      <c r="D1181" s="8"/>
      <c r="E1181" s="8" t="s">
        <v>2719</v>
      </c>
      <c r="F1181" s="8" t="s">
        <v>15</v>
      </c>
      <c r="G1181" s="8" t="s">
        <v>17</v>
      </c>
      <c r="H1181" s="8" t="s">
        <v>17</v>
      </c>
      <c r="I1181" s="8" t="s">
        <v>17</v>
      </c>
      <c r="J1181" s="8" t="s">
        <v>1923</v>
      </c>
    </row>
    <row r="1182" spans="1:10" x14ac:dyDescent="0.25" outlineLevel="2" collapsed="1">
      <c r="A1182" s="7" t="s">
        <v>15</v>
      </c>
      <c r="B1182" s="7" t="s">
        <v>16</v>
      </c>
      <c r="C1182" s="7" t="s">
        <v>17</v>
      </c>
      <c r="D1182" s="7"/>
      <c r="E1182" s="7" t="s">
        <v>1924</v>
      </c>
      <c r="F1182" s="7" t="s">
        <v>19</v>
      </c>
      <c r="G1182" s="7" t="s">
        <v>1925</v>
      </c>
      <c r="H1182" s="7" t="s">
        <v>17</v>
      </c>
      <c r="I1182" s="7" t="s">
        <v>17</v>
      </c>
      <c r="J1182" s="7" t="s">
        <v>1926</v>
      </c>
    </row>
    <row r="1183" spans="1:10" x14ac:dyDescent="0.25" outlineLevel="2" collapsed="1">
      <c r="A1183" s="7" t="s">
        <v>15</v>
      </c>
      <c r="B1183" s="7" t="s">
        <v>284</v>
      </c>
      <c r="C1183" s="11" t="s">
        <v>1927</v>
      </c>
      <c r="D1183" s="7"/>
      <c r="E1183" s="7" t="s">
        <v>1928</v>
      </c>
      <c r="F1183" s="7" t="s">
        <v>19</v>
      </c>
      <c r="G1183" s="7" t="s">
        <v>1929</v>
      </c>
      <c r="H1183" s="7" t="s">
        <v>17</v>
      </c>
      <c r="I1183" s="7" t="s">
        <v>17</v>
      </c>
      <c r="J1183" s="7" t="s">
        <v>1725</v>
      </c>
    </row>
    <row r="1184" spans="1:10" x14ac:dyDescent="0.25" outlineLevel="2" collapsed="1">
      <c r="A1184" s="7" t="s">
        <v>15</v>
      </c>
      <c r="B1184" s="7" t="s">
        <v>284</v>
      </c>
      <c r="C1184" s="11" t="s">
        <v>1930</v>
      </c>
      <c r="D1184" s="7"/>
      <c r="E1184" s="7" t="s">
        <v>1931</v>
      </c>
      <c r="F1184" s="7" t="s">
        <v>19</v>
      </c>
      <c r="G1184" s="7" t="s">
        <v>1932</v>
      </c>
      <c r="H1184" s="7" t="s">
        <v>17</v>
      </c>
      <c r="I1184" s="7" t="s">
        <v>17</v>
      </c>
      <c r="J1184" s="7" t="s">
        <v>1933</v>
      </c>
    </row>
    <row r="1185" spans="1:10" x14ac:dyDescent="0.25" outlineLevel="2" collapsed="1">
      <c r="A1185" s="7" t="s">
        <v>19</v>
      </c>
      <c r="B1185" s="7" t="s">
        <v>63</v>
      </c>
      <c r="C1185" s="7" t="s">
        <v>17</v>
      </c>
      <c r="D1185" s="7">
        <f>EXACT(G1184,"Option 1 - latest UNFCCC national default")</f>
      </c>
      <c r="E1185" s="7" t="s">
        <v>1934</v>
      </c>
      <c r="F1185" s="7" t="s">
        <v>19</v>
      </c>
      <c r="G1185" s="7">
        <v>1</v>
      </c>
      <c r="H1185" s="7" t="s">
        <v>17</v>
      </c>
      <c r="I1185" s="7" t="s">
        <v>17</v>
      </c>
      <c r="J1185" s="7" t="s">
        <v>1935</v>
      </c>
    </row>
    <row r="1186" spans="1:10" x14ac:dyDescent="0.25" outlineLevel="2" collapsed="1">
      <c r="A1186" s="7" t="s">
        <v>19</v>
      </c>
      <c r="B1186" s="7" t="s">
        <v>16</v>
      </c>
      <c r="C1186" s="7" t="s">
        <v>17</v>
      </c>
      <c r="D1186" s="7">
        <f>EXACT(G1184,"Option 1 - latest UNFCCC national default")</f>
      </c>
      <c r="E1186" s="7" t="s">
        <v>1936</v>
      </c>
      <c r="F1186" s="7" t="s">
        <v>19</v>
      </c>
      <c r="G1186" s="7" t="s">
        <v>31</v>
      </c>
      <c r="H1186" s="7" t="s">
        <v>17</v>
      </c>
      <c r="I1186" s="7" t="s">
        <v>17</v>
      </c>
      <c r="J1186" s="7" t="s">
        <v>1937</v>
      </c>
    </row>
    <row r="1187" spans="1:10" x14ac:dyDescent="0.25" outlineLevel="2" collapsed="1">
      <c r="A1187" s="7" t="s">
        <v>19</v>
      </c>
      <c r="B1187" s="7" t="s">
        <v>284</v>
      </c>
      <c r="C1187" s="11" t="s">
        <v>1938</v>
      </c>
      <c r="D1187" s="7">
        <f>EXACT(G1184,"Option 1 - latest UNFCCC national default")</f>
      </c>
      <c r="E1187" s="7" t="s">
        <v>1939</v>
      </c>
      <c r="F1187" s="7" t="s">
        <v>19</v>
      </c>
      <c r="G1187" s="7" t="s">
        <v>1940</v>
      </c>
      <c r="H1187" s="7" t="s">
        <v>17</v>
      </c>
      <c r="I1187" s="7" t="s">
        <v>17</v>
      </c>
      <c r="J1187" s="7" t="s">
        <v>1941</v>
      </c>
    </row>
    <row r="1188" spans="1:10" x14ac:dyDescent="0.25" outlineLevel="2" collapsed="1">
      <c r="A1188" s="7" t="s">
        <v>19</v>
      </c>
      <c r="B1188" s="7" t="s">
        <v>63</v>
      </c>
      <c r="C1188" s="7" t="s">
        <v>17</v>
      </c>
      <c r="D1188" s="7">
        <f>EXACT(G1184,"Option 1 - latest UNFCCC national default")</f>
      </c>
      <c r="E1188" s="7" t="s">
        <v>1942</v>
      </c>
      <c r="F1188" s="7" t="s">
        <v>19</v>
      </c>
      <c r="G1188" s="7">
        <v>1</v>
      </c>
      <c r="H1188" s="7" t="s">
        <v>17</v>
      </c>
      <c r="I1188" s="7" t="s">
        <v>17</v>
      </c>
      <c r="J1188" s="7" t="s">
        <v>1943</v>
      </c>
    </row>
    <row r="1189" spans="1:10" x14ac:dyDescent="0.25" outlineLevel="2" collapsed="1">
      <c r="A1189" s="7" t="s">
        <v>19</v>
      </c>
      <c r="B1189" s="7" t="s">
        <v>63</v>
      </c>
      <c r="C1189" s="7" t="s">
        <v>17</v>
      </c>
      <c r="D1189" s="7">
        <f>EXACT(G1184,"Option 2 - TOOL30 calculated value x (1 - 0.26)")</f>
      </c>
      <c r="E1189" s="7" t="s">
        <v>1944</v>
      </c>
      <c r="F1189" s="7" t="s">
        <v>19</v>
      </c>
      <c r="G1189" s="7">
        <v>1</v>
      </c>
      <c r="H1189" s="7" t="s">
        <v>17</v>
      </c>
      <c r="I1189" s="7" t="s">
        <v>17</v>
      </c>
      <c r="J1189" s="7" t="s">
        <v>1945</v>
      </c>
    </row>
    <row r="1190" spans="1:10" x14ac:dyDescent="0.25" outlineLevel="2" collapsed="1">
      <c r="A1190" s="7" t="s">
        <v>19</v>
      </c>
      <c r="B1190" s="7" t="s">
        <v>159</v>
      </c>
      <c r="C1190" s="7" t="s">
        <v>17</v>
      </c>
      <c r="D1190" s="7">
        <f>EXACT(G1184,"Option 2 - TOOL30 calculated value x (1 - 0.26)")</f>
      </c>
      <c r="E1190" s="7" t="s">
        <v>1946</v>
      </c>
      <c r="F1190" s="7" t="s">
        <v>19</v>
      </c>
      <c r="G1190" s="7" t="b">
        <v>1</v>
      </c>
      <c r="H1190" s="7" t="s">
        <v>17</v>
      </c>
      <c r="I1190" s="7" t="s">
        <v>17</v>
      </c>
      <c r="J1190" s="7" t="s">
        <v>1947</v>
      </c>
    </row>
    <row r="1191" spans="1:10" x14ac:dyDescent="0.25" outlineLevel="2" collapsed="1">
      <c r="A1191" s="7" t="s">
        <v>19</v>
      </c>
      <c r="B1191" s="7" t="s">
        <v>63</v>
      </c>
      <c r="C1191" s="7" t="s">
        <v>17</v>
      </c>
      <c r="D1191" s="7">
        <f>EXACT(G1184,"Option 3 - latest TOOL33 default (national Table 3 / regional Table 2)")</f>
      </c>
      <c r="E1191" s="7" t="s">
        <v>1948</v>
      </c>
      <c r="F1191" s="7" t="s">
        <v>19</v>
      </c>
      <c r="G1191" s="7">
        <v>1</v>
      </c>
      <c r="H1191" s="7" t="s">
        <v>17</v>
      </c>
      <c r="I1191" s="7" t="s">
        <v>17</v>
      </c>
      <c r="J1191" s="7" t="s">
        <v>1949</v>
      </c>
    </row>
    <row r="1192" spans="1:10" x14ac:dyDescent="0.25" outlineLevel="2" collapsed="1">
      <c r="A1192" s="7" t="s">
        <v>19</v>
      </c>
      <c r="B1192" s="7" t="s">
        <v>284</v>
      </c>
      <c r="C1192" s="11" t="s">
        <v>1950</v>
      </c>
      <c r="D1192" s="7">
        <f>EXACT(G1184,"Option 3 - latest TOOL33 default (national Table 3 / regional Table 2)")</f>
      </c>
      <c r="E1192" s="7" t="s">
        <v>1951</v>
      </c>
      <c r="F1192" s="7" t="s">
        <v>19</v>
      </c>
      <c r="G1192" s="7" t="s">
        <v>1952</v>
      </c>
      <c r="H1192" s="7" t="s">
        <v>17</v>
      </c>
      <c r="I1192" s="7" t="s">
        <v>17</v>
      </c>
      <c r="J1192" s="7" t="s">
        <v>1953</v>
      </c>
    </row>
    <row r="1193" spans="1:10" x14ac:dyDescent="0.25" outlineLevel="2" collapsed="1">
      <c r="A1193" s="7" t="s">
        <v>19</v>
      </c>
      <c r="B1193" s="7" t="s">
        <v>16</v>
      </c>
      <c r="C1193" s="7" t="s">
        <v>17</v>
      </c>
      <c r="D1193" s="7">
        <f>EXACT(G1184,"Option 3 - latest TOOL33 default (national Table 3 / regional Table 2)")</f>
      </c>
      <c r="E1193" s="7" t="s">
        <v>1954</v>
      </c>
      <c r="F1193" s="7" t="s">
        <v>19</v>
      </c>
      <c r="G1193" s="7" t="s">
        <v>31</v>
      </c>
      <c r="H1193" s="7" t="s">
        <v>17</v>
      </c>
      <c r="I1193" s="7" t="s">
        <v>17</v>
      </c>
      <c r="J1193" s="7" t="s">
        <v>1955</v>
      </c>
    </row>
    <row r="1194" spans="1:10" x14ac:dyDescent="0.25" outlineLevel="2" collapsed="1">
      <c r="A1194" s="7" t="s">
        <v>15</v>
      </c>
      <c r="B1194" s="7" t="s">
        <v>63</v>
      </c>
      <c r="C1194" s="7" t="s">
        <v>17</v>
      </c>
      <c r="D1194" s="7"/>
      <c r="E1194" s="7" t="s">
        <v>1956</v>
      </c>
      <c r="F1194" s="7" t="s">
        <v>19</v>
      </c>
      <c r="G1194" s="7">
        <v>1</v>
      </c>
      <c r="H1194" s="7" t="s">
        <v>17</v>
      </c>
      <c r="I1194" s="7" t="s">
        <v>17</v>
      </c>
      <c r="J1194" s="7" t="s">
        <v>1957</v>
      </c>
    </row>
    <row r="1195" spans="1:10" x14ac:dyDescent="0.25" outlineLevel="2" collapsed="1">
      <c r="A1195" s="7" t="s">
        <v>15</v>
      </c>
      <c r="B1195" s="7" t="s">
        <v>291</v>
      </c>
      <c r="C1195" s="7" t="s">
        <v>17</v>
      </c>
      <c r="D1195" s="7"/>
      <c r="E1195" s="7" t="s">
        <v>1958</v>
      </c>
      <c r="F1195" s="7" t="s">
        <v>19</v>
      </c>
      <c r="G1195" s="7" t="s">
        <v>950</v>
      </c>
      <c r="H1195" s="7" t="s">
        <v>17</v>
      </c>
      <c r="I1195" s="7" t="s">
        <v>17</v>
      </c>
      <c r="J1195" s="7" t="s">
        <v>1959</v>
      </c>
    </row>
    <row r="1196" spans="1:10" x14ac:dyDescent="0.25" outlineLevel="2" collapsed="1">
      <c r="A1196" s="7" t="s">
        <v>19</v>
      </c>
      <c r="B1196" s="7" t="s">
        <v>291</v>
      </c>
      <c r="C1196" s="7" t="s">
        <v>17</v>
      </c>
      <c r="D1196" s="7"/>
      <c r="E1196" s="7" t="s">
        <v>1960</v>
      </c>
      <c r="F1196" s="7" t="s">
        <v>19</v>
      </c>
      <c r="G1196" s="7" t="s">
        <v>950</v>
      </c>
      <c r="H1196" s="7" t="s">
        <v>17</v>
      </c>
      <c r="I1196" s="7" t="s">
        <v>17</v>
      </c>
      <c r="J1196" s="7" t="s">
        <v>1961</v>
      </c>
    </row>
    <row r="1197" spans="1:10" x14ac:dyDescent="0.25" outlineLevel="2" collapsed="1">
      <c r="A1197" s="7" t="s">
        <v>19</v>
      </c>
      <c r="B1197" s="7" t="s">
        <v>63</v>
      </c>
      <c r="C1197" s="7" t="s">
        <v>17</v>
      </c>
      <c r="D1197" s="7"/>
      <c r="E1197" s="7" t="s">
        <v>1962</v>
      </c>
      <c r="F1197" s="7" t="s">
        <v>19</v>
      </c>
      <c r="G1197" s="7">
        <v>1</v>
      </c>
      <c r="H1197" s="7" t="s">
        <v>17</v>
      </c>
      <c r="I1197" s="7" t="s">
        <v>17</v>
      </c>
      <c r="J1197" s="7" t="s">
        <v>1963</v>
      </c>
    </row>
    <row r="1198" spans="1:10" x14ac:dyDescent="0.25" outlineLevel="2" collapsed="1">
      <c r="A1198" s="7" t="s">
        <v>19</v>
      </c>
      <c r="B1198" s="7" t="s">
        <v>63</v>
      </c>
      <c r="C1198" s="7" t="s">
        <v>17</v>
      </c>
      <c r="D1198" s="7"/>
      <c r="E1198" s="7" t="s">
        <v>1964</v>
      </c>
      <c r="F1198" s="7" t="s">
        <v>19</v>
      </c>
      <c r="G1198" s="7">
        <v>1</v>
      </c>
      <c r="H1198" s="7" t="s">
        <v>17</v>
      </c>
      <c r="I1198" s="7" t="s">
        <v>17</v>
      </c>
      <c r="J1198" s="7" t="s">
        <v>1965</v>
      </c>
    </row>
    <row r="1199" spans="1:10" x14ac:dyDescent="0.25" outlineLevel="2" collapsed="1">
      <c r="A1199" s="8" t="s">
        <v>19</v>
      </c>
      <c r="B1199" s="9" t="s">
        <v>952</v>
      </c>
      <c r="C1199" s="8" t="s">
        <v>17</v>
      </c>
      <c r="D1199" s="8"/>
      <c r="E1199" s="8" t="s">
        <v>953</v>
      </c>
      <c r="F1199" s="8" t="s">
        <v>15</v>
      </c>
      <c r="G1199" s="8" t="s">
        <v>17</v>
      </c>
      <c r="H1199" s="8" t="s">
        <v>17</v>
      </c>
      <c r="I1199" s="8" t="s">
        <v>17</v>
      </c>
      <c r="J1199" s="8" t="s">
        <v>954</v>
      </c>
    </row>
    <row r="1200" spans="1:10" x14ac:dyDescent="0.25" outlineLevel="3" collapsed="1">
      <c r="A1200" s="7" t="s">
        <v>15</v>
      </c>
      <c r="B1200" s="7" t="s">
        <v>16</v>
      </c>
      <c r="C1200" s="7" t="s">
        <v>17</v>
      </c>
      <c r="D1200" s="7"/>
      <c r="E1200" s="7" t="s">
        <v>955</v>
      </c>
      <c r="F1200" s="7" t="s">
        <v>19</v>
      </c>
      <c r="G1200" s="7" t="s">
        <v>956</v>
      </c>
      <c r="H1200" s="7" t="s">
        <v>17</v>
      </c>
      <c r="I1200" s="7" t="s">
        <v>17</v>
      </c>
      <c r="J1200" s="7" t="s">
        <v>957</v>
      </c>
    </row>
    <row r="1201" spans="1:10" x14ac:dyDescent="0.25" outlineLevel="3" collapsed="1">
      <c r="A1201" s="7" t="s">
        <v>15</v>
      </c>
      <c r="B1201" s="7" t="s">
        <v>284</v>
      </c>
      <c r="C1201" s="11" t="s">
        <v>958</v>
      </c>
      <c r="D1201" s="7"/>
      <c r="E1201" s="7" t="s">
        <v>959</v>
      </c>
      <c r="F1201" s="7" t="s">
        <v>19</v>
      </c>
      <c r="G1201" s="7" t="s">
        <v>960</v>
      </c>
      <c r="H1201" s="7" t="s">
        <v>17</v>
      </c>
      <c r="I1201" s="7" t="s">
        <v>17</v>
      </c>
      <c r="J1201" s="7" t="s">
        <v>961</v>
      </c>
    </row>
    <row r="1202" spans="1:10" x14ac:dyDescent="0.25" outlineLevel="3" collapsed="1">
      <c r="A1202" s="7" t="s">
        <v>15</v>
      </c>
      <c r="B1202" s="7" t="s">
        <v>16</v>
      </c>
      <c r="C1202" s="7" t="s">
        <v>17</v>
      </c>
      <c r="D1202" s="7"/>
      <c r="E1202" s="7" t="s">
        <v>962</v>
      </c>
      <c r="F1202" s="7" t="s">
        <v>19</v>
      </c>
      <c r="G1202" s="7" t="s">
        <v>963</v>
      </c>
      <c r="H1202" s="7" t="s">
        <v>17</v>
      </c>
      <c r="I1202" s="7" t="s">
        <v>17</v>
      </c>
      <c r="J1202" s="7" t="s">
        <v>964</v>
      </c>
    </row>
    <row r="1203" spans="1:10" x14ac:dyDescent="0.25" outlineLevel="3" collapsed="1">
      <c r="A1203" s="7" t="s">
        <v>19</v>
      </c>
      <c r="B1203" s="7" t="s">
        <v>291</v>
      </c>
      <c r="C1203" s="7" t="s">
        <v>17</v>
      </c>
      <c r="D1203" s="7"/>
      <c r="E1203" s="7" t="s">
        <v>965</v>
      </c>
      <c r="F1203" s="7" t="s">
        <v>19</v>
      </c>
      <c r="G1203" s="7" t="s">
        <v>293</v>
      </c>
      <c r="H1203" s="7" t="s">
        <v>17</v>
      </c>
      <c r="I1203" s="7" t="s">
        <v>17</v>
      </c>
      <c r="J1203" s="7" t="s">
        <v>966</v>
      </c>
    </row>
    <row r="1204" spans="1:10" x14ac:dyDescent="0.25" outlineLevel="3" collapsed="1">
      <c r="A1204" s="7" t="s">
        <v>19</v>
      </c>
      <c r="B1204" s="7" t="s">
        <v>16</v>
      </c>
      <c r="C1204" s="7" t="s">
        <v>17</v>
      </c>
      <c r="D1204" s="7"/>
      <c r="E1204" s="7" t="s">
        <v>967</v>
      </c>
      <c r="F1204" s="7" t="s">
        <v>19</v>
      </c>
      <c r="G1204" s="7" t="s">
        <v>968</v>
      </c>
      <c r="H1204" s="7" t="s">
        <v>17</v>
      </c>
      <c r="I1204" s="7" t="s">
        <v>17</v>
      </c>
      <c r="J1204" s="7" t="s">
        <v>843</v>
      </c>
    </row>
    <row r="1205" spans="1:10" x14ac:dyDescent="0.25" outlineLevel="1" collapsed="1">
      <c r="A1205" s="8" t="s">
        <v>15</v>
      </c>
      <c r="B1205" s="9" t="s">
        <v>2720</v>
      </c>
      <c r="C1205" s="8" t="s">
        <v>17</v>
      </c>
      <c r="D1205" s="8"/>
      <c r="E1205" s="8" t="s">
        <v>2721</v>
      </c>
      <c r="F1205" s="8" t="s">
        <v>19</v>
      </c>
      <c r="G1205" s="8" t="s">
        <v>17</v>
      </c>
      <c r="H1205" s="8" t="s">
        <v>17</v>
      </c>
      <c r="I1205" s="8" t="s">
        <v>17</v>
      </c>
      <c r="J1205" s="8" t="s">
        <v>2722</v>
      </c>
    </row>
    <row r="1206" spans="1:10" x14ac:dyDescent="0.25" outlineLevel="2" collapsed="1">
      <c r="A1206" s="7" t="s">
        <v>15</v>
      </c>
      <c r="B1206" s="7" t="s">
        <v>284</v>
      </c>
      <c r="C1206" s="11" t="s">
        <v>2723</v>
      </c>
      <c r="D1206" s="7"/>
      <c r="E1206" s="7" t="s">
        <v>2724</v>
      </c>
      <c r="F1206" s="7" t="s">
        <v>19</v>
      </c>
      <c r="G1206" s="7" t="s">
        <v>2725</v>
      </c>
      <c r="H1206" s="7" t="s">
        <v>17</v>
      </c>
      <c r="I1206" s="7" t="s">
        <v>17</v>
      </c>
      <c r="J1206" s="7" t="s">
        <v>1933</v>
      </c>
    </row>
    <row r="1207" spans="1:10" x14ac:dyDescent="0.25" outlineLevel="2" collapsed="1">
      <c r="A1207" s="7" t="s">
        <v>19</v>
      </c>
      <c r="B1207" s="7" t="s">
        <v>63</v>
      </c>
      <c r="C1207" s="7" t="s">
        <v>17</v>
      </c>
      <c r="D1207" s="7">
        <f>EXACT(G1206,"0.95 - AMS-I.E net-to-gross default")</f>
      </c>
      <c r="E1207" s="7" t="s">
        <v>2726</v>
      </c>
      <c r="F1207" s="7" t="s">
        <v>19</v>
      </c>
      <c r="G1207" s="7">
        <v>1</v>
      </c>
      <c r="H1207" s="7" t="s">
        <v>17</v>
      </c>
      <c r="I1207" s="7" t="s">
        <v>17</v>
      </c>
      <c r="J1207" s="7" t="s">
        <v>2727</v>
      </c>
    </row>
    <row r="1208" spans="1:10" x14ac:dyDescent="0.25" outlineLevel="2" collapsed="1">
      <c r="A1208" s="7" t="s">
        <v>19</v>
      </c>
      <c r="B1208" s="7" t="s">
        <v>63</v>
      </c>
      <c r="C1208" s="7" t="s">
        <v>17</v>
      </c>
      <c r="D1208" s="7">
        <f>EXACT(G1206,"Survey-based value (90/30)")</f>
      </c>
      <c r="E1208" s="7" t="s">
        <v>2728</v>
      </c>
      <c r="F1208" s="7" t="s">
        <v>19</v>
      </c>
      <c r="G1208" s="7">
        <v>1</v>
      </c>
      <c r="H1208" s="7" t="s">
        <v>17</v>
      </c>
      <c r="I1208" s="7" t="s">
        <v>17</v>
      </c>
      <c r="J1208" s="7" t="s">
        <v>2729</v>
      </c>
    </row>
    <row r="1209" spans="1:10" x14ac:dyDescent="0.25" outlineLevel="2" collapsed="1">
      <c r="A1209" s="7" t="s">
        <v>19</v>
      </c>
      <c r="B1209" s="7" t="s">
        <v>16</v>
      </c>
      <c r="C1209" s="7" t="s">
        <v>17</v>
      </c>
      <c r="D1209" s="7">
        <f>EXACT(G1206,"Survey-based value (90/30)")</f>
      </c>
      <c r="E1209" s="7" t="s">
        <v>2730</v>
      </c>
      <c r="F1209" s="7" t="s">
        <v>19</v>
      </c>
      <c r="G1209" s="7" t="s">
        <v>31</v>
      </c>
      <c r="H1209" s="7" t="s">
        <v>17</v>
      </c>
      <c r="I1209" s="7" t="s">
        <v>17</v>
      </c>
      <c r="J1209" s="7" t="s">
        <v>2731</v>
      </c>
    </row>
    <row r="1210" spans="1:10" x14ac:dyDescent="0.25" outlineLevel="2" collapsed="1">
      <c r="A1210" s="7" t="s">
        <v>15</v>
      </c>
      <c r="B1210" s="7" t="s">
        <v>159</v>
      </c>
      <c r="C1210" s="7" t="s">
        <v>17</v>
      </c>
      <c r="D1210" s="7"/>
      <c r="E1210" s="7" t="s">
        <v>2732</v>
      </c>
      <c r="F1210" s="7" t="s">
        <v>19</v>
      </c>
      <c r="G1210" s="7" t="b">
        <v>1</v>
      </c>
      <c r="H1210" s="7" t="s">
        <v>17</v>
      </c>
      <c r="I1210" s="7" t="s">
        <v>17</v>
      </c>
      <c r="J1210" s="7" t="s">
        <v>2733</v>
      </c>
    </row>
    <row r="1211" spans="1:10" x14ac:dyDescent="0.25" outlineLevel="1" collapsed="1">
      <c r="A1211" s="8" t="s">
        <v>15</v>
      </c>
      <c r="B1211" s="9" t="s">
        <v>2734</v>
      </c>
      <c r="C1211" s="8" t="s">
        <v>17</v>
      </c>
      <c r="D1211" s="8"/>
      <c r="E1211" s="8" t="s">
        <v>2404</v>
      </c>
      <c r="F1211" s="8" t="s">
        <v>19</v>
      </c>
      <c r="G1211" s="8" t="s">
        <v>17</v>
      </c>
      <c r="H1211" s="8" t="s">
        <v>17</v>
      </c>
      <c r="I1211" s="8" t="s">
        <v>17</v>
      </c>
      <c r="J1211" s="8" t="s">
        <v>2405</v>
      </c>
    </row>
    <row r="1212" spans="1:10" x14ac:dyDescent="0.25" outlineLevel="2" collapsed="1">
      <c r="A1212" s="7" t="s">
        <v>15</v>
      </c>
      <c r="B1212" s="7" t="s">
        <v>284</v>
      </c>
      <c r="C1212" s="11" t="s">
        <v>2735</v>
      </c>
      <c r="D1212" s="7"/>
      <c r="E1212" s="7" t="s">
        <v>2736</v>
      </c>
      <c r="F1212" s="7" t="s">
        <v>19</v>
      </c>
      <c r="G1212" s="7" t="s">
        <v>2737</v>
      </c>
      <c r="H1212" s="7" t="s">
        <v>17</v>
      </c>
      <c r="I1212" s="7" t="s">
        <v>17</v>
      </c>
      <c r="J1212" s="7" t="s">
        <v>2738</v>
      </c>
    </row>
    <row r="1213" spans="1:10" x14ac:dyDescent="0.25" outlineLevel="2" collapsed="1">
      <c r="A1213" s="7" t="s">
        <v>19</v>
      </c>
      <c r="B1213" s="7" t="s">
        <v>284</v>
      </c>
      <c r="C1213" s="11" t="s">
        <v>2739</v>
      </c>
      <c r="D1213" s="7">
        <f>EXACT(G1212,"VT0008 (any scale)")</f>
      </c>
      <c r="E1213" s="7" t="s">
        <v>2740</v>
      </c>
      <c r="F1213" s="7" t="s">
        <v>19</v>
      </c>
      <c r="G1213" s="7" t="s">
        <v>2741</v>
      </c>
      <c r="H1213" s="7" t="s">
        <v>17</v>
      </c>
      <c r="I1213" s="7" t="s">
        <v>17</v>
      </c>
      <c r="J1213" s="7" t="s">
        <v>2742</v>
      </c>
    </row>
    <row r="1214" spans="1:10" x14ac:dyDescent="0.25" outlineLevel="2" collapsed="1">
      <c r="A1214" s="7" t="s">
        <v>19</v>
      </c>
      <c r="B1214" s="7" t="s">
        <v>63</v>
      </c>
      <c r="C1214" s="7" t="s">
        <v>17</v>
      </c>
      <c r="D1214" s="7"/>
      <c r="E1214" s="7" t="s">
        <v>2743</v>
      </c>
      <c r="F1214" s="7" t="s">
        <v>19</v>
      </c>
      <c r="G1214" s="7">
        <v>1</v>
      </c>
      <c r="H1214" s="7" t="s">
        <v>17</v>
      </c>
      <c r="I1214" s="7" t="s">
        <v>17</v>
      </c>
      <c r="J1214" s="7" t="s">
        <v>2744</v>
      </c>
    </row>
    <row r="1215" spans="1:10" x14ac:dyDescent="0.25" outlineLevel="2" collapsed="1">
      <c r="A1215" s="7" t="s">
        <v>19</v>
      </c>
      <c r="B1215" s="7" t="s">
        <v>63</v>
      </c>
      <c r="C1215" s="7" t="s">
        <v>17</v>
      </c>
      <c r="D1215" s="7"/>
      <c r="E1215" s="7" t="s">
        <v>2745</v>
      </c>
      <c r="F1215" s="7" t="s">
        <v>19</v>
      </c>
      <c r="G1215" s="7">
        <v>1</v>
      </c>
      <c r="H1215" s="7" t="s">
        <v>17</v>
      </c>
      <c r="I1215" s="7" t="s">
        <v>17</v>
      </c>
      <c r="J1215" s="7" t="s">
        <v>2746</v>
      </c>
    </row>
    <row r="1216" spans="1:10" x14ac:dyDescent="0.25" outlineLevel="2" collapsed="1">
      <c r="A1216" s="7" t="s">
        <v>19</v>
      </c>
      <c r="B1216" s="7" t="s">
        <v>63</v>
      </c>
      <c r="C1216" s="7" t="s">
        <v>17</v>
      </c>
      <c r="D1216" s="7"/>
      <c r="E1216" s="7" t="s">
        <v>2747</v>
      </c>
      <c r="F1216" s="7" t="s">
        <v>19</v>
      </c>
      <c r="G1216" s="7">
        <v>1</v>
      </c>
      <c r="H1216" s="7" t="s">
        <v>17</v>
      </c>
      <c r="I1216" s="7" t="s">
        <v>17</v>
      </c>
      <c r="J1216" s="7" t="s">
        <v>2748</v>
      </c>
    </row>
    <row r="1217" spans="1:10" x14ac:dyDescent="0.25" outlineLevel="2" collapsed="1">
      <c r="A1217" s="7" t="s">
        <v>19</v>
      </c>
      <c r="B1217" s="7" t="s">
        <v>63</v>
      </c>
      <c r="C1217" s="7" t="s">
        <v>17</v>
      </c>
      <c r="D1217" s="7"/>
      <c r="E1217" s="7" t="s">
        <v>2749</v>
      </c>
      <c r="F1217" s="7" t="s">
        <v>19</v>
      </c>
      <c r="G1217" s="7">
        <v>1</v>
      </c>
      <c r="H1217" s="7" t="s">
        <v>17</v>
      </c>
      <c r="I1217" s="7" t="s">
        <v>17</v>
      </c>
      <c r="J1217" s="7" t="s">
        <v>2750</v>
      </c>
    </row>
    <row r="1218" spans="1:10" x14ac:dyDescent="0.25" outlineLevel="2" collapsed="1">
      <c r="A1218" s="7" t="s">
        <v>19</v>
      </c>
      <c r="B1218" s="7" t="s">
        <v>63</v>
      </c>
      <c r="C1218" s="7" t="s">
        <v>17</v>
      </c>
      <c r="D1218" s="7"/>
      <c r="E1218" s="7" t="s">
        <v>2751</v>
      </c>
      <c r="F1218" s="7" t="s">
        <v>19</v>
      </c>
      <c r="G1218" s="7">
        <v>1</v>
      </c>
      <c r="H1218" s="7" t="s">
        <v>17</v>
      </c>
      <c r="I1218" s="7" t="s">
        <v>17</v>
      </c>
      <c r="J1218" s="7" t="s">
        <v>2752</v>
      </c>
    </row>
    <row r="1219" spans="1:10" x14ac:dyDescent="0.25" outlineLevel="2" collapsed="1">
      <c r="A1219" s="7" t="s">
        <v>19</v>
      </c>
      <c r="B1219" s="7" t="s">
        <v>63</v>
      </c>
      <c r="C1219" s="7" t="s">
        <v>17</v>
      </c>
      <c r="D1219" s="7"/>
      <c r="E1219" s="7" t="s">
        <v>2753</v>
      </c>
      <c r="F1219" s="7" t="s">
        <v>19</v>
      </c>
      <c r="G1219" s="7">
        <v>1</v>
      </c>
      <c r="H1219" s="7" t="s">
        <v>17</v>
      </c>
      <c r="I1219" s="7" t="s">
        <v>17</v>
      </c>
      <c r="J1219" s="7" t="s">
        <v>2754</v>
      </c>
    </row>
    <row r="1220" spans="1:10" x14ac:dyDescent="0.25" outlineLevel="2" collapsed="1">
      <c r="A1220" s="7" t="s">
        <v>19</v>
      </c>
      <c r="B1220" s="7" t="s">
        <v>63</v>
      </c>
      <c r="C1220" s="7" t="s">
        <v>17</v>
      </c>
      <c r="D1220" s="7"/>
      <c r="E1220" s="7" t="s">
        <v>2755</v>
      </c>
      <c r="F1220" s="7" t="s">
        <v>19</v>
      </c>
      <c r="G1220" s="7">
        <v>1</v>
      </c>
      <c r="H1220" s="7" t="s">
        <v>17</v>
      </c>
      <c r="I1220" s="7" t="s">
        <v>17</v>
      </c>
      <c r="J1220" s="7" t="s">
        <v>2756</v>
      </c>
    </row>
    <row r="1221" spans="1:10" x14ac:dyDescent="0.25" outlineLevel="2" collapsed="1">
      <c r="A1221" s="7" t="s">
        <v>19</v>
      </c>
      <c r="B1221" s="7" t="s">
        <v>63</v>
      </c>
      <c r="C1221" s="7" t="s">
        <v>17</v>
      </c>
      <c r="D1221" s="7">
        <f>EXACT(G1212,"VT0008 (any scale)")</f>
      </c>
      <c r="E1221" s="7" t="s">
        <v>2757</v>
      </c>
      <c r="F1221" s="7" t="s">
        <v>19</v>
      </c>
      <c r="G1221" s="7">
        <v>1</v>
      </c>
      <c r="H1221" s="7" t="s">
        <v>17</v>
      </c>
      <c r="I1221" s="7" t="s">
        <v>17</v>
      </c>
      <c r="J1221" s="7" t="s">
        <v>2758</v>
      </c>
    </row>
    <row r="1222" spans="1:10" x14ac:dyDescent="0.25" outlineLevel="2" collapsed="1">
      <c r="A1222" s="7" t="s">
        <v>19</v>
      </c>
      <c r="B1222" s="7" t="s">
        <v>63</v>
      </c>
      <c r="C1222" s="7" t="s">
        <v>17</v>
      </c>
      <c r="D1222" s="7">
        <f>EXACT(G1212,"VT0008 (any scale)")</f>
      </c>
      <c r="E1222" s="7" t="s">
        <v>2759</v>
      </c>
      <c r="F1222" s="7" t="s">
        <v>19</v>
      </c>
      <c r="G1222" s="7">
        <v>1</v>
      </c>
      <c r="H1222" s="7" t="s">
        <v>17</v>
      </c>
      <c r="I1222" s="7" t="s">
        <v>17</v>
      </c>
      <c r="J1222" s="7" t="s">
        <v>2760</v>
      </c>
    </row>
    <row r="1223" spans="1:10" x14ac:dyDescent="0.25" outlineLevel="2" collapsed="1">
      <c r="A1223" s="7" t="s">
        <v>19</v>
      </c>
      <c r="B1223" s="7" t="s">
        <v>284</v>
      </c>
      <c r="C1223" s="11" t="s">
        <v>2761</v>
      </c>
      <c r="D1223" s="7">
        <f>EXACT(G1212,"TOOL19 (max annual ER &lt;= 20 000 t CO2e; LDC/SIDS/SUZ location route)")</f>
      </c>
      <c r="E1223" s="7" t="s">
        <v>2762</v>
      </c>
      <c r="F1223" s="7" t="s">
        <v>19</v>
      </c>
      <c r="G1223" s="7" t="s">
        <v>2763</v>
      </c>
      <c r="H1223" s="7" t="s">
        <v>17</v>
      </c>
      <c r="I1223" s="7" t="s">
        <v>17</v>
      </c>
      <c r="J1223" s="7" t="s">
        <v>2764</v>
      </c>
    </row>
    <row r="1224" spans="1:10" x14ac:dyDescent="0.25" outlineLevel="2" collapsed="1">
      <c r="A1224" s="7" t="s">
        <v>15</v>
      </c>
      <c r="B1224" s="7" t="s">
        <v>16</v>
      </c>
      <c r="C1224" s="7" t="s">
        <v>17</v>
      </c>
      <c r="D1224" s="7"/>
      <c r="E1224" s="7" t="s">
        <v>2765</v>
      </c>
      <c r="F1224" s="7" t="s">
        <v>19</v>
      </c>
      <c r="G1224" s="7" t="s">
        <v>31</v>
      </c>
      <c r="H1224" s="7" t="s">
        <v>17</v>
      </c>
      <c r="I1224" s="7" t="s">
        <v>17</v>
      </c>
      <c r="J1224" s="7" t="s">
        <v>2766</v>
      </c>
    </row>
    <row r="1225" spans="1:10" x14ac:dyDescent="0.25" outlineLevel="1" collapsed="1">
      <c r="A1225" s="7" t="s">
        <v>15</v>
      </c>
      <c r="B1225" s="7" t="s">
        <v>63</v>
      </c>
      <c r="C1225" s="7" t="s">
        <v>17</v>
      </c>
      <c r="D1225" s="7"/>
      <c r="E1225" s="7" t="s">
        <v>2767</v>
      </c>
      <c r="F1225" s="7" t="s">
        <v>19</v>
      </c>
      <c r="G1225" s="7">
        <v>1</v>
      </c>
      <c r="H1225" s="7" t="s">
        <v>17</v>
      </c>
      <c r="I1225" s="7" t="s">
        <v>17</v>
      </c>
      <c r="J1225" s="7" t="s">
        <v>2768</v>
      </c>
    </row>
    <row r="1226" spans="1:10" x14ac:dyDescent="0.25" outlineLevel="1" collapsed="1">
      <c r="A1226" s="8" t="s">
        <v>19</v>
      </c>
      <c r="B1226" s="9" t="s">
        <v>1991</v>
      </c>
      <c r="C1226" s="8" t="s">
        <v>17</v>
      </c>
      <c r="D1226" s="8"/>
      <c r="E1226" s="8" t="s">
        <v>2769</v>
      </c>
      <c r="F1226" s="8" t="s">
        <v>15</v>
      </c>
      <c r="G1226" s="8" t="s">
        <v>17</v>
      </c>
      <c r="H1226" s="8" t="s">
        <v>17</v>
      </c>
      <c r="I1226" s="8" t="s">
        <v>17</v>
      </c>
      <c r="J1226" s="8" t="s">
        <v>1993</v>
      </c>
    </row>
    <row r="1227" spans="1:10" x14ac:dyDescent="0.25" outlineLevel="2" collapsed="1">
      <c r="A1227" s="7" t="s">
        <v>15</v>
      </c>
      <c r="B1227" s="7" t="s">
        <v>284</v>
      </c>
      <c r="C1227" s="11" t="s">
        <v>1994</v>
      </c>
      <c r="D1227" s="7"/>
      <c r="E1227" s="7" t="s">
        <v>1995</v>
      </c>
      <c r="F1227" s="7" t="s">
        <v>19</v>
      </c>
      <c r="G1227" s="7" t="s">
        <v>1996</v>
      </c>
      <c r="H1227" s="7" t="s">
        <v>17</v>
      </c>
      <c r="I1227" s="7" t="s">
        <v>17</v>
      </c>
      <c r="J1227" s="7" t="s">
        <v>1997</v>
      </c>
    </row>
    <row r="1228" spans="1:10" x14ac:dyDescent="0.25" outlineLevel="2" collapsed="1">
      <c r="A1228" s="7" t="s">
        <v>15</v>
      </c>
      <c r="B1228" s="7" t="s">
        <v>16</v>
      </c>
      <c r="C1228" s="7" t="s">
        <v>17</v>
      </c>
      <c r="D1228" s="7"/>
      <c r="E1228" s="7" t="s">
        <v>1998</v>
      </c>
      <c r="F1228" s="7" t="s">
        <v>19</v>
      </c>
      <c r="G1228" s="7" t="s">
        <v>1999</v>
      </c>
      <c r="H1228" s="7" t="s">
        <v>17</v>
      </c>
      <c r="I1228" s="7" t="s">
        <v>17</v>
      </c>
      <c r="J1228" s="7" t="s">
        <v>1844</v>
      </c>
    </row>
    <row r="1229" spans="1:10" x14ac:dyDescent="0.25" outlineLevel="2" collapsed="1">
      <c r="A1229" s="7" t="s">
        <v>15</v>
      </c>
      <c r="B1229" s="7" t="s">
        <v>159</v>
      </c>
      <c r="C1229" s="7" t="s">
        <v>17</v>
      </c>
      <c r="D1229" s="7"/>
      <c r="E1229" s="7" t="s">
        <v>2000</v>
      </c>
      <c r="F1229" s="7" t="s">
        <v>19</v>
      </c>
      <c r="G1229" s="7" t="b">
        <v>1</v>
      </c>
      <c r="H1229" s="7" t="s">
        <v>17</v>
      </c>
      <c r="I1229" s="7" t="s">
        <v>17</v>
      </c>
      <c r="J1229" s="7" t="s">
        <v>2001</v>
      </c>
    </row>
    <row r="1230" spans="1:10" x14ac:dyDescent="0.25" outlineLevel="2" collapsed="1">
      <c r="A1230" s="7" t="s">
        <v>15</v>
      </c>
      <c r="B1230" s="7" t="s">
        <v>63</v>
      </c>
      <c r="C1230" s="7" t="s">
        <v>17</v>
      </c>
      <c r="D1230" s="7"/>
      <c r="E1230" s="7" t="s">
        <v>2002</v>
      </c>
      <c r="F1230" s="7" t="s">
        <v>19</v>
      </c>
      <c r="G1230" s="7">
        <v>100</v>
      </c>
      <c r="H1230" s="7" t="s">
        <v>17</v>
      </c>
      <c r="I1230" s="7" t="s">
        <v>17</v>
      </c>
      <c r="J1230" s="7" t="s">
        <v>2003</v>
      </c>
    </row>
    <row r="1231" spans="1:10" x14ac:dyDescent="0.25" outlineLevel="2" collapsed="1">
      <c r="A1231" s="7" t="s">
        <v>15</v>
      </c>
      <c r="B1231" s="7" t="s">
        <v>63</v>
      </c>
      <c r="C1231" s="7" t="s">
        <v>17</v>
      </c>
      <c r="D1231" s="7"/>
      <c r="E1231" s="7" t="s">
        <v>2004</v>
      </c>
      <c r="F1231" s="7" t="s">
        <v>19</v>
      </c>
      <c r="G1231" s="7">
        <v>0</v>
      </c>
      <c r="H1231" s="7" t="s">
        <v>17</v>
      </c>
      <c r="I1231" s="7" t="s">
        <v>17</v>
      </c>
      <c r="J1231" s="7" t="s">
        <v>2005</v>
      </c>
    </row>
    <row r="1232" spans="1:10" x14ac:dyDescent="0.25" outlineLevel="2" collapsed="1">
      <c r="A1232" s="7" t="s">
        <v>19</v>
      </c>
      <c r="B1232" s="7" t="s">
        <v>63</v>
      </c>
      <c r="C1232" s="7" t="s">
        <v>17</v>
      </c>
      <c r="D1232" s="7"/>
      <c r="E1232" s="7" t="s">
        <v>2006</v>
      </c>
      <c r="F1232" s="7" t="s">
        <v>19</v>
      </c>
      <c r="G1232" s="7">
        <v>0</v>
      </c>
      <c r="H1232" s="7" t="s">
        <v>17</v>
      </c>
      <c r="I1232" s="7" t="s">
        <v>17</v>
      </c>
      <c r="J1232" s="7" t="s">
        <v>2007</v>
      </c>
    </row>
    <row r="1233" spans="1:10" x14ac:dyDescent="0.25" outlineLevel="2" collapsed="1">
      <c r="A1233" s="7" t="s">
        <v>19</v>
      </c>
      <c r="B1233" s="7" t="s">
        <v>16</v>
      </c>
      <c r="C1233" s="7" t="s">
        <v>17</v>
      </c>
      <c r="D1233" s="7"/>
      <c r="E1233" s="7" t="s">
        <v>2008</v>
      </c>
      <c r="F1233" s="7" t="s">
        <v>19</v>
      </c>
      <c r="G1233" s="7" t="s">
        <v>2009</v>
      </c>
      <c r="H1233" s="7" t="s">
        <v>17</v>
      </c>
      <c r="I1233" s="7" t="s">
        <v>17</v>
      </c>
      <c r="J1233" s="7" t="s">
        <v>2010</v>
      </c>
    </row>
  </sheetData>
  <mergeCells count="3">
    <mergeCell ref="A1:J1"/>
    <mergeCell ref="B2:J2"/>
    <mergeCell ref="B3:J3"/>
  </mergeCells>
  <dataValidations count="126">
    <dataValidation type="list" allowBlank="1" sqref="G1001:I1001">
      <formula1>'Enums'!C587:C588</formula1>
    </dataValidation>
    <dataValidation type="list" allowBlank="1" sqref="G1005:I1005">
      <formula1>'Enums'!C589:C593</formula1>
    </dataValidation>
    <dataValidation type="list" allowBlank="1" sqref="G1017:I1017">
      <formula1>'Enums'!C587:C588</formula1>
    </dataValidation>
    <dataValidation type="list" allowBlank="1" sqref="G1021:I1021">
      <formula1>'Enums'!C589:C593</formula1>
    </dataValidation>
    <dataValidation type="list" allowBlank="1" sqref="G1033:I1033">
      <formula1>'Enums'!C587:C588</formula1>
    </dataValidation>
    <dataValidation type="list" allowBlank="1" sqref="G1037:I1037">
      <formula1>'Enums'!C589:C593</formula1>
    </dataValidation>
    <dataValidation type="list" allowBlank="1" sqref="G104:I104">
      <formula1>'Enums'!C286:C287</formula1>
    </dataValidation>
    <dataValidation type="list" allowBlank="1" sqref="G1049:I1049">
      <formula1>'Enums'!C587:C588</formula1>
    </dataValidation>
    <dataValidation type="list" allowBlank="1" sqref="G1053:I1053">
      <formula1>'Enums'!C589:C593</formula1>
    </dataValidation>
    <dataValidation type="list" allowBlank="1" sqref="G1065:I1065">
      <formula1>'Enums'!C587:C588</formula1>
    </dataValidation>
    <dataValidation type="list" allowBlank="1" sqref="G1069:I1069">
      <formula1>'Enums'!C589:C593</formula1>
    </dataValidation>
    <dataValidation type="list" allowBlank="1" sqref="G1081:I1081">
      <formula1>'Enums'!C587:C588</formula1>
    </dataValidation>
    <dataValidation type="list" allowBlank="1" sqref="G1085:I1085">
      <formula1>'Enums'!C589:C593</formula1>
    </dataValidation>
    <dataValidation type="list" allowBlank="1" sqref="G1097:I1097">
      <formula1>'Enums'!C587:C588</formula1>
    </dataValidation>
    <dataValidation type="list" allowBlank="1" sqref="G1101:I1101">
      <formula1>'Enums'!C589:C593</formula1>
    </dataValidation>
    <dataValidation type="list" allowBlank="1" sqref="G1133:I1133">
      <formula1>'Enums'!C587:C588</formula1>
    </dataValidation>
    <dataValidation type="list" allowBlank="1" sqref="G1137:I1137">
      <formula1>'Enums'!C589:C593</formula1>
    </dataValidation>
    <dataValidation type="list" allowBlank="1" sqref="G1144:I1144">
      <formula1>'Enums'!C657:C659</formula1>
    </dataValidation>
    <dataValidation type="list" allowBlank="1" sqref="G1149:I1149">
      <formula1>'Enums'!C660:C662</formula1>
    </dataValidation>
    <dataValidation type="list" allowBlank="1" sqref="G1158:I1158">
      <formula1>'Enums'!C663:C664</formula1>
    </dataValidation>
    <dataValidation type="list" allowBlank="1" sqref="G1159:I1159">
      <formula1>'Enums'!C665:C671</formula1>
    </dataValidation>
    <dataValidation type="list" allowBlank="1" sqref="G1160:I1160">
      <formula1>'Enums'!C672:C676</formula1>
    </dataValidation>
    <dataValidation type="list" allowBlank="1" sqref="G1164:I1164">
      <formula1>'Enums'!C677:C679</formula1>
    </dataValidation>
    <dataValidation type="list" allowBlank="1" sqref="G1173:I1173">
      <formula1>'Enums'!C680:C684</formula1>
    </dataValidation>
    <dataValidation type="list" allowBlank="1" sqref="G1176:I1176">
      <formula1>'Enums'!C685:C686</formula1>
    </dataValidation>
    <dataValidation type="list" allowBlank="1" sqref="G1177:I1177">
      <formula1>'Enums'!C687:C689</formula1>
    </dataValidation>
    <dataValidation type="list" allowBlank="1" sqref="G1183:I1183">
      <formula1>'Enums'!C753:C755</formula1>
    </dataValidation>
    <dataValidation type="list" allowBlank="1" sqref="G1184:I1184">
      <formula1>'Enums'!C756:C758</formula1>
    </dataValidation>
    <dataValidation type="list" allowBlank="1" sqref="G1187:I1187">
      <formula1>'Enums'!C759:C760</formula1>
    </dataValidation>
    <dataValidation type="list" allowBlank="1" sqref="G1192:I1192">
      <formula1>'Enums'!C761:C762</formula1>
    </dataValidation>
    <dataValidation type="list" allowBlank="1" sqref="G1201:I1201">
      <formula1>'Enums'!C802:C810</formula1>
    </dataValidation>
    <dataValidation type="list" allowBlank="1" sqref="G1206:I1206">
      <formula1>'Enums'!C709:C710</formula1>
    </dataValidation>
    <dataValidation type="list" allowBlank="1" sqref="G1212:I1212">
      <formula1>'Enums'!C711:C713</formula1>
    </dataValidation>
    <dataValidation type="list" allowBlank="1" sqref="G1213:I1213">
      <formula1>'Enums'!C714:C717</formula1>
    </dataValidation>
    <dataValidation type="list" allowBlank="1" sqref="G1223:I1223">
      <formula1>'Enums'!C718:C720</formula1>
    </dataValidation>
    <dataValidation type="list" allowBlank="1" sqref="G1227:I1227">
      <formula1>'Enums'!C811:C812</formula1>
    </dataValidation>
    <dataValidation type="list" allowBlank="1" sqref="G275:I275">
      <formula1>'Enums'!C288:C290</formula1>
    </dataValidation>
    <dataValidation type="list" allowBlank="1" sqref="G277:I277">
      <formula1>'Enums'!C291:C293</formula1>
    </dataValidation>
    <dataValidation type="list" allowBlank="1" sqref="G279:I279">
      <formula1>'Enums'!C294:C296</formula1>
    </dataValidation>
    <dataValidation type="list" allowBlank="1" sqref="G281:I281">
      <formula1>'Enums'!C297:C298</formula1>
    </dataValidation>
    <dataValidation type="list" allowBlank="1" sqref="G283:I283">
      <formula1>'Enums'!C299:C301</formula1>
    </dataValidation>
    <dataValidation type="list" allowBlank="1" sqref="G285:I285">
      <formula1>'Enums'!C302:C303</formula1>
    </dataValidation>
    <dataValidation type="list" allowBlank="1" sqref="G287:I287">
      <formula1>'Enums'!C304:C305</formula1>
    </dataValidation>
    <dataValidation type="list" allowBlank="1" sqref="G307:I307">
      <formula1>'Enums'!C802:C810</formula1>
    </dataValidation>
    <dataValidation type="list" allowBlank="1" sqref="G459:I459">
      <formula1>'Enums'!C607:C608</formula1>
    </dataValidation>
    <dataValidation type="list" allowBlank="1" sqref="G462:I462">
      <formula1>'Enums'!C609:C613</formula1>
    </dataValidation>
    <dataValidation type="list" allowBlank="1" sqref="G471:I471">
      <formula1>'Enums'!C607:C608</formula1>
    </dataValidation>
    <dataValidation type="list" allowBlank="1" sqref="G474:I474">
      <formula1>'Enums'!C609:C613</formula1>
    </dataValidation>
    <dataValidation type="list" allowBlank="1" sqref="G483:I483">
      <formula1>'Enums'!C607:C608</formula1>
    </dataValidation>
    <dataValidation type="list" allowBlank="1" sqref="G486:I486">
      <formula1>'Enums'!C609:C613</formula1>
    </dataValidation>
    <dataValidation type="list" allowBlank="1" sqref="G495:I495">
      <formula1>'Enums'!C607:C608</formula1>
    </dataValidation>
    <dataValidation type="list" allowBlank="1" sqref="G498:I498">
      <formula1>'Enums'!C609:C613</formula1>
    </dataValidation>
    <dataValidation type="list" allowBlank="1" sqref="G5:I5">
      <formula1>'Enums'!C122:C122</formula1>
    </dataValidation>
    <dataValidation type="list" allowBlank="1" sqref="G507:I507">
      <formula1>'Enums'!C607:C608</formula1>
    </dataValidation>
    <dataValidation type="list" allowBlank="1" sqref="G510:I510">
      <formula1>'Enums'!C609:C613</formula1>
    </dataValidation>
    <dataValidation type="list" allowBlank="1" sqref="G519:I519">
      <formula1>'Enums'!C607:C608</formula1>
    </dataValidation>
    <dataValidation type="list" allowBlank="1" sqref="G522:I522">
      <formula1>'Enums'!C609:C613</formula1>
    </dataValidation>
    <dataValidation type="list" allowBlank="1" sqref="G531:I531">
      <formula1>'Enums'!C607:C608</formula1>
    </dataValidation>
    <dataValidation type="list" allowBlank="1" sqref="G534:I534">
      <formula1>'Enums'!C609:C613</formula1>
    </dataValidation>
    <dataValidation type="list" allowBlank="1" sqref="G543:I543">
      <formula1>'Enums'!C607:C608</formula1>
    </dataValidation>
    <dataValidation type="list" allowBlank="1" sqref="G546:I546">
      <formula1>'Enums'!C609:C613</formula1>
    </dataValidation>
    <dataValidation type="list" allowBlank="1" sqref="G555:I555">
      <formula1>'Enums'!C607:C608</formula1>
    </dataValidation>
    <dataValidation type="list" allowBlank="1" sqref="G558:I558">
      <formula1>'Enums'!C609:C613</formula1>
    </dataValidation>
    <dataValidation type="list" allowBlank="1" sqref="G560:I560">
      <formula1>'Enums'!C614:C615</formula1>
    </dataValidation>
    <dataValidation type="list" allowBlank="1" sqref="G568:I568">
      <formula1>'Enums'!C607:C608</formula1>
    </dataValidation>
    <dataValidation type="list" allowBlank="1" sqref="G571:I571">
      <formula1>'Enums'!C609:C613</formula1>
    </dataValidation>
    <dataValidation type="list" allowBlank="1" sqref="G580:I580">
      <formula1>'Enums'!C607:C608</formula1>
    </dataValidation>
    <dataValidation type="list" allowBlank="1" sqref="G583:I583">
      <formula1>'Enums'!C609:C613</formula1>
    </dataValidation>
    <dataValidation type="list" allowBlank="1" sqref="G592:I592">
      <formula1>'Enums'!C607:C608</formula1>
    </dataValidation>
    <dataValidation type="list" allowBlank="1" sqref="G595:I595">
      <formula1>'Enums'!C609:C613</formula1>
    </dataValidation>
    <dataValidation type="list" allowBlank="1" sqref="G6:I6">
      <formula1>'Enums'!C123:C123</formula1>
    </dataValidation>
    <dataValidation type="list" allowBlank="1" sqref="G604:I604">
      <formula1>'Enums'!C607:C608</formula1>
    </dataValidation>
    <dataValidation type="list" allowBlank="1" sqref="G607:I607">
      <formula1>'Enums'!C609:C613</formula1>
    </dataValidation>
    <dataValidation type="list" allowBlank="1" sqref="G616:I616">
      <formula1>'Enums'!C607:C608</formula1>
    </dataValidation>
    <dataValidation type="list" allowBlank="1" sqref="G619:I619">
      <formula1>'Enums'!C609:C613</formula1>
    </dataValidation>
    <dataValidation type="list" allowBlank="1" sqref="G629:I629">
      <formula1>'Enums'!C607:C608</formula1>
    </dataValidation>
    <dataValidation type="list" allowBlank="1" sqref="G632:I632">
      <formula1>'Enums'!C609:C613</formula1>
    </dataValidation>
    <dataValidation type="list" allowBlank="1" sqref="G642:I642">
      <formula1>'Enums'!C607:C608</formula1>
    </dataValidation>
    <dataValidation type="list" allowBlank="1" sqref="G645:I645">
      <formula1>'Enums'!C609:C613</formula1>
    </dataValidation>
    <dataValidation type="list" allowBlank="1" sqref="G654:I654">
      <formula1>'Enums'!C607:C608</formula1>
    </dataValidation>
    <dataValidation type="list" allowBlank="1" sqref="G657:I657">
      <formula1>'Enums'!C609:C613</formula1>
    </dataValidation>
    <dataValidation type="list" allowBlank="1" sqref="G667:I667">
      <formula1>'Enums'!C607:C608</formula1>
    </dataValidation>
    <dataValidation type="list" allowBlank="1" sqref="G670:I670">
      <formula1>'Enums'!C609:C613</formula1>
    </dataValidation>
    <dataValidation type="list" allowBlank="1" sqref="G682:I682">
      <formula1>'Enums'!C587:C588</formula1>
    </dataValidation>
    <dataValidation type="list" allowBlank="1" sqref="G686:I686">
      <formula1>'Enums'!C589:C593</formula1>
    </dataValidation>
    <dataValidation type="list" allowBlank="1" sqref="G698:I698">
      <formula1>'Enums'!C587:C588</formula1>
    </dataValidation>
    <dataValidation type="list" allowBlank="1" sqref="G702:I702">
      <formula1>'Enums'!C589:C593</formula1>
    </dataValidation>
    <dataValidation type="list" allowBlank="1" sqref="G714:I714">
      <formula1>'Enums'!C587:C588</formula1>
    </dataValidation>
    <dataValidation type="list" allowBlank="1" sqref="G718:I718">
      <formula1>'Enums'!C589:C593</formula1>
    </dataValidation>
    <dataValidation type="list" allowBlank="1" sqref="G730:I730">
      <formula1>'Enums'!C587:C588</formula1>
    </dataValidation>
    <dataValidation type="list" allowBlank="1" sqref="G734:I734">
      <formula1>'Enums'!C589:C593</formula1>
    </dataValidation>
    <dataValidation type="list" allowBlank="1" sqref="G746:I746">
      <formula1>'Enums'!C587:C588</formula1>
    </dataValidation>
    <dataValidation type="list" allowBlank="1" sqref="G750:I750">
      <formula1>'Enums'!C589:C593</formula1>
    </dataValidation>
    <dataValidation type="list" allowBlank="1" sqref="G762:I762">
      <formula1>'Enums'!C587:C588</formula1>
    </dataValidation>
    <dataValidation type="list" allowBlank="1" sqref="G766:I766">
      <formula1>'Enums'!C589:C593</formula1>
    </dataValidation>
    <dataValidation type="list" allowBlank="1" sqref="G778:I778">
      <formula1>'Enums'!C587:C588</formula1>
    </dataValidation>
    <dataValidation type="list" allowBlank="1" sqref="G782:I782">
      <formula1>'Enums'!C589:C593</formula1>
    </dataValidation>
    <dataValidation type="list" allowBlank="1" sqref="G795:I795">
      <formula1>'Enums'!C587:C588</formula1>
    </dataValidation>
    <dataValidation type="list" allowBlank="1" sqref="G799:I799">
      <formula1>'Enums'!C589:C593</formula1>
    </dataValidation>
    <dataValidation type="list" allowBlank="1" sqref="G811:I811">
      <formula1>'Enums'!C587:C588</formula1>
    </dataValidation>
    <dataValidation type="list" allowBlank="1" sqref="G815:I815">
      <formula1>'Enums'!C589:C593</formula1>
    </dataValidation>
    <dataValidation type="list" allowBlank="1" sqref="G827:I827">
      <formula1>'Enums'!C587:C588</formula1>
    </dataValidation>
    <dataValidation type="list" allowBlank="1" sqref="G831:I831">
      <formula1>'Enums'!C589:C593</formula1>
    </dataValidation>
    <dataValidation type="list" allowBlank="1" sqref="G843:I843">
      <formula1>'Enums'!C587:C588</formula1>
    </dataValidation>
    <dataValidation type="list" allowBlank="1" sqref="G847:I847">
      <formula1>'Enums'!C589:C593</formula1>
    </dataValidation>
    <dataValidation type="list" allowBlank="1" sqref="G859:I859">
      <formula1>'Enums'!C587:C588</formula1>
    </dataValidation>
    <dataValidation type="list" allowBlank="1" sqref="G863:I863">
      <formula1>'Enums'!C589:C593</formula1>
    </dataValidation>
    <dataValidation type="list" allowBlank="1" sqref="G866:I866">
      <formula1>'Enums'!C596:C597</formula1>
    </dataValidation>
    <dataValidation type="list" allowBlank="1" sqref="G867:I867">
      <formula1>'Enums'!C598:C599</formula1>
    </dataValidation>
    <dataValidation type="list" allowBlank="1" sqref="G870:I870">
      <formula1>'Enums'!C813:C815</formula1>
    </dataValidation>
    <dataValidation type="list" allowBlank="1" sqref="G872:I872">
      <formula1>'Enums'!C816:C817</formula1>
    </dataValidation>
    <dataValidation type="list" allowBlank="1" sqref="G873:I873">
      <formula1>'Enums'!C818:C819</formula1>
    </dataValidation>
    <dataValidation type="list" allowBlank="1" sqref="G889:I889">
      <formula1>'Enums'!C587:C588</formula1>
    </dataValidation>
    <dataValidation type="list" allowBlank="1" sqref="G893:I893">
      <formula1>'Enums'!C589:C593</formula1>
    </dataValidation>
    <dataValidation type="list" allowBlank="1" sqref="G905:I905">
      <formula1>'Enums'!C587:C588</formula1>
    </dataValidation>
    <dataValidation type="list" allowBlank="1" sqref="G909:I909">
      <formula1>'Enums'!C589:C593</formula1>
    </dataValidation>
    <dataValidation type="list" allowBlank="1" sqref="G921:I921">
      <formula1>'Enums'!C587:C588</formula1>
    </dataValidation>
    <dataValidation type="list" allowBlank="1" sqref="G925:I925">
      <formula1>'Enums'!C589:C593</formula1>
    </dataValidation>
    <dataValidation type="list" allowBlank="1" sqref="G937:I937">
      <formula1>'Enums'!C587:C588</formula1>
    </dataValidation>
    <dataValidation type="list" allowBlank="1" sqref="G941:I941">
      <formula1>'Enums'!C589:C593</formula1>
    </dataValidation>
    <dataValidation type="list" allowBlank="1" sqref="G953:I953">
      <formula1>'Enums'!C587:C588</formula1>
    </dataValidation>
    <dataValidation type="list" allowBlank="1" sqref="G957:I957">
      <formula1>'Enums'!C589:C593</formula1>
    </dataValidation>
    <dataValidation type="list" allowBlank="1" sqref="G969:I969">
      <formula1>'Enums'!C587:C588</formula1>
    </dataValidation>
    <dataValidation type="list" allowBlank="1" sqref="G973:I973">
      <formula1>'Enums'!C589:C593</formula1>
    </dataValidation>
    <dataValidation type="list" allowBlank="1" sqref="G985:I985">
      <formula1>'Enums'!C587:C588</formula1>
    </dataValidation>
    <dataValidation type="list" allowBlank="1" sqref="G989:I989">
      <formula1>'Enums'!C589:C593</formula1>
    </dataValidation>
  </dataValidations>
  <hyperlinks>
    <hyperlink ref="B19" r:id="rId1" location="#'Sensitive information row ( 2'!A1"/>
    <hyperlink ref="B23" r:id="rId2" location="#'Document history row (VCS v5.0'!A1"/>
    <hyperlink ref="B26" r:id="rId3" location="#'1. Project Details'!A1"/>
    <hyperlink ref="B27" r:id="rId4" location="#'1.1 Summary Description of the'!A1"/>
    <hyperlink ref="B32" r:id="rId5" location="#'1.2 Audit History (VCS PD 1.2)'!A1"/>
    <hyperlink ref="B40" r:id="rId6" location="#'1.3 Sectoral Scope and Project'!A1"/>
    <hyperlink ref="B44" r:id="rId7" location="#'1.4 Project Eligibility (VCS P'!A1"/>
    <hyperlink ref="B61" r:id="rId8" location="#'1.5 Project Proponent (VCS PD'!A1"/>
    <hyperlink ref="B62" r:id="rId9" location="#'Project Proponent Contact (VCS'!A1"/>
    <hyperlink ref="B69" r:id="rId10" location="#'1.6 Other Entities Involved in'!A1"/>
    <hyperlink ref="B78" r:id="rId11" location="#'1.7 Right to Operate and Ri 2'!A1"/>
    <hyperlink ref="B79" r:id="rId12" location="#'1.7 Right to Operate and Right'!A1"/>
    <hyperlink ref="B81" r:id="rId13" location="#'1.7.2 Land or Resource Rights'!A1"/>
    <hyperlink ref="B90" r:id="rId14" location="#'1.7 Evidence of right to opera'!A1"/>
    <hyperlink ref="B96" r:id="rId15" location="#'1.8 Project Start Date and Ini'!A1"/>
    <hyperlink ref="B100" r:id="rId16" location="#'1.9 Project Crediting Period ('!A1"/>
    <hyperlink ref="B107" r:id="rId17" location="#'1.10 Project Scale (VCS PD 1.1'!A1"/>
    <hyperlink ref="B109" r:id="rId18" location="#'Estimated net reductions and r'!A1"/>
    <hyperlink ref="B116" r:id="rId19" location="#'1.11 Project Design (VCS PD 1.'!A1"/>
    <hyperlink ref="B119" r:id="rId20" location="#'Project activity instances row'!A1"/>
    <hyperlink ref="B122" r:id="rId21" location="#'Grouped project eligibility ar'!A1"/>
    <hyperlink ref="B126" r:id="rId22" location="#'Eligibility criteria per eligi'!A1"/>
    <hyperlink ref="B133" r:id="rId23" location="#'1.12 Conditions Prior to Proje'!A1"/>
    <hyperlink ref="B139" r:id="rId24" location="#'1.13 Description of the Projec'!A1"/>
    <hyperlink ref="B141" r:id="rId25" location="#'Technology system or equipment'!A1"/>
    <hyperlink ref="B146" r:id="rId26" location="#'Implementation schedule row (V'!A1"/>
    <hyperlink ref="B150" r:id="rId27" location="#'1.14 Project Location (VCS PD'!A1"/>
    <hyperlink ref="B152" r:id="rId28" location="#'Project Location Entry (VCS PD'!A1"/>
    <hyperlink ref="B162" r:id="rId29" location="#'1.15 Compliance with Laws and'!A1"/>
    <hyperlink ref="B163" r:id="rId30" location="#'Laws and other regulatory fram'!A1"/>
    <hyperlink ref="B166" r:id="rId31" location="#'1.16 Double Counting and Parti'!A1"/>
    <hyperlink ref="B169" r:id="rId32" location="#'Reductions and removals claime'!A1"/>
    <hyperlink ref="B186" r:id="rId33" location="#'1.17 Double Claiming Other For'!A1"/>
    <hyperlink ref="B204" r:id="rId34" location="#'1.18 Sustainable Development C'!A1"/>
    <hyperlink ref="B205" r:id="rId35" location="#'1.18 Sustainable developmen 2'!A1"/>
    <hyperlink ref="B212" r:id="rId36" location="#'1.19 Additional Information (V'!A1"/>
    <hyperlink ref="B216" r:id="rId37" location="#'Sensitive Information Row (VCS'!A1"/>
    <hyperlink ref="B220" r:id="rId38" location="#'2. Stakeholder Engagement and'!A1"/>
    <hyperlink ref="B221" r:id="rId39" location="#'2.1 Stakeholder Engagement and'!A1"/>
    <hyperlink ref="B222" r:id="rId40" location="#'2.1 Stakeholder consultation a'!A1"/>
    <hyperlink ref="B231" r:id="rId41" location="#'2.2 Benefit-Sharing Mechanism'!A1"/>
    <hyperlink ref="B238" r:id="rId42" location="#'2.3 Stakeholder Input Tracker'!A1"/>
    <hyperlink ref="B243" r:id="rId43" location="#'2.4 Grievance Redress Mechanis'!A1"/>
    <hyperlink ref="B244" r:id="rId44" location="#'2.4.1 Design Process and Summa'!A1"/>
    <hyperlink ref="B254" r:id="rId45" location="#'2.5 Environmental Social and G'!A1"/>
    <hyperlink ref="B255" r:id="rId46" location="#'2.5.1 Ecosystem Restoration (V'!A1"/>
    <hyperlink ref="B258" r:id="rId47" location="#'2.5.2 Management Experience (V'!A1"/>
    <hyperlink ref="B260" r:id="rId48" location="#'2.5.3 Legal Compliance (VCS PD'!A1"/>
    <hyperlink ref="B264" r:id="rId49" location="#'3. Application of Methodology'!A1"/>
    <hyperlink ref="B265" r:id="rId50" location="#'3.1 Methodology Details (VCS P'!A1"/>
    <hyperlink ref="B266" r:id="rId51" location="#'Methodology details row (VCS P'!A1"/>
    <hyperlink ref="B271" r:id="rId52" location="#'3.2 Applicability and Eligibil'!A1"/>
    <hyperlink ref="B272" r:id="rId53" location="#'3.2.1 Eligibility of Methodolo'!A1"/>
    <hyperlink ref="B274" r:id="rId54" location="#'3.2.2 Applicability of Methodo'!A1"/>
    <hyperlink ref="B291" r:id="rId55" location="#'REDD+ Double Counting Assessme'!A1"/>
    <hyperlink ref="B296" r:id="rId56" location="#'SDW Public Distribution Networ'!A1"/>
    <hyperlink ref="B305" r:id="rId57" location="#'Evidence item'!A1"/>
    <hyperlink ref="B313" r:id="rId58" location="#'3.2 Applicability of methodolo'!A1"/>
    <hyperlink ref="B317" r:id="rId59" location="#'3.3 Project Boundary (VCS PD 3'!A1"/>
    <hyperlink ref="B319" r:id="rId60" location="#'GHG Source Row (VCS PD 3.3)'!A1"/>
    <hyperlink ref="B327" r:id="rId61" location="#'3.3.1 De Minimis GHG Sources a'!A1"/>
    <hyperlink ref="B332" r:id="rId62" location="#'De minimis comparison period r'!A1"/>
    <hyperlink ref="B337" r:id="rId63" location="#'De minimis quantification per'!A1"/>
    <hyperlink ref="B341" r:id="rId64" location="#'3.4 Baseline Scenario (VCS PD'!A1"/>
    <hyperlink ref="B346" r:id="rId65" location="#'3.4.1 Baseline Reassessment (V'!A1"/>
    <hyperlink ref="B351" r:id="rId66" location="#'3.5 Additionality (VCS PD 3.5)'!A1"/>
    <hyperlink ref="B352" r:id="rId67" location="#'3.5.1 Regulatory Surplus (VCS'!A1"/>
    <hyperlink ref="B353" r:id="rId68" location="#'3.5.2 Additionality Methods (V'!A1"/>
    <hyperlink ref="B356" r:id="rId69" location="#'Laws reviewed for regulatory s'!A1"/>
    <hyperlink ref="B360" r:id="rId70" location="#'3.6 Methodology Deviations (VC'!A1"/>
    <hyperlink ref="B362" r:id="rId71" location="#'Methodology deviation row (VCS'!A1"/>
    <hyperlink ref="B369" r:id="rId72" location="#'4. Quantification of GHG Emiss'!A1"/>
    <hyperlink ref="B370" r:id="rId73" location="#'4.1 Baseline Emissions (VCS PD'!A1"/>
    <hyperlink ref="B371" r:id="rId74" location="#'4.2 Project Emissions (VCS PD'!A1"/>
    <hyperlink ref="B372" r:id="rId75" location="#'4.3 Leakage Emissions (VCS PD'!A1"/>
    <hyperlink ref="B374" r:id="rId76" location="#'4.4 Other Relevant Quantificat'!A1"/>
    <hyperlink ref="B375" r:id="rId77" location="#'4.4.1 Non-Permanence Risk Anal'!A1"/>
    <hyperlink ref="B378" r:id="rId78" location="#'4.4.1.1 Buffer Pool Allocation'!A1"/>
    <hyperlink ref="B381" r:id="rId79" location="#'4.4.2 Buffer pool allocation r'!A1"/>
    <hyperlink ref="B390" r:id="rId80" location="#'4.4.2 Buffer pool allocatio 2'!A1"/>
    <hyperlink ref="B396" r:id="rId81" location="#'4.4.2 Long-Term Average (VCS P'!A1"/>
    <hyperlink ref="B400" r:id="rId82" location="#'Non-permanence risk rating row'!A1"/>
    <hyperlink ref="B403" r:id="rId83" location="#'4.4 Buffer pool allocation (re'!A1"/>
    <hyperlink ref="B415" r:id="rId84" location="#'4.5 Estimated GHG Emission Red'!A1"/>
    <hyperlink ref="B416" r:id="rId85" location="#'4.5.1 Quantification of Estima'!A1"/>
    <hyperlink ref="B418" r:id="rId86" location="#'4.5.2 Summary of Estimated Red'!A1"/>
    <hyperlink ref="B419" r:id="rId87" location="#'Estimated reductions and remov'!A1"/>
    <hyperlink ref="B432" r:id="rId88" location="#'5. Monitoring'!A1"/>
    <hyperlink ref="B433" r:id="rId89" location="#'5.1 Data and Parameters (VCS P'!A1"/>
    <hyperlink ref="B434" r:id="rId90" location="#'Data and Parameters Available'!A1"/>
    <hyperlink ref="B436" r:id="rId91" location="#'5.2 Monitoring Plan (VCS PD 5.'!A1"/>
    <hyperlink ref="B437" r:id="rId92" location="#'5.2.1 GHG Data Collection and'!A1"/>
    <hyperlink ref="B440" r:id="rId93" location="#'5.2.2 Procedures for Calibrati'!A1"/>
    <hyperlink ref="B442" r:id="rId94" location="#'5.2.3 Monitoring Personnel (VC'!A1"/>
    <hyperlink ref="B444" r:id="rId95" location="#'5.2.4 Procedures for Internal'!A1"/>
    <hyperlink ref="B446" r:id="rId96" location="#'5.2.5 Procedures for Handling'!A1"/>
    <hyperlink ref="B448" r:id="rId97" location="#'5.2.6 Sampling Approaches (VCS'!A1"/>
    <hyperlink ref="B450" r:id="rId98" location="#'VMR0015 Appendix 2 - Monitorin'!A1"/>
    <hyperlink ref="B451" r:id="rId99" location="#'VMR0015 A2.1.1 VMR0015  AMS-II'!A1"/>
    <hyperlink ref="B452" r:id="rId100" location="#'VMR0015 A2.1 DataParameter Ava'!A1"/>
    <hyperlink ref="B464" r:id="rId101" location="#'VMR0015 A2.1 DataParameter Ava'!A1"/>
    <hyperlink ref="B476" r:id="rId102" location="#'VMR0015 A2.1 DataParameter Ava'!A1"/>
    <hyperlink ref="B488" r:id="rId103" location="#'VMR0015 A2.1 DataParameter Ava'!A1"/>
    <hyperlink ref="B500" r:id="rId104" location="#'VMR0015 A2.1 DataParameter Ava'!A1"/>
    <hyperlink ref="B512" r:id="rId105" location="#'VMR0015 A2.1 DataParameter Ava'!A1"/>
    <hyperlink ref="B524" r:id="rId106" location="#'VMR0015 A2.1 DataParameter Ava'!A1"/>
    <hyperlink ref="B536" r:id="rId107" location="#'VMR0015 A2.1 DataParameter Ava'!A1"/>
    <hyperlink ref="B548" r:id="rId108" location="#'VMR0015 A2.1 DataParameter Ava'!A1"/>
    <hyperlink ref="B561" r:id="rId109" location="#'VMR0015 A2.1 DataParameter Ava'!A1"/>
    <hyperlink ref="B573" r:id="rId110" location="#'VMR0015 A2.1 DataParameter Ava'!A1"/>
    <hyperlink ref="B585" r:id="rId111" location="#'VMR0015 A2.1 DataParameter Ava'!A1"/>
    <hyperlink ref="B597" r:id="rId112" location="#'VMR0015 A2.1 DataParameter Ava'!A1"/>
    <hyperlink ref="B609" r:id="rId113" location="#'VMR0015 A2.1 DataParameter Ava'!A1"/>
    <hyperlink ref="B621" r:id="rId114" location="#'VMR0015 A2.1.2 TOOL03 paramete'!A1"/>
    <hyperlink ref="B622" r:id="rId115" location="#'VMR0015 A2.1 DataParameter Ava'!A1"/>
    <hyperlink ref="B634" r:id="rId116" location="#'VMR0015 A2.1.3 VT0010  VT0011'!A1"/>
    <hyperlink ref="B635" r:id="rId117" location="#'VMR0015 A2.1 DataParameter Ava'!A1"/>
    <hyperlink ref="B647" r:id="rId118" location="#'VMR0015 A2.1 DataParameter Ava'!A1"/>
    <hyperlink ref="B659" r:id="rId119" location="#'VMR0015 A2.1.4 AMS-I.E paramet'!A1"/>
    <hyperlink ref="B660" r:id="rId120" location="#'VMR0015 A2.1 DataParameter Ava'!A1"/>
    <hyperlink ref="B672" r:id="rId121" location="#'VMR0015 A2.2.1 VMR0015  AMS-II'!A1"/>
    <hyperlink ref="B673" r:id="rId122" location="#'VMR0015 A2.2 DataParameter Mon'!A1"/>
    <hyperlink ref="B689" r:id="rId123" location="#'VMR0015 A2.2 DataParameter Mon'!A1"/>
    <hyperlink ref="B705" r:id="rId124" location="#'VMR0015 A2.2 DataParameter Mon'!A1"/>
    <hyperlink ref="B721" r:id="rId125" location="#'VMR0015 A2.2 DataParameter Mon'!A1"/>
    <hyperlink ref="B737" r:id="rId126" location="#'VMR0015 A2.2 DataParameter Mon'!A1"/>
    <hyperlink ref="B753" r:id="rId127" location="#'VMR0015 A2.2 DataParameter Mon'!A1"/>
    <hyperlink ref="B769" r:id="rId128" location="#'VMR0015 A2.2 DataParameter Mon'!A1"/>
    <hyperlink ref="B785" r:id="rId129" location="#'VMR0015 A2.2.2 TOOL03 monitore'!A1"/>
    <hyperlink ref="B786" r:id="rId130" location="#'VMR0015 A2.2 DataParameter Mon'!A1"/>
    <hyperlink ref="B802" r:id="rId131" location="#'VMR0015 A2.2 DataParameter Mon'!A1"/>
    <hyperlink ref="B818" r:id="rId132" location="#'VMR0015 A2.2 DataParameter Mon'!A1"/>
    <hyperlink ref="B834" r:id="rId133" location="#'VMR0015 A2.2 DataParameter Mon'!A1"/>
    <hyperlink ref="B850" r:id="rId134" location="#'VMR0015 A2.2 DataParameter Mon'!A1"/>
    <hyperlink ref="B868" r:id="rId135" location="#'TOOL03 fuel combustion row (fu'!A1"/>
    <hyperlink ref="B879" r:id="rId136" location="#'VMR0015 A2.2.3 VT0010  VT0011'!A1"/>
    <hyperlink ref="B880" r:id="rId137" location="#'VMR0015 A2.2 DataParameter Mon'!A1"/>
    <hyperlink ref="B896" r:id="rId138" location="#'VMR0015 A2.2 DataParameter Mon'!A1"/>
    <hyperlink ref="B912" r:id="rId139" location="#'VMR0015 A2.2 DataParameter Mon'!A1"/>
    <hyperlink ref="B928" r:id="rId140" location="#'VMR0015 A2.2 DataParameter Mon'!A1"/>
    <hyperlink ref="B944" r:id="rId141" location="#'VMR0015 A2.2 DataParameter Mon'!A1"/>
    <hyperlink ref="B960" r:id="rId142" location="#'VMR0015 A2.2 DataParameter Mon'!A1"/>
    <hyperlink ref="B976" r:id="rId143" location="#'VMR0015 A2.2 DataParameter Mon'!A1"/>
    <hyperlink ref="B992" r:id="rId144" location="#'VMR0015 A2.2 DataParameter Mon'!A1"/>
    <hyperlink ref="B1008" r:id="rId145" location="#'VMR0015 A2.2 DataParameter Mon'!A1"/>
    <hyperlink ref="B1024" r:id="rId146" location="#'VMR0015 A2.2 DataParameter Mon'!A1"/>
    <hyperlink ref="B1040" r:id="rId147" location="#'VMR0015 A2.2 DataParameter Mon'!A1"/>
    <hyperlink ref="B1056" r:id="rId148" location="#'VMR0015 A2.2 DataParameter Mon'!A1"/>
    <hyperlink ref="B1072" r:id="rId149" location="#'VMR0015 A2.2 DataParameter Mon'!A1"/>
    <hyperlink ref="B1088" r:id="rId150" location="#'VMR0015 A2.2 DataParameter Mon'!A1"/>
    <hyperlink ref="B1104" r:id="rId151" location="#'VT0010 grid load row (load L;'!A1"/>
    <hyperlink ref="B1112" r:id="rId152" location="#'VT0010 shared plant fuel row ('!A1"/>
    <hyperlink ref="B1123" r:id="rId153" location="#'VMR0015 A2.2.4 fNRB monitored'!A1"/>
    <hyperlink ref="B1124" r:id="rId154" location="#'VMR0015 A2.2 DataParameter Mon'!A1"/>
    <hyperlink ref="B1140" r:id="rId155" location="#'VMR0015 Methodology Records -'!A1"/>
    <hyperlink ref="B1141" r:id="rId156" location="#'VMR0015 Project Section - PD ('!A1"/>
    <hyperlink ref="B1156" r:id="rId157" location="#'VMR0015 Baseline Fuel Row (fue'!A1"/>
    <hyperlink ref="B1168" r:id="rId158" location="#'VMR0015 Survey Household Row'!A1"/>
    <hyperlink ref="B1172" r:id="rId159" location="#'VMR0015 Survey Device Use Row'!A1"/>
    <hyperlink ref="B1181" r:id="rId160" location="#'VMR0015 fNRB Determination'!A1"/>
    <hyperlink ref="B1199" r:id="rId161" location="#'Evidence item'!A1"/>
    <hyperlink ref="B1205" r:id="rId162" location="#'VMR0015 Leakage Adjustment Det'!A1"/>
    <hyperlink ref="B1211" r:id="rId163" location="#'VMR0015 Additionality'!A1"/>
    <hyperlink ref="B1226" r:id="rId164" location="#'Interactive effects survey res'!A1"/>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2770</v>
      </c>
      <c r="B1" s="1"/>
      <c r="C1" s="1"/>
      <c r="D1" s="1"/>
      <c r="E1" s="1"/>
      <c r="F1" s="1"/>
      <c r="G1" s="1"/>
      <c r="H1" s="1"/>
      <c r="I1" s="1"/>
      <c r="J1" s="1"/>
    </row>
    <row r="2" spans="1:10" x14ac:dyDescent="0.25">
      <c r="A2" s="2" t="s">
        <v>1</v>
      </c>
      <c r="B2" s="3" t="s">
        <v>2771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1438</v>
      </c>
      <c r="F5" s="5" t="s">
        <v>19</v>
      </c>
      <c r="G5" s="5" t="s">
        <v>1439</v>
      </c>
      <c r="H5" s="5" t="s">
        <v>17</v>
      </c>
      <c r="I5" s="5" t="s">
        <v>17</v>
      </c>
      <c r="J5" s="5" t="s">
        <v>1440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2772</v>
      </c>
      <c r="B1" s="1"/>
      <c r="C1" s="1"/>
      <c r="D1" s="1"/>
      <c r="E1" s="1"/>
      <c r="F1" s="1"/>
      <c r="G1" s="1"/>
      <c r="H1" s="1"/>
      <c r="I1" s="1"/>
      <c r="J1" s="1"/>
    </row>
    <row r="2" spans="1:10" x14ac:dyDescent="0.25">
      <c r="A2" s="2" t="s">
        <v>1</v>
      </c>
      <c r="B2" s="3" t="s">
        <v>2773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2558</v>
      </c>
      <c r="F5" s="5" t="s">
        <v>19</v>
      </c>
      <c r="G5" s="5" t="s">
        <v>2559</v>
      </c>
      <c r="H5" s="5" t="s">
        <v>17</v>
      </c>
      <c r="I5" s="5" t="s">
        <v>17</v>
      </c>
      <c r="J5" s="5" t="s">
        <v>2560</v>
      </c>
    </row>
    <row r="6" spans="1:10" x14ac:dyDescent="0.25">
      <c r="A6" s="5" t="s">
        <v>15</v>
      </c>
      <c r="B6" s="5" t="s">
        <v>16</v>
      </c>
      <c r="C6" s="5" t="s">
        <v>17</v>
      </c>
      <c r="D6" s="5"/>
      <c r="E6" s="5" t="s">
        <v>2561</v>
      </c>
      <c r="F6" s="5" t="s">
        <v>19</v>
      </c>
      <c r="G6" s="5" t="s">
        <v>2562</v>
      </c>
      <c r="H6" s="5" t="s">
        <v>17</v>
      </c>
      <c r="I6" s="5" t="s">
        <v>17</v>
      </c>
      <c r="J6" s="5" t="s">
        <v>2563</v>
      </c>
    </row>
    <row r="7" spans="1:10" x14ac:dyDescent="0.25">
      <c r="A7" s="5" t="s">
        <v>15</v>
      </c>
      <c r="B7" s="5" t="s">
        <v>159</v>
      </c>
      <c r="C7" s="5" t="s">
        <v>17</v>
      </c>
      <c r="D7" s="5"/>
      <c r="E7" s="5" t="s">
        <v>2564</v>
      </c>
      <c r="F7" s="5" t="s">
        <v>19</v>
      </c>
      <c r="G7" s="5" t="b">
        <v>1</v>
      </c>
      <c r="H7" s="5" t="s">
        <v>17</v>
      </c>
      <c r="I7" s="5" t="s">
        <v>17</v>
      </c>
      <c r="J7" s="5" t="s">
        <v>2565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2774</v>
      </c>
      <c r="B1" s="1"/>
      <c r="C1" s="1"/>
      <c r="D1" s="1"/>
      <c r="E1" s="1"/>
      <c r="F1" s="1"/>
      <c r="G1" s="1"/>
      <c r="H1" s="1"/>
      <c r="I1" s="1"/>
      <c r="J1" s="1"/>
    </row>
    <row r="2" spans="1:10" x14ac:dyDescent="0.25">
      <c r="A2" s="2" t="s">
        <v>1</v>
      </c>
      <c r="B2" s="3" t="s">
        <v>2775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2433</v>
      </c>
      <c r="F5" s="5" t="s">
        <v>19</v>
      </c>
      <c r="G5" s="5" t="s">
        <v>2434</v>
      </c>
      <c r="H5" s="5" t="s">
        <v>17</v>
      </c>
      <c r="I5" s="5" t="s">
        <v>17</v>
      </c>
      <c r="J5" s="5" t="s">
        <v>26</v>
      </c>
    </row>
    <row r="6" spans="1:10" x14ac:dyDescent="0.25">
      <c r="A6" s="5" t="s">
        <v>15</v>
      </c>
      <c r="B6" s="5" t="s">
        <v>16</v>
      </c>
      <c r="C6" s="5" t="s">
        <v>17</v>
      </c>
      <c r="D6" s="5"/>
      <c r="E6" s="5" t="s">
        <v>2435</v>
      </c>
      <c r="F6" s="5" t="s">
        <v>19</v>
      </c>
      <c r="G6" s="5" t="s">
        <v>2436</v>
      </c>
      <c r="H6" s="5" t="s">
        <v>17</v>
      </c>
      <c r="I6" s="5" t="s">
        <v>17</v>
      </c>
      <c r="J6" s="5" t="s">
        <v>2437</v>
      </c>
    </row>
    <row r="7" spans="1:10" x14ac:dyDescent="0.25">
      <c r="A7" s="5" t="s">
        <v>19</v>
      </c>
      <c r="B7" s="6" t="s">
        <v>27</v>
      </c>
      <c r="C7" s="5" t="s">
        <v>17</v>
      </c>
      <c r="D7" s="5"/>
      <c r="E7" s="5" t="s">
        <v>28</v>
      </c>
      <c r="F7" s="5" t="s">
        <v>15</v>
      </c>
      <c r="G7" s="5" t="s">
        <v>17</v>
      </c>
      <c r="H7" s="5" t="s">
        <v>17</v>
      </c>
      <c r="I7" s="5" t="s">
        <v>17</v>
      </c>
      <c r="J7" s="5" t="s">
        <v>29</v>
      </c>
    </row>
    <row r="8" spans="1:10" x14ac:dyDescent="0.25" outlineLevel="1" collapsed="1">
      <c r="A8" s="7" t="s">
        <v>19</v>
      </c>
      <c r="B8" s="7" t="s">
        <v>16</v>
      </c>
      <c r="C8" s="7" t="s">
        <v>17</v>
      </c>
      <c r="D8" s="7"/>
      <c r="E8" s="7" t="s">
        <v>30</v>
      </c>
      <c r="F8" s="7" t="s">
        <v>19</v>
      </c>
      <c r="G8" s="7" t="s">
        <v>31</v>
      </c>
      <c r="H8" s="7" t="s">
        <v>17</v>
      </c>
      <c r="I8" s="7" t="s">
        <v>17</v>
      </c>
      <c r="J8" s="7" t="s">
        <v>32</v>
      </c>
    </row>
    <row r="9" spans="1:10" x14ac:dyDescent="0.25" outlineLevel="1" collapsed="1">
      <c r="A9" s="7" t="s">
        <v>19</v>
      </c>
      <c r="B9" s="7" t="s">
        <v>16</v>
      </c>
      <c r="C9" s="7" t="s">
        <v>17</v>
      </c>
      <c r="D9" s="7"/>
      <c r="E9" s="7" t="s">
        <v>33</v>
      </c>
      <c r="F9" s="7" t="s">
        <v>19</v>
      </c>
      <c r="G9" s="7" t="s">
        <v>31</v>
      </c>
      <c r="H9" s="7" t="s">
        <v>17</v>
      </c>
      <c r="I9" s="7" t="s">
        <v>17</v>
      </c>
      <c r="J9" s="7" t="s">
        <v>34</v>
      </c>
    </row>
    <row r="10" spans="1:10" x14ac:dyDescent="0.25" outlineLevel="1" collapsed="1">
      <c r="A10" s="7" t="s">
        <v>19</v>
      </c>
      <c r="B10" s="7" t="s">
        <v>16</v>
      </c>
      <c r="C10" s="7" t="s">
        <v>17</v>
      </c>
      <c r="D10" s="7"/>
      <c r="E10" s="7" t="s">
        <v>35</v>
      </c>
      <c r="F10" s="7" t="s">
        <v>19</v>
      </c>
      <c r="G10" s="7" t="s">
        <v>31</v>
      </c>
      <c r="H10" s="7" t="s">
        <v>17</v>
      </c>
      <c r="I10" s="7" t="s">
        <v>17</v>
      </c>
      <c r="J10" s="7" t="s">
        <v>36</v>
      </c>
    </row>
    <row r="11" spans="1:10" x14ac:dyDescent="0.25" outlineLevel="1" collapsed="1">
      <c r="A11" s="7" t="s">
        <v>19</v>
      </c>
      <c r="B11" s="7" t="s">
        <v>16</v>
      </c>
      <c r="C11" s="7" t="s">
        <v>17</v>
      </c>
      <c r="D11" s="7"/>
      <c r="E11" s="7" t="s">
        <v>37</v>
      </c>
      <c r="F11" s="7" t="s">
        <v>19</v>
      </c>
      <c r="G11" s="7" t="s">
        <v>31</v>
      </c>
      <c r="H11" s="7" t="s">
        <v>17</v>
      </c>
      <c r="I11" s="7" t="s">
        <v>17</v>
      </c>
      <c r="J11" s="7" t="s">
        <v>38</v>
      </c>
    </row>
    <row r="12" spans="1:10" x14ac:dyDescent="0.25" outlineLevel="1" collapsed="1">
      <c r="A12" s="7" t="s">
        <v>19</v>
      </c>
      <c r="B12" s="7" t="s">
        <v>16</v>
      </c>
      <c r="C12" s="7" t="s">
        <v>17</v>
      </c>
      <c r="D12" s="7"/>
      <c r="E12" s="7" t="s">
        <v>39</v>
      </c>
      <c r="F12" s="7" t="s">
        <v>19</v>
      </c>
      <c r="G12" s="7" t="s">
        <v>31</v>
      </c>
      <c r="H12" s="7" t="s">
        <v>17</v>
      </c>
      <c r="I12" s="7" t="s">
        <v>17</v>
      </c>
      <c r="J12" s="7" t="s">
        <v>40</v>
      </c>
    </row>
    <row r="13" spans="1:10" x14ac:dyDescent="0.25">
      <c r="A13" s="5" t="s">
        <v>19</v>
      </c>
      <c r="B13" s="5" t="s">
        <v>16</v>
      </c>
      <c r="C13" s="5" t="s">
        <v>17</v>
      </c>
      <c r="D13" s="5"/>
      <c r="E13" s="5" t="s">
        <v>41</v>
      </c>
      <c r="F13" s="5" t="s">
        <v>19</v>
      </c>
      <c r="G13" s="5" t="s">
        <v>31</v>
      </c>
      <c r="H13" s="5" t="s">
        <v>17</v>
      </c>
      <c r="I13" s="5" t="s">
        <v>17</v>
      </c>
      <c r="J13" s="5" t="s">
        <v>42</v>
      </c>
    </row>
    <row r="14" spans="1:10" x14ac:dyDescent="0.25">
      <c r="A14" s="5" t="s">
        <v>19</v>
      </c>
      <c r="B14" s="5" t="s">
        <v>16</v>
      </c>
      <c r="C14" s="5" t="s">
        <v>17</v>
      </c>
      <c r="D14" s="5"/>
      <c r="E14" s="5" t="s">
        <v>43</v>
      </c>
      <c r="F14" s="5" t="s">
        <v>19</v>
      </c>
      <c r="G14" s="5" t="s">
        <v>31</v>
      </c>
      <c r="H14" s="5" t="s">
        <v>17</v>
      </c>
      <c r="I14" s="5" t="s">
        <v>17</v>
      </c>
      <c r="J14" s="5" t="s">
        <v>44</v>
      </c>
    </row>
    <row r="15" spans="1:10" x14ac:dyDescent="0.25">
      <c r="A15" s="5" t="s">
        <v>19</v>
      </c>
      <c r="B15" s="5" t="s">
        <v>16</v>
      </c>
      <c r="C15" s="5" t="s">
        <v>17</v>
      </c>
      <c r="D15" s="5"/>
      <c r="E15" s="5" t="s">
        <v>45</v>
      </c>
      <c r="F15" s="5" t="s">
        <v>19</v>
      </c>
      <c r="G15" s="5" t="s">
        <v>31</v>
      </c>
      <c r="H15" s="5" t="s">
        <v>17</v>
      </c>
      <c r="I15" s="5" t="s">
        <v>17</v>
      </c>
      <c r="J15" s="5" t="s">
        <v>46</v>
      </c>
    </row>
    <row r="16" spans="1:10" x14ac:dyDescent="0.25">
      <c r="A16" s="5" t="s">
        <v>19</v>
      </c>
      <c r="B16" s="5" t="s">
        <v>16</v>
      </c>
      <c r="C16" s="5" t="s">
        <v>17</v>
      </c>
      <c r="D16" s="5"/>
      <c r="E16" s="5" t="s">
        <v>2438</v>
      </c>
      <c r="F16" s="5" t="s">
        <v>19</v>
      </c>
      <c r="G16" s="5" t="s">
        <v>31</v>
      </c>
      <c r="H16" s="5" t="s">
        <v>17</v>
      </c>
      <c r="I16" s="5" t="s">
        <v>17</v>
      </c>
      <c r="J16" s="5" t="s">
        <v>48</v>
      </c>
    </row>
    <row r="17" spans="1:10" x14ac:dyDescent="0.25">
      <c r="A17" s="5" t="s">
        <v>19</v>
      </c>
      <c r="B17" s="5" t="s">
        <v>16</v>
      </c>
      <c r="C17" s="5" t="s">
        <v>17</v>
      </c>
      <c r="D17" s="5"/>
      <c r="E17" s="5" t="s">
        <v>49</v>
      </c>
      <c r="F17" s="5" t="s">
        <v>19</v>
      </c>
      <c r="G17" s="5" t="s">
        <v>31</v>
      </c>
      <c r="H17" s="5" t="s">
        <v>17</v>
      </c>
      <c r="I17" s="5" t="s">
        <v>17</v>
      </c>
      <c r="J17" s="5" t="s">
        <v>50</v>
      </c>
    </row>
    <row r="18" spans="1:10" x14ac:dyDescent="0.25">
      <c r="A18" s="5" t="s">
        <v>19</v>
      </c>
      <c r="B18" s="5" t="s">
        <v>16</v>
      </c>
      <c r="C18" s="5" t="s">
        <v>17</v>
      </c>
      <c r="D18" s="5"/>
      <c r="E18" s="5" t="s">
        <v>51</v>
      </c>
      <c r="F18" s="5" t="s">
        <v>19</v>
      </c>
      <c r="G18" s="5" t="s">
        <v>31</v>
      </c>
      <c r="H18" s="5" t="s">
        <v>17</v>
      </c>
      <c r="I18" s="5" t="s">
        <v>17</v>
      </c>
      <c r="J18" s="5" t="s">
        <v>52</v>
      </c>
    </row>
    <row r="19" spans="1:10" x14ac:dyDescent="0.25">
      <c r="A19" s="5" t="s">
        <v>19</v>
      </c>
      <c r="B19" s="5" t="s">
        <v>16</v>
      </c>
      <c r="C19" s="5" t="s">
        <v>17</v>
      </c>
      <c r="D19" s="5"/>
      <c r="E19" s="5" t="s">
        <v>2439</v>
      </c>
      <c r="F19" s="5" t="s">
        <v>19</v>
      </c>
      <c r="G19" s="5" t="s">
        <v>31</v>
      </c>
      <c r="H19" s="5" t="s">
        <v>17</v>
      </c>
      <c r="I19" s="5" t="s">
        <v>17</v>
      </c>
      <c r="J19" s="5" t="s">
        <v>54</v>
      </c>
    </row>
    <row r="20" spans="1:10" x14ac:dyDescent="0.25">
      <c r="A20" s="5" t="s">
        <v>19</v>
      </c>
      <c r="B20" s="5" t="s">
        <v>16</v>
      </c>
      <c r="C20" s="5" t="s">
        <v>17</v>
      </c>
      <c r="D20" s="5"/>
      <c r="E20" s="5" t="s">
        <v>2440</v>
      </c>
      <c r="F20" s="5" t="s">
        <v>19</v>
      </c>
      <c r="G20" s="5" t="s">
        <v>31</v>
      </c>
      <c r="H20" s="5" t="s">
        <v>17</v>
      </c>
      <c r="I20" s="5" t="s">
        <v>17</v>
      </c>
      <c r="J20" s="5" t="s">
        <v>2441</v>
      </c>
    </row>
    <row r="21" spans="1:10" x14ac:dyDescent="0.25">
      <c r="A21" s="5" t="s">
        <v>19</v>
      </c>
      <c r="B21" s="5" t="s">
        <v>16</v>
      </c>
      <c r="C21" s="5" t="s">
        <v>17</v>
      </c>
      <c r="D21" s="5"/>
      <c r="E21" s="5" t="s">
        <v>2442</v>
      </c>
      <c r="F21" s="5" t="s">
        <v>19</v>
      </c>
      <c r="G21" s="5" t="s">
        <v>31</v>
      </c>
      <c r="H21" s="5" t="s">
        <v>17</v>
      </c>
      <c r="I21" s="5" t="s">
        <v>17</v>
      </c>
      <c r="J21" s="5" t="s">
        <v>2443</v>
      </c>
    </row>
    <row r="22" spans="1:10" x14ac:dyDescent="0.25">
      <c r="A22" s="5" t="s">
        <v>19</v>
      </c>
      <c r="B22" s="5" t="s">
        <v>16</v>
      </c>
      <c r="C22" s="5" t="s">
        <v>17</v>
      </c>
      <c r="D22" s="5"/>
      <c r="E22" s="5" t="s">
        <v>2444</v>
      </c>
      <c r="F22" s="5" t="s">
        <v>19</v>
      </c>
      <c r="G22" s="5" t="s">
        <v>31</v>
      </c>
      <c r="H22" s="5" t="s">
        <v>17</v>
      </c>
      <c r="I22" s="5" t="s">
        <v>17</v>
      </c>
      <c r="J22" s="5" t="s">
        <v>2445</v>
      </c>
    </row>
    <row r="23" spans="1:10" x14ac:dyDescent="0.25">
      <c r="A23" s="5" t="s">
        <v>19</v>
      </c>
      <c r="B23" s="5" t="s">
        <v>16</v>
      </c>
      <c r="C23" s="5" t="s">
        <v>17</v>
      </c>
      <c r="D23" s="5"/>
      <c r="E23" s="5" t="s">
        <v>2446</v>
      </c>
      <c r="F23" s="5" t="s">
        <v>19</v>
      </c>
      <c r="G23" s="5" t="s">
        <v>31</v>
      </c>
      <c r="H23" s="5" t="s">
        <v>17</v>
      </c>
      <c r="I23" s="5" t="s">
        <v>17</v>
      </c>
      <c r="J23" s="5" t="s">
        <v>2447</v>
      </c>
    </row>
  </sheetData>
  <mergeCells count="3">
    <mergeCell ref="A1:J1"/>
    <mergeCell ref="B2:J2"/>
    <mergeCell ref="B3:J3"/>
  </mergeCells>
  <hyperlinks>
    <hyperlink ref="B7" r:id="rId1" location="#'Reductions and removals claime'!A1"/>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2776</v>
      </c>
      <c r="B1" s="1"/>
      <c r="C1" s="1"/>
      <c r="D1" s="1"/>
      <c r="E1" s="1"/>
      <c r="F1" s="1"/>
      <c r="G1" s="1"/>
      <c r="H1" s="1"/>
      <c r="I1" s="1"/>
      <c r="J1" s="1"/>
    </row>
    <row r="2" spans="1:10" x14ac:dyDescent="0.25">
      <c r="A2" s="2" t="s">
        <v>1</v>
      </c>
      <c r="B2" s="3" t="s">
        <v>2777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1299</v>
      </c>
      <c r="F5" s="5" t="s">
        <v>19</v>
      </c>
      <c r="G5" s="5" t="s">
        <v>1300</v>
      </c>
      <c r="H5" s="5" t="s">
        <v>17</v>
      </c>
      <c r="I5" s="5" t="s">
        <v>17</v>
      </c>
      <c r="J5" s="5" t="s">
        <v>209</v>
      </c>
    </row>
    <row r="6" spans="1:10" x14ac:dyDescent="0.25">
      <c r="A6" s="5" t="s">
        <v>19</v>
      </c>
      <c r="B6" s="5" t="s">
        <v>16</v>
      </c>
      <c r="C6" s="5" t="s">
        <v>17</v>
      </c>
      <c r="D6" s="5"/>
      <c r="E6" s="5" t="s">
        <v>1301</v>
      </c>
      <c r="F6" s="5" t="s">
        <v>19</v>
      </c>
      <c r="G6" s="5" t="s">
        <v>31</v>
      </c>
      <c r="H6" s="5" t="s">
        <v>17</v>
      </c>
      <c r="I6" s="5" t="s">
        <v>17</v>
      </c>
      <c r="J6" s="5" t="s">
        <v>1302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2778</v>
      </c>
      <c r="B1" s="1"/>
      <c r="C1" s="1"/>
      <c r="D1" s="1"/>
      <c r="E1" s="1"/>
      <c r="F1" s="1"/>
      <c r="G1" s="1"/>
      <c r="H1" s="1"/>
      <c r="I1" s="1"/>
      <c r="J1" s="1"/>
    </row>
    <row r="2" spans="1:10" x14ac:dyDescent="0.25">
      <c r="A2" s="2" t="s">
        <v>1</v>
      </c>
      <c r="B2" s="3" t="s">
        <v>2779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2780</v>
      </c>
      <c r="F5" s="5" t="s">
        <v>19</v>
      </c>
      <c r="G5" s="5" t="s">
        <v>2781</v>
      </c>
      <c r="H5" s="5" t="s">
        <v>17</v>
      </c>
      <c r="I5" s="5" t="s">
        <v>17</v>
      </c>
      <c r="J5" s="5" t="s">
        <v>2782</v>
      </c>
    </row>
    <row r="6" spans="1:10" x14ac:dyDescent="0.25">
      <c r="A6" s="5" t="s">
        <v>15</v>
      </c>
      <c r="B6" s="5" t="s">
        <v>63</v>
      </c>
      <c r="C6" s="5" t="s">
        <v>17</v>
      </c>
      <c r="D6" s="5"/>
      <c r="E6" s="5" t="s">
        <v>2783</v>
      </c>
      <c r="F6" s="5" t="s">
        <v>19</v>
      </c>
      <c r="G6" s="5">
        <v>1666.62</v>
      </c>
      <c r="H6" s="5" t="s">
        <v>17</v>
      </c>
      <c r="I6" s="5" t="s">
        <v>17</v>
      </c>
      <c r="J6" s="5" t="s">
        <v>2784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2785</v>
      </c>
      <c r="B1" s="1"/>
      <c r="C1" s="1"/>
      <c r="D1" s="1"/>
      <c r="E1" s="1"/>
      <c r="F1" s="1"/>
      <c r="G1" s="1"/>
      <c r="H1" s="1"/>
      <c r="I1" s="1"/>
      <c r="J1" s="1"/>
    </row>
    <row r="2" spans="1:10" x14ac:dyDescent="0.25">
      <c r="A2" s="2" t="s">
        <v>1</v>
      </c>
      <c r="B2" s="3" t="s">
        <v>2786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2191</v>
      </c>
      <c r="F5" s="5" t="s">
        <v>19</v>
      </c>
      <c r="G5" s="5" t="b">
        <v>0</v>
      </c>
      <c r="H5" s="5" t="s">
        <v>17</v>
      </c>
      <c r="I5" s="5" t="s">
        <v>17</v>
      </c>
      <c r="J5" s="5" t="s">
        <v>2192</v>
      </c>
    </row>
    <row r="6" spans="1:10" x14ac:dyDescent="0.25">
      <c r="A6" s="5" t="s">
        <v>15</v>
      </c>
      <c r="B6" s="5" t="s">
        <v>16</v>
      </c>
      <c r="C6" s="5" t="s">
        <v>17</v>
      </c>
      <c r="D6" s="5"/>
      <c r="E6" s="5" t="s">
        <v>2193</v>
      </c>
      <c r="F6" s="5" t="s">
        <v>19</v>
      </c>
      <c r="G6" s="5" t="s">
        <v>2194</v>
      </c>
      <c r="H6" s="5" t="s">
        <v>2194</v>
      </c>
      <c r="I6" s="5" t="s">
        <v>17</v>
      </c>
      <c r="J6" s="5" t="s">
        <v>2195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2787</v>
      </c>
      <c r="B1" s="1"/>
      <c r="C1" s="1"/>
      <c r="D1" s="1"/>
      <c r="E1" s="1"/>
      <c r="F1" s="1"/>
      <c r="G1" s="1"/>
      <c r="H1" s="1"/>
      <c r="I1" s="1"/>
      <c r="J1" s="1"/>
    </row>
    <row r="2" spans="1:10" x14ac:dyDescent="0.25">
      <c r="A2" s="2" t="s">
        <v>1</v>
      </c>
      <c r="B2" s="3" t="s">
        <v>2788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1074</v>
      </c>
      <c r="C5" s="5" t="s">
        <v>17</v>
      </c>
      <c r="D5" s="5"/>
      <c r="E5" s="5" t="s">
        <v>1075</v>
      </c>
      <c r="F5" s="5" t="s">
        <v>15</v>
      </c>
      <c r="G5" s="5" t="s">
        <v>17</v>
      </c>
      <c r="H5" s="5" t="s">
        <v>17</v>
      </c>
      <c r="I5" s="5" t="s">
        <v>17</v>
      </c>
      <c r="J5" s="5" t="s">
        <v>1076</v>
      </c>
    </row>
    <row r="6" spans="1:10" x14ac:dyDescent="0.25" outlineLevel="1" collapsed="1">
      <c r="A6" s="7" t="s">
        <v>15</v>
      </c>
      <c r="B6" s="7" t="s">
        <v>16</v>
      </c>
      <c r="C6" s="7" t="s">
        <v>17</v>
      </c>
      <c r="D6" s="7"/>
      <c r="E6" s="7" t="s">
        <v>1077</v>
      </c>
      <c r="F6" s="7" t="s">
        <v>19</v>
      </c>
      <c r="G6" s="7" t="s">
        <v>1078</v>
      </c>
      <c r="H6" s="7" t="s">
        <v>17</v>
      </c>
      <c r="I6" s="7" t="s">
        <v>17</v>
      </c>
      <c r="J6" s="7" t="s">
        <v>1079</v>
      </c>
    </row>
    <row r="7" spans="1:10" x14ac:dyDescent="0.25" outlineLevel="1" collapsed="1">
      <c r="A7" s="7" t="s">
        <v>15</v>
      </c>
      <c r="B7" s="7" t="s">
        <v>16</v>
      </c>
      <c r="C7" s="7" t="s">
        <v>17</v>
      </c>
      <c r="D7" s="7"/>
      <c r="E7" s="7" t="s">
        <v>1080</v>
      </c>
      <c r="F7" s="7" t="s">
        <v>19</v>
      </c>
      <c r="G7" s="7" t="s">
        <v>1081</v>
      </c>
      <c r="H7" s="7" t="s">
        <v>17</v>
      </c>
      <c r="I7" s="7" t="s">
        <v>17</v>
      </c>
      <c r="J7" s="7" t="s">
        <v>1082</v>
      </c>
    </row>
    <row r="8" spans="1:10" x14ac:dyDescent="0.25" outlineLevel="1" collapsed="1">
      <c r="A8" s="7" t="s">
        <v>19</v>
      </c>
      <c r="B8" s="7" t="s">
        <v>16</v>
      </c>
      <c r="C8" s="7" t="s">
        <v>17</v>
      </c>
      <c r="D8" s="7"/>
      <c r="E8" s="7" t="s">
        <v>1083</v>
      </c>
      <c r="F8" s="7" t="s">
        <v>19</v>
      </c>
      <c r="G8" s="7" t="s">
        <v>1084</v>
      </c>
      <c r="H8" s="7" t="s">
        <v>17</v>
      </c>
      <c r="I8" s="7" t="s">
        <v>17</v>
      </c>
      <c r="J8" s="7" t="s">
        <v>1085</v>
      </c>
    </row>
    <row r="9" spans="1:10" x14ac:dyDescent="0.25" outlineLevel="1" collapsed="1">
      <c r="A9" s="7" t="s">
        <v>19</v>
      </c>
      <c r="B9" s="7" t="s">
        <v>16</v>
      </c>
      <c r="C9" s="7" t="s">
        <v>17</v>
      </c>
      <c r="D9" s="7"/>
      <c r="E9" s="7" t="s">
        <v>1086</v>
      </c>
      <c r="F9" s="7" t="s">
        <v>19</v>
      </c>
      <c r="G9" s="7" t="s">
        <v>1087</v>
      </c>
      <c r="H9" s="7" t="s">
        <v>17</v>
      </c>
      <c r="I9" s="7" t="s">
        <v>17</v>
      </c>
      <c r="J9" s="7" t="s">
        <v>1088</v>
      </c>
    </row>
    <row r="10" spans="1:10" x14ac:dyDescent="0.25" outlineLevel="1" collapsed="1">
      <c r="A10" s="7" t="s">
        <v>19</v>
      </c>
      <c r="B10" s="7" t="s">
        <v>16</v>
      </c>
      <c r="C10" s="7" t="s">
        <v>17</v>
      </c>
      <c r="D10" s="7"/>
      <c r="E10" s="7" t="s">
        <v>1089</v>
      </c>
      <c r="F10" s="7" t="s">
        <v>19</v>
      </c>
      <c r="G10" s="7" t="s">
        <v>1090</v>
      </c>
      <c r="H10" s="7" t="s">
        <v>17</v>
      </c>
      <c r="I10" s="7" t="s">
        <v>17</v>
      </c>
      <c r="J10" s="7" t="s">
        <v>1091</v>
      </c>
    </row>
    <row r="11" spans="1:10" x14ac:dyDescent="0.25" outlineLevel="1" collapsed="1">
      <c r="A11" s="7" t="s">
        <v>15</v>
      </c>
      <c r="B11" s="7" t="s">
        <v>16</v>
      </c>
      <c r="C11" s="7" t="s">
        <v>17</v>
      </c>
      <c r="D11" s="7"/>
      <c r="E11" s="7" t="s">
        <v>1092</v>
      </c>
      <c r="F11" s="7" t="s">
        <v>19</v>
      </c>
      <c r="G11" s="7" t="s">
        <v>1093</v>
      </c>
      <c r="H11" s="7" t="s">
        <v>17</v>
      </c>
      <c r="I11" s="7" t="s">
        <v>17</v>
      </c>
      <c r="J11" s="7" t="s">
        <v>1094</v>
      </c>
    </row>
  </sheetData>
  <mergeCells count="3">
    <mergeCell ref="A1:J1"/>
    <mergeCell ref="B2:J2"/>
    <mergeCell ref="B3:J3"/>
  </mergeCells>
  <hyperlinks>
    <hyperlink ref="B5" r:id="rId1" location="#'Project Proponent Contact (VCS'!A1"/>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2789</v>
      </c>
      <c r="B1" s="1"/>
      <c r="C1" s="1"/>
      <c r="D1" s="1"/>
      <c r="E1" s="1"/>
      <c r="F1" s="1"/>
      <c r="G1" s="1"/>
      <c r="H1" s="1"/>
      <c r="I1" s="1"/>
      <c r="J1" s="1"/>
    </row>
    <row r="2" spans="1:10" x14ac:dyDescent="0.25">
      <c r="A2" s="2" t="s">
        <v>1</v>
      </c>
      <c r="B2" s="3" t="s">
        <v>2790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231</v>
      </c>
      <c r="F5" s="5" t="s">
        <v>19</v>
      </c>
      <c r="G5" s="5" t="b">
        <v>0</v>
      </c>
      <c r="H5" s="5" t="s">
        <v>17</v>
      </c>
      <c r="I5" s="5" t="s">
        <v>17</v>
      </c>
      <c r="J5" s="5" t="s">
        <v>232</v>
      </c>
    </row>
    <row r="6" spans="1:10" x14ac:dyDescent="0.25">
      <c r="A6" s="5" t="s">
        <v>19</v>
      </c>
      <c r="B6" s="5" t="s">
        <v>16</v>
      </c>
      <c r="C6" s="5" t="s">
        <v>17</v>
      </c>
      <c r="D6" s="5"/>
      <c r="E6" s="5" t="s">
        <v>233</v>
      </c>
      <c r="F6" s="5" t="s">
        <v>19</v>
      </c>
      <c r="G6" s="5" t="s">
        <v>234</v>
      </c>
      <c r="H6" s="5" t="s">
        <v>17</v>
      </c>
      <c r="I6" s="5" t="s">
        <v>17</v>
      </c>
      <c r="J6" s="5" t="s">
        <v>235</v>
      </c>
    </row>
    <row r="7" spans="1:10" x14ac:dyDescent="0.25">
      <c r="A7" s="5" t="s">
        <v>19</v>
      </c>
      <c r="B7" s="5" t="s">
        <v>16</v>
      </c>
      <c r="C7" s="5" t="s">
        <v>17</v>
      </c>
      <c r="D7" s="5"/>
      <c r="E7" s="5" t="s">
        <v>236</v>
      </c>
      <c r="F7" s="5" t="s">
        <v>19</v>
      </c>
      <c r="G7" s="5" t="s">
        <v>237</v>
      </c>
      <c r="H7" s="5" t="s">
        <v>17</v>
      </c>
      <c r="I7" s="5" t="s">
        <v>17</v>
      </c>
      <c r="J7" s="5" t="s">
        <v>238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2791</v>
      </c>
      <c r="B1" s="1"/>
      <c r="C1" s="1"/>
      <c r="D1" s="1"/>
      <c r="E1" s="1"/>
      <c r="F1" s="1"/>
      <c r="G1" s="1"/>
      <c r="H1" s="1"/>
      <c r="I1" s="1"/>
      <c r="J1" s="1"/>
    </row>
    <row r="2" spans="1:10" x14ac:dyDescent="0.25">
      <c r="A2" s="2" t="s">
        <v>1</v>
      </c>
      <c r="B2" s="3" t="s">
        <v>2792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2793</v>
      </c>
      <c r="B1" s="1"/>
      <c r="C1" s="1"/>
      <c r="D1" s="1"/>
      <c r="E1" s="1"/>
      <c r="F1" s="1"/>
      <c r="G1" s="1"/>
      <c r="H1" s="1"/>
      <c r="I1" s="1"/>
      <c r="J1" s="1"/>
    </row>
    <row r="2" spans="1:10" x14ac:dyDescent="0.25">
      <c r="A2" s="2" t="s">
        <v>1</v>
      </c>
      <c r="B2" s="3" t="s">
        <v>2794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2476</v>
      </c>
      <c r="F5" s="5" t="s">
        <v>19</v>
      </c>
      <c r="G5" s="5" t="s">
        <v>996</v>
      </c>
      <c r="H5" s="5" t="s">
        <v>17</v>
      </c>
      <c r="I5" s="5" t="s">
        <v>17</v>
      </c>
      <c r="J5" s="5" t="s">
        <v>796</v>
      </c>
    </row>
    <row r="6" spans="1:10" x14ac:dyDescent="0.25">
      <c r="A6" s="5" t="s">
        <v>19</v>
      </c>
      <c r="B6" s="5" t="s">
        <v>16</v>
      </c>
      <c r="C6" s="5" t="s">
        <v>17</v>
      </c>
      <c r="D6" s="5"/>
      <c r="E6" s="5" t="s">
        <v>2477</v>
      </c>
      <c r="F6" s="5" t="s">
        <v>19</v>
      </c>
      <c r="G6" s="5" t="s">
        <v>2478</v>
      </c>
      <c r="H6" s="5" t="s">
        <v>17</v>
      </c>
      <c r="I6" s="5" t="s">
        <v>17</v>
      </c>
      <c r="J6" s="5" t="s">
        <v>2479</v>
      </c>
    </row>
    <row r="7" spans="1:10" x14ac:dyDescent="0.25">
      <c r="A7" s="5" t="s">
        <v>19</v>
      </c>
      <c r="B7" s="5" t="s">
        <v>16</v>
      </c>
      <c r="C7" s="5" t="s">
        <v>17</v>
      </c>
      <c r="D7" s="5"/>
      <c r="E7" s="5" t="s">
        <v>2480</v>
      </c>
      <c r="F7" s="5" t="s">
        <v>19</v>
      </c>
      <c r="G7" s="5" t="s">
        <v>2481</v>
      </c>
      <c r="H7" s="5" t="s">
        <v>17</v>
      </c>
      <c r="I7" s="5" t="s">
        <v>17</v>
      </c>
      <c r="J7" s="5" t="s">
        <v>2482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2795</v>
      </c>
      <c r="B1" s="1"/>
      <c r="C1" s="1"/>
      <c r="D1" s="1"/>
      <c r="E1" s="1"/>
      <c r="F1" s="1"/>
      <c r="G1" s="1"/>
      <c r="H1" s="1"/>
      <c r="I1" s="1"/>
      <c r="J1" s="1"/>
    </row>
    <row r="2" spans="1:10" x14ac:dyDescent="0.25">
      <c r="A2" s="2" t="s">
        <v>1</v>
      </c>
      <c r="B2" s="3" t="s">
        <v>2796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1517</v>
      </c>
      <c r="F5" s="5" t="s">
        <v>19</v>
      </c>
      <c r="G5" s="5" t="s">
        <v>1518</v>
      </c>
      <c r="H5" s="5" t="s">
        <v>1518</v>
      </c>
      <c r="I5" s="5" t="s">
        <v>17</v>
      </c>
      <c r="J5" s="5" t="s">
        <v>626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2797</v>
      </c>
      <c r="B1" s="1"/>
      <c r="C1" s="1"/>
      <c r="D1" s="1"/>
      <c r="E1" s="1"/>
      <c r="F1" s="1"/>
      <c r="G1" s="1"/>
      <c r="H1" s="1"/>
      <c r="I1" s="1"/>
      <c r="J1" s="1"/>
    </row>
    <row r="2" spans="1:10" x14ac:dyDescent="0.25">
      <c r="A2" s="2" t="s">
        <v>1</v>
      </c>
      <c r="B2" s="3" t="s">
        <v>2798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1215</v>
      </c>
      <c r="F5" s="5" t="s">
        <v>19</v>
      </c>
      <c r="G5" s="5" t="b">
        <v>0</v>
      </c>
      <c r="H5" s="5" t="s">
        <v>17</v>
      </c>
      <c r="I5" s="5" t="s">
        <v>17</v>
      </c>
      <c r="J5" s="5" t="s">
        <v>1216</v>
      </c>
    </row>
    <row r="6" spans="1:10" x14ac:dyDescent="0.25">
      <c r="A6" s="5" t="s">
        <v>15</v>
      </c>
      <c r="B6" s="5" t="s">
        <v>159</v>
      </c>
      <c r="C6" s="5" t="s">
        <v>17</v>
      </c>
      <c r="D6" s="5"/>
      <c r="E6" s="5" t="s">
        <v>1217</v>
      </c>
      <c r="F6" s="5" t="s">
        <v>19</v>
      </c>
      <c r="G6" s="5" t="b">
        <v>0</v>
      </c>
      <c r="H6" s="5" t="s">
        <v>17</v>
      </c>
      <c r="I6" s="5" t="s">
        <v>17</v>
      </c>
      <c r="J6" s="5" t="s">
        <v>1218</v>
      </c>
    </row>
    <row r="7" spans="1:10" x14ac:dyDescent="0.25">
      <c r="A7" s="5" t="s">
        <v>15</v>
      </c>
      <c r="B7" s="5" t="s">
        <v>159</v>
      </c>
      <c r="C7" s="5" t="s">
        <v>17</v>
      </c>
      <c r="D7" s="5"/>
      <c r="E7" s="5" t="s">
        <v>1219</v>
      </c>
      <c r="F7" s="5" t="s">
        <v>19</v>
      </c>
      <c r="G7" s="5" t="b">
        <v>0</v>
      </c>
      <c r="H7" s="5" t="s">
        <v>17</v>
      </c>
      <c r="I7" s="5" t="s">
        <v>17</v>
      </c>
      <c r="J7" s="5" t="s">
        <v>1220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2799</v>
      </c>
      <c r="B1" s="1"/>
      <c r="C1" s="1"/>
      <c r="D1" s="1"/>
      <c r="E1" s="1"/>
      <c r="F1" s="1"/>
      <c r="G1" s="1"/>
      <c r="H1" s="1"/>
      <c r="I1" s="1"/>
      <c r="J1" s="1"/>
    </row>
    <row r="2" spans="1:10" x14ac:dyDescent="0.25">
      <c r="A2" s="2" t="s">
        <v>1</v>
      </c>
      <c r="B2" s="3" t="s">
        <v>2800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2801</v>
      </c>
      <c r="B1" s="1"/>
      <c r="C1" s="1"/>
      <c r="D1" s="1"/>
      <c r="E1" s="1"/>
      <c r="F1" s="1"/>
      <c r="G1" s="1"/>
      <c r="H1" s="1"/>
      <c r="I1" s="1"/>
      <c r="J1" s="1"/>
    </row>
    <row r="2" spans="1:10" x14ac:dyDescent="0.25">
      <c r="A2" s="2" t="s">
        <v>1</v>
      </c>
      <c r="B2" s="3" t="s">
        <v>2802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226</v>
      </c>
      <c r="F5" s="5" t="s">
        <v>19</v>
      </c>
      <c r="G5" s="5" t="s">
        <v>227</v>
      </c>
      <c r="H5" s="5" t="s">
        <v>17</v>
      </c>
      <c r="I5" s="5" t="s">
        <v>17</v>
      </c>
      <c r="J5" s="5" t="s">
        <v>225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2803</v>
      </c>
      <c r="B1" s="1"/>
      <c r="C1" s="1"/>
      <c r="D1" s="1"/>
      <c r="E1" s="1"/>
      <c r="F1" s="1"/>
      <c r="G1" s="1"/>
      <c r="H1" s="1"/>
      <c r="I1" s="1"/>
      <c r="J1" s="1"/>
    </row>
    <row r="2" spans="1:10" x14ac:dyDescent="0.25">
      <c r="A2" s="2" t="s">
        <v>1</v>
      </c>
      <c r="B2" s="3" t="s">
        <v>2804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2214</v>
      </c>
      <c r="F5" s="5" t="s">
        <v>19</v>
      </c>
      <c r="G5" s="5" t="b">
        <v>0</v>
      </c>
      <c r="H5" s="5" t="s">
        <v>17</v>
      </c>
      <c r="I5" s="5" t="s">
        <v>17</v>
      </c>
      <c r="J5" s="5" t="s">
        <v>2215</v>
      </c>
    </row>
    <row r="6" spans="1:10" x14ac:dyDescent="0.25">
      <c r="A6" s="5" t="s">
        <v>15</v>
      </c>
      <c r="B6" s="5" t="s">
        <v>16</v>
      </c>
      <c r="C6" s="5" t="s">
        <v>17</v>
      </c>
      <c r="D6" s="5"/>
      <c r="E6" s="5" t="s">
        <v>2216</v>
      </c>
      <c r="F6" s="5" t="s">
        <v>19</v>
      </c>
      <c r="G6" s="5" t="s">
        <v>2217</v>
      </c>
      <c r="H6" s="5" t="s">
        <v>2217</v>
      </c>
      <c r="I6" s="5" t="s">
        <v>17</v>
      </c>
      <c r="J6" s="5" t="s">
        <v>2218</v>
      </c>
    </row>
    <row r="7" spans="1:10" x14ac:dyDescent="0.25">
      <c r="A7" s="5" t="s">
        <v>19</v>
      </c>
      <c r="B7" s="5" t="s">
        <v>63</v>
      </c>
      <c r="C7" s="5" t="s">
        <v>17</v>
      </c>
      <c r="D7" s="5"/>
      <c r="E7" s="5" t="s">
        <v>1512</v>
      </c>
      <c r="F7" s="5" t="s">
        <v>19</v>
      </c>
      <c r="G7" s="5">
        <v>1</v>
      </c>
      <c r="H7" s="5" t="s">
        <v>17</v>
      </c>
      <c r="I7" s="5" t="s">
        <v>17</v>
      </c>
      <c r="J7" s="5" t="s">
        <v>1513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2805</v>
      </c>
      <c r="B1" s="1"/>
      <c r="C1" s="1"/>
      <c r="D1" s="1"/>
      <c r="E1" s="1"/>
      <c r="F1" s="1"/>
      <c r="G1" s="1"/>
      <c r="H1" s="1"/>
      <c r="I1" s="1"/>
      <c r="J1" s="1"/>
    </row>
    <row r="2" spans="1:10" x14ac:dyDescent="0.25">
      <c r="A2" s="2" t="s">
        <v>1</v>
      </c>
      <c r="B2" s="3" t="s">
        <v>2806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1307</v>
      </c>
      <c r="F5" s="5" t="s">
        <v>19</v>
      </c>
      <c r="G5" s="5" t="s">
        <v>1308</v>
      </c>
      <c r="H5" s="5" t="s">
        <v>17</v>
      </c>
      <c r="I5" s="5" t="s">
        <v>17</v>
      </c>
      <c r="J5" s="5" t="s">
        <v>1309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2807</v>
      </c>
      <c r="B1" s="1"/>
      <c r="C1" s="1"/>
      <c r="D1" s="1"/>
      <c r="E1" s="1"/>
      <c r="F1" s="1"/>
      <c r="G1" s="1"/>
      <c r="H1" s="1"/>
      <c r="I1" s="1"/>
      <c r="J1" s="1"/>
    </row>
    <row r="2" spans="1:10" x14ac:dyDescent="0.25">
      <c r="A2" s="2" t="s">
        <v>1</v>
      </c>
      <c r="B2" s="3" t="s">
        <v>2808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218</v>
      </c>
      <c r="F5" s="5" t="s">
        <v>19</v>
      </c>
      <c r="G5" s="5" t="b">
        <v>0</v>
      </c>
      <c r="H5" s="5" t="s">
        <v>17</v>
      </c>
      <c r="I5" s="5" t="s">
        <v>17</v>
      </c>
      <c r="J5" s="5" t="s">
        <v>219</v>
      </c>
    </row>
    <row r="6" spans="1:10" x14ac:dyDescent="0.25">
      <c r="A6" s="5" t="s">
        <v>15</v>
      </c>
      <c r="B6" s="5" t="s">
        <v>16</v>
      </c>
      <c r="C6" s="5" t="s">
        <v>17</v>
      </c>
      <c r="D6" s="5"/>
      <c r="E6" s="5" t="s">
        <v>220</v>
      </c>
      <c r="F6" s="5" t="s">
        <v>19</v>
      </c>
      <c r="G6" s="5" t="s">
        <v>221</v>
      </c>
      <c r="H6" s="5" t="s">
        <v>221</v>
      </c>
      <c r="I6" s="5" t="s">
        <v>17</v>
      </c>
      <c r="J6" s="5" t="s">
        <v>222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2809</v>
      </c>
      <c r="B1" s="1"/>
      <c r="C1" s="1"/>
      <c r="D1" s="1"/>
      <c r="E1" s="1"/>
      <c r="F1" s="1"/>
      <c r="G1" s="1"/>
      <c r="H1" s="1"/>
      <c r="I1" s="1"/>
      <c r="J1" s="1"/>
    </row>
    <row r="2" spans="1:10" x14ac:dyDescent="0.25">
      <c r="A2" s="2" t="s">
        <v>1</v>
      </c>
      <c r="B2" s="3" t="s">
        <v>2810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121</v>
      </c>
      <c r="F5" s="5" t="s">
        <v>19</v>
      </c>
      <c r="G5" s="5" t="s">
        <v>122</v>
      </c>
      <c r="H5" s="5" t="s">
        <v>122</v>
      </c>
      <c r="I5" s="5" t="s">
        <v>17</v>
      </c>
      <c r="J5" s="5" t="s">
        <v>123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2811</v>
      </c>
      <c r="B1" s="1"/>
      <c r="C1" s="1"/>
      <c r="D1" s="1"/>
      <c r="E1" s="1"/>
      <c r="F1" s="1"/>
      <c r="G1" s="1"/>
      <c r="H1" s="1"/>
      <c r="I1" s="1"/>
      <c r="J1" s="1"/>
    </row>
    <row r="2" spans="1:10" x14ac:dyDescent="0.25">
      <c r="A2" s="2" t="s">
        <v>1</v>
      </c>
      <c r="B2" s="3" t="s">
        <v>2812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2603</v>
      </c>
      <c r="F5" s="5" t="s">
        <v>19</v>
      </c>
      <c r="G5" s="5" t="s">
        <v>2604</v>
      </c>
      <c r="H5" s="5" t="s">
        <v>2605</v>
      </c>
      <c r="I5" s="5" t="s">
        <v>17</v>
      </c>
      <c r="J5" s="5" t="s">
        <v>2606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2813</v>
      </c>
      <c r="B1" s="1"/>
      <c r="C1" s="1"/>
      <c r="D1" s="1"/>
      <c r="E1" s="1"/>
      <c r="F1" s="1"/>
      <c r="G1" s="1"/>
      <c r="H1" s="1"/>
      <c r="I1" s="1"/>
      <c r="J1" s="1"/>
    </row>
    <row r="2" spans="1:10" x14ac:dyDescent="0.25">
      <c r="A2" s="2" t="s">
        <v>1</v>
      </c>
      <c r="B2" s="3" t="s">
        <v>2814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2815</v>
      </c>
      <c r="F5" s="5" t="s">
        <v>19</v>
      </c>
      <c r="G5" s="5" t="s">
        <v>2816</v>
      </c>
      <c r="H5" s="5" t="s">
        <v>17</v>
      </c>
      <c r="I5" s="5" t="s">
        <v>17</v>
      </c>
      <c r="J5" s="5" t="s">
        <v>2817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2818</v>
      </c>
      <c r="B1" s="1"/>
      <c r="C1" s="1"/>
      <c r="D1" s="1"/>
      <c r="E1" s="1"/>
      <c r="F1" s="1"/>
      <c r="G1" s="1"/>
      <c r="H1" s="1"/>
      <c r="I1" s="1"/>
      <c r="J1" s="1"/>
    </row>
    <row r="2" spans="1:10" x14ac:dyDescent="0.25">
      <c r="A2" s="2" t="s">
        <v>1</v>
      </c>
      <c r="B2" s="3" t="s">
        <v>2819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1435</v>
      </c>
      <c r="C5" s="5" t="s">
        <v>17</v>
      </c>
      <c r="D5" s="5"/>
      <c r="E5" s="5" t="s">
        <v>1436</v>
      </c>
      <c r="F5" s="5" t="s">
        <v>19</v>
      </c>
      <c r="G5" s="5" t="s">
        <v>17</v>
      </c>
      <c r="H5" s="5" t="s">
        <v>17</v>
      </c>
      <c r="I5" s="5" t="s">
        <v>17</v>
      </c>
      <c r="J5" s="5" t="s">
        <v>1437</v>
      </c>
    </row>
    <row r="6" spans="1:10" x14ac:dyDescent="0.25" outlineLevel="1" collapsed="1">
      <c r="A6" s="7" t="s">
        <v>15</v>
      </c>
      <c r="B6" s="7" t="s">
        <v>16</v>
      </c>
      <c r="C6" s="7" t="s">
        <v>17</v>
      </c>
      <c r="D6" s="7"/>
      <c r="E6" s="7" t="s">
        <v>1438</v>
      </c>
      <c r="F6" s="7" t="s">
        <v>19</v>
      </c>
      <c r="G6" s="7" t="s">
        <v>1439</v>
      </c>
      <c r="H6" s="7" t="s">
        <v>17</v>
      </c>
      <c r="I6" s="7" t="s">
        <v>17</v>
      </c>
      <c r="J6" s="7" t="s">
        <v>1440</v>
      </c>
    </row>
    <row r="7" spans="1:10" x14ac:dyDescent="0.25">
      <c r="A7" s="5" t="s">
        <v>15</v>
      </c>
      <c r="B7" s="6" t="s">
        <v>1441</v>
      </c>
      <c r="C7" s="5" t="s">
        <v>17</v>
      </c>
      <c r="D7" s="5"/>
      <c r="E7" s="5" t="s">
        <v>1442</v>
      </c>
      <c r="F7" s="5" t="s">
        <v>19</v>
      </c>
      <c r="G7" s="5" t="s">
        <v>17</v>
      </c>
      <c r="H7" s="5" t="s">
        <v>17</v>
      </c>
      <c r="I7" s="5" t="s">
        <v>17</v>
      </c>
      <c r="J7" s="5" t="s">
        <v>1443</v>
      </c>
    </row>
    <row r="8" spans="1:10" x14ac:dyDescent="0.25" outlineLevel="1" collapsed="1">
      <c r="A8" s="7" t="s">
        <v>15</v>
      </c>
      <c r="B8" s="7" t="s">
        <v>16</v>
      </c>
      <c r="C8" s="7" t="s">
        <v>17</v>
      </c>
      <c r="D8" s="7"/>
      <c r="E8" s="7" t="s">
        <v>1444</v>
      </c>
      <c r="F8" s="7" t="s">
        <v>19</v>
      </c>
      <c r="G8" s="7" t="s">
        <v>1445</v>
      </c>
      <c r="H8" s="7" t="s">
        <v>17</v>
      </c>
      <c r="I8" s="7" t="s">
        <v>17</v>
      </c>
      <c r="J8" s="7" t="s">
        <v>1446</v>
      </c>
    </row>
    <row r="9" spans="1:10" x14ac:dyDescent="0.25">
      <c r="A9" s="5" t="s">
        <v>15</v>
      </c>
      <c r="B9" s="6" t="s">
        <v>1447</v>
      </c>
      <c r="C9" s="5" t="s">
        <v>17</v>
      </c>
      <c r="D9" s="5"/>
      <c r="E9" s="5" t="s">
        <v>1448</v>
      </c>
      <c r="F9" s="5" t="s">
        <v>19</v>
      </c>
      <c r="G9" s="5" t="s">
        <v>17</v>
      </c>
      <c r="H9" s="5" t="s">
        <v>17</v>
      </c>
      <c r="I9" s="5" t="s">
        <v>17</v>
      </c>
      <c r="J9" s="5" t="s">
        <v>1449</v>
      </c>
    </row>
    <row r="10" spans="1:10" x14ac:dyDescent="0.25" outlineLevel="1" collapsed="1">
      <c r="A10" s="7" t="s">
        <v>15</v>
      </c>
      <c r="B10" s="7" t="s">
        <v>16</v>
      </c>
      <c r="C10" s="7" t="s">
        <v>17</v>
      </c>
      <c r="D10" s="7"/>
      <c r="E10" s="7" t="s">
        <v>1450</v>
      </c>
      <c r="F10" s="7" t="s">
        <v>19</v>
      </c>
      <c r="G10" s="7" t="s">
        <v>1451</v>
      </c>
      <c r="H10" s="7" t="s">
        <v>17</v>
      </c>
      <c r="I10" s="7" t="s">
        <v>17</v>
      </c>
      <c r="J10" s="7" t="s">
        <v>1452</v>
      </c>
    </row>
    <row r="11" spans="1:10" x14ac:dyDescent="0.25">
      <c r="A11" s="5" t="s">
        <v>15</v>
      </c>
      <c r="B11" s="6" t="s">
        <v>1453</v>
      </c>
      <c r="C11" s="5" t="s">
        <v>17</v>
      </c>
      <c r="D11" s="5"/>
      <c r="E11" s="5" t="s">
        <v>1454</v>
      </c>
      <c r="F11" s="5" t="s">
        <v>19</v>
      </c>
      <c r="G11" s="5" t="s">
        <v>17</v>
      </c>
      <c r="H11" s="5" t="s">
        <v>17</v>
      </c>
      <c r="I11" s="5" t="s">
        <v>17</v>
      </c>
      <c r="J11" s="5" t="s">
        <v>1455</v>
      </c>
    </row>
    <row r="12" spans="1:10" x14ac:dyDescent="0.25" outlineLevel="1" collapsed="1">
      <c r="A12" s="7" t="s">
        <v>15</v>
      </c>
      <c r="B12" s="7" t="s">
        <v>16</v>
      </c>
      <c r="C12" s="7" t="s">
        <v>17</v>
      </c>
      <c r="D12" s="7"/>
      <c r="E12" s="7" t="s">
        <v>1456</v>
      </c>
      <c r="F12" s="7" t="s">
        <v>19</v>
      </c>
      <c r="G12" s="7" t="s">
        <v>1457</v>
      </c>
      <c r="H12" s="7" t="s">
        <v>17</v>
      </c>
      <c r="I12" s="7" t="s">
        <v>17</v>
      </c>
      <c r="J12" s="7" t="s">
        <v>1458</v>
      </c>
    </row>
    <row r="13" spans="1:10" x14ac:dyDescent="0.25">
      <c r="A13" s="5" t="s">
        <v>15</v>
      </c>
      <c r="B13" s="6" t="s">
        <v>1459</v>
      </c>
      <c r="C13" s="5" t="s">
        <v>17</v>
      </c>
      <c r="D13" s="5"/>
      <c r="E13" s="5" t="s">
        <v>1460</v>
      </c>
      <c r="F13" s="5" t="s">
        <v>19</v>
      </c>
      <c r="G13" s="5" t="s">
        <v>17</v>
      </c>
      <c r="H13" s="5" t="s">
        <v>17</v>
      </c>
      <c r="I13" s="5" t="s">
        <v>17</v>
      </c>
      <c r="J13" s="5" t="s">
        <v>1461</v>
      </c>
    </row>
    <row r="14" spans="1:10" x14ac:dyDescent="0.25" outlineLevel="1" collapsed="1">
      <c r="A14" s="7" t="s">
        <v>15</v>
      </c>
      <c r="B14" s="7" t="s">
        <v>16</v>
      </c>
      <c r="C14" s="7" t="s">
        <v>17</v>
      </c>
      <c r="D14" s="7"/>
      <c r="E14" s="7" t="s">
        <v>1462</v>
      </c>
      <c r="F14" s="7" t="s">
        <v>19</v>
      </c>
      <c r="G14" s="7" t="s">
        <v>1463</v>
      </c>
      <c r="H14" s="7" t="s">
        <v>17</v>
      </c>
      <c r="I14" s="7" t="s">
        <v>17</v>
      </c>
      <c r="J14" s="7" t="s">
        <v>1464</v>
      </c>
    </row>
    <row r="15" spans="1:10" x14ac:dyDescent="0.25">
      <c r="A15" s="5" t="s">
        <v>15</v>
      </c>
      <c r="B15" s="6" t="s">
        <v>1465</v>
      </c>
      <c r="C15" s="5" t="s">
        <v>17</v>
      </c>
      <c r="D15" s="5"/>
      <c r="E15" s="5" t="s">
        <v>1466</v>
      </c>
      <c r="F15" s="5" t="s">
        <v>19</v>
      </c>
      <c r="G15" s="5" t="s">
        <v>17</v>
      </c>
      <c r="H15" s="5" t="s">
        <v>17</v>
      </c>
      <c r="I15" s="5" t="s">
        <v>17</v>
      </c>
      <c r="J15" s="5" t="s">
        <v>1467</v>
      </c>
    </row>
    <row r="16" spans="1:10" x14ac:dyDescent="0.25" outlineLevel="1" collapsed="1">
      <c r="A16" s="7" t="s">
        <v>15</v>
      </c>
      <c r="B16" s="7" t="s">
        <v>16</v>
      </c>
      <c r="C16" s="7" t="s">
        <v>17</v>
      </c>
      <c r="D16" s="7"/>
      <c r="E16" s="7" t="s">
        <v>1468</v>
      </c>
      <c r="F16" s="7" t="s">
        <v>19</v>
      </c>
      <c r="G16" s="7" t="s">
        <v>1469</v>
      </c>
      <c r="H16" s="7" t="s">
        <v>17</v>
      </c>
      <c r="I16" s="7" t="s">
        <v>17</v>
      </c>
      <c r="J16" s="7" t="s">
        <v>1470</v>
      </c>
    </row>
    <row r="17" spans="1:10" x14ac:dyDescent="0.25">
      <c r="A17" s="5" t="s">
        <v>15</v>
      </c>
      <c r="B17" s="6" t="s">
        <v>1471</v>
      </c>
      <c r="C17" s="5" t="s">
        <v>17</v>
      </c>
      <c r="D17" s="5"/>
      <c r="E17" s="5" t="s">
        <v>1472</v>
      </c>
      <c r="F17" s="5" t="s">
        <v>19</v>
      </c>
      <c r="G17" s="5" t="s">
        <v>17</v>
      </c>
      <c r="H17" s="5" t="s">
        <v>17</v>
      </c>
      <c r="I17" s="5" t="s">
        <v>17</v>
      </c>
      <c r="J17" s="5" t="s">
        <v>1473</v>
      </c>
    </row>
    <row r="18" spans="1:10" x14ac:dyDescent="0.25" outlineLevel="1" collapsed="1">
      <c r="A18" s="7" t="s">
        <v>15</v>
      </c>
      <c r="B18" s="7" t="s">
        <v>16</v>
      </c>
      <c r="C18" s="7" t="s">
        <v>17</v>
      </c>
      <c r="D18" s="7"/>
      <c r="E18" s="7" t="s">
        <v>1474</v>
      </c>
      <c r="F18" s="7" t="s">
        <v>19</v>
      </c>
      <c r="G18" s="7" t="s">
        <v>1475</v>
      </c>
      <c r="H18" s="7" t="s">
        <v>17</v>
      </c>
      <c r="I18" s="7" t="s">
        <v>17</v>
      </c>
      <c r="J18" s="7" t="s">
        <v>1476</v>
      </c>
    </row>
  </sheetData>
  <mergeCells count="3">
    <mergeCell ref="A1:J1"/>
    <mergeCell ref="B2:J2"/>
    <mergeCell ref="B3:J3"/>
  </mergeCells>
  <hyperlinks>
    <hyperlink ref="B5" r:id="rId1" location="#'MR 4.2.1 GHG Data Collection a'!A1"/>
    <hyperlink ref="B7" r:id="rId2" location="#'MR 4.2.2 Procedures for Calibr'!A1"/>
    <hyperlink ref="B9" r:id="rId3" location="#'MR 4.2.3 Monitoring Personnel'!A1"/>
    <hyperlink ref="B11" r:id="rId4" location="#'MR 4.2.4 Procedures for Intern'!A1"/>
    <hyperlink ref="B13" r:id="rId5" location="#'MR 4.2.5 Procedures for Handli'!A1"/>
    <hyperlink ref="B15" r:id="rId6" location="#'MR 4.2.6 Sampling Approaches ('!A1"/>
    <hyperlink ref="B17" r:id="rId7" location="#'MR 4.2.7 Updates to Monitoring'!A1"/>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2569</v>
      </c>
      <c r="B1" s="1"/>
      <c r="C1" s="1"/>
      <c r="D1" s="1"/>
      <c r="E1" s="1"/>
      <c r="F1" s="1"/>
      <c r="G1" s="1"/>
      <c r="H1" s="1"/>
      <c r="I1" s="1"/>
      <c r="J1" s="1"/>
    </row>
    <row r="2" spans="1:10" x14ac:dyDescent="0.25">
      <c r="A2" s="2" t="s">
        <v>1</v>
      </c>
      <c r="B2" s="3" t="s">
        <v>2820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2571</v>
      </c>
      <c r="C5" s="5" t="s">
        <v>17</v>
      </c>
      <c r="D5" s="5"/>
      <c r="E5" s="5" t="s">
        <v>2572</v>
      </c>
      <c r="F5" s="5" t="s">
        <v>19</v>
      </c>
      <c r="G5" s="5" t="s">
        <v>17</v>
      </c>
      <c r="H5" s="5" t="s">
        <v>17</v>
      </c>
      <c r="I5" s="5" t="s">
        <v>17</v>
      </c>
      <c r="J5" s="5" t="s">
        <v>2573</v>
      </c>
    </row>
    <row r="6" spans="1:10" x14ac:dyDescent="0.25">
      <c r="A6" s="5" t="s">
        <v>15</v>
      </c>
      <c r="B6" s="6" t="s">
        <v>2574</v>
      </c>
      <c r="C6" s="5" t="s">
        <v>17</v>
      </c>
      <c r="D6" s="5"/>
      <c r="E6" s="5" t="s">
        <v>2575</v>
      </c>
      <c r="F6" s="5" t="s">
        <v>19</v>
      </c>
      <c r="G6" s="5" t="s">
        <v>17</v>
      </c>
      <c r="H6" s="5" t="s">
        <v>17</v>
      </c>
      <c r="I6" s="5" t="s">
        <v>17</v>
      </c>
      <c r="J6" s="5" t="s">
        <v>2576</v>
      </c>
    </row>
    <row r="7" spans="1:10" x14ac:dyDescent="0.25" outlineLevel="1" collapsed="1">
      <c r="A7" s="7" t="s">
        <v>15</v>
      </c>
      <c r="B7" s="7" t="s">
        <v>16</v>
      </c>
      <c r="C7" s="7" t="s">
        <v>17</v>
      </c>
      <c r="D7" s="7"/>
      <c r="E7" s="7" t="s">
        <v>2577</v>
      </c>
      <c r="F7" s="7" t="s">
        <v>19</v>
      </c>
      <c r="G7" s="7" t="s">
        <v>2578</v>
      </c>
      <c r="H7" s="7" t="s">
        <v>17</v>
      </c>
      <c r="I7" s="7" t="s">
        <v>17</v>
      </c>
      <c r="J7" s="7" t="s">
        <v>2579</v>
      </c>
    </row>
    <row r="8" spans="1:10" x14ac:dyDescent="0.25" outlineLevel="1" collapsed="1">
      <c r="A8" s="7" t="s">
        <v>19</v>
      </c>
      <c r="B8" s="7" t="s">
        <v>16</v>
      </c>
      <c r="C8" s="7" t="s">
        <v>17</v>
      </c>
      <c r="D8" s="7"/>
      <c r="E8" s="7" t="s">
        <v>2580</v>
      </c>
      <c r="F8" s="7" t="s">
        <v>19</v>
      </c>
      <c r="G8" s="7" t="s">
        <v>2581</v>
      </c>
      <c r="H8" s="7" t="s">
        <v>17</v>
      </c>
      <c r="I8" s="7" t="s">
        <v>17</v>
      </c>
      <c r="J8" s="7" t="s">
        <v>2582</v>
      </c>
    </row>
    <row r="9" spans="1:10" x14ac:dyDescent="0.25">
      <c r="A9" s="5" t="s">
        <v>19</v>
      </c>
      <c r="B9" s="6" t="s">
        <v>2583</v>
      </c>
      <c r="C9" s="5" t="s">
        <v>17</v>
      </c>
      <c r="D9" s="5"/>
      <c r="E9" s="5" t="s">
        <v>2584</v>
      </c>
      <c r="F9" s="5" t="s">
        <v>15</v>
      </c>
      <c r="G9" s="5" t="s">
        <v>17</v>
      </c>
      <c r="H9" s="5" t="s">
        <v>17</v>
      </c>
      <c r="I9" s="5" t="s">
        <v>17</v>
      </c>
      <c r="J9" s="5" t="s">
        <v>2585</v>
      </c>
    </row>
    <row r="10" spans="1:10" x14ac:dyDescent="0.25" outlineLevel="1" collapsed="1">
      <c r="A10" s="7" t="s">
        <v>19</v>
      </c>
      <c r="B10" s="7" t="s">
        <v>16</v>
      </c>
      <c r="C10" s="7" t="s">
        <v>17</v>
      </c>
      <c r="D10" s="7"/>
      <c r="E10" s="7" t="s">
        <v>2426</v>
      </c>
      <c r="F10" s="7" t="s">
        <v>19</v>
      </c>
      <c r="G10" s="7" t="s">
        <v>31</v>
      </c>
      <c r="H10" s="7" t="s">
        <v>17</v>
      </c>
      <c r="I10" s="7" t="s">
        <v>17</v>
      </c>
      <c r="J10" s="7" t="s">
        <v>2427</v>
      </c>
    </row>
    <row r="11" spans="1:10" x14ac:dyDescent="0.25" outlineLevel="1" collapsed="1">
      <c r="A11" s="7" t="s">
        <v>19</v>
      </c>
      <c r="B11" s="7" t="s">
        <v>16</v>
      </c>
      <c r="C11" s="7" t="s">
        <v>17</v>
      </c>
      <c r="D11" s="7"/>
      <c r="E11" s="7" t="s">
        <v>2586</v>
      </c>
      <c r="F11" s="7" t="s">
        <v>19</v>
      </c>
      <c r="G11" s="7" t="s">
        <v>31</v>
      </c>
      <c r="H11" s="7" t="s">
        <v>17</v>
      </c>
      <c r="I11" s="7" t="s">
        <v>17</v>
      </c>
      <c r="J11" s="7" t="s">
        <v>2587</v>
      </c>
    </row>
    <row r="12" spans="1:10" x14ac:dyDescent="0.25">
      <c r="A12" s="5" t="s">
        <v>19</v>
      </c>
      <c r="B12" s="5" t="s">
        <v>16</v>
      </c>
      <c r="C12" s="5" t="s">
        <v>17</v>
      </c>
      <c r="D12" s="5"/>
      <c r="E12" s="5" t="s">
        <v>2588</v>
      </c>
      <c r="F12" s="5" t="s">
        <v>19</v>
      </c>
      <c r="G12" s="5" t="s">
        <v>31</v>
      </c>
      <c r="H12" s="5" t="s">
        <v>17</v>
      </c>
      <c r="I12" s="5" t="s">
        <v>17</v>
      </c>
      <c r="J12" s="5" t="s">
        <v>2589</v>
      </c>
    </row>
  </sheetData>
  <mergeCells count="3">
    <mergeCell ref="A1:J1"/>
    <mergeCell ref="B2:J2"/>
    <mergeCell ref="B3:J3"/>
  </mergeCells>
  <hyperlinks>
    <hyperlink ref="B5" r:id="rId1" location="#'3.5.1 Regulatory Surplus (VCS'!A1"/>
    <hyperlink ref="B6" r:id="rId2" location="#'3.5.2 Additionality Methods (V'!A1"/>
    <hyperlink ref="B9" r:id="rId3" location="#'Laws reviewed for regulatory s'!A1"/>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2821</v>
      </c>
      <c r="B1" s="1"/>
      <c r="C1" s="1"/>
      <c r="D1" s="1"/>
      <c r="E1" s="1"/>
      <c r="F1" s="1"/>
      <c r="G1" s="1"/>
      <c r="H1" s="1"/>
      <c r="I1" s="1"/>
      <c r="J1" s="1"/>
    </row>
    <row r="2" spans="1:10" x14ac:dyDescent="0.25">
      <c r="A2" s="2" t="s">
        <v>1</v>
      </c>
      <c r="B2" s="3" t="s">
        <v>2822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869</v>
      </c>
      <c r="D5" s="5"/>
      <c r="E5" s="5" t="s">
        <v>870</v>
      </c>
      <c r="F5" s="5" t="s">
        <v>19</v>
      </c>
      <c r="G5" s="5" t="s">
        <v>871</v>
      </c>
      <c r="H5" s="5" t="s">
        <v>17</v>
      </c>
      <c r="I5" s="5" t="s">
        <v>17</v>
      </c>
      <c r="J5" s="5" t="s">
        <v>872</v>
      </c>
    </row>
    <row r="6" spans="1:10" x14ac:dyDescent="0.25">
      <c r="A6" s="5" t="s">
        <v>15</v>
      </c>
      <c r="B6" s="5" t="s">
        <v>16</v>
      </c>
      <c r="C6" s="5" t="s">
        <v>17</v>
      </c>
      <c r="D6" s="5"/>
      <c r="E6" s="5" t="s">
        <v>873</v>
      </c>
      <c r="F6" s="5" t="s">
        <v>19</v>
      </c>
      <c r="G6" s="5" t="s">
        <v>31</v>
      </c>
      <c r="H6" s="5" t="s">
        <v>17</v>
      </c>
      <c r="I6" s="5" t="s">
        <v>17</v>
      </c>
      <c r="J6" s="5" t="s">
        <v>874</v>
      </c>
    </row>
    <row r="7" spans="1:10" x14ac:dyDescent="0.25">
      <c r="A7" s="5" t="s">
        <v>15</v>
      </c>
      <c r="B7" s="5" t="s">
        <v>284</v>
      </c>
      <c r="C7" s="10" t="s">
        <v>875</v>
      </c>
      <c r="D7" s="5"/>
      <c r="E7" s="5" t="s">
        <v>876</v>
      </c>
      <c r="F7" s="5" t="s">
        <v>19</v>
      </c>
      <c r="G7" s="5" t="s">
        <v>877</v>
      </c>
      <c r="H7" s="5" t="s">
        <v>17</v>
      </c>
      <c r="I7" s="5" t="s">
        <v>17</v>
      </c>
      <c r="J7" s="5" t="s">
        <v>878</v>
      </c>
    </row>
    <row r="8" spans="1:10" x14ac:dyDescent="0.25">
      <c r="A8" s="5" t="s">
        <v>15</v>
      </c>
      <c r="B8" s="5" t="s">
        <v>16</v>
      </c>
      <c r="C8" s="5" t="s">
        <v>17</v>
      </c>
      <c r="D8" s="5"/>
      <c r="E8" s="5" t="s">
        <v>879</v>
      </c>
      <c r="F8" s="5" t="s">
        <v>19</v>
      </c>
      <c r="G8" s="5" t="s">
        <v>31</v>
      </c>
      <c r="H8" s="5" t="s">
        <v>17</v>
      </c>
      <c r="I8" s="5" t="s">
        <v>17</v>
      </c>
      <c r="J8" s="5" t="s">
        <v>880</v>
      </c>
    </row>
    <row r="9" spans="1:10" x14ac:dyDescent="0.25">
      <c r="A9" s="5" t="s">
        <v>15</v>
      </c>
      <c r="B9" s="5" t="s">
        <v>284</v>
      </c>
      <c r="C9" s="10" t="s">
        <v>881</v>
      </c>
      <c r="D9" s="5"/>
      <c r="E9" s="5" t="s">
        <v>882</v>
      </c>
      <c r="F9" s="5" t="s">
        <v>19</v>
      </c>
      <c r="G9" s="5" t="s">
        <v>883</v>
      </c>
      <c r="H9" s="5" t="s">
        <v>17</v>
      </c>
      <c r="I9" s="5" t="s">
        <v>17</v>
      </c>
      <c r="J9" s="5" t="s">
        <v>884</v>
      </c>
    </row>
    <row r="10" spans="1:10" x14ac:dyDescent="0.25">
      <c r="A10" s="5" t="s">
        <v>15</v>
      </c>
      <c r="B10" s="5" t="s">
        <v>16</v>
      </c>
      <c r="C10" s="5" t="s">
        <v>17</v>
      </c>
      <c r="D10" s="5"/>
      <c r="E10" s="5" t="s">
        <v>885</v>
      </c>
      <c r="F10" s="5" t="s">
        <v>19</v>
      </c>
      <c r="G10" s="5" t="s">
        <v>31</v>
      </c>
      <c r="H10" s="5" t="s">
        <v>17</v>
      </c>
      <c r="I10" s="5" t="s">
        <v>17</v>
      </c>
      <c r="J10" s="5" t="s">
        <v>886</v>
      </c>
    </row>
    <row r="11" spans="1:10" x14ac:dyDescent="0.25">
      <c r="A11" s="5" t="s">
        <v>15</v>
      </c>
      <c r="B11" s="5" t="s">
        <v>284</v>
      </c>
      <c r="C11" s="10" t="s">
        <v>887</v>
      </c>
      <c r="D11" s="5"/>
      <c r="E11" s="5" t="s">
        <v>888</v>
      </c>
      <c r="F11" s="5" t="s">
        <v>19</v>
      </c>
      <c r="G11" s="5" t="s">
        <v>889</v>
      </c>
      <c r="H11" s="5" t="s">
        <v>17</v>
      </c>
      <c r="I11" s="5" t="s">
        <v>17</v>
      </c>
      <c r="J11" s="5" t="s">
        <v>890</v>
      </c>
    </row>
    <row r="12" spans="1:10" x14ac:dyDescent="0.25">
      <c r="A12" s="5" t="s">
        <v>15</v>
      </c>
      <c r="B12" s="5" t="s">
        <v>16</v>
      </c>
      <c r="C12" s="5" t="s">
        <v>17</v>
      </c>
      <c r="D12" s="5"/>
      <c r="E12" s="5" t="s">
        <v>891</v>
      </c>
      <c r="F12" s="5" t="s">
        <v>19</v>
      </c>
      <c r="G12" s="5" t="s">
        <v>31</v>
      </c>
      <c r="H12" s="5" t="s">
        <v>17</v>
      </c>
      <c r="I12" s="5" t="s">
        <v>17</v>
      </c>
      <c r="J12" s="5" t="s">
        <v>892</v>
      </c>
    </row>
    <row r="13" spans="1:10" x14ac:dyDescent="0.25">
      <c r="A13" s="5" t="s">
        <v>15</v>
      </c>
      <c r="B13" s="5" t="s">
        <v>284</v>
      </c>
      <c r="C13" s="10" t="s">
        <v>893</v>
      </c>
      <c r="D13" s="5"/>
      <c r="E13" s="5" t="s">
        <v>894</v>
      </c>
      <c r="F13" s="5" t="s">
        <v>19</v>
      </c>
      <c r="G13" s="5" t="s">
        <v>895</v>
      </c>
      <c r="H13" s="5" t="s">
        <v>17</v>
      </c>
      <c r="I13" s="5" t="s">
        <v>17</v>
      </c>
      <c r="J13" s="5" t="s">
        <v>896</v>
      </c>
    </row>
    <row r="14" spans="1:10" x14ac:dyDescent="0.25">
      <c r="A14" s="5" t="s">
        <v>15</v>
      </c>
      <c r="B14" s="5" t="s">
        <v>16</v>
      </c>
      <c r="C14" s="5" t="s">
        <v>17</v>
      </c>
      <c r="D14" s="5"/>
      <c r="E14" s="5" t="s">
        <v>897</v>
      </c>
      <c r="F14" s="5" t="s">
        <v>19</v>
      </c>
      <c r="G14" s="5" t="s">
        <v>31</v>
      </c>
      <c r="H14" s="5" t="s">
        <v>17</v>
      </c>
      <c r="I14" s="5" t="s">
        <v>17</v>
      </c>
      <c r="J14" s="5" t="s">
        <v>898</v>
      </c>
    </row>
    <row r="15" spans="1:10" x14ac:dyDescent="0.25">
      <c r="A15" s="5" t="s">
        <v>15</v>
      </c>
      <c r="B15" s="5" t="s">
        <v>284</v>
      </c>
      <c r="C15" s="10" t="s">
        <v>899</v>
      </c>
      <c r="D15" s="5"/>
      <c r="E15" s="5" t="s">
        <v>900</v>
      </c>
      <c r="F15" s="5" t="s">
        <v>19</v>
      </c>
      <c r="G15" s="5" t="s">
        <v>889</v>
      </c>
      <c r="H15" s="5" t="s">
        <v>17</v>
      </c>
      <c r="I15" s="5" t="s">
        <v>17</v>
      </c>
      <c r="J15" s="5" t="s">
        <v>901</v>
      </c>
    </row>
    <row r="16" spans="1:10" x14ac:dyDescent="0.25">
      <c r="A16" s="5" t="s">
        <v>15</v>
      </c>
      <c r="B16" s="5" t="s">
        <v>16</v>
      </c>
      <c r="C16" s="5" t="s">
        <v>17</v>
      </c>
      <c r="D16" s="5"/>
      <c r="E16" s="5" t="s">
        <v>902</v>
      </c>
      <c r="F16" s="5" t="s">
        <v>19</v>
      </c>
      <c r="G16" s="5" t="s">
        <v>31</v>
      </c>
      <c r="H16" s="5" t="s">
        <v>17</v>
      </c>
      <c r="I16" s="5" t="s">
        <v>17</v>
      </c>
      <c r="J16" s="5" t="s">
        <v>903</v>
      </c>
    </row>
    <row r="17" spans="1:10" x14ac:dyDescent="0.25">
      <c r="A17" s="5" t="s">
        <v>15</v>
      </c>
      <c r="B17" s="5" t="s">
        <v>284</v>
      </c>
      <c r="C17" s="10" t="s">
        <v>904</v>
      </c>
      <c r="D17" s="5"/>
      <c r="E17" s="5" t="s">
        <v>905</v>
      </c>
      <c r="F17" s="5" t="s">
        <v>19</v>
      </c>
      <c r="G17" s="5" t="s">
        <v>906</v>
      </c>
      <c r="H17" s="5" t="s">
        <v>17</v>
      </c>
      <c r="I17" s="5" t="s">
        <v>17</v>
      </c>
      <c r="J17" s="5" t="s">
        <v>907</v>
      </c>
    </row>
    <row r="18" spans="1:10" x14ac:dyDescent="0.25">
      <c r="A18" s="5" t="s">
        <v>15</v>
      </c>
      <c r="B18" s="5" t="s">
        <v>16</v>
      </c>
      <c r="C18" s="5" t="s">
        <v>17</v>
      </c>
      <c r="D18" s="5"/>
      <c r="E18" s="5" t="s">
        <v>908</v>
      </c>
      <c r="F18" s="5" t="s">
        <v>19</v>
      </c>
      <c r="G18" s="5" t="s">
        <v>31</v>
      </c>
      <c r="H18" s="5" t="s">
        <v>17</v>
      </c>
      <c r="I18" s="5" t="s">
        <v>17</v>
      </c>
      <c r="J18" s="5" t="s">
        <v>909</v>
      </c>
    </row>
    <row r="19" spans="1:10" x14ac:dyDescent="0.25">
      <c r="A19" s="5" t="s">
        <v>15</v>
      </c>
      <c r="B19" s="5" t="s">
        <v>16</v>
      </c>
      <c r="C19" s="5" t="s">
        <v>17</v>
      </c>
      <c r="D19" s="5"/>
      <c r="E19" s="5" t="s">
        <v>910</v>
      </c>
      <c r="F19" s="5" t="s">
        <v>19</v>
      </c>
      <c r="G19" s="5" t="s">
        <v>911</v>
      </c>
      <c r="H19" s="5" t="s">
        <v>17</v>
      </c>
      <c r="I19" s="5" t="s">
        <v>17</v>
      </c>
      <c r="J19" s="5" t="s">
        <v>912</v>
      </c>
    </row>
    <row r="20" spans="1:10" x14ac:dyDescent="0.25">
      <c r="A20" s="5" t="s">
        <v>15</v>
      </c>
      <c r="B20" s="5" t="s">
        <v>16</v>
      </c>
      <c r="C20" s="5" t="s">
        <v>17</v>
      </c>
      <c r="D20" s="5"/>
      <c r="E20" s="5" t="s">
        <v>913</v>
      </c>
      <c r="F20" s="5" t="s">
        <v>19</v>
      </c>
      <c r="G20" s="5" t="s">
        <v>914</v>
      </c>
      <c r="H20" s="5" t="s">
        <v>17</v>
      </c>
      <c r="I20" s="5" t="s">
        <v>17</v>
      </c>
      <c r="J20" s="5" t="s">
        <v>915</v>
      </c>
    </row>
    <row r="21" spans="1:10" x14ac:dyDescent="0.25">
      <c r="A21" s="5" t="s">
        <v>15</v>
      </c>
      <c r="B21" s="6" t="s">
        <v>916</v>
      </c>
      <c r="C21" s="5" t="s">
        <v>17</v>
      </c>
      <c r="D21" s="5"/>
      <c r="E21" s="5" t="s">
        <v>917</v>
      </c>
      <c r="F21" s="5" t="s">
        <v>15</v>
      </c>
      <c r="G21" s="5" t="s">
        <v>17</v>
      </c>
      <c r="H21" s="5" t="s">
        <v>17</v>
      </c>
      <c r="I21" s="5" t="s">
        <v>17</v>
      </c>
      <c r="J21" s="5" t="s">
        <v>918</v>
      </c>
    </row>
    <row r="22" spans="1:10" x14ac:dyDescent="0.25" outlineLevel="1" collapsed="1">
      <c r="A22" s="7" t="s">
        <v>15</v>
      </c>
      <c r="B22" s="7" t="s">
        <v>16</v>
      </c>
      <c r="C22" s="7" t="s">
        <v>17</v>
      </c>
      <c r="D22" s="7"/>
      <c r="E22" s="7" t="s">
        <v>919</v>
      </c>
      <c r="F22" s="7" t="s">
        <v>19</v>
      </c>
      <c r="G22" s="7" t="s">
        <v>920</v>
      </c>
      <c r="H22" s="7" t="s">
        <v>17</v>
      </c>
      <c r="I22" s="7" t="s">
        <v>17</v>
      </c>
      <c r="J22" s="7" t="s">
        <v>921</v>
      </c>
    </row>
    <row r="23" spans="1:10" x14ac:dyDescent="0.25" outlineLevel="1" collapsed="1">
      <c r="A23" s="7" t="s">
        <v>15</v>
      </c>
      <c r="B23" s="7" t="s">
        <v>159</v>
      </c>
      <c r="C23" s="7" t="s">
        <v>17</v>
      </c>
      <c r="D23" s="7"/>
      <c r="E23" s="7" t="s">
        <v>922</v>
      </c>
      <c r="F23" s="7" t="s">
        <v>19</v>
      </c>
      <c r="G23" s="7" t="b">
        <v>0</v>
      </c>
      <c r="H23" s="7" t="s">
        <v>17</v>
      </c>
      <c r="I23" s="7" t="s">
        <v>17</v>
      </c>
      <c r="J23" s="7" t="s">
        <v>923</v>
      </c>
    </row>
    <row r="24" spans="1:10" x14ac:dyDescent="0.25" outlineLevel="1" collapsed="1">
      <c r="A24" s="7" t="s">
        <v>19</v>
      </c>
      <c r="B24" s="7" t="s">
        <v>16</v>
      </c>
      <c r="C24" s="7" t="s">
        <v>17</v>
      </c>
      <c r="D24" s="7"/>
      <c r="E24" s="7" t="s">
        <v>924</v>
      </c>
      <c r="F24" s="7" t="s">
        <v>19</v>
      </c>
      <c r="G24" s="7" t="s">
        <v>925</v>
      </c>
      <c r="H24" s="7" t="s">
        <v>17</v>
      </c>
      <c r="I24" s="7" t="s">
        <v>17</v>
      </c>
      <c r="J24" s="7" t="s">
        <v>926</v>
      </c>
    </row>
    <row r="25" spans="1:10" x14ac:dyDescent="0.25" outlineLevel="1" collapsed="1">
      <c r="A25" s="7" t="s">
        <v>15</v>
      </c>
      <c r="B25" s="7" t="s">
        <v>16</v>
      </c>
      <c r="C25" s="7" t="s">
        <v>17</v>
      </c>
      <c r="D25" s="7"/>
      <c r="E25" s="7" t="s">
        <v>927</v>
      </c>
      <c r="F25" s="7" t="s">
        <v>19</v>
      </c>
      <c r="G25" s="7" t="s">
        <v>928</v>
      </c>
      <c r="H25" s="7" t="s">
        <v>17</v>
      </c>
      <c r="I25" s="7" t="s">
        <v>17</v>
      </c>
      <c r="J25" s="7" t="s">
        <v>929</v>
      </c>
    </row>
    <row r="26" spans="1:10" x14ac:dyDescent="0.25">
      <c r="A26" s="5" t="s">
        <v>15</v>
      </c>
      <c r="B26" s="6" t="s">
        <v>930</v>
      </c>
      <c r="C26" s="5" t="s">
        <v>17</v>
      </c>
      <c r="D26" s="5"/>
      <c r="E26" s="5" t="s">
        <v>931</v>
      </c>
      <c r="F26" s="5" t="s">
        <v>15</v>
      </c>
      <c r="G26" s="5" t="s">
        <v>17</v>
      </c>
      <c r="H26" s="5" t="s">
        <v>17</v>
      </c>
      <c r="I26" s="5" t="s">
        <v>17</v>
      </c>
      <c r="J26" s="5" t="s">
        <v>932</v>
      </c>
    </row>
    <row r="27" spans="1:10" x14ac:dyDescent="0.25" outlineLevel="1" collapsed="1">
      <c r="A27" s="7" t="s">
        <v>15</v>
      </c>
      <c r="B27" s="7" t="s">
        <v>16</v>
      </c>
      <c r="C27" s="7" t="s">
        <v>17</v>
      </c>
      <c r="D27" s="7"/>
      <c r="E27" s="7" t="s">
        <v>933</v>
      </c>
      <c r="F27" s="7" t="s">
        <v>19</v>
      </c>
      <c r="G27" s="7" t="s">
        <v>920</v>
      </c>
      <c r="H27" s="7" t="s">
        <v>17</v>
      </c>
      <c r="I27" s="7" t="s">
        <v>17</v>
      </c>
      <c r="J27" s="7" t="s">
        <v>934</v>
      </c>
    </row>
    <row r="28" spans="1:10" x14ac:dyDescent="0.25" outlineLevel="1" collapsed="1">
      <c r="A28" s="7" t="s">
        <v>15</v>
      </c>
      <c r="B28" s="7" t="s">
        <v>159</v>
      </c>
      <c r="C28" s="7" t="s">
        <v>17</v>
      </c>
      <c r="D28" s="7"/>
      <c r="E28" s="7" t="s">
        <v>935</v>
      </c>
      <c r="F28" s="7" t="s">
        <v>19</v>
      </c>
      <c r="G28" s="7" t="b">
        <v>0</v>
      </c>
      <c r="H28" s="7" t="s">
        <v>17</v>
      </c>
      <c r="I28" s="7" t="s">
        <v>17</v>
      </c>
      <c r="J28" s="7" t="s">
        <v>936</v>
      </c>
    </row>
    <row r="29" spans="1:10" x14ac:dyDescent="0.25" outlineLevel="1" collapsed="1">
      <c r="A29" s="7" t="s">
        <v>19</v>
      </c>
      <c r="B29" s="7" t="s">
        <v>16</v>
      </c>
      <c r="C29" s="7" t="s">
        <v>17</v>
      </c>
      <c r="D29" s="7"/>
      <c r="E29" s="7" t="s">
        <v>937</v>
      </c>
      <c r="F29" s="7" t="s">
        <v>19</v>
      </c>
      <c r="G29" s="7" t="s">
        <v>938</v>
      </c>
      <c r="H29" s="7" t="s">
        <v>17</v>
      </c>
      <c r="I29" s="7" t="s">
        <v>17</v>
      </c>
      <c r="J29" s="7" t="s">
        <v>939</v>
      </c>
    </row>
    <row r="30" spans="1:10" x14ac:dyDescent="0.25" outlineLevel="1" collapsed="1">
      <c r="A30" s="7" t="s">
        <v>15</v>
      </c>
      <c r="B30" s="7" t="s">
        <v>16</v>
      </c>
      <c r="C30" s="7" t="s">
        <v>17</v>
      </c>
      <c r="D30" s="7"/>
      <c r="E30" s="7" t="s">
        <v>940</v>
      </c>
      <c r="F30" s="7" t="s">
        <v>19</v>
      </c>
      <c r="G30" s="7" t="s">
        <v>941</v>
      </c>
      <c r="H30" s="7" t="s">
        <v>17</v>
      </c>
      <c r="I30" s="7" t="s">
        <v>17</v>
      </c>
      <c r="J30" s="7" t="s">
        <v>942</v>
      </c>
    </row>
    <row r="31" spans="1:10" x14ac:dyDescent="0.25" outlineLevel="1" collapsed="1">
      <c r="A31" s="7" t="s">
        <v>19</v>
      </c>
      <c r="B31" s="7" t="s">
        <v>16</v>
      </c>
      <c r="C31" s="7" t="s">
        <v>17</v>
      </c>
      <c r="D31" s="7"/>
      <c r="E31" s="7" t="s">
        <v>943</v>
      </c>
      <c r="F31" s="7" t="s">
        <v>19</v>
      </c>
      <c r="G31" s="7" t="s">
        <v>31</v>
      </c>
      <c r="H31" s="7" t="s">
        <v>17</v>
      </c>
      <c r="I31" s="7" t="s">
        <v>17</v>
      </c>
      <c r="J31" s="7" t="s">
        <v>944</v>
      </c>
    </row>
    <row r="32" spans="1:10" x14ac:dyDescent="0.25" outlineLevel="1" collapsed="1">
      <c r="A32" s="7" t="s">
        <v>19</v>
      </c>
      <c r="B32" s="7" t="s">
        <v>63</v>
      </c>
      <c r="C32" s="7" t="s">
        <v>17</v>
      </c>
      <c r="D32" s="7">
        <f>EXACT(G28,true)</f>
      </c>
      <c r="E32" s="7" t="s">
        <v>945</v>
      </c>
      <c r="F32" s="7" t="s">
        <v>19</v>
      </c>
      <c r="G32" s="7">
        <v>1</v>
      </c>
      <c r="H32" s="7" t="s">
        <v>17</v>
      </c>
      <c r="I32" s="7" t="s">
        <v>17</v>
      </c>
      <c r="J32" s="7" t="s">
        <v>946</v>
      </c>
    </row>
    <row r="33" spans="1:10" x14ac:dyDescent="0.25" outlineLevel="1" collapsed="1">
      <c r="A33" s="7" t="s">
        <v>19</v>
      </c>
      <c r="B33" s="7" t="s">
        <v>63</v>
      </c>
      <c r="C33" s="7" t="s">
        <v>17</v>
      </c>
      <c r="D33" s="7">
        <f>EXACT(G28,true)</f>
      </c>
      <c r="E33" s="7" t="s">
        <v>947</v>
      </c>
      <c r="F33" s="7" t="s">
        <v>19</v>
      </c>
      <c r="G33" s="7">
        <v>1</v>
      </c>
      <c r="H33" s="7" t="s">
        <v>17</v>
      </c>
      <c r="I33" s="7" t="s">
        <v>17</v>
      </c>
      <c r="J33" s="7" t="s">
        <v>948</v>
      </c>
    </row>
    <row r="34" spans="1:10" x14ac:dyDescent="0.25" outlineLevel="1" collapsed="1">
      <c r="A34" s="7" t="s">
        <v>19</v>
      </c>
      <c r="B34" s="7" t="s">
        <v>291</v>
      </c>
      <c r="C34" s="7" t="s">
        <v>17</v>
      </c>
      <c r="D34" s="7">
        <f>EXACT(G28,true)</f>
      </c>
      <c r="E34" s="7" t="s">
        <v>949</v>
      </c>
      <c r="F34" s="7" t="s">
        <v>19</v>
      </c>
      <c r="G34" s="7" t="s">
        <v>950</v>
      </c>
      <c r="H34" s="7" t="s">
        <v>17</v>
      </c>
      <c r="I34" s="7" t="s">
        <v>17</v>
      </c>
      <c r="J34" s="7" t="s">
        <v>951</v>
      </c>
    </row>
    <row r="35" spans="1:10" x14ac:dyDescent="0.25" outlineLevel="1" collapsed="1">
      <c r="A35" s="8" t="s">
        <v>19</v>
      </c>
      <c r="B35" s="9" t="s">
        <v>952</v>
      </c>
      <c r="C35" s="8" t="s">
        <v>17</v>
      </c>
      <c r="D35" s="8"/>
      <c r="E35" s="8" t="s">
        <v>953</v>
      </c>
      <c r="F35" s="8" t="s">
        <v>15</v>
      </c>
      <c r="G35" s="8" t="s">
        <v>17</v>
      </c>
      <c r="H35" s="8" t="s">
        <v>17</v>
      </c>
      <c r="I35" s="8" t="s">
        <v>17</v>
      </c>
      <c r="J35" s="8" t="s">
        <v>954</v>
      </c>
    </row>
    <row r="36" spans="1:10" x14ac:dyDescent="0.25" outlineLevel="2" collapsed="1">
      <c r="A36" s="7" t="s">
        <v>15</v>
      </c>
      <c r="B36" s="7" t="s">
        <v>16</v>
      </c>
      <c r="C36" s="7" t="s">
        <v>17</v>
      </c>
      <c r="D36" s="7"/>
      <c r="E36" s="7" t="s">
        <v>955</v>
      </c>
      <c r="F36" s="7" t="s">
        <v>19</v>
      </c>
      <c r="G36" s="7" t="s">
        <v>956</v>
      </c>
      <c r="H36" s="7" t="s">
        <v>17</v>
      </c>
      <c r="I36" s="7" t="s">
        <v>17</v>
      </c>
      <c r="J36" s="7" t="s">
        <v>957</v>
      </c>
    </row>
    <row r="37" spans="1:10" x14ac:dyDescent="0.25" outlineLevel="2" collapsed="1">
      <c r="A37" s="7" t="s">
        <v>15</v>
      </c>
      <c r="B37" s="7" t="s">
        <v>284</v>
      </c>
      <c r="C37" s="11" t="s">
        <v>958</v>
      </c>
      <c r="D37" s="7"/>
      <c r="E37" s="7" t="s">
        <v>959</v>
      </c>
      <c r="F37" s="7" t="s">
        <v>19</v>
      </c>
      <c r="G37" s="7" t="s">
        <v>960</v>
      </c>
      <c r="H37" s="7" t="s">
        <v>17</v>
      </c>
      <c r="I37" s="7" t="s">
        <v>17</v>
      </c>
      <c r="J37" s="7" t="s">
        <v>961</v>
      </c>
    </row>
    <row r="38" spans="1:10" x14ac:dyDescent="0.25" outlineLevel="2" collapsed="1">
      <c r="A38" s="7" t="s">
        <v>15</v>
      </c>
      <c r="B38" s="7" t="s">
        <v>16</v>
      </c>
      <c r="C38" s="7" t="s">
        <v>17</v>
      </c>
      <c r="D38" s="7"/>
      <c r="E38" s="7" t="s">
        <v>962</v>
      </c>
      <c r="F38" s="7" t="s">
        <v>19</v>
      </c>
      <c r="G38" s="7" t="s">
        <v>963</v>
      </c>
      <c r="H38" s="7" t="s">
        <v>17</v>
      </c>
      <c r="I38" s="7" t="s">
        <v>17</v>
      </c>
      <c r="J38" s="7" t="s">
        <v>964</v>
      </c>
    </row>
    <row r="39" spans="1:10" x14ac:dyDescent="0.25" outlineLevel="2" collapsed="1">
      <c r="A39" s="7" t="s">
        <v>19</v>
      </c>
      <c r="B39" s="7" t="s">
        <v>291</v>
      </c>
      <c r="C39" s="7" t="s">
        <v>17</v>
      </c>
      <c r="D39" s="7"/>
      <c r="E39" s="7" t="s">
        <v>965</v>
      </c>
      <c r="F39" s="7" t="s">
        <v>19</v>
      </c>
      <c r="G39" s="7" t="s">
        <v>293</v>
      </c>
      <c r="H39" s="7" t="s">
        <v>17</v>
      </c>
      <c r="I39" s="7" t="s">
        <v>17</v>
      </c>
      <c r="J39" s="7" t="s">
        <v>966</v>
      </c>
    </row>
    <row r="40" spans="1:10" x14ac:dyDescent="0.25" outlineLevel="2" collapsed="1">
      <c r="A40" s="7" t="s">
        <v>19</v>
      </c>
      <c r="B40" s="7" t="s">
        <v>16</v>
      </c>
      <c r="C40" s="7" t="s">
        <v>17</v>
      </c>
      <c r="D40" s="7"/>
      <c r="E40" s="7" t="s">
        <v>967</v>
      </c>
      <c r="F40" s="7" t="s">
        <v>19</v>
      </c>
      <c r="G40" s="7" t="s">
        <v>968</v>
      </c>
      <c r="H40" s="7" t="s">
        <v>17</v>
      </c>
      <c r="I40" s="7" t="s">
        <v>17</v>
      </c>
      <c r="J40" s="7" t="s">
        <v>843</v>
      </c>
    </row>
  </sheetData>
  <mergeCells count="3">
    <mergeCell ref="A1:J1"/>
    <mergeCell ref="B2:J2"/>
    <mergeCell ref="B3:J3"/>
  </mergeCells>
  <dataValidations count="8">
    <dataValidation type="list" allowBlank="1" sqref="G11:I11">
      <formula1>'Enums'!C297:C298</formula1>
    </dataValidation>
    <dataValidation type="list" allowBlank="1" sqref="G13:I13">
      <formula1>'Enums'!C299:C301</formula1>
    </dataValidation>
    <dataValidation type="list" allowBlank="1" sqref="G15:I15">
      <formula1>'Enums'!C302:C303</formula1>
    </dataValidation>
    <dataValidation type="list" allowBlank="1" sqref="G17:I17">
      <formula1>'Enums'!C304:C305</formula1>
    </dataValidation>
    <dataValidation type="list" allowBlank="1" sqref="G37:I37">
      <formula1>'Enums'!C802:C810</formula1>
    </dataValidation>
    <dataValidation type="list" allowBlank="1" sqref="G5:I5">
      <formula1>'Enums'!C288:C290</formula1>
    </dataValidation>
    <dataValidation type="list" allowBlank="1" sqref="G7:I7">
      <formula1>'Enums'!C291:C293</formula1>
    </dataValidation>
    <dataValidation type="list" allowBlank="1" sqref="G9:I9">
      <formula1>'Enums'!C294:C296</formula1>
    </dataValidation>
  </dataValidations>
  <hyperlinks>
    <hyperlink ref="B21" r:id="rId1" location="#'REDD+ Double Counting Assessme'!A1"/>
    <hyperlink ref="B26" r:id="rId2" location="#'SDW Public Distribution Networ'!A1"/>
    <hyperlink ref="B35" r:id="rId3" location="#'Evidence item'!A1"/>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2823</v>
      </c>
      <c r="B1" s="1"/>
      <c r="C1" s="1"/>
      <c r="D1" s="1"/>
      <c r="E1" s="1"/>
      <c r="F1" s="1"/>
      <c r="G1" s="1"/>
      <c r="H1" s="1"/>
      <c r="I1" s="1"/>
      <c r="J1" s="1"/>
    </row>
    <row r="2" spans="1:10" x14ac:dyDescent="0.25">
      <c r="A2" s="2" t="s">
        <v>1</v>
      </c>
      <c r="B2" s="3" t="s">
        <v>2824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2825</v>
      </c>
      <c r="F5" s="5" t="s">
        <v>19</v>
      </c>
      <c r="G5" s="5" t="s">
        <v>2826</v>
      </c>
      <c r="H5" s="5" t="s">
        <v>17</v>
      </c>
      <c r="I5" s="5" t="s">
        <v>17</v>
      </c>
      <c r="J5" s="5" t="s">
        <v>1191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2269</v>
      </c>
      <c r="B1" s="1"/>
      <c r="C1" s="1"/>
      <c r="D1" s="1"/>
      <c r="E1" s="1"/>
      <c r="F1" s="1"/>
      <c r="G1" s="1"/>
      <c r="H1" s="1"/>
      <c r="I1" s="1"/>
      <c r="J1" s="1"/>
    </row>
    <row r="2" spans="1:10" x14ac:dyDescent="0.25">
      <c r="A2" s="2" t="s">
        <v>1</v>
      </c>
      <c r="B2" s="3" t="s">
        <v>2827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2272</v>
      </c>
      <c r="C5" s="5" t="s">
        <v>17</v>
      </c>
      <c r="D5" s="5"/>
      <c r="E5" s="5" t="s">
        <v>2273</v>
      </c>
      <c r="F5" s="5" t="s">
        <v>19</v>
      </c>
      <c r="G5" s="5" t="s">
        <v>17</v>
      </c>
      <c r="H5" s="5" t="s">
        <v>17</v>
      </c>
      <c r="I5" s="5" t="s">
        <v>17</v>
      </c>
      <c r="J5" s="5" t="s">
        <v>2274</v>
      </c>
    </row>
    <row r="6" spans="1:10" x14ac:dyDescent="0.25" outlineLevel="1" collapsed="1">
      <c r="A6" s="7" t="s">
        <v>15</v>
      </c>
      <c r="B6" s="7" t="s">
        <v>16</v>
      </c>
      <c r="C6" s="7" t="s">
        <v>17</v>
      </c>
      <c r="D6" s="7"/>
      <c r="E6" s="7" t="s">
        <v>2275</v>
      </c>
      <c r="F6" s="7" t="s">
        <v>19</v>
      </c>
      <c r="G6" s="7" t="s">
        <v>2276</v>
      </c>
      <c r="H6" s="7" t="s">
        <v>17</v>
      </c>
      <c r="I6" s="7" t="s">
        <v>17</v>
      </c>
      <c r="J6" s="7" t="s">
        <v>2277</v>
      </c>
    </row>
    <row r="7" spans="1:10" x14ac:dyDescent="0.25" outlineLevel="1" collapsed="1">
      <c r="A7" s="7" t="s">
        <v>19</v>
      </c>
      <c r="B7" s="7" t="s">
        <v>16</v>
      </c>
      <c r="C7" s="7" t="s">
        <v>17</v>
      </c>
      <c r="D7" s="7"/>
      <c r="E7" s="7" t="s">
        <v>2278</v>
      </c>
      <c r="F7" s="7" t="s">
        <v>19</v>
      </c>
      <c r="G7" s="7" t="s">
        <v>2279</v>
      </c>
      <c r="H7" s="7" t="s">
        <v>17</v>
      </c>
      <c r="I7" s="7" t="s">
        <v>17</v>
      </c>
      <c r="J7" s="7" t="s">
        <v>2280</v>
      </c>
    </row>
    <row r="8" spans="1:10" x14ac:dyDescent="0.25" outlineLevel="1" collapsed="1">
      <c r="A8" s="7" t="s">
        <v>19</v>
      </c>
      <c r="B8" s="7" t="s">
        <v>63</v>
      </c>
      <c r="C8" s="7" t="s">
        <v>17</v>
      </c>
      <c r="D8" s="7"/>
      <c r="E8" s="7" t="s">
        <v>2281</v>
      </c>
      <c r="F8" s="7" t="s">
        <v>19</v>
      </c>
      <c r="G8" s="7">
        <v>0</v>
      </c>
      <c r="H8" s="7" t="s">
        <v>17</v>
      </c>
      <c r="I8" s="7" t="s">
        <v>17</v>
      </c>
      <c r="J8" s="7" t="s">
        <v>2282</v>
      </c>
    </row>
    <row r="9" spans="1:10" x14ac:dyDescent="0.25" outlineLevel="1" collapsed="1">
      <c r="A9" s="7" t="s">
        <v>19</v>
      </c>
      <c r="B9" s="7" t="s">
        <v>63</v>
      </c>
      <c r="C9" s="7" t="s">
        <v>17</v>
      </c>
      <c r="D9" s="7"/>
      <c r="E9" s="7" t="s">
        <v>2283</v>
      </c>
      <c r="F9" s="7" t="s">
        <v>19</v>
      </c>
      <c r="G9" s="7">
        <v>0</v>
      </c>
      <c r="H9" s="7" t="s">
        <v>17</v>
      </c>
      <c r="I9" s="7" t="s">
        <v>17</v>
      </c>
      <c r="J9" s="7" t="s">
        <v>2284</v>
      </c>
    </row>
    <row r="10" spans="1:10" x14ac:dyDescent="0.25">
      <c r="A10" s="5" t="s">
        <v>15</v>
      </c>
      <c r="B10" s="6" t="s">
        <v>251</v>
      </c>
      <c r="C10" s="5" t="s">
        <v>17</v>
      </c>
      <c r="D10" s="5"/>
      <c r="E10" s="5" t="s">
        <v>2285</v>
      </c>
      <c r="F10" s="5" t="s">
        <v>15</v>
      </c>
      <c r="G10" s="5" t="s">
        <v>17</v>
      </c>
      <c r="H10" s="5" t="s">
        <v>17</v>
      </c>
      <c r="I10" s="5" t="s">
        <v>17</v>
      </c>
      <c r="J10" s="5" t="s">
        <v>1064</v>
      </c>
    </row>
    <row r="11" spans="1:10" x14ac:dyDescent="0.25" outlineLevel="1" collapsed="1">
      <c r="A11" s="7" t="s">
        <v>15</v>
      </c>
      <c r="B11" s="7" t="s">
        <v>16</v>
      </c>
      <c r="C11" s="7" t="s">
        <v>17</v>
      </c>
      <c r="D11" s="7"/>
      <c r="E11" s="7" t="s">
        <v>253</v>
      </c>
      <c r="F11" s="7" t="s">
        <v>19</v>
      </c>
      <c r="G11" s="7" t="s">
        <v>254</v>
      </c>
      <c r="H11" s="7" t="s">
        <v>17</v>
      </c>
      <c r="I11" s="7" t="s">
        <v>17</v>
      </c>
      <c r="J11" s="7" t="s">
        <v>255</v>
      </c>
    </row>
    <row r="12" spans="1:10" x14ac:dyDescent="0.25" outlineLevel="1" collapsed="1">
      <c r="A12" s="7" t="s">
        <v>19</v>
      </c>
      <c r="B12" s="7" t="s">
        <v>16</v>
      </c>
      <c r="C12" s="7" t="s">
        <v>17</v>
      </c>
      <c r="D12" s="7"/>
      <c r="E12" s="7" t="s">
        <v>256</v>
      </c>
      <c r="F12" s="7" t="s">
        <v>19</v>
      </c>
      <c r="G12" s="7" t="s">
        <v>257</v>
      </c>
      <c r="H12" s="7" t="s">
        <v>17</v>
      </c>
      <c r="I12" s="7" t="s">
        <v>17</v>
      </c>
      <c r="J12" s="7" t="s">
        <v>258</v>
      </c>
    </row>
    <row r="13" spans="1:10" x14ac:dyDescent="0.25" outlineLevel="1" collapsed="1">
      <c r="A13" s="7" t="s">
        <v>19</v>
      </c>
      <c r="B13" s="7" t="s">
        <v>16</v>
      </c>
      <c r="C13" s="7" t="s">
        <v>17</v>
      </c>
      <c r="D13" s="7"/>
      <c r="E13" s="7" t="s">
        <v>259</v>
      </c>
      <c r="F13" s="7" t="s">
        <v>19</v>
      </c>
      <c r="G13" s="7" t="s">
        <v>260</v>
      </c>
      <c r="H13" s="7" t="s">
        <v>17</v>
      </c>
      <c r="I13" s="7" t="s">
        <v>17</v>
      </c>
      <c r="J13" s="7" t="s">
        <v>261</v>
      </c>
    </row>
    <row r="14" spans="1:10" x14ac:dyDescent="0.25" outlineLevel="1" collapsed="1">
      <c r="A14" s="7" t="s">
        <v>19</v>
      </c>
      <c r="B14" s="7" t="s">
        <v>16</v>
      </c>
      <c r="C14" s="7" t="s">
        <v>17</v>
      </c>
      <c r="D14" s="7"/>
      <c r="E14" s="7" t="s">
        <v>262</v>
      </c>
      <c r="F14" s="7" t="s">
        <v>19</v>
      </c>
      <c r="G14" s="7" t="s">
        <v>31</v>
      </c>
      <c r="H14" s="7" t="s">
        <v>17</v>
      </c>
      <c r="I14" s="7" t="s">
        <v>17</v>
      </c>
      <c r="J14" s="7" t="s">
        <v>263</v>
      </c>
    </row>
    <row r="15" spans="1:10" x14ac:dyDescent="0.25" outlineLevel="1" collapsed="1">
      <c r="A15" s="7" t="s">
        <v>19</v>
      </c>
      <c r="B15" s="7" t="s">
        <v>16</v>
      </c>
      <c r="C15" s="7" t="s">
        <v>17</v>
      </c>
      <c r="D15" s="7"/>
      <c r="E15" s="7" t="s">
        <v>264</v>
      </c>
      <c r="F15" s="7" t="s">
        <v>19</v>
      </c>
      <c r="G15" s="7" t="s">
        <v>31</v>
      </c>
      <c r="H15" s="7" t="s">
        <v>17</v>
      </c>
      <c r="I15" s="7" t="s">
        <v>17</v>
      </c>
      <c r="J15" s="7" t="s">
        <v>265</v>
      </c>
    </row>
    <row r="16" spans="1:10" x14ac:dyDescent="0.25" outlineLevel="1" collapsed="1">
      <c r="A16" s="7" t="s">
        <v>19</v>
      </c>
      <c r="B16" s="7" t="s">
        <v>16</v>
      </c>
      <c r="C16" s="7" t="s">
        <v>17</v>
      </c>
      <c r="D16" s="7"/>
      <c r="E16" s="7" t="s">
        <v>266</v>
      </c>
      <c r="F16" s="7" t="s">
        <v>19</v>
      </c>
      <c r="G16" s="7" t="s">
        <v>31</v>
      </c>
      <c r="H16" s="7" t="s">
        <v>17</v>
      </c>
      <c r="I16" s="7" t="s">
        <v>17</v>
      </c>
      <c r="J16" s="7" t="s">
        <v>267</v>
      </c>
    </row>
    <row r="17" spans="1:10" x14ac:dyDescent="0.25" outlineLevel="1" collapsed="1">
      <c r="A17" s="7" t="s">
        <v>19</v>
      </c>
      <c r="B17" s="7" t="s">
        <v>63</v>
      </c>
      <c r="C17" s="7" t="s">
        <v>17</v>
      </c>
      <c r="D17" s="7"/>
      <c r="E17" s="7" t="s">
        <v>268</v>
      </c>
      <c r="F17" s="7" t="s">
        <v>19</v>
      </c>
      <c r="G17" s="7">
        <v>1</v>
      </c>
      <c r="H17" s="7" t="s">
        <v>17</v>
      </c>
      <c r="I17" s="7" t="s">
        <v>17</v>
      </c>
      <c r="J17" s="7" t="s">
        <v>269</v>
      </c>
    </row>
    <row r="18" spans="1:10" x14ac:dyDescent="0.25">
      <c r="A18" s="5" t="s">
        <v>15</v>
      </c>
      <c r="B18" s="6" t="s">
        <v>2286</v>
      </c>
      <c r="C18" s="5" t="s">
        <v>17</v>
      </c>
      <c r="D18" s="5"/>
      <c r="E18" s="5" t="s">
        <v>2287</v>
      </c>
      <c r="F18" s="5" t="s">
        <v>19</v>
      </c>
      <c r="G18" s="5" t="s">
        <v>17</v>
      </c>
      <c r="H18" s="5" t="s">
        <v>17</v>
      </c>
      <c r="I18" s="5" t="s">
        <v>17</v>
      </c>
      <c r="J18" s="5" t="s">
        <v>986</v>
      </c>
    </row>
    <row r="19" spans="1:10" x14ac:dyDescent="0.25" outlineLevel="1" collapsed="1">
      <c r="A19" s="7" t="s">
        <v>15</v>
      </c>
      <c r="B19" s="7" t="s">
        <v>16</v>
      </c>
      <c r="C19" s="7" t="s">
        <v>17</v>
      </c>
      <c r="D19" s="7"/>
      <c r="E19" s="7" t="s">
        <v>984</v>
      </c>
      <c r="F19" s="7" t="s">
        <v>19</v>
      </c>
      <c r="G19" s="7" t="s">
        <v>985</v>
      </c>
      <c r="H19" s="7" t="s">
        <v>17</v>
      </c>
      <c r="I19" s="7" t="s">
        <v>17</v>
      </c>
      <c r="J19" s="7" t="s">
        <v>986</v>
      </c>
    </row>
    <row r="20" spans="1:10" x14ac:dyDescent="0.25" outlineLevel="1" collapsed="1">
      <c r="A20" s="7" t="s">
        <v>19</v>
      </c>
      <c r="B20" s="7" t="s">
        <v>16</v>
      </c>
      <c r="C20" s="7" t="s">
        <v>17</v>
      </c>
      <c r="D20" s="7"/>
      <c r="E20" s="7" t="s">
        <v>987</v>
      </c>
      <c r="F20" s="7" t="s">
        <v>19</v>
      </c>
      <c r="G20" s="7" t="s">
        <v>31</v>
      </c>
      <c r="H20" s="7" t="s">
        <v>17</v>
      </c>
      <c r="I20" s="7" t="s">
        <v>17</v>
      </c>
      <c r="J20" s="7" t="s">
        <v>988</v>
      </c>
    </row>
    <row r="21" spans="1:10" x14ac:dyDescent="0.25" outlineLevel="1" collapsed="1">
      <c r="A21" s="7" t="s">
        <v>19</v>
      </c>
      <c r="B21" s="7" t="s">
        <v>16</v>
      </c>
      <c r="C21" s="7" t="s">
        <v>17</v>
      </c>
      <c r="D21" s="7"/>
      <c r="E21" s="7" t="s">
        <v>989</v>
      </c>
      <c r="F21" s="7" t="s">
        <v>19</v>
      </c>
      <c r="G21" s="7" t="s">
        <v>31</v>
      </c>
      <c r="H21" s="7" t="s">
        <v>17</v>
      </c>
      <c r="I21" s="7" t="s">
        <v>17</v>
      </c>
      <c r="J21" s="7" t="s">
        <v>990</v>
      </c>
    </row>
    <row r="22" spans="1:10" x14ac:dyDescent="0.25">
      <c r="A22" s="5" t="s">
        <v>15</v>
      </c>
      <c r="B22" s="6" t="s">
        <v>2288</v>
      </c>
      <c r="C22" s="5" t="s">
        <v>17</v>
      </c>
      <c r="D22" s="5"/>
      <c r="E22" s="5" t="s">
        <v>2289</v>
      </c>
      <c r="F22" s="5" t="s">
        <v>19</v>
      </c>
      <c r="G22" s="5" t="s">
        <v>17</v>
      </c>
      <c r="H22" s="5" t="s">
        <v>17</v>
      </c>
      <c r="I22" s="5" t="s">
        <v>17</v>
      </c>
      <c r="J22" s="5" t="s">
        <v>2290</v>
      </c>
    </row>
    <row r="23" spans="1:10" x14ac:dyDescent="0.25" outlineLevel="1" collapsed="1">
      <c r="A23" s="7" t="s">
        <v>15</v>
      </c>
      <c r="B23" s="7" t="s">
        <v>16</v>
      </c>
      <c r="C23" s="7" t="s">
        <v>17</v>
      </c>
      <c r="D23" s="7"/>
      <c r="E23" s="7" t="s">
        <v>2291</v>
      </c>
      <c r="F23" s="7" t="s">
        <v>19</v>
      </c>
      <c r="G23" s="7" t="s">
        <v>2292</v>
      </c>
      <c r="H23" s="7" t="s">
        <v>17</v>
      </c>
      <c r="I23" s="7" t="s">
        <v>17</v>
      </c>
      <c r="J23" s="7" t="s">
        <v>2293</v>
      </c>
    </row>
    <row r="24" spans="1:10" x14ac:dyDescent="0.25" outlineLevel="1" collapsed="1">
      <c r="A24" s="7" t="s">
        <v>15</v>
      </c>
      <c r="B24" s="7" t="s">
        <v>16</v>
      </c>
      <c r="C24" s="7" t="s">
        <v>17</v>
      </c>
      <c r="D24" s="7"/>
      <c r="E24" s="7" t="s">
        <v>2294</v>
      </c>
      <c r="F24" s="7" t="s">
        <v>19</v>
      </c>
      <c r="G24" s="7" t="s">
        <v>2295</v>
      </c>
      <c r="H24" s="7" t="s">
        <v>2295</v>
      </c>
      <c r="I24" s="7" t="s">
        <v>17</v>
      </c>
      <c r="J24" s="7" t="s">
        <v>2296</v>
      </c>
    </row>
    <row r="25" spans="1:10" x14ac:dyDescent="0.25" outlineLevel="1" collapsed="1">
      <c r="A25" s="7" t="s">
        <v>15</v>
      </c>
      <c r="B25" s="7" t="s">
        <v>16</v>
      </c>
      <c r="C25" s="7" t="s">
        <v>17</v>
      </c>
      <c r="D25" s="7"/>
      <c r="E25" s="7" t="s">
        <v>2297</v>
      </c>
      <c r="F25" s="7" t="s">
        <v>19</v>
      </c>
      <c r="G25" s="7" t="s">
        <v>2298</v>
      </c>
      <c r="H25" s="7" t="s">
        <v>17</v>
      </c>
      <c r="I25" s="7" t="s">
        <v>17</v>
      </c>
      <c r="J25" s="7" t="s">
        <v>2299</v>
      </c>
    </row>
    <row r="26" spans="1:10" x14ac:dyDescent="0.25" outlineLevel="1" collapsed="1">
      <c r="A26" s="7" t="s">
        <v>15</v>
      </c>
      <c r="B26" s="7" t="s">
        <v>16</v>
      </c>
      <c r="C26" s="7" t="s">
        <v>17</v>
      </c>
      <c r="D26" s="7"/>
      <c r="E26" s="7" t="s">
        <v>2300</v>
      </c>
      <c r="F26" s="7" t="s">
        <v>19</v>
      </c>
      <c r="G26" s="7" t="s">
        <v>2301</v>
      </c>
      <c r="H26" s="7" t="s">
        <v>17</v>
      </c>
      <c r="I26" s="7" t="s">
        <v>17</v>
      </c>
      <c r="J26" s="7" t="s">
        <v>972</v>
      </c>
    </row>
    <row r="27" spans="1:10" x14ac:dyDescent="0.25" outlineLevel="1" collapsed="1">
      <c r="A27" s="7" t="s">
        <v>19</v>
      </c>
      <c r="B27" s="7" t="s">
        <v>16</v>
      </c>
      <c r="C27" s="7" t="s">
        <v>17</v>
      </c>
      <c r="D27" s="7"/>
      <c r="E27" s="7" t="s">
        <v>2302</v>
      </c>
      <c r="F27" s="7" t="s">
        <v>19</v>
      </c>
      <c r="G27" s="7" t="s">
        <v>31</v>
      </c>
      <c r="H27" s="7" t="s">
        <v>17</v>
      </c>
      <c r="I27" s="7" t="s">
        <v>17</v>
      </c>
      <c r="J27" s="7" t="s">
        <v>2303</v>
      </c>
    </row>
    <row r="28" spans="1:10" x14ac:dyDescent="0.25" outlineLevel="1" collapsed="1">
      <c r="A28" s="7" t="s">
        <v>19</v>
      </c>
      <c r="B28" s="7" t="s">
        <v>16</v>
      </c>
      <c r="C28" s="7" t="s">
        <v>17</v>
      </c>
      <c r="D28" s="7"/>
      <c r="E28" s="7" t="s">
        <v>2304</v>
      </c>
      <c r="F28" s="7" t="s">
        <v>19</v>
      </c>
      <c r="G28" s="7" t="s">
        <v>31</v>
      </c>
      <c r="H28" s="7" t="s">
        <v>17</v>
      </c>
      <c r="I28" s="7" t="s">
        <v>17</v>
      </c>
      <c r="J28" s="7" t="s">
        <v>2305</v>
      </c>
    </row>
    <row r="29" spans="1:10" x14ac:dyDescent="0.25" outlineLevel="1" collapsed="1">
      <c r="A29" s="7" t="s">
        <v>19</v>
      </c>
      <c r="B29" s="7" t="s">
        <v>16</v>
      </c>
      <c r="C29" s="7" t="s">
        <v>17</v>
      </c>
      <c r="D29" s="7"/>
      <c r="E29" s="7" t="s">
        <v>2306</v>
      </c>
      <c r="F29" s="7" t="s">
        <v>19</v>
      </c>
      <c r="G29" s="7" t="s">
        <v>31</v>
      </c>
      <c r="H29" s="7" t="s">
        <v>17</v>
      </c>
      <c r="I29" s="7" t="s">
        <v>17</v>
      </c>
      <c r="J29" s="7" t="s">
        <v>2307</v>
      </c>
    </row>
    <row r="30" spans="1:10" x14ac:dyDescent="0.25" outlineLevel="1" collapsed="1">
      <c r="A30" s="7" t="s">
        <v>19</v>
      </c>
      <c r="B30" s="7" t="s">
        <v>16</v>
      </c>
      <c r="C30" s="7" t="s">
        <v>17</v>
      </c>
      <c r="D30" s="7"/>
      <c r="E30" s="7" t="s">
        <v>2308</v>
      </c>
      <c r="F30" s="7" t="s">
        <v>19</v>
      </c>
      <c r="G30" s="7" t="s">
        <v>31</v>
      </c>
      <c r="H30" s="7" t="s">
        <v>17</v>
      </c>
      <c r="I30" s="7" t="s">
        <v>17</v>
      </c>
      <c r="J30" s="7" t="s">
        <v>2309</v>
      </c>
    </row>
    <row r="31" spans="1:10" x14ac:dyDescent="0.25" outlineLevel="1" collapsed="1">
      <c r="A31" s="7" t="s">
        <v>19</v>
      </c>
      <c r="B31" s="7" t="s">
        <v>16</v>
      </c>
      <c r="C31" s="7" t="s">
        <v>17</v>
      </c>
      <c r="D31" s="7"/>
      <c r="E31" s="7" t="s">
        <v>1117</v>
      </c>
      <c r="F31" s="7" t="s">
        <v>19</v>
      </c>
      <c r="G31" s="7" t="s">
        <v>31</v>
      </c>
      <c r="H31" s="7" t="s">
        <v>17</v>
      </c>
      <c r="I31" s="7" t="s">
        <v>17</v>
      </c>
      <c r="J31" s="7" t="s">
        <v>1118</v>
      </c>
    </row>
    <row r="32" spans="1:10" x14ac:dyDescent="0.25" outlineLevel="1" collapsed="1">
      <c r="A32" s="7" t="s">
        <v>19</v>
      </c>
      <c r="B32" s="7" t="s">
        <v>16</v>
      </c>
      <c r="C32" s="7" t="s">
        <v>17</v>
      </c>
      <c r="D32" s="7"/>
      <c r="E32" s="7" t="s">
        <v>2310</v>
      </c>
      <c r="F32" s="7" t="s">
        <v>19</v>
      </c>
      <c r="G32" s="7" t="s">
        <v>31</v>
      </c>
      <c r="H32" s="7" t="s">
        <v>17</v>
      </c>
      <c r="I32" s="7" t="s">
        <v>17</v>
      </c>
      <c r="J32" s="7" t="s">
        <v>2311</v>
      </c>
    </row>
    <row r="33" spans="1:10" x14ac:dyDescent="0.25" outlineLevel="1" collapsed="1">
      <c r="A33" s="7" t="s">
        <v>19</v>
      </c>
      <c r="B33" s="7" t="s">
        <v>16</v>
      </c>
      <c r="C33" s="7" t="s">
        <v>17</v>
      </c>
      <c r="D33" s="7"/>
      <c r="E33" s="7" t="s">
        <v>2312</v>
      </c>
      <c r="F33" s="7" t="s">
        <v>19</v>
      </c>
      <c r="G33" s="7" t="s">
        <v>31</v>
      </c>
      <c r="H33" s="7" t="s">
        <v>17</v>
      </c>
      <c r="I33" s="7" t="s">
        <v>17</v>
      </c>
      <c r="J33" s="7" t="s">
        <v>2313</v>
      </c>
    </row>
    <row r="34" spans="1:10" x14ac:dyDescent="0.25" outlineLevel="1" collapsed="1">
      <c r="A34" s="7" t="s">
        <v>19</v>
      </c>
      <c r="B34" s="7" t="s">
        <v>16</v>
      </c>
      <c r="C34" s="7" t="s">
        <v>17</v>
      </c>
      <c r="D34" s="7"/>
      <c r="E34" s="7" t="s">
        <v>2314</v>
      </c>
      <c r="F34" s="7" t="s">
        <v>19</v>
      </c>
      <c r="G34" s="7" t="s">
        <v>31</v>
      </c>
      <c r="H34" s="7" t="s">
        <v>17</v>
      </c>
      <c r="I34" s="7" t="s">
        <v>17</v>
      </c>
      <c r="J34" s="7" t="s">
        <v>1191</v>
      </c>
    </row>
    <row r="35" spans="1:10" x14ac:dyDescent="0.25" outlineLevel="1" collapsed="1">
      <c r="A35" s="7" t="s">
        <v>19</v>
      </c>
      <c r="B35" s="7" t="s">
        <v>16</v>
      </c>
      <c r="C35" s="7" t="s">
        <v>17</v>
      </c>
      <c r="D35" s="7"/>
      <c r="E35" s="7" t="s">
        <v>2315</v>
      </c>
      <c r="F35" s="7" t="s">
        <v>19</v>
      </c>
      <c r="G35" s="7" t="s">
        <v>31</v>
      </c>
      <c r="H35" s="7" t="s">
        <v>17</v>
      </c>
      <c r="I35" s="7" t="s">
        <v>17</v>
      </c>
      <c r="J35" s="7" t="s">
        <v>1193</v>
      </c>
    </row>
    <row r="36" spans="1:10" x14ac:dyDescent="0.25" outlineLevel="1" collapsed="1">
      <c r="A36" s="7" t="s">
        <v>19</v>
      </c>
      <c r="B36" s="7" t="s">
        <v>16</v>
      </c>
      <c r="C36" s="7" t="s">
        <v>17</v>
      </c>
      <c r="D36" s="7"/>
      <c r="E36" s="7" t="s">
        <v>2316</v>
      </c>
      <c r="F36" s="7" t="s">
        <v>19</v>
      </c>
      <c r="G36" s="7" t="s">
        <v>31</v>
      </c>
      <c r="H36" s="7" t="s">
        <v>17</v>
      </c>
      <c r="I36" s="7" t="s">
        <v>17</v>
      </c>
      <c r="J36" s="7" t="s">
        <v>2317</v>
      </c>
    </row>
    <row r="37" spans="1:10" x14ac:dyDescent="0.25" outlineLevel="1" collapsed="1">
      <c r="A37" s="7" t="s">
        <v>19</v>
      </c>
      <c r="B37" s="7" t="s">
        <v>16</v>
      </c>
      <c r="C37" s="7" t="s">
        <v>17</v>
      </c>
      <c r="D37" s="7"/>
      <c r="E37" s="7" t="s">
        <v>2318</v>
      </c>
      <c r="F37" s="7" t="s">
        <v>19</v>
      </c>
      <c r="G37" s="7" t="s">
        <v>31</v>
      </c>
      <c r="H37" s="7" t="s">
        <v>17</v>
      </c>
      <c r="I37" s="7" t="s">
        <v>17</v>
      </c>
      <c r="J37" s="7" t="s">
        <v>2319</v>
      </c>
    </row>
    <row r="38" spans="1:10" x14ac:dyDescent="0.25" outlineLevel="1" collapsed="1">
      <c r="A38" s="7" t="s">
        <v>19</v>
      </c>
      <c r="B38" s="7" t="s">
        <v>16</v>
      </c>
      <c r="C38" s="7" t="s">
        <v>17</v>
      </c>
      <c r="D38" s="7"/>
      <c r="E38" s="7" t="s">
        <v>2320</v>
      </c>
      <c r="F38" s="7" t="s">
        <v>19</v>
      </c>
      <c r="G38" s="7" t="s">
        <v>31</v>
      </c>
      <c r="H38" s="7" t="s">
        <v>17</v>
      </c>
      <c r="I38" s="7" t="s">
        <v>17</v>
      </c>
      <c r="J38" s="7" t="s">
        <v>2321</v>
      </c>
    </row>
    <row r="39" spans="1:10" x14ac:dyDescent="0.25">
      <c r="A39" s="5" t="s">
        <v>15</v>
      </c>
      <c r="B39" s="6" t="s">
        <v>2322</v>
      </c>
      <c r="C39" s="5" t="s">
        <v>17</v>
      </c>
      <c r="D39" s="5"/>
      <c r="E39" s="5" t="s">
        <v>2323</v>
      </c>
      <c r="F39" s="5" t="s">
        <v>19</v>
      </c>
      <c r="G39" s="5" t="s">
        <v>17</v>
      </c>
      <c r="H39" s="5" t="s">
        <v>17</v>
      </c>
      <c r="I39" s="5" t="s">
        <v>17</v>
      </c>
      <c r="J39" s="5" t="s">
        <v>2324</v>
      </c>
    </row>
    <row r="40" spans="1:10" x14ac:dyDescent="0.25" outlineLevel="1" collapsed="1">
      <c r="A40" s="8" t="s">
        <v>19</v>
      </c>
      <c r="B40" s="9" t="s">
        <v>1074</v>
      </c>
      <c r="C40" s="8" t="s">
        <v>17</v>
      </c>
      <c r="D40" s="8"/>
      <c r="E40" s="8" t="s">
        <v>2325</v>
      </c>
      <c r="F40" s="8" t="s">
        <v>15</v>
      </c>
      <c r="G40" s="8" t="s">
        <v>17</v>
      </c>
      <c r="H40" s="8" t="s">
        <v>17</v>
      </c>
      <c r="I40" s="8" t="s">
        <v>17</v>
      </c>
      <c r="J40" s="8" t="s">
        <v>1076</v>
      </c>
    </row>
    <row r="41" spans="1:10" x14ac:dyDescent="0.25" outlineLevel="2" collapsed="1">
      <c r="A41" s="7" t="s">
        <v>15</v>
      </c>
      <c r="B41" s="7" t="s">
        <v>16</v>
      </c>
      <c r="C41" s="7" t="s">
        <v>17</v>
      </c>
      <c r="D41" s="7"/>
      <c r="E41" s="7" t="s">
        <v>1077</v>
      </c>
      <c r="F41" s="7" t="s">
        <v>19</v>
      </c>
      <c r="G41" s="7" t="s">
        <v>1078</v>
      </c>
      <c r="H41" s="7" t="s">
        <v>17</v>
      </c>
      <c r="I41" s="7" t="s">
        <v>17</v>
      </c>
      <c r="J41" s="7" t="s">
        <v>1079</v>
      </c>
    </row>
    <row r="42" spans="1:10" x14ac:dyDescent="0.25" outlineLevel="2" collapsed="1">
      <c r="A42" s="7" t="s">
        <v>15</v>
      </c>
      <c r="B42" s="7" t="s">
        <v>16</v>
      </c>
      <c r="C42" s="7" t="s">
        <v>17</v>
      </c>
      <c r="D42" s="7"/>
      <c r="E42" s="7" t="s">
        <v>1080</v>
      </c>
      <c r="F42" s="7" t="s">
        <v>19</v>
      </c>
      <c r="G42" s="7" t="s">
        <v>1081</v>
      </c>
      <c r="H42" s="7" t="s">
        <v>17</v>
      </c>
      <c r="I42" s="7" t="s">
        <v>17</v>
      </c>
      <c r="J42" s="7" t="s">
        <v>1082</v>
      </c>
    </row>
    <row r="43" spans="1:10" x14ac:dyDescent="0.25" outlineLevel="2" collapsed="1">
      <c r="A43" s="7" t="s">
        <v>19</v>
      </c>
      <c r="B43" s="7" t="s">
        <v>16</v>
      </c>
      <c r="C43" s="7" t="s">
        <v>17</v>
      </c>
      <c r="D43" s="7"/>
      <c r="E43" s="7" t="s">
        <v>1083</v>
      </c>
      <c r="F43" s="7" t="s">
        <v>19</v>
      </c>
      <c r="G43" s="7" t="s">
        <v>1084</v>
      </c>
      <c r="H43" s="7" t="s">
        <v>17</v>
      </c>
      <c r="I43" s="7" t="s">
        <v>17</v>
      </c>
      <c r="J43" s="7" t="s">
        <v>1085</v>
      </c>
    </row>
    <row r="44" spans="1:10" x14ac:dyDescent="0.25" outlineLevel="2" collapsed="1">
      <c r="A44" s="7" t="s">
        <v>19</v>
      </c>
      <c r="B44" s="7" t="s">
        <v>16</v>
      </c>
      <c r="C44" s="7" t="s">
        <v>17</v>
      </c>
      <c r="D44" s="7"/>
      <c r="E44" s="7" t="s">
        <v>1086</v>
      </c>
      <c r="F44" s="7" t="s">
        <v>19</v>
      </c>
      <c r="G44" s="7" t="s">
        <v>1087</v>
      </c>
      <c r="H44" s="7" t="s">
        <v>17</v>
      </c>
      <c r="I44" s="7" t="s">
        <v>17</v>
      </c>
      <c r="J44" s="7" t="s">
        <v>1088</v>
      </c>
    </row>
    <row r="45" spans="1:10" x14ac:dyDescent="0.25" outlineLevel="2" collapsed="1">
      <c r="A45" s="7" t="s">
        <v>19</v>
      </c>
      <c r="B45" s="7" t="s">
        <v>16</v>
      </c>
      <c r="C45" s="7" t="s">
        <v>17</v>
      </c>
      <c r="D45" s="7"/>
      <c r="E45" s="7" t="s">
        <v>1089</v>
      </c>
      <c r="F45" s="7" t="s">
        <v>19</v>
      </c>
      <c r="G45" s="7" t="s">
        <v>1090</v>
      </c>
      <c r="H45" s="7" t="s">
        <v>17</v>
      </c>
      <c r="I45" s="7" t="s">
        <v>17</v>
      </c>
      <c r="J45" s="7" t="s">
        <v>1091</v>
      </c>
    </row>
    <row r="46" spans="1:10" x14ac:dyDescent="0.25" outlineLevel="2" collapsed="1">
      <c r="A46" s="7" t="s">
        <v>15</v>
      </c>
      <c r="B46" s="7" t="s">
        <v>16</v>
      </c>
      <c r="C46" s="7" t="s">
        <v>17</v>
      </c>
      <c r="D46" s="7"/>
      <c r="E46" s="7" t="s">
        <v>1092</v>
      </c>
      <c r="F46" s="7" t="s">
        <v>19</v>
      </c>
      <c r="G46" s="7" t="s">
        <v>1093</v>
      </c>
      <c r="H46" s="7" t="s">
        <v>17</v>
      </c>
      <c r="I46" s="7" t="s">
        <v>17</v>
      </c>
      <c r="J46" s="7" t="s">
        <v>1094</v>
      </c>
    </row>
    <row r="47" spans="1:10" x14ac:dyDescent="0.25">
      <c r="A47" s="5" t="s">
        <v>15</v>
      </c>
      <c r="B47" s="6" t="s">
        <v>2326</v>
      </c>
      <c r="C47" s="5" t="s">
        <v>17</v>
      </c>
      <c r="D47" s="5"/>
      <c r="E47" s="5" t="s">
        <v>2327</v>
      </c>
      <c r="F47" s="5" t="s">
        <v>15</v>
      </c>
      <c r="G47" s="5" t="s">
        <v>17</v>
      </c>
      <c r="H47" s="5" t="s">
        <v>17</v>
      </c>
      <c r="I47" s="5" t="s">
        <v>17</v>
      </c>
      <c r="J47" s="5" t="s">
        <v>2328</v>
      </c>
    </row>
    <row r="48" spans="1:10" x14ac:dyDescent="0.25" outlineLevel="1" collapsed="1">
      <c r="A48" s="7" t="s">
        <v>15</v>
      </c>
      <c r="B48" s="7" t="s">
        <v>16</v>
      </c>
      <c r="C48" s="7" t="s">
        <v>17</v>
      </c>
      <c r="D48" s="7"/>
      <c r="E48" s="7" t="s">
        <v>2329</v>
      </c>
      <c r="F48" s="7" t="s">
        <v>19</v>
      </c>
      <c r="G48" s="7" t="s">
        <v>996</v>
      </c>
      <c r="H48" s="7" t="s">
        <v>17</v>
      </c>
      <c r="I48" s="7" t="s">
        <v>17</v>
      </c>
      <c r="J48" s="7" t="s">
        <v>1079</v>
      </c>
    </row>
    <row r="49" spans="1:10" x14ac:dyDescent="0.25" outlineLevel="1" collapsed="1">
      <c r="A49" s="7" t="s">
        <v>15</v>
      </c>
      <c r="B49" s="7" t="s">
        <v>16</v>
      </c>
      <c r="C49" s="7" t="s">
        <v>17</v>
      </c>
      <c r="D49" s="7"/>
      <c r="E49" s="7" t="s">
        <v>2330</v>
      </c>
      <c r="F49" s="7" t="s">
        <v>19</v>
      </c>
      <c r="G49" s="7" t="s">
        <v>2331</v>
      </c>
      <c r="H49" s="7" t="s">
        <v>17</v>
      </c>
      <c r="I49" s="7" t="s">
        <v>17</v>
      </c>
      <c r="J49" s="7" t="s">
        <v>827</v>
      </c>
    </row>
    <row r="50" spans="1:10" x14ac:dyDescent="0.25" outlineLevel="1" collapsed="1">
      <c r="A50" s="7" t="s">
        <v>15</v>
      </c>
      <c r="B50" s="7" t="s">
        <v>16</v>
      </c>
      <c r="C50" s="7" t="s">
        <v>17</v>
      </c>
      <c r="D50" s="7"/>
      <c r="E50" s="7" t="s">
        <v>2332</v>
      </c>
      <c r="F50" s="7" t="s">
        <v>19</v>
      </c>
      <c r="G50" s="7" t="s">
        <v>2333</v>
      </c>
      <c r="H50" s="7" t="s">
        <v>17</v>
      </c>
      <c r="I50" s="7" t="s">
        <v>17</v>
      </c>
      <c r="J50" s="7" t="s">
        <v>1082</v>
      </c>
    </row>
    <row r="51" spans="1:10" x14ac:dyDescent="0.25" outlineLevel="1" collapsed="1">
      <c r="A51" s="7" t="s">
        <v>19</v>
      </c>
      <c r="B51" s="7" t="s">
        <v>16</v>
      </c>
      <c r="C51" s="7" t="s">
        <v>17</v>
      </c>
      <c r="D51" s="7"/>
      <c r="E51" s="7" t="s">
        <v>2334</v>
      </c>
      <c r="F51" s="7" t="s">
        <v>19</v>
      </c>
      <c r="G51" s="7" t="s">
        <v>2333</v>
      </c>
      <c r="H51" s="7" t="s">
        <v>17</v>
      </c>
      <c r="I51" s="7" t="s">
        <v>17</v>
      </c>
      <c r="J51" s="7" t="s">
        <v>1085</v>
      </c>
    </row>
    <row r="52" spans="1:10" x14ac:dyDescent="0.25" outlineLevel="1" collapsed="1">
      <c r="A52" s="7" t="s">
        <v>19</v>
      </c>
      <c r="B52" s="7" t="s">
        <v>16</v>
      </c>
      <c r="C52" s="7" t="s">
        <v>17</v>
      </c>
      <c r="D52" s="7"/>
      <c r="E52" s="7" t="s">
        <v>2335</v>
      </c>
      <c r="F52" s="7" t="s">
        <v>19</v>
      </c>
      <c r="G52" s="7" t="s">
        <v>2333</v>
      </c>
      <c r="H52" s="7" t="s">
        <v>17</v>
      </c>
      <c r="I52" s="7" t="s">
        <v>17</v>
      </c>
      <c r="J52" s="7" t="s">
        <v>1088</v>
      </c>
    </row>
    <row r="53" spans="1:10" x14ac:dyDescent="0.25" outlineLevel="1" collapsed="1">
      <c r="A53" s="7" t="s">
        <v>19</v>
      </c>
      <c r="B53" s="7" t="s">
        <v>16</v>
      </c>
      <c r="C53" s="7" t="s">
        <v>17</v>
      </c>
      <c r="D53" s="7"/>
      <c r="E53" s="7" t="s">
        <v>2336</v>
      </c>
      <c r="F53" s="7" t="s">
        <v>19</v>
      </c>
      <c r="G53" s="7" t="s">
        <v>2333</v>
      </c>
      <c r="H53" s="7" t="s">
        <v>17</v>
      </c>
      <c r="I53" s="7" t="s">
        <v>17</v>
      </c>
      <c r="J53" s="7" t="s">
        <v>1091</v>
      </c>
    </row>
    <row r="54" spans="1:10" x14ac:dyDescent="0.25" outlineLevel="1" collapsed="1">
      <c r="A54" s="7" t="s">
        <v>15</v>
      </c>
      <c r="B54" s="7" t="s">
        <v>16</v>
      </c>
      <c r="C54" s="7" t="s">
        <v>17</v>
      </c>
      <c r="D54" s="7"/>
      <c r="E54" s="7" t="s">
        <v>2337</v>
      </c>
      <c r="F54" s="7" t="s">
        <v>19</v>
      </c>
      <c r="G54" s="7" t="s">
        <v>2333</v>
      </c>
      <c r="H54" s="7" t="s">
        <v>17</v>
      </c>
      <c r="I54" s="7" t="s">
        <v>17</v>
      </c>
      <c r="J54" s="7" t="s">
        <v>1094</v>
      </c>
    </row>
    <row r="55" spans="1:10" x14ac:dyDescent="0.25" outlineLevel="1" collapsed="1">
      <c r="A55" s="7" t="s">
        <v>19</v>
      </c>
      <c r="B55" s="7" t="s">
        <v>16</v>
      </c>
      <c r="C55" s="7" t="s">
        <v>17</v>
      </c>
      <c r="D55" s="7"/>
      <c r="E55" s="7" t="s">
        <v>1110</v>
      </c>
      <c r="F55" s="7" t="s">
        <v>19</v>
      </c>
      <c r="G55" s="7" t="s">
        <v>31</v>
      </c>
      <c r="H55" s="7" t="s">
        <v>17</v>
      </c>
      <c r="I55" s="7" t="s">
        <v>17</v>
      </c>
      <c r="J55" s="7" t="s">
        <v>1111</v>
      </c>
    </row>
    <row r="56" spans="1:10" x14ac:dyDescent="0.25">
      <c r="A56" s="5" t="s">
        <v>15</v>
      </c>
      <c r="B56" s="6" t="s">
        <v>2338</v>
      </c>
      <c r="C56" s="5" t="s">
        <v>17</v>
      </c>
      <c r="D56" s="5"/>
      <c r="E56" s="5" t="s">
        <v>2339</v>
      </c>
      <c r="F56" s="5" t="s">
        <v>19</v>
      </c>
      <c r="G56" s="5" t="s">
        <v>17</v>
      </c>
      <c r="H56" s="5" t="s">
        <v>17</v>
      </c>
      <c r="I56" s="5" t="s">
        <v>17</v>
      </c>
      <c r="J56" s="5" t="s">
        <v>2340</v>
      </c>
    </row>
    <row r="57" spans="1:10" x14ac:dyDescent="0.25" outlineLevel="1" collapsed="1">
      <c r="A57" s="8" t="s">
        <v>15</v>
      </c>
      <c r="B57" s="9" t="s">
        <v>2341</v>
      </c>
      <c r="C57" s="8" t="s">
        <v>17</v>
      </c>
      <c r="D57" s="8"/>
      <c r="E57" s="8" t="s">
        <v>2342</v>
      </c>
      <c r="F57" s="8" t="s">
        <v>19</v>
      </c>
      <c r="G57" s="8" t="s">
        <v>17</v>
      </c>
      <c r="H57" s="8" t="s">
        <v>17</v>
      </c>
      <c r="I57" s="8" t="s">
        <v>17</v>
      </c>
      <c r="J57" s="8" t="s">
        <v>2343</v>
      </c>
    </row>
    <row r="58" spans="1:10" x14ac:dyDescent="0.25" outlineLevel="2" collapsed="1">
      <c r="A58" s="7" t="s">
        <v>15</v>
      </c>
      <c r="B58" s="7" t="s">
        <v>16</v>
      </c>
      <c r="C58" s="7" t="s">
        <v>17</v>
      </c>
      <c r="D58" s="7"/>
      <c r="E58" s="7" t="s">
        <v>2344</v>
      </c>
      <c r="F58" s="7" t="s">
        <v>19</v>
      </c>
      <c r="G58" s="7" t="s">
        <v>2345</v>
      </c>
      <c r="H58" s="7" t="s">
        <v>17</v>
      </c>
      <c r="I58" s="7" t="s">
        <v>17</v>
      </c>
      <c r="J58" s="7" t="s">
        <v>2343</v>
      </c>
    </row>
    <row r="59" spans="1:10" x14ac:dyDescent="0.25" outlineLevel="1" collapsed="1">
      <c r="A59" s="8" t="s">
        <v>15</v>
      </c>
      <c r="B59" s="9" t="s">
        <v>2346</v>
      </c>
      <c r="C59" s="8" t="s">
        <v>17</v>
      </c>
      <c r="D59" s="8"/>
      <c r="E59" s="8" t="s">
        <v>2347</v>
      </c>
      <c r="F59" s="8" t="s">
        <v>15</v>
      </c>
      <c r="G59" s="8" t="s">
        <v>17</v>
      </c>
      <c r="H59" s="8" t="s">
        <v>17</v>
      </c>
      <c r="I59" s="8" t="s">
        <v>17</v>
      </c>
      <c r="J59" s="8" t="s">
        <v>659</v>
      </c>
    </row>
    <row r="60" spans="1:10" x14ac:dyDescent="0.25" outlineLevel="2" collapsed="1">
      <c r="A60" s="7" t="s">
        <v>19</v>
      </c>
      <c r="B60" s="7" t="s">
        <v>16</v>
      </c>
      <c r="C60" s="7" t="s">
        <v>17</v>
      </c>
      <c r="D60" s="7"/>
      <c r="E60" s="7" t="s">
        <v>1250</v>
      </c>
      <c r="F60" s="7" t="s">
        <v>19</v>
      </c>
      <c r="G60" s="7" t="s">
        <v>31</v>
      </c>
      <c r="H60" s="7" t="s">
        <v>17</v>
      </c>
      <c r="I60" s="7" t="s">
        <v>17</v>
      </c>
      <c r="J60" s="7" t="s">
        <v>1251</v>
      </c>
    </row>
    <row r="61" spans="1:10" x14ac:dyDescent="0.25" outlineLevel="2" collapsed="1">
      <c r="A61" s="7" t="s">
        <v>19</v>
      </c>
      <c r="B61" s="7" t="s">
        <v>16</v>
      </c>
      <c r="C61" s="7" t="s">
        <v>17</v>
      </c>
      <c r="D61" s="7"/>
      <c r="E61" s="7" t="s">
        <v>1252</v>
      </c>
      <c r="F61" s="7" t="s">
        <v>19</v>
      </c>
      <c r="G61" s="7" t="s">
        <v>31</v>
      </c>
      <c r="H61" s="7" t="s">
        <v>17</v>
      </c>
      <c r="I61" s="7" t="s">
        <v>17</v>
      </c>
      <c r="J61" s="7" t="s">
        <v>1253</v>
      </c>
    </row>
    <row r="62" spans="1:10" x14ac:dyDescent="0.25" outlineLevel="2" collapsed="1">
      <c r="A62" s="7" t="s">
        <v>19</v>
      </c>
      <c r="B62" s="7" t="s">
        <v>16</v>
      </c>
      <c r="C62" s="7" t="s">
        <v>17</v>
      </c>
      <c r="D62" s="7"/>
      <c r="E62" s="7" t="s">
        <v>1254</v>
      </c>
      <c r="F62" s="7" t="s">
        <v>19</v>
      </c>
      <c r="G62" s="7" t="s">
        <v>31</v>
      </c>
      <c r="H62" s="7" t="s">
        <v>17</v>
      </c>
      <c r="I62" s="7" t="s">
        <v>17</v>
      </c>
      <c r="J62" s="7" t="s">
        <v>1255</v>
      </c>
    </row>
    <row r="63" spans="1:10" x14ac:dyDescent="0.25" outlineLevel="2" collapsed="1">
      <c r="A63" s="7" t="s">
        <v>19</v>
      </c>
      <c r="B63" s="7" t="s">
        <v>16</v>
      </c>
      <c r="C63" s="7" t="s">
        <v>17</v>
      </c>
      <c r="D63" s="7"/>
      <c r="E63" s="7" t="s">
        <v>1256</v>
      </c>
      <c r="F63" s="7" t="s">
        <v>19</v>
      </c>
      <c r="G63" s="7" t="s">
        <v>31</v>
      </c>
      <c r="H63" s="7" t="s">
        <v>17</v>
      </c>
      <c r="I63" s="7" t="s">
        <v>17</v>
      </c>
      <c r="J63" s="7" t="s">
        <v>1257</v>
      </c>
    </row>
    <row r="64" spans="1:10" x14ac:dyDescent="0.25" outlineLevel="2" collapsed="1">
      <c r="A64" s="7" t="s">
        <v>19</v>
      </c>
      <c r="B64" s="7" t="s">
        <v>16</v>
      </c>
      <c r="C64" s="7" t="s">
        <v>17</v>
      </c>
      <c r="D64" s="7"/>
      <c r="E64" s="7" t="s">
        <v>1258</v>
      </c>
      <c r="F64" s="7" t="s">
        <v>19</v>
      </c>
      <c r="G64" s="7" t="s">
        <v>31</v>
      </c>
      <c r="H64" s="7" t="s">
        <v>17</v>
      </c>
      <c r="I64" s="7" t="s">
        <v>17</v>
      </c>
      <c r="J64" s="7" t="s">
        <v>1259</v>
      </c>
    </row>
    <row r="65" spans="1:10" x14ac:dyDescent="0.25" outlineLevel="2" collapsed="1">
      <c r="A65" s="7" t="s">
        <v>19</v>
      </c>
      <c r="B65" s="7" t="s">
        <v>16</v>
      </c>
      <c r="C65" s="7" t="s">
        <v>17</v>
      </c>
      <c r="D65" s="7"/>
      <c r="E65" s="7" t="s">
        <v>1260</v>
      </c>
      <c r="F65" s="7" t="s">
        <v>19</v>
      </c>
      <c r="G65" s="7" t="s">
        <v>31</v>
      </c>
      <c r="H65" s="7" t="s">
        <v>17</v>
      </c>
      <c r="I65" s="7" t="s">
        <v>17</v>
      </c>
      <c r="J65" s="7" t="s">
        <v>1261</v>
      </c>
    </row>
    <row r="66" spans="1:10" x14ac:dyDescent="0.25" outlineLevel="2" collapsed="1">
      <c r="A66" s="7" t="s">
        <v>19</v>
      </c>
      <c r="B66" s="7" t="s">
        <v>16</v>
      </c>
      <c r="C66" s="7" t="s">
        <v>17</v>
      </c>
      <c r="D66" s="7"/>
      <c r="E66" s="7" t="s">
        <v>1262</v>
      </c>
      <c r="F66" s="7" t="s">
        <v>19</v>
      </c>
      <c r="G66" s="7" t="s">
        <v>31</v>
      </c>
      <c r="H66" s="7" t="s">
        <v>17</v>
      </c>
      <c r="I66" s="7" t="s">
        <v>17</v>
      </c>
      <c r="J66" s="7" t="s">
        <v>1263</v>
      </c>
    </row>
    <row r="67" spans="1:10" x14ac:dyDescent="0.25" outlineLevel="2" collapsed="1">
      <c r="A67" s="7" t="s">
        <v>19</v>
      </c>
      <c r="B67" s="7" t="s">
        <v>16</v>
      </c>
      <c r="C67" s="7" t="s">
        <v>17</v>
      </c>
      <c r="D67" s="7"/>
      <c r="E67" s="7" t="s">
        <v>1264</v>
      </c>
      <c r="F67" s="7" t="s">
        <v>19</v>
      </c>
      <c r="G67" s="7" t="s">
        <v>31</v>
      </c>
      <c r="H67" s="7" t="s">
        <v>17</v>
      </c>
      <c r="I67" s="7" t="s">
        <v>17</v>
      </c>
      <c r="J67" s="7" t="s">
        <v>1265</v>
      </c>
    </row>
    <row r="68" spans="1:10" x14ac:dyDescent="0.25" outlineLevel="1" collapsed="1">
      <c r="A68" s="8" t="s">
        <v>19</v>
      </c>
      <c r="B68" s="9" t="s">
        <v>2348</v>
      </c>
      <c r="C68" s="8" t="s">
        <v>17</v>
      </c>
      <c r="D68" s="8"/>
      <c r="E68" s="8" t="s">
        <v>1240</v>
      </c>
      <c r="F68" s="8" t="s">
        <v>15</v>
      </c>
      <c r="G68" s="8" t="s">
        <v>17</v>
      </c>
      <c r="H68" s="8" t="s">
        <v>17</v>
      </c>
      <c r="I68" s="8" t="s">
        <v>17</v>
      </c>
      <c r="J68" s="8" t="s">
        <v>1241</v>
      </c>
    </row>
    <row r="69" spans="1:10" x14ac:dyDescent="0.25" outlineLevel="2" collapsed="1">
      <c r="A69" s="7" t="s">
        <v>19</v>
      </c>
      <c r="B69" s="7" t="s">
        <v>16</v>
      </c>
      <c r="C69" s="7" t="s">
        <v>17</v>
      </c>
      <c r="D69" s="7"/>
      <c r="E69" s="7" t="s">
        <v>1242</v>
      </c>
      <c r="F69" s="7" t="s">
        <v>19</v>
      </c>
      <c r="G69" s="7" t="s">
        <v>31</v>
      </c>
      <c r="H69" s="7" t="s">
        <v>17</v>
      </c>
      <c r="I69" s="7" t="s">
        <v>17</v>
      </c>
      <c r="J69" s="7" t="s">
        <v>1243</v>
      </c>
    </row>
    <row r="70" spans="1:10" x14ac:dyDescent="0.25" outlineLevel="2" collapsed="1">
      <c r="A70" s="7" t="s">
        <v>19</v>
      </c>
      <c r="B70" s="7" t="s">
        <v>16</v>
      </c>
      <c r="C70" s="7" t="s">
        <v>17</v>
      </c>
      <c r="D70" s="7"/>
      <c r="E70" s="7" t="s">
        <v>1244</v>
      </c>
      <c r="F70" s="7" t="s">
        <v>19</v>
      </c>
      <c r="G70" s="7" t="s">
        <v>31</v>
      </c>
      <c r="H70" s="7" t="s">
        <v>17</v>
      </c>
      <c r="I70" s="7" t="s">
        <v>17</v>
      </c>
      <c r="J70" s="7" t="s">
        <v>1245</v>
      </c>
    </row>
    <row r="71" spans="1:10" x14ac:dyDescent="0.25" outlineLevel="2" collapsed="1">
      <c r="A71" s="7" t="s">
        <v>19</v>
      </c>
      <c r="B71" s="7" t="s">
        <v>16</v>
      </c>
      <c r="C71" s="7" t="s">
        <v>17</v>
      </c>
      <c r="D71" s="7"/>
      <c r="E71" s="7" t="s">
        <v>2349</v>
      </c>
      <c r="F71" s="7" t="s">
        <v>19</v>
      </c>
      <c r="G71" s="7" t="s">
        <v>31</v>
      </c>
      <c r="H71" s="7" t="s">
        <v>17</v>
      </c>
      <c r="I71" s="7" t="s">
        <v>17</v>
      </c>
      <c r="J71" s="7" t="s">
        <v>2350</v>
      </c>
    </row>
    <row r="72" spans="1:10" x14ac:dyDescent="0.25" outlineLevel="1" collapsed="1">
      <c r="A72" s="7" t="s">
        <v>19</v>
      </c>
      <c r="B72" s="7" t="s">
        <v>16</v>
      </c>
      <c r="C72" s="7" t="s">
        <v>17</v>
      </c>
      <c r="D72" s="7"/>
      <c r="E72" s="7" t="s">
        <v>2351</v>
      </c>
      <c r="F72" s="7" t="s">
        <v>19</v>
      </c>
      <c r="G72" s="7" t="s">
        <v>31</v>
      </c>
      <c r="H72" s="7" t="s">
        <v>17</v>
      </c>
      <c r="I72" s="7" t="s">
        <v>17</v>
      </c>
      <c r="J72" s="7" t="s">
        <v>2352</v>
      </c>
    </row>
    <row r="73" spans="1:10" x14ac:dyDescent="0.25" outlineLevel="1" collapsed="1">
      <c r="A73" s="7" t="s">
        <v>19</v>
      </c>
      <c r="B73" s="7" t="s">
        <v>16</v>
      </c>
      <c r="C73" s="7" t="s">
        <v>17</v>
      </c>
      <c r="D73" s="7"/>
      <c r="E73" s="7" t="s">
        <v>1256</v>
      </c>
      <c r="F73" s="7" t="s">
        <v>19</v>
      </c>
      <c r="G73" s="7" t="s">
        <v>31</v>
      </c>
      <c r="H73" s="7" t="s">
        <v>17</v>
      </c>
      <c r="I73" s="7" t="s">
        <v>17</v>
      </c>
      <c r="J73" s="7" t="s">
        <v>1257</v>
      </c>
    </row>
    <row r="74" spans="1:10" x14ac:dyDescent="0.25">
      <c r="A74" s="5" t="s">
        <v>15</v>
      </c>
      <c r="B74" s="6" t="s">
        <v>2353</v>
      </c>
      <c r="C74" s="5" t="s">
        <v>17</v>
      </c>
      <c r="D74" s="5"/>
      <c r="E74" s="5" t="s">
        <v>2354</v>
      </c>
      <c r="F74" s="5" t="s">
        <v>15</v>
      </c>
      <c r="G74" s="5" t="s">
        <v>17</v>
      </c>
      <c r="H74" s="5" t="s">
        <v>17</v>
      </c>
      <c r="I74" s="5" t="s">
        <v>17</v>
      </c>
      <c r="J74" s="5" t="s">
        <v>2355</v>
      </c>
    </row>
    <row r="75" spans="1:10" x14ac:dyDescent="0.25" outlineLevel="1" collapsed="1">
      <c r="A75" s="7" t="s">
        <v>15</v>
      </c>
      <c r="B75" s="7" t="s">
        <v>16</v>
      </c>
      <c r="C75" s="7" t="s">
        <v>17</v>
      </c>
      <c r="D75" s="7"/>
      <c r="E75" s="7" t="s">
        <v>2356</v>
      </c>
      <c r="F75" s="7" t="s">
        <v>19</v>
      </c>
      <c r="G75" s="7" t="s">
        <v>847</v>
      </c>
      <c r="H75" s="7" t="s">
        <v>17</v>
      </c>
      <c r="I75" s="7" t="s">
        <v>17</v>
      </c>
      <c r="J75" s="7" t="s">
        <v>2357</v>
      </c>
    </row>
    <row r="76" spans="1:10" x14ac:dyDescent="0.25" outlineLevel="1" collapsed="1">
      <c r="A76" s="7" t="s">
        <v>15</v>
      </c>
      <c r="B76" s="7" t="s">
        <v>16</v>
      </c>
      <c r="C76" s="7" t="s">
        <v>17</v>
      </c>
      <c r="D76" s="7"/>
      <c r="E76" s="7" t="s">
        <v>2358</v>
      </c>
      <c r="F76" s="7" t="s">
        <v>19</v>
      </c>
      <c r="G76" s="7" t="s">
        <v>2359</v>
      </c>
      <c r="H76" s="7" t="s">
        <v>17</v>
      </c>
      <c r="I76" s="7" t="s">
        <v>17</v>
      </c>
      <c r="J76" s="7" t="s">
        <v>2360</v>
      </c>
    </row>
    <row r="77" spans="1:10" x14ac:dyDescent="0.25" outlineLevel="1" collapsed="1">
      <c r="A77" s="7" t="s">
        <v>15</v>
      </c>
      <c r="B77" s="7" t="s">
        <v>16</v>
      </c>
      <c r="C77" s="7" t="s">
        <v>17</v>
      </c>
      <c r="D77" s="7"/>
      <c r="E77" s="7" t="s">
        <v>2361</v>
      </c>
      <c r="F77" s="7" t="s">
        <v>19</v>
      </c>
      <c r="G77" s="7" t="s">
        <v>847</v>
      </c>
      <c r="H77" s="7" t="s">
        <v>17</v>
      </c>
      <c r="I77" s="7" t="s">
        <v>17</v>
      </c>
      <c r="J77" s="7" t="s">
        <v>2362</v>
      </c>
    </row>
    <row r="78" spans="1:10" x14ac:dyDescent="0.25">
      <c r="A78" s="5" t="s">
        <v>15</v>
      </c>
      <c r="B78" s="6" t="s">
        <v>2363</v>
      </c>
      <c r="C78" s="5" t="s">
        <v>17</v>
      </c>
      <c r="D78" s="5"/>
      <c r="E78" s="5" t="s">
        <v>2364</v>
      </c>
      <c r="F78" s="5" t="s">
        <v>19</v>
      </c>
      <c r="G78" s="5" t="s">
        <v>17</v>
      </c>
      <c r="H78" s="5" t="s">
        <v>17</v>
      </c>
      <c r="I78" s="5" t="s">
        <v>17</v>
      </c>
      <c r="J78" s="5" t="s">
        <v>2365</v>
      </c>
    </row>
    <row r="79" spans="1:10" x14ac:dyDescent="0.25" outlineLevel="1" collapsed="1">
      <c r="A79" s="7" t="s">
        <v>15</v>
      </c>
      <c r="B79" s="7" t="s">
        <v>16</v>
      </c>
      <c r="C79" s="7" t="s">
        <v>17</v>
      </c>
      <c r="D79" s="7"/>
      <c r="E79" s="7" t="s">
        <v>2366</v>
      </c>
      <c r="F79" s="7" t="s">
        <v>19</v>
      </c>
      <c r="G79" s="7" t="s">
        <v>847</v>
      </c>
      <c r="H79" s="7" t="s">
        <v>17</v>
      </c>
      <c r="I79" s="7" t="s">
        <v>17</v>
      </c>
      <c r="J79" s="7" t="s">
        <v>848</v>
      </c>
    </row>
    <row r="80" spans="1:10" x14ac:dyDescent="0.25" outlineLevel="1" collapsed="1">
      <c r="A80" s="7" t="s">
        <v>15</v>
      </c>
      <c r="B80" s="7" t="s">
        <v>16</v>
      </c>
      <c r="C80" s="7" t="s">
        <v>17</v>
      </c>
      <c r="D80" s="7"/>
      <c r="E80" s="7" t="s">
        <v>2367</v>
      </c>
      <c r="F80" s="7" t="s">
        <v>19</v>
      </c>
      <c r="G80" s="7" t="s">
        <v>850</v>
      </c>
      <c r="H80" s="7" t="s">
        <v>17</v>
      </c>
      <c r="I80" s="7" t="s">
        <v>17</v>
      </c>
      <c r="J80" s="7" t="s">
        <v>851</v>
      </c>
    </row>
    <row r="81" spans="1:10" x14ac:dyDescent="0.25" outlineLevel="1" collapsed="1">
      <c r="A81" s="7" t="s">
        <v>19</v>
      </c>
      <c r="B81" s="7" t="s">
        <v>16</v>
      </c>
      <c r="C81" s="7" t="s">
        <v>17</v>
      </c>
      <c r="D81" s="7"/>
      <c r="E81" s="7" t="s">
        <v>2368</v>
      </c>
      <c r="F81" s="7" t="s">
        <v>19</v>
      </c>
      <c r="G81" s="7" t="s">
        <v>2369</v>
      </c>
      <c r="H81" s="7" t="s">
        <v>17</v>
      </c>
      <c r="I81" s="7" t="s">
        <v>17</v>
      </c>
      <c r="J81" s="7" t="s">
        <v>2370</v>
      </c>
    </row>
    <row r="82" spans="1:10" x14ac:dyDescent="0.25" outlineLevel="1" collapsed="1">
      <c r="A82" s="7" t="s">
        <v>15</v>
      </c>
      <c r="B82" s="7" t="s">
        <v>284</v>
      </c>
      <c r="C82" s="11" t="s">
        <v>2371</v>
      </c>
      <c r="D82" s="7"/>
      <c r="E82" s="7" t="s">
        <v>2372</v>
      </c>
      <c r="F82" s="7" t="s">
        <v>19</v>
      </c>
      <c r="G82" s="7" t="s">
        <v>2373</v>
      </c>
      <c r="H82" s="7" t="s">
        <v>2373</v>
      </c>
      <c r="I82" s="7" t="s">
        <v>17</v>
      </c>
      <c r="J82" s="7" t="s">
        <v>855</v>
      </c>
    </row>
    <row r="83" spans="1:10" x14ac:dyDescent="0.25" outlineLevel="1" collapsed="1">
      <c r="A83" s="7" t="s">
        <v>15</v>
      </c>
      <c r="B83" s="7" t="s">
        <v>63</v>
      </c>
      <c r="C83" s="7" t="s">
        <v>17</v>
      </c>
      <c r="D83" s="7"/>
      <c r="E83" s="7" t="s">
        <v>2374</v>
      </c>
      <c r="F83" s="7" t="s">
        <v>19</v>
      </c>
      <c r="G83" s="7">
        <v>0</v>
      </c>
      <c r="H83" s="7" t="s">
        <v>17</v>
      </c>
      <c r="I83" s="7" t="s">
        <v>17</v>
      </c>
      <c r="J83" s="7" t="s">
        <v>853</v>
      </c>
    </row>
    <row r="84" spans="1:10" x14ac:dyDescent="0.25" outlineLevel="1" collapsed="1">
      <c r="A84" s="7" t="s">
        <v>15</v>
      </c>
      <c r="B84" s="7" t="s">
        <v>16</v>
      </c>
      <c r="C84" s="7" t="s">
        <v>17</v>
      </c>
      <c r="D84" s="7"/>
      <c r="E84" s="7" t="s">
        <v>2375</v>
      </c>
      <c r="F84" s="7" t="s">
        <v>19</v>
      </c>
      <c r="G84" s="7" t="s">
        <v>2376</v>
      </c>
      <c r="H84" s="7" t="s">
        <v>17</v>
      </c>
      <c r="I84" s="7" t="s">
        <v>17</v>
      </c>
      <c r="J84" s="7" t="s">
        <v>2377</v>
      </c>
    </row>
    <row r="85" spans="1:10" x14ac:dyDescent="0.25">
      <c r="A85" s="5" t="s">
        <v>15</v>
      </c>
      <c r="B85" s="6" t="s">
        <v>2378</v>
      </c>
      <c r="C85" s="5" t="s">
        <v>17</v>
      </c>
      <c r="D85" s="5"/>
      <c r="E85" s="5" t="s">
        <v>2379</v>
      </c>
      <c r="F85" s="5" t="s">
        <v>19</v>
      </c>
      <c r="G85" s="5" t="s">
        <v>17</v>
      </c>
      <c r="H85" s="5" t="s">
        <v>17</v>
      </c>
      <c r="I85" s="5" t="s">
        <v>17</v>
      </c>
      <c r="J85" s="5" t="s">
        <v>2380</v>
      </c>
    </row>
    <row r="86" spans="1:10" x14ac:dyDescent="0.25" outlineLevel="1" collapsed="1">
      <c r="A86" s="7" t="s">
        <v>19</v>
      </c>
      <c r="B86" s="7" t="s">
        <v>16</v>
      </c>
      <c r="C86" s="7" t="s">
        <v>17</v>
      </c>
      <c r="D86" s="7"/>
      <c r="E86" s="7" t="s">
        <v>57</v>
      </c>
      <c r="F86" s="7" t="s">
        <v>19</v>
      </c>
      <c r="G86" s="7" t="s">
        <v>58</v>
      </c>
      <c r="H86" s="7" t="s">
        <v>17</v>
      </c>
      <c r="I86" s="7" t="s">
        <v>17</v>
      </c>
      <c r="J86" s="7" t="s">
        <v>59</v>
      </c>
    </row>
    <row r="87" spans="1:10" x14ac:dyDescent="0.25" outlineLevel="1" collapsed="1">
      <c r="A87" s="8" t="s">
        <v>19</v>
      </c>
      <c r="B87" s="9" t="s">
        <v>60</v>
      </c>
      <c r="C87" s="8" t="s">
        <v>17</v>
      </c>
      <c r="D87" s="8"/>
      <c r="E87" s="8" t="s">
        <v>61</v>
      </c>
      <c r="F87" s="8" t="s">
        <v>15</v>
      </c>
      <c r="G87" s="8" t="s">
        <v>17</v>
      </c>
      <c r="H87" s="8" t="s">
        <v>17</v>
      </c>
      <c r="I87" s="8" t="s">
        <v>17</v>
      </c>
      <c r="J87" s="8" t="s">
        <v>62</v>
      </c>
    </row>
    <row r="88" spans="1:10" x14ac:dyDescent="0.25" outlineLevel="2" collapsed="1">
      <c r="A88" s="7" t="s">
        <v>19</v>
      </c>
      <c r="B88" s="7" t="s">
        <v>16</v>
      </c>
      <c r="C88" s="7" t="s">
        <v>17</v>
      </c>
      <c r="D88" s="7"/>
      <c r="E88" s="7" t="s">
        <v>30</v>
      </c>
      <c r="F88" s="7" t="s">
        <v>19</v>
      </c>
      <c r="G88" s="7" t="s">
        <v>31</v>
      </c>
      <c r="H88" s="7" t="s">
        <v>17</v>
      </c>
      <c r="I88" s="7" t="s">
        <v>17</v>
      </c>
      <c r="J88" s="7" t="s">
        <v>32</v>
      </c>
    </row>
    <row r="89" spans="1:10" x14ac:dyDescent="0.25" outlineLevel="2" collapsed="1">
      <c r="A89" s="7" t="s">
        <v>19</v>
      </c>
      <c r="B89" s="7" t="s">
        <v>16</v>
      </c>
      <c r="C89" s="7" t="s">
        <v>17</v>
      </c>
      <c r="D89" s="7"/>
      <c r="E89" s="7" t="s">
        <v>33</v>
      </c>
      <c r="F89" s="7" t="s">
        <v>19</v>
      </c>
      <c r="G89" s="7" t="s">
        <v>31</v>
      </c>
      <c r="H89" s="7" t="s">
        <v>17</v>
      </c>
      <c r="I89" s="7" t="s">
        <v>17</v>
      </c>
      <c r="J89" s="7" t="s">
        <v>34</v>
      </c>
    </row>
    <row r="90" spans="1:10" x14ac:dyDescent="0.25" outlineLevel="2" collapsed="1">
      <c r="A90" s="7" t="s">
        <v>19</v>
      </c>
      <c r="B90" s="7" t="s">
        <v>63</v>
      </c>
      <c r="C90" s="7" t="s">
        <v>17</v>
      </c>
      <c r="D90" s="7"/>
      <c r="E90" s="7" t="s">
        <v>64</v>
      </c>
      <c r="F90" s="7" t="s">
        <v>19</v>
      </c>
      <c r="G90" s="7">
        <v>1</v>
      </c>
      <c r="H90" s="7" t="s">
        <v>17</v>
      </c>
      <c r="I90" s="7" t="s">
        <v>17</v>
      </c>
      <c r="J90" s="7" t="s">
        <v>65</v>
      </c>
    </row>
    <row r="91" spans="1:10" x14ac:dyDescent="0.25" outlineLevel="1" collapsed="1">
      <c r="A91" s="7" t="s">
        <v>19</v>
      </c>
      <c r="B91" s="7" t="s">
        <v>16</v>
      </c>
      <c r="C91" s="7" t="s">
        <v>17</v>
      </c>
      <c r="D91" s="7"/>
      <c r="E91" s="7" t="s">
        <v>66</v>
      </c>
      <c r="F91" s="7" t="s">
        <v>19</v>
      </c>
      <c r="G91" s="7" t="s">
        <v>31</v>
      </c>
      <c r="H91" s="7" t="s">
        <v>17</v>
      </c>
      <c r="I91" s="7" t="s">
        <v>17</v>
      </c>
      <c r="J91" s="7" t="s">
        <v>67</v>
      </c>
    </row>
    <row r="92" spans="1:10" x14ac:dyDescent="0.25" outlineLevel="1" collapsed="1">
      <c r="A92" s="7" t="s">
        <v>19</v>
      </c>
      <c r="B92" s="7" t="s">
        <v>16</v>
      </c>
      <c r="C92" s="7" t="s">
        <v>17</v>
      </c>
      <c r="D92" s="7"/>
      <c r="E92" s="7" t="s">
        <v>68</v>
      </c>
      <c r="F92" s="7" t="s">
        <v>19</v>
      </c>
      <c r="G92" s="7" t="s">
        <v>31</v>
      </c>
      <c r="H92" s="7" t="s">
        <v>17</v>
      </c>
      <c r="I92" s="7" t="s">
        <v>17</v>
      </c>
      <c r="J92" s="7" t="s">
        <v>69</v>
      </c>
    </row>
    <row r="93" spans="1:10" x14ac:dyDescent="0.25" outlineLevel="1" collapsed="1">
      <c r="A93" s="7" t="s">
        <v>19</v>
      </c>
      <c r="B93" s="7" t="s">
        <v>16</v>
      </c>
      <c r="C93" s="7" t="s">
        <v>17</v>
      </c>
      <c r="D93" s="7"/>
      <c r="E93" s="7" t="s">
        <v>70</v>
      </c>
      <c r="F93" s="7" t="s">
        <v>19</v>
      </c>
      <c r="G93" s="7" t="s">
        <v>31</v>
      </c>
      <c r="H93" s="7" t="s">
        <v>17</v>
      </c>
      <c r="I93" s="7" t="s">
        <v>17</v>
      </c>
      <c r="J93" s="7" t="s">
        <v>71</v>
      </c>
    </row>
    <row r="94" spans="1:10" x14ac:dyDescent="0.25">
      <c r="A94" s="5" t="s">
        <v>15</v>
      </c>
      <c r="B94" s="6" t="s">
        <v>2381</v>
      </c>
      <c r="C94" s="5" t="s">
        <v>17</v>
      </c>
      <c r="D94" s="5"/>
      <c r="E94" s="5" t="s">
        <v>2382</v>
      </c>
      <c r="F94" s="5" t="s">
        <v>19</v>
      </c>
      <c r="G94" s="5" t="s">
        <v>17</v>
      </c>
      <c r="H94" s="5" t="s">
        <v>17</v>
      </c>
      <c r="I94" s="5" t="s">
        <v>17</v>
      </c>
      <c r="J94" s="5" t="s">
        <v>2383</v>
      </c>
    </row>
    <row r="95" spans="1:10" x14ac:dyDescent="0.25" outlineLevel="1" collapsed="1">
      <c r="A95" s="7" t="s">
        <v>15</v>
      </c>
      <c r="B95" s="7" t="s">
        <v>16</v>
      </c>
      <c r="C95" s="7" t="s">
        <v>17</v>
      </c>
      <c r="D95" s="7"/>
      <c r="E95" s="7" t="s">
        <v>2384</v>
      </c>
      <c r="F95" s="7" t="s">
        <v>19</v>
      </c>
      <c r="G95" s="7" t="s">
        <v>2385</v>
      </c>
      <c r="H95" s="7" t="s">
        <v>17</v>
      </c>
      <c r="I95" s="7" t="s">
        <v>17</v>
      </c>
      <c r="J95" s="7" t="s">
        <v>2386</v>
      </c>
    </row>
    <row r="96" spans="1:10" x14ac:dyDescent="0.25" outlineLevel="1" collapsed="1">
      <c r="A96" s="7" t="s">
        <v>19</v>
      </c>
      <c r="B96" s="7" t="s">
        <v>16</v>
      </c>
      <c r="C96" s="7" t="s">
        <v>17</v>
      </c>
      <c r="D96" s="7"/>
      <c r="E96" s="7" t="s">
        <v>2387</v>
      </c>
      <c r="F96" s="7" t="s">
        <v>19</v>
      </c>
      <c r="G96" s="7" t="s">
        <v>2388</v>
      </c>
      <c r="H96" s="7" t="s">
        <v>17</v>
      </c>
      <c r="I96" s="7" t="s">
        <v>17</v>
      </c>
      <c r="J96" s="7" t="s">
        <v>2389</v>
      </c>
    </row>
    <row r="97" spans="1:10" x14ac:dyDescent="0.25" outlineLevel="1" collapsed="1">
      <c r="A97" s="8" t="s">
        <v>19</v>
      </c>
      <c r="B97" s="9" t="s">
        <v>2390</v>
      </c>
      <c r="C97" s="8" t="s">
        <v>17</v>
      </c>
      <c r="D97" s="8"/>
      <c r="E97" s="8" t="s">
        <v>2391</v>
      </c>
      <c r="F97" s="8" t="s">
        <v>15</v>
      </c>
      <c r="G97" s="8" t="s">
        <v>17</v>
      </c>
      <c r="H97" s="8" t="s">
        <v>17</v>
      </c>
      <c r="I97" s="8" t="s">
        <v>17</v>
      </c>
      <c r="J97" s="8" t="s">
        <v>2392</v>
      </c>
    </row>
    <row r="98" spans="1:10" x14ac:dyDescent="0.25" outlineLevel="2" collapsed="1">
      <c r="A98" s="7" t="s">
        <v>19</v>
      </c>
      <c r="B98" s="7" t="s">
        <v>16</v>
      </c>
      <c r="C98" s="7" t="s">
        <v>17</v>
      </c>
      <c r="D98" s="7"/>
      <c r="E98" s="7" t="s">
        <v>2393</v>
      </c>
      <c r="F98" s="7" t="s">
        <v>19</v>
      </c>
      <c r="G98" s="7" t="s">
        <v>31</v>
      </c>
      <c r="H98" s="7" t="s">
        <v>17</v>
      </c>
      <c r="I98" s="7" t="s">
        <v>17</v>
      </c>
      <c r="J98" s="7" t="s">
        <v>2394</v>
      </c>
    </row>
    <row r="99" spans="1:10" x14ac:dyDescent="0.25" outlineLevel="2" collapsed="1">
      <c r="A99" s="7" t="s">
        <v>19</v>
      </c>
      <c r="B99" s="7" t="s">
        <v>16</v>
      </c>
      <c r="C99" s="7" t="s">
        <v>17</v>
      </c>
      <c r="D99" s="7"/>
      <c r="E99" s="7" t="s">
        <v>2395</v>
      </c>
      <c r="F99" s="7" t="s">
        <v>19</v>
      </c>
      <c r="G99" s="7" t="s">
        <v>31</v>
      </c>
      <c r="H99" s="7" t="s">
        <v>17</v>
      </c>
      <c r="I99" s="7" t="s">
        <v>17</v>
      </c>
      <c r="J99" s="7" t="s">
        <v>2396</v>
      </c>
    </row>
    <row r="100" spans="1:10" x14ac:dyDescent="0.25" outlineLevel="1" collapsed="1">
      <c r="A100" s="8" t="s">
        <v>19</v>
      </c>
      <c r="B100" s="9" t="s">
        <v>1372</v>
      </c>
      <c r="C100" s="8" t="s">
        <v>17</v>
      </c>
      <c r="D100" s="8"/>
      <c r="E100" s="8" t="s">
        <v>1373</v>
      </c>
      <c r="F100" s="8" t="s">
        <v>15</v>
      </c>
      <c r="G100" s="8" t="s">
        <v>17</v>
      </c>
      <c r="H100" s="8" t="s">
        <v>17</v>
      </c>
      <c r="I100" s="8" t="s">
        <v>17</v>
      </c>
      <c r="J100" s="8" t="s">
        <v>1374</v>
      </c>
    </row>
    <row r="101" spans="1:10" x14ac:dyDescent="0.25" outlineLevel="2" collapsed="1">
      <c r="A101" s="7" t="s">
        <v>19</v>
      </c>
      <c r="B101" s="7" t="s">
        <v>16</v>
      </c>
      <c r="C101" s="7" t="s">
        <v>17</v>
      </c>
      <c r="D101" s="7"/>
      <c r="E101" s="7" t="s">
        <v>1375</v>
      </c>
      <c r="F101" s="7" t="s">
        <v>19</v>
      </c>
      <c r="G101" s="7" t="s">
        <v>31</v>
      </c>
      <c r="H101" s="7" t="s">
        <v>17</v>
      </c>
      <c r="I101" s="7" t="s">
        <v>17</v>
      </c>
      <c r="J101" s="7" t="s">
        <v>1376</v>
      </c>
    </row>
    <row r="102" spans="1:10" x14ac:dyDescent="0.25" outlineLevel="2" collapsed="1">
      <c r="A102" s="7" t="s">
        <v>19</v>
      </c>
      <c r="B102" s="7" t="s">
        <v>16</v>
      </c>
      <c r="C102" s="7" t="s">
        <v>17</v>
      </c>
      <c r="D102" s="7"/>
      <c r="E102" s="7" t="s">
        <v>1377</v>
      </c>
      <c r="F102" s="7" t="s">
        <v>19</v>
      </c>
      <c r="G102" s="7" t="s">
        <v>31</v>
      </c>
      <c r="H102" s="7" t="s">
        <v>17</v>
      </c>
      <c r="I102" s="7" t="s">
        <v>17</v>
      </c>
      <c r="J102" s="7" t="s">
        <v>1378</v>
      </c>
    </row>
    <row r="103" spans="1:10" x14ac:dyDescent="0.25" outlineLevel="2" collapsed="1">
      <c r="A103" s="7" t="s">
        <v>19</v>
      </c>
      <c r="B103" s="7" t="s">
        <v>16</v>
      </c>
      <c r="C103" s="7" t="s">
        <v>17</v>
      </c>
      <c r="D103" s="7"/>
      <c r="E103" s="7" t="s">
        <v>1379</v>
      </c>
      <c r="F103" s="7" t="s">
        <v>19</v>
      </c>
      <c r="G103" s="7" t="s">
        <v>31</v>
      </c>
      <c r="H103" s="7" t="s">
        <v>17</v>
      </c>
      <c r="I103" s="7" t="s">
        <v>17</v>
      </c>
      <c r="J103" s="7" t="s">
        <v>1380</v>
      </c>
    </row>
    <row r="104" spans="1:10" x14ac:dyDescent="0.25" outlineLevel="1" collapsed="1">
      <c r="A104" s="8" t="s">
        <v>19</v>
      </c>
      <c r="B104" s="9" t="s">
        <v>2397</v>
      </c>
      <c r="C104" s="8" t="s">
        <v>17</v>
      </c>
      <c r="D104" s="8"/>
      <c r="E104" s="8" t="s">
        <v>2398</v>
      </c>
      <c r="F104" s="8" t="s">
        <v>15</v>
      </c>
      <c r="G104" s="8" t="s">
        <v>17</v>
      </c>
      <c r="H104" s="8" t="s">
        <v>17</v>
      </c>
      <c r="I104" s="8" t="s">
        <v>17</v>
      </c>
      <c r="J104" s="8" t="s">
        <v>2399</v>
      </c>
    </row>
    <row r="105" spans="1:10" x14ac:dyDescent="0.25" outlineLevel="2" collapsed="1">
      <c r="A105" s="7" t="s">
        <v>19</v>
      </c>
      <c r="B105" s="7" t="s">
        <v>16</v>
      </c>
      <c r="C105" s="7" t="s">
        <v>17</v>
      </c>
      <c r="D105" s="7"/>
      <c r="E105" s="7" t="s">
        <v>1375</v>
      </c>
      <c r="F105" s="7" t="s">
        <v>19</v>
      </c>
      <c r="G105" s="7" t="s">
        <v>31</v>
      </c>
      <c r="H105" s="7" t="s">
        <v>17</v>
      </c>
      <c r="I105" s="7" t="s">
        <v>17</v>
      </c>
      <c r="J105" s="7" t="s">
        <v>1376</v>
      </c>
    </row>
    <row r="106" spans="1:10" x14ac:dyDescent="0.25" outlineLevel="2" collapsed="1">
      <c r="A106" s="7" t="s">
        <v>19</v>
      </c>
      <c r="B106" s="7" t="s">
        <v>16</v>
      </c>
      <c r="C106" s="7" t="s">
        <v>17</v>
      </c>
      <c r="D106" s="7"/>
      <c r="E106" s="7" t="s">
        <v>2400</v>
      </c>
      <c r="F106" s="7" t="s">
        <v>19</v>
      </c>
      <c r="G106" s="7" t="s">
        <v>31</v>
      </c>
      <c r="H106" s="7" t="s">
        <v>17</v>
      </c>
      <c r="I106" s="7" t="s">
        <v>17</v>
      </c>
      <c r="J106" s="7" t="s">
        <v>2401</v>
      </c>
    </row>
    <row r="107" spans="1:10" x14ac:dyDescent="0.25" outlineLevel="2" collapsed="1">
      <c r="A107" s="7" t="s">
        <v>19</v>
      </c>
      <c r="B107" s="7" t="s">
        <v>16</v>
      </c>
      <c r="C107" s="7" t="s">
        <v>17</v>
      </c>
      <c r="D107" s="7"/>
      <c r="E107" s="7" t="s">
        <v>2402</v>
      </c>
      <c r="F107" s="7" t="s">
        <v>19</v>
      </c>
      <c r="G107" s="7" t="s">
        <v>31</v>
      </c>
      <c r="H107" s="7" t="s">
        <v>17</v>
      </c>
      <c r="I107" s="7" t="s">
        <v>17</v>
      </c>
      <c r="J107" s="7" t="s">
        <v>2403</v>
      </c>
    </row>
    <row r="108" spans="1:10" x14ac:dyDescent="0.25" outlineLevel="2" collapsed="1">
      <c r="A108" s="7" t="s">
        <v>19</v>
      </c>
      <c r="B108" s="7" t="s">
        <v>16</v>
      </c>
      <c r="C108" s="7" t="s">
        <v>17</v>
      </c>
      <c r="D108" s="7"/>
      <c r="E108" s="7" t="s">
        <v>2404</v>
      </c>
      <c r="F108" s="7" t="s">
        <v>19</v>
      </c>
      <c r="G108" s="7" t="s">
        <v>31</v>
      </c>
      <c r="H108" s="7" t="s">
        <v>17</v>
      </c>
      <c r="I108" s="7" t="s">
        <v>17</v>
      </c>
      <c r="J108" s="7" t="s">
        <v>2405</v>
      </c>
    </row>
    <row r="109" spans="1:10" x14ac:dyDescent="0.25" outlineLevel="2" collapsed="1">
      <c r="A109" s="7" t="s">
        <v>19</v>
      </c>
      <c r="B109" s="7" t="s">
        <v>16</v>
      </c>
      <c r="C109" s="7" t="s">
        <v>17</v>
      </c>
      <c r="D109" s="7"/>
      <c r="E109" s="7" t="s">
        <v>2406</v>
      </c>
      <c r="F109" s="7" t="s">
        <v>19</v>
      </c>
      <c r="G109" s="7" t="s">
        <v>31</v>
      </c>
      <c r="H109" s="7" t="s">
        <v>17</v>
      </c>
      <c r="I109" s="7" t="s">
        <v>17</v>
      </c>
      <c r="J109" s="7" t="s">
        <v>2407</v>
      </c>
    </row>
    <row r="110" spans="1:10" x14ac:dyDescent="0.25" outlineLevel="2" collapsed="1">
      <c r="A110" s="7" t="s">
        <v>19</v>
      </c>
      <c r="B110" s="7" t="s">
        <v>16</v>
      </c>
      <c r="C110" s="7" t="s">
        <v>17</v>
      </c>
      <c r="D110" s="7"/>
      <c r="E110" s="7" t="s">
        <v>2408</v>
      </c>
      <c r="F110" s="7" t="s">
        <v>19</v>
      </c>
      <c r="G110" s="7" t="s">
        <v>31</v>
      </c>
      <c r="H110" s="7" t="s">
        <v>17</v>
      </c>
      <c r="I110" s="7" t="s">
        <v>17</v>
      </c>
      <c r="J110" s="7" t="s">
        <v>2409</v>
      </c>
    </row>
    <row r="111" spans="1:10" x14ac:dyDescent="0.25">
      <c r="A111" s="5" t="s">
        <v>15</v>
      </c>
      <c r="B111" s="6" t="s">
        <v>2410</v>
      </c>
      <c r="C111" s="5" t="s">
        <v>17</v>
      </c>
      <c r="D111" s="5"/>
      <c r="E111" s="5" t="s">
        <v>2411</v>
      </c>
      <c r="F111" s="5" t="s">
        <v>19</v>
      </c>
      <c r="G111" s="5" t="s">
        <v>17</v>
      </c>
      <c r="H111" s="5" t="s">
        <v>17</v>
      </c>
      <c r="I111" s="5" t="s">
        <v>17</v>
      </c>
      <c r="J111" s="5" t="s">
        <v>2412</v>
      </c>
    </row>
    <row r="112" spans="1:10" x14ac:dyDescent="0.25" outlineLevel="1" collapsed="1">
      <c r="A112" s="7" t="s">
        <v>15</v>
      </c>
      <c r="B112" s="7" t="s">
        <v>16</v>
      </c>
      <c r="C112" s="7" t="s">
        <v>17</v>
      </c>
      <c r="D112" s="7"/>
      <c r="E112" s="7" t="s">
        <v>2237</v>
      </c>
      <c r="F112" s="7" t="s">
        <v>19</v>
      </c>
      <c r="G112" s="7" t="s">
        <v>2238</v>
      </c>
      <c r="H112" s="7" t="s">
        <v>17</v>
      </c>
      <c r="I112" s="7" t="s">
        <v>17</v>
      </c>
      <c r="J112" s="7" t="s">
        <v>2239</v>
      </c>
    </row>
    <row r="113" spans="1:10" x14ac:dyDescent="0.25" outlineLevel="1" collapsed="1">
      <c r="A113" s="7" t="s">
        <v>19</v>
      </c>
      <c r="B113" s="7" t="s">
        <v>16</v>
      </c>
      <c r="C113" s="7" t="s">
        <v>17</v>
      </c>
      <c r="D113" s="7"/>
      <c r="E113" s="7" t="s">
        <v>2240</v>
      </c>
      <c r="F113" s="7" t="s">
        <v>19</v>
      </c>
      <c r="G113" s="7" t="s">
        <v>31</v>
      </c>
      <c r="H113" s="7" t="s">
        <v>17</v>
      </c>
      <c r="I113" s="7" t="s">
        <v>17</v>
      </c>
      <c r="J113" s="7" t="s">
        <v>2241</v>
      </c>
    </row>
    <row r="114" spans="1:10" x14ac:dyDescent="0.25" outlineLevel="1" collapsed="1">
      <c r="A114" s="7" t="s">
        <v>19</v>
      </c>
      <c r="B114" s="7" t="s">
        <v>16</v>
      </c>
      <c r="C114" s="7" t="s">
        <v>17</v>
      </c>
      <c r="D114" s="7"/>
      <c r="E114" s="7" t="s">
        <v>2242</v>
      </c>
      <c r="F114" s="7" t="s">
        <v>19</v>
      </c>
      <c r="G114" s="7" t="s">
        <v>31</v>
      </c>
      <c r="H114" s="7" t="s">
        <v>17</v>
      </c>
      <c r="I114" s="7" t="s">
        <v>17</v>
      </c>
      <c r="J114" s="7" t="s">
        <v>2243</v>
      </c>
    </row>
    <row r="115" spans="1:10" x14ac:dyDescent="0.25" outlineLevel="1" collapsed="1">
      <c r="A115" s="7" t="s">
        <v>19</v>
      </c>
      <c r="B115" s="7" t="s">
        <v>16</v>
      </c>
      <c r="C115" s="7" t="s">
        <v>17</v>
      </c>
      <c r="D115" s="7"/>
      <c r="E115" s="7" t="s">
        <v>2244</v>
      </c>
      <c r="F115" s="7" t="s">
        <v>19</v>
      </c>
      <c r="G115" s="7" t="s">
        <v>31</v>
      </c>
      <c r="H115" s="7" t="s">
        <v>17</v>
      </c>
      <c r="I115" s="7" t="s">
        <v>17</v>
      </c>
      <c r="J115" s="7" t="s">
        <v>2245</v>
      </c>
    </row>
    <row r="116" spans="1:10" x14ac:dyDescent="0.25" outlineLevel="1" collapsed="1">
      <c r="A116" s="7" t="s">
        <v>19</v>
      </c>
      <c r="B116" s="7" t="s">
        <v>16</v>
      </c>
      <c r="C116" s="7" t="s">
        <v>17</v>
      </c>
      <c r="D116" s="7"/>
      <c r="E116" s="7" t="s">
        <v>2246</v>
      </c>
      <c r="F116" s="7" t="s">
        <v>19</v>
      </c>
      <c r="G116" s="7" t="s">
        <v>31</v>
      </c>
      <c r="H116" s="7" t="s">
        <v>17</v>
      </c>
      <c r="I116" s="7" t="s">
        <v>17</v>
      </c>
      <c r="J116" s="7" t="s">
        <v>2247</v>
      </c>
    </row>
    <row r="117" spans="1:10" x14ac:dyDescent="0.25">
      <c r="A117" s="5" t="s">
        <v>15</v>
      </c>
      <c r="B117" s="6" t="s">
        <v>2413</v>
      </c>
      <c r="C117" s="5" t="s">
        <v>17</v>
      </c>
      <c r="D117" s="5"/>
      <c r="E117" s="5" t="s">
        <v>2414</v>
      </c>
      <c r="F117" s="5" t="s">
        <v>19</v>
      </c>
      <c r="G117" s="5" t="s">
        <v>17</v>
      </c>
      <c r="H117" s="5" t="s">
        <v>17</v>
      </c>
      <c r="I117" s="5" t="s">
        <v>17</v>
      </c>
      <c r="J117" s="5" t="s">
        <v>2415</v>
      </c>
    </row>
    <row r="118" spans="1:10" x14ac:dyDescent="0.25" outlineLevel="1" collapsed="1">
      <c r="A118" s="7" t="s">
        <v>15</v>
      </c>
      <c r="B118" s="7" t="s">
        <v>16</v>
      </c>
      <c r="C118" s="7" t="s">
        <v>17</v>
      </c>
      <c r="D118" s="7"/>
      <c r="E118" s="7" t="s">
        <v>2087</v>
      </c>
      <c r="F118" s="7" t="s">
        <v>19</v>
      </c>
      <c r="G118" s="7" t="s">
        <v>2088</v>
      </c>
      <c r="H118" s="7" t="s">
        <v>17</v>
      </c>
      <c r="I118" s="7" t="s">
        <v>17</v>
      </c>
      <c r="J118" s="7" t="s">
        <v>2089</v>
      </c>
    </row>
    <row r="119" spans="1:10" x14ac:dyDescent="0.25" outlineLevel="1" collapsed="1">
      <c r="A119" s="8" t="s">
        <v>19</v>
      </c>
      <c r="B119" s="9" t="s">
        <v>2090</v>
      </c>
      <c r="C119" s="8" t="s">
        <v>17</v>
      </c>
      <c r="D119" s="8"/>
      <c r="E119" s="8" t="s">
        <v>2091</v>
      </c>
      <c r="F119" s="8" t="s">
        <v>15</v>
      </c>
      <c r="G119" s="8" t="s">
        <v>17</v>
      </c>
      <c r="H119" s="8" t="s">
        <v>17</v>
      </c>
      <c r="I119" s="8" t="s">
        <v>17</v>
      </c>
      <c r="J119" s="8" t="s">
        <v>2092</v>
      </c>
    </row>
    <row r="120" spans="1:10" x14ac:dyDescent="0.25" outlineLevel="2" collapsed="1">
      <c r="A120" s="7" t="s">
        <v>19</v>
      </c>
      <c r="B120" s="7" t="s">
        <v>16</v>
      </c>
      <c r="C120" s="7" t="s">
        <v>17</v>
      </c>
      <c r="D120" s="7"/>
      <c r="E120" s="7" t="s">
        <v>2091</v>
      </c>
      <c r="F120" s="7" t="s">
        <v>19</v>
      </c>
      <c r="G120" s="7" t="s">
        <v>31</v>
      </c>
      <c r="H120" s="7" t="s">
        <v>17</v>
      </c>
      <c r="I120" s="7" t="s">
        <v>17</v>
      </c>
      <c r="J120" s="7" t="s">
        <v>2092</v>
      </c>
    </row>
    <row r="121" spans="1:10" x14ac:dyDescent="0.25" outlineLevel="2" collapsed="1">
      <c r="A121" s="7" t="s">
        <v>19</v>
      </c>
      <c r="B121" s="7" t="s">
        <v>16</v>
      </c>
      <c r="C121" s="7" t="s">
        <v>17</v>
      </c>
      <c r="D121" s="7"/>
      <c r="E121" s="7" t="s">
        <v>2093</v>
      </c>
      <c r="F121" s="7" t="s">
        <v>19</v>
      </c>
      <c r="G121" s="7" t="s">
        <v>31</v>
      </c>
      <c r="H121" s="7" t="s">
        <v>17</v>
      </c>
      <c r="I121" s="7" t="s">
        <v>17</v>
      </c>
      <c r="J121" s="7" t="s">
        <v>2094</v>
      </c>
    </row>
    <row r="122" spans="1:10" x14ac:dyDescent="0.25" outlineLevel="2" collapsed="1">
      <c r="A122" s="7" t="s">
        <v>19</v>
      </c>
      <c r="B122" s="7" t="s">
        <v>16</v>
      </c>
      <c r="C122" s="7" t="s">
        <v>17</v>
      </c>
      <c r="D122" s="7"/>
      <c r="E122" s="7" t="s">
        <v>2095</v>
      </c>
      <c r="F122" s="7" t="s">
        <v>19</v>
      </c>
      <c r="G122" s="7" t="s">
        <v>31</v>
      </c>
      <c r="H122" s="7" t="s">
        <v>17</v>
      </c>
      <c r="I122" s="7" t="s">
        <v>17</v>
      </c>
      <c r="J122" s="7" t="s">
        <v>2096</v>
      </c>
    </row>
    <row r="123" spans="1:10" x14ac:dyDescent="0.25" outlineLevel="2" collapsed="1">
      <c r="A123" s="7" t="s">
        <v>19</v>
      </c>
      <c r="B123" s="7" t="s">
        <v>16</v>
      </c>
      <c r="C123" s="7" t="s">
        <v>17</v>
      </c>
      <c r="D123" s="7"/>
      <c r="E123" s="7" t="s">
        <v>2097</v>
      </c>
      <c r="F123" s="7" t="s">
        <v>19</v>
      </c>
      <c r="G123" s="7" t="s">
        <v>31</v>
      </c>
      <c r="H123" s="7" t="s">
        <v>17</v>
      </c>
      <c r="I123" s="7" t="s">
        <v>17</v>
      </c>
      <c r="J123" s="7" t="s">
        <v>2098</v>
      </c>
    </row>
    <row r="124" spans="1:10" x14ac:dyDescent="0.25" outlineLevel="1" collapsed="1">
      <c r="A124" s="8" t="s">
        <v>19</v>
      </c>
      <c r="B124" s="9" t="s">
        <v>2099</v>
      </c>
      <c r="C124" s="8" t="s">
        <v>17</v>
      </c>
      <c r="D124" s="8"/>
      <c r="E124" s="8" t="s">
        <v>2100</v>
      </c>
      <c r="F124" s="8" t="s">
        <v>15</v>
      </c>
      <c r="G124" s="8" t="s">
        <v>17</v>
      </c>
      <c r="H124" s="8" t="s">
        <v>17</v>
      </c>
      <c r="I124" s="8" t="s">
        <v>17</v>
      </c>
      <c r="J124" s="8" t="s">
        <v>2101</v>
      </c>
    </row>
    <row r="125" spans="1:10" x14ac:dyDescent="0.25" outlineLevel="2" collapsed="1">
      <c r="A125" s="7" t="s">
        <v>19</v>
      </c>
      <c r="B125" s="7" t="s">
        <v>16</v>
      </c>
      <c r="C125" s="7" t="s">
        <v>17</v>
      </c>
      <c r="D125" s="7"/>
      <c r="E125" s="7" t="s">
        <v>291</v>
      </c>
      <c r="F125" s="7" t="s">
        <v>19</v>
      </c>
      <c r="G125" s="7" t="s">
        <v>31</v>
      </c>
      <c r="H125" s="7" t="s">
        <v>17</v>
      </c>
      <c r="I125" s="7" t="s">
        <v>17</v>
      </c>
      <c r="J125" s="7" t="s">
        <v>371</v>
      </c>
    </row>
    <row r="126" spans="1:10" x14ac:dyDescent="0.25" outlineLevel="2" collapsed="1">
      <c r="A126" s="7" t="s">
        <v>19</v>
      </c>
      <c r="B126" s="7" t="s">
        <v>16</v>
      </c>
      <c r="C126" s="7" t="s">
        <v>17</v>
      </c>
      <c r="D126" s="7"/>
      <c r="E126" s="7" t="s">
        <v>1349</v>
      </c>
      <c r="F126" s="7" t="s">
        <v>19</v>
      </c>
      <c r="G126" s="7" t="s">
        <v>31</v>
      </c>
      <c r="H126" s="7" t="s">
        <v>17</v>
      </c>
      <c r="I126" s="7" t="s">
        <v>17</v>
      </c>
      <c r="J126" s="7" t="s">
        <v>1350</v>
      </c>
    </row>
    <row r="127" spans="1:10" x14ac:dyDescent="0.25" outlineLevel="2" collapsed="1">
      <c r="A127" s="7" t="s">
        <v>19</v>
      </c>
      <c r="B127" s="7" t="s">
        <v>16</v>
      </c>
      <c r="C127" s="7" t="s">
        <v>17</v>
      </c>
      <c r="D127" s="7"/>
      <c r="E127" s="7" t="s">
        <v>9</v>
      </c>
      <c r="F127" s="7" t="s">
        <v>19</v>
      </c>
      <c r="G127" s="7" t="s">
        <v>31</v>
      </c>
      <c r="H127" s="7" t="s">
        <v>17</v>
      </c>
      <c r="I127" s="7" t="s">
        <v>17</v>
      </c>
      <c r="J127" s="7" t="s">
        <v>843</v>
      </c>
    </row>
    <row r="128" spans="1:10" x14ac:dyDescent="0.25">
      <c r="A128" s="5" t="s">
        <v>15</v>
      </c>
      <c r="B128" s="6" t="s">
        <v>2416</v>
      </c>
      <c r="C128" s="5" t="s">
        <v>17</v>
      </c>
      <c r="D128" s="5"/>
      <c r="E128" s="5" t="s">
        <v>2417</v>
      </c>
      <c r="F128" s="5" t="s">
        <v>19</v>
      </c>
      <c r="G128" s="5" t="s">
        <v>17</v>
      </c>
      <c r="H128" s="5" t="s">
        <v>17</v>
      </c>
      <c r="I128" s="5" t="s">
        <v>17</v>
      </c>
      <c r="J128" s="5" t="s">
        <v>2418</v>
      </c>
    </row>
    <row r="129" spans="1:10" x14ac:dyDescent="0.25" outlineLevel="1" collapsed="1">
      <c r="A129" s="7" t="s">
        <v>15</v>
      </c>
      <c r="B129" s="7" t="s">
        <v>16</v>
      </c>
      <c r="C129" s="7" t="s">
        <v>17</v>
      </c>
      <c r="D129" s="7"/>
      <c r="E129" s="7" t="s">
        <v>1125</v>
      </c>
      <c r="F129" s="7" t="s">
        <v>19</v>
      </c>
      <c r="G129" s="7" t="s">
        <v>1126</v>
      </c>
      <c r="H129" s="7" t="s">
        <v>17</v>
      </c>
      <c r="I129" s="7" t="s">
        <v>17</v>
      </c>
      <c r="J129" s="7" t="s">
        <v>1127</v>
      </c>
    </row>
    <row r="130" spans="1:10" x14ac:dyDescent="0.25" outlineLevel="1" collapsed="1">
      <c r="A130" s="8" t="s">
        <v>19</v>
      </c>
      <c r="B130" s="9" t="s">
        <v>1128</v>
      </c>
      <c r="C130" s="8" t="s">
        <v>17</v>
      </c>
      <c r="D130" s="8"/>
      <c r="E130" s="8" t="s">
        <v>2419</v>
      </c>
      <c r="F130" s="8" t="s">
        <v>15</v>
      </c>
      <c r="G130" s="8" t="s">
        <v>17</v>
      </c>
      <c r="H130" s="8" t="s">
        <v>17</v>
      </c>
      <c r="I130" s="8" t="s">
        <v>17</v>
      </c>
      <c r="J130" s="8" t="s">
        <v>1130</v>
      </c>
    </row>
    <row r="131" spans="1:10" x14ac:dyDescent="0.25" outlineLevel="2" collapsed="1">
      <c r="A131" s="7" t="s">
        <v>15</v>
      </c>
      <c r="B131" s="7" t="s">
        <v>16</v>
      </c>
      <c r="C131" s="7" t="s">
        <v>17</v>
      </c>
      <c r="D131" s="7"/>
      <c r="E131" s="7" t="s">
        <v>1131</v>
      </c>
      <c r="F131" s="7" t="s">
        <v>19</v>
      </c>
      <c r="G131" s="7" t="s">
        <v>1132</v>
      </c>
      <c r="H131" s="7" t="s">
        <v>17</v>
      </c>
      <c r="I131" s="7" t="s">
        <v>17</v>
      </c>
      <c r="J131" s="7" t="s">
        <v>1133</v>
      </c>
    </row>
    <row r="132" spans="1:10" x14ac:dyDescent="0.25" outlineLevel="2" collapsed="1">
      <c r="A132" s="7" t="s">
        <v>19</v>
      </c>
      <c r="B132" s="7" t="s">
        <v>16</v>
      </c>
      <c r="C132" s="7" t="s">
        <v>17</v>
      </c>
      <c r="D132" s="7"/>
      <c r="E132" s="7" t="s">
        <v>1134</v>
      </c>
      <c r="F132" s="7" t="s">
        <v>19</v>
      </c>
      <c r="G132" s="7" t="s">
        <v>1135</v>
      </c>
      <c r="H132" s="7" t="s">
        <v>17</v>
      </c>
      <c r="I132" s="7" t="s">
        <v>17</v>
      </c>
      <c r="J132" s="7" t="s">
        <v>1136</v>
      </c>
    </row>
    <row r="133" spans="1:10" x14ac:dyDescent="0.25" outlineLevel="2" collapsed="1">
      <c r="A133" s="7" t="s">
        <v>15</v>
      </c>
      <c r="B133" s="7" t="s">
        <v>63</v>
      </c>
      <c r="C133" s="7" t="s">
        <v>17</v>
      </c>
      <c r="D133" s="7"/>
      <c r="E133" s="7" t="s">
        <v>1137</v>
      </c>
      <c r="F133" s="7" t="s">
        <v>19</v>
      </c>
      <c r="G133" s="7">
        <v>-3.35</v>
      </c>
      <c r="H133" s="7" t="s">
        <v>17</v>
      </c>
      <c r="I133" s="7" t="s">
        <v>17</v>
      </c>
      <c r="J133" s="7" t="s">
        <v>1138</v>
      </c>
    </row>
    <row r="134" spans="1:10" x14ac:dyDescent="0.25" outlineLevel="2" collapsed="1">
      <c r="A134" s="7" t="s">
        <v>15</v>
      </c>
      <c r="B134" s="7" t="s">
        <v>63</v>
      </c>
      <c r="C134" s="7" t="s">
        <v>17</v>
      </c>
      <c r="D134" s="7"/>
      <c r="E134" s="7" t="s">
        <v>1139</v>
      </c>
      <c r="F134" s="7" t="s">
        <v>19</v>
      </c>
      <c r="G134" s="7">
        <v>37.34</v>
      </c>
      <c r="H134" s="7" t="s">
        <v>17</v>
      </c>
      <c r="I134" s="7" t="s">
        <v>17</v>
      </c>
      <c r="J134" s="7" t="s">
        <v>1140</v>
      </c>
    </row>
    <row r="135" spans="1:10" x14ac:dyDescent="0.25" outlineLevel="2" collapsed="1">
      <c r="A135" s="7" t="s">
        <v>19</v>
      </c>
      <c r="B135" s="7" t="s">
        <v>16</v>
      </c>
      <c r="C135" s="7" t="s">
        <v>17</v>
      </c>
      <c r="D135" s="7"/>
      <c r="E135" s="7" t="s">
        <v>1141</v>
      </c>
      <c r="F135" s="7" t="s">
        <v>19</v>
      </c>
      <c r="G135" s="7" t="s">
        <v>1142</v>
      </c>
      <c r="H135" s="7" t="s">
        <v>17</v>
      </c>
      <c r="I135" s="7" t="s">
        <v>17</v>
      </c>
      <c r="J135" s="7" t="s">
        <v>1143</v>
      </c>
    </row>
    <row r="136" spans="1:10" x14ac:dyDescent="0.25" outlineLevel="2" collapsed="1">
      <c r="A136" s="7" t="s">
        <v>19</v>
      </c>
      <c r="B136" s="7" t="s">
        <v>16</v>
      </c>
      <c r="C136" s="7" t="s">
        <v>17</v>
      </c>
      <c r="D136" s="7"/>
      <c r="E136" s="7" t="s">
        <v>1144</v>
      </c>
      <c r="F136" s="7" t="s">
        <v>19</v>
      </c>
      <c r="G136" s="7" t="s">
        <v>1145</v>
      </c>
      <c r="H136" s="7" t="s">
        <v>17</v>
      </c>
      <c r="I136" s="7" t="s">
        <v>17</v>
      </c>
      <c r="J136" s="7" t="s">
        <v>1146</v>
      </c>
    </row>
    <row r="137" spans="1:10" x14ac:dyDescent="0.25" outlineLevel="1" collapsed="1">
      <c r="A137" s="7" t="s">
        <v>19</v>
      </c>
      <c r="B137" s="7" t="s">
        <v>16</v>
      </c>
      <c r="C137" s="7" t="s">
        <v>17</v>
      </c>
      <c r="D137" s="7"/>
      <c r="E137" s="7" t="s">
        <v>1147</v>
      </c>
      <c r="F137" s="7" t="s">
        <v>19</v>
      </c>
      <c r="G137" s="7" t="s">
        <v>31</v>
      </c>
      <c r="H137" s="7" t="s">
        <v>17</v>
      </c>
      <c r="I137" s="7" t="s">
        <v>17</v>
      </c>
      <c r="J137" s="7" t="s">
        <v>1148</v>
      </c>
    </row>
    <row r="138" spans="1:10" x14ac:dyDescent="0.25" outlineLevel="1" collapsed="1">
      <c r="A138" s="7" t="s">
        <v>19</v>
      </c>
      <c r="B138" s="7" t="s">
        <v>16</v>
      </c>
      <c r="C138" s="7" t="s">
        <v>17</v>
      </c>
      <c r="D138" s="7"/>
      <c r="E138" s="7" t="s">
        <v>1149</v>
      </c>
      <c r="F138" s="7" t="s">
        <v>19</v>
      </c>
      <c r="G138" s="7" t="s">
        <v>31</v>
      </c>
      <c r="H138" s="7" t="s">
        <v>17</v>
      </c>
      <c r="I138" s="7" t="s">
        <v>17</v>
      </c>
      <c r="J138" s="7" t="s">
        <v>1150</v>
      </c>
    </row>
    <row r="139" spans="1:10" x14ac:dyDescent="0.25" outlineLevel="1" collapsed="1">
      <c r="A139" s="7" t="s">
        <v>19</v>
      </c>
      <c r="B139" s="7" t="s">
        <v>16</v>
      </c>
      <c r="C139" s="7" t="s">
        <v>17</v>
      </c>
      <c r="D139" s="7"/>
      <c r="E139" s="7" t="s">
        <v>1151</v>
      </c>
      <c r="F139" s="7" t="s">
        <v>19</v>
      </c>
      <c r="G139" s="7" t="s">
        <v>31</v>
      </c>
      <c r="H139" s="7" t="s">
        <v>17</v>
      </c>
      <c r="I139" s="7" t="s">
        <v>17</v>
      </c>
      <c r="J139" s="7" t="s">
        <v>1152</v>
      </c>
    </row>
    <row r="140" spans="1:10" x14ac:dyDescent="0.25">
      <c r="A140" s="5" t="s">
        <v>15</v>
      </c>
      <c r="B140" s="6" t="s">
        <v>2420</v>
      </c>
      <c r="C140" s="5" t="s">
        <v>17</v>
      </c>
      <c r="D140" s="5"/>
      <c r="E140" s="5" t="s">
        <v>2421</v>
      </c>
      <c r="F140" s="5" t="s">
        <v>19</v>
      </c>
      <c r="G140" s="5" t="s">
        <v>17</v>
      </c>
      <c r="H140" s="5" t="s">
        <v>17</v>
      </c>
      <c r="I140" s="5" t="s">
        <v>17</v>
      </c>
      <c r="J140" s="5" t="s">
        <v>2422</v>
      </c>
    </row>
    <row r="141" spans="1:10" x14ac:dyDescent="0.25" outlineLevel="1" collapsed="1">
      <c r="A141" s="8" t="s">
        <v>19</v>
      </c>
      <c r="B141" s="9" t="s">
        <v>2423</v>
      </c>
      <c r="C141" s="8" t="s">
        <v>17</v>
      </c>
      <c r="D141" s="8"/>
      <c r="E141" s="8" t="s">
        <v>2424</v>
      </c>
      <c r="F141" s="8" t="s">
        <v>15</v>
      </c>
      <c r="G141" s="8" t="s">
        <v>17</v>
      </c>
      <c r="H141" s="8" t="s">
        <v>17</v>
      </c>
      <c r="I141" s="8" t="s">
        <v>17</v>
      </c>
      <c r="J141" s="8" t="s">
        <v>2425</v>
      </c>
    </row>
    <row r="142" spans="1:10" x14ac:dyDescent="0.25" outlineLevel="2" collapsed="1">
      <c r="A142" s="7" t="s">
        <v>19</v>
      </c>
      <c r="B142" s="7" t="s">
        <v>16</v>
      </c>
      <c r="C142" s="7" t="s">
        <v>17</v>
      </c>
      <c r="D142" s="7"/>
      <c r="E142" s="7" t="s">
        <v>2426</v>
      </c>
      <c r="F142" s="7" t="s">
        <v>19</v>
      </c>
      <c r="G142" s="7" t="s">
        <v>31</v>
      </c>
      <c r="H142" s="7" t="s">
        <v>17</v>
      </c>
      <c r="I142" s="7" t="s">
        <v>17</v>
      </c>
      <c r="J142" s="7" t="s">
        <v>2427</v>
      </c>
    </row>
    <row r="143" spans="1:10" x14ac:dyDescent="0.25" outlineLevel="2" collapsed="1">
      <c r="A143" s="7" t="s">
        <v>19</v>
      </c>
      <c r="B143" s="7" t="s">
        <v>16</v>
      </c>
      <c r="C143" s="7" t="s">
        <v>17</v>
      </c>
      <c r="D143" s="7"/>
      <c r="E143" s="7" t="s">
        <v>2428</v>
      </c>
      <c r="F143" s="7" t="s">
        <v>19</v>
      </c>
      <c r="G143" s="7" t="s">
        <v>31</v>
      </c>
      <c r="H143" s="7" t="s">
        <v>17</v>
      </c>
      <c r="I143" s="7" t="s">
        <v>17</v>
      </c>
      <c r="J143" s="7" t="s">
        <v>2429</v>
      </c>
    </row>
    <row r="144" spans="1:10" x14ac:dyDescent="0.25">
      <c r="A144" s="5" t="s">
        <v>15</v>
      </c>
      <c r="B144" s="6" t="s">
        <v>2430</v>
      </c>
      <c r="C144" s="5" t="s">
        <v>17</v>
      </c>
      <c r="D144" s="5"/>
      <c r="E144" s="5" t="s">
        <v>2431</v>
      </c>
      <c r="F144" s="5" t="s">
        <v>19</v>
      </c>
      <c r="G144" s="5" t="s">
        <v>17</v>
      </c>
      <c r="H144" s="5" t="s">
        <v>17</v>
      </c>
      <c r="I144" s="5" t="s">
        <v>17</v>
      </c>
      <c r="J144" s="5" t="s">
        <v>2432</v>
      </c>
    </row>
    <row r="145" spans="1:10" x14ac:dyDescent="0.25" outlineLevel="1" collapsed="1">
      <c r="A145" s="7" t="s">
        <v>15</v>
      </c>
      <c r="B145" s="7" t="s">
        <v>16</v>
      </c>
      <c r="C145" s="7" t="s">
        <v>17</v>
      </c>
      <c r="D145" s="7"/>
      <c r="E145" s="7" t="s">
        <v>2433</v>
      </c>
      <c r="F145" s="7" t="s">
        <v>19</v>
      </c>
      <c r="G145" s="7" t="s">
        <v>2434</v>
      </c>
      <c r="H145" s="7" t="s">
        <v>17</v>
      </c>
      <c r="I145" s="7" t="s">
        <v>17</v>
      </c>
      <c r="J145" s="7" t="s">
        <v>26</v>
      </c>
    </row>
    <row r="146" spans="1:10" x14ac:dyDescent="0.25" outlineLevel="1" collapsed="1">
      <c r="A146" s="7" t="s">
        <v>15</v>
      </c>
      <c r="B146" s="7" t="s">
        <v>16</v>
      </c>
      <c r="C146" s="7" t="s">
        <v>17</v>
      </c>
      <c r="D146" s="7"/>
      <c r="E146" s="7" t="s">
        <v>2435</v>
      </c>
      <c r="F146" s="7" t="s">
        <v>19</v>
      </c>
      <c r="G146" s="7" t="s">
        <v>2436</v>
      </c>
      <c r="H146" s="7" t="s">
        <v>17</v>
      </c>
      <c r="I146" s="7" t="s">
        <v>17</v>
      </c>
      <c r="J146" s="7" t="s">
        <v>2437</v>
      </c>
    </row>
    <row r="147" spans="1:10" x14ac:dyDescent="0.25" outlineLevel="1" collapsed="1">
      <c r="A147" s="8" t="s">
        <v>19</v>
      </c>
      <c r="B147" s="9" t="s">
        <v>27</v>
      </c>
      <c r="C147" s="8" t="s">
        <v>17</v>
      </c>
      <c r="D147" s="8"/>
      <c r="E147" s="8" t="s">
        <v>28</v>
      </c>
      <c r="F147" s="8" t="s">
        <v>15</v>
      </c>
      <c r="G147" s="8" t="s">
        <v>17</v>
      </c>
      <c r="H147" s="8" t="s">
        <v>17</v>
      </c>
      <c r="I147" s="8" t="s">
        <v>17</v>
      </c>
      <c r="J147" s="8" t="s">
        <v>29</v>
      </c>
    </row>
    <row r="148" spans="1:10" x14ac:dyDescent="0.25" outlineLevel="2" collapsed="1">
      <c r="A148" s="7" t="s">
        <v>19</v>
      </c>
      <c r="B148" s="7" t="s">
        <v>16</v>
      </c>
      <c r="C148" s="7" t="s">
        <v>17</v>
      </c>
      <c r="D148" s="7"/>
      <c r="E148" s="7" t="s">
        <v>30</v>
      </c>
      <c r="F148" s="7" t="s">
        <v>19</v>
      </c>
      <c r="G148" s="7" t="s">
        <v>31</v>
      </c>
      <c r="H148" s="7" t="s">
        <v>17</v>
      </c>
      <c r="I148" s="7" t="s">
        <v>17</v>
      </c>
      <c r="J148" s="7" t="s">
        <v>32</v>
      </c>
    </row>
    <row r="149" spans="1:10" x14ac:dyDescent="0.25" outlineLevel="2" collapsed="1">
      <c r="A149" s="7" t="s">
        <v>19</v>
      </c>
      <c r="B149" s="7" t="s">
        <v>16</v>
      </c>
      <c r="C149" s="7" t="s">
        <v>17</v>
      </c>
      <c r="D149" s="7"/>
      <c r="E149" s="7" t="s">
        <v>33</v>
      </c>
      <c r="F149" s="7" t="s">
        <v>19</v>
      </c>
      <c r="G149" s="7" t="s">
        <v>31</v>
      </c>
      <c r="H149" s="7" t="s">
        <v>17</v>
      </c>
      <c r="I149" s="7" t="s">
        <v>17</v>
      </c>
      <c r="J149" s="7" t="s">
        <v>34</v>
      </c>
    </row>
    <row r="150" spans="1:10" x14ac:dyDescent="0.25" outlineLevel="2" collapsed="1">
      <c r="A150" s="7" t="s">
        <v>19</v>
      </c>
      <c r="B150" s="7" t="s">
        <v>16</v>
      </c>
      <c r="C150" s="7" t="s">
        <v>17</v>
      </c>
      <c r="D150" s="7"/>
      <c r="E150" s="7" t="s">
        <v>35</v>
      </c>
      <c r="F150" s="7" t="s">
        <v>19</v>
      </c>
      <c r="G150" s="7" t="s">
        <v>31</v>
      </c>
      <c r="H150" s="7" t="s">
        <v>17</v>
      </c>
      <c r="I150" s="7" t="s">
        <v>17</v>
      </c>
      <c r="J150" s="7" t="s">
        <v>36</v>
      </c>
    </row>
    <row r="151" spans="1:10" x14ac:dyDescent="0.25" outlineLevel="2" collapsed="1">
      <c r="A151" s="7" t="s">
        <v>19</v>
      </c>
      <c r="B151" s="7" t="s">
        <v>16</v>
      </c>
      <c r="C151" s="7" t="s">
        <v>17</v>
      </c>
      <c r="D151" s="7"/>
      <c r="E151" s="7" t="s">
        <v>37</v>
      </c>
      <c r="F151" s="7" t="s">
        <v>19</v>
      </c>
      <c r="G151" s="7" t="s">
        <v>31</v>
      </c>
      <c r="H151" s="7" t="s">
        <v>17</v>
      </c>
      <c r="I151" s="7" t="s">
        <v>17</v>
      </c>
      <c r="J151" s="7" t="s">
        <v>38</v>
      </c>
    </row>
    <row r="152" spans="1:10" x14ac:dyDescent="0.25" outlineLevel="2" collapsed="1">
      <c r="A152" s="7" t="s">
        <v>19</v>
      </c>
      <c r="B152" s="7" t="s">
        <v>16</v>
      </c>
      <c r="C152" s="7" t="s">
        <v>17</v>
      </c>
      <c r="D152" s="7"/>
      <c r="E152" s="7" t="s">
        <v>39</v>
      </c>
      <c r="F152" s="7" t="s">
        <v>19</v>
      </c>
      <c r="G152" s="7" t="s">
        <v>31</v>
      </c>
      <c r="H152" s="7" t="s">
        <v>17</v>
      </c>
      <c r="I152" s="7" t="s">
        <v>17</v>
      </c>
      <c r="J152" s="7" t="s">
        <v>40</v>
      </c>
    </row>
    <row r="153" spans="1:10" x14ac:dyDescent="0.25" outlineLevel="1" collapsed="1">
      <c r="A153" s="7" t="s">
        <v>19</v>
      </c>
      <c r="B153" s="7" t="s">
        <v>16</v>
      </c>
      <c r="C153" s="7" t="s">
        <v>17</v>
      </c>
      <c r="D153" s="7"/>
      <c r="E153" s="7" t="s">
        <v>41</v>
      </c>
      <c r="F153" s="7" t="s">
        <v>19</v>
      </c>
      <c r="G153" s="7" t="s">
        <v>31</v>
      </c>
      <c r="H153" s="7" t="s">
        <v>17</v>
      </c>
      <c r="I153" s="7" t="s">
        <v>17</v>
      </c>
      <c r="J153" s="7" t="s">
        <v>42</v>
      </c>
    </row>
    <row r="154" spans="1:10" x14ac:dyDescent="0.25" outlineLevel="1" collapsed="1">
      <c r="A154" s="7" t="s">
        <v>19</v>
      </c>
      <c r="B154" s="7" t="s">
        <v>16</v>
      </c>
      <c r="C154" s="7" t="s">
        <v>17</v>
      </c>
      <c r="D154" s="7"/>
      <c r="E154" s="7" t="s">
        <v>43</v>
      </c>
      <c r="F154" s="7" t="s">
        <v>19</v>
      </c>
      <c r="G154" s="7" t="s">
        <v>31</v>
      </c>
      <c r="H154" s="7" t="s">
        <v>17</v>
      </c>
      <c r="I154" s="7" t="s">
        <v>17</v>
      </c>
      <c r="J154" s="7" t="s">
        <v>44</v>
      </c>
    </row>
    <row r="155" spans="1:10" x14ac:dyDescent="0.25" outlineLevel="1" collapsed="1">
      <c r="A155" s="7" t="s">
        <v>19</v>
      </c>
      <c r="B155" s="7" t="s">
        <v>16</v>
      </c>
      <c r="C155" s="7" t="s">
        <v>17</v>
      </c>
      <c r="D155" s="7"/>
      <c r="E155" s="7" t="s">
        <v>45</v>
      </c>
      <c r="F155" s="7" t="s">
        <v>19</v>
      </c>
      <c r="G155" s="7" t="s">
        <v>31</v>
      </c>
      <c r="H155" s="7" t="s">
        <v>17</v>
      </c>
      <c r="I155" s="7" t="s">
        <v>17</v>
      </c>
      <c r="J155" s="7" t="s">
        <v>46</v>
      </c>
    </row>
    <row r="156" spans="1:10" x14ac:dyDescent="0.25" outlineLevel="1" collapsed="1">
      <c r="A156" s="7" t="s">
        <v>19</v>
      </c>
      <c r="B156" s="7" t="s">
        <v>16</v>
      </c>
      <c r="C156" s="7" t="s">
        <v>17</v>
      </c>
      <c r="D156" s="7"/>
      <c r="E156" s="7" t="s">
        <v>2438</v>
      </c>
      <c r="F156" s="7" t="s">
        <v>19</v>
      </c>
      <c r="G156" s="7" t="s">
        <v>31</v>
      </c>
      <c r="H156" s="7" t="s">
        <v>17</v>
      </c>
      <c r="I156" s="7" t="s">
        <v>17</v>
      </c>
      <c r="J156" s="7" t="s">
        <v>48</v>
      </c>
    </row>
    <row r="157" spans="1:10" x14ac:dyDescent="0.25" outlineLevel="1" collapsed="1">
      <c r="A157" s="7" t="s">
        <v>19</v>
      </c>
      <c r="B157" s="7" t="s">
        <v>16</v>
      </c>
      <c r="C157" s="7" t="s">
        <v>17</v>
      </c>
      <c r="D157" s="7"/>
      <c r="E157" s="7" t="s">
        <v>49</v>
      </c>
      <c r="F157" s="7" t="s">
        <v>19</v>
      </c>
      <c r="G157" s="7" t="s">
        <v>31</v>
      </c>
      <c r="H157" s="7" t="s">
        <v>17</v>
      </c>
      <c r="I157" s="7" t="s">
        <v>17</v>
      </c>
      <c r="J157" s="7" t="s">
        <v>50</v>
      </c>
    </row>
    <row r="158" spans="1:10" x14ac:dyDescent="0.25" outlineLevel="1" collapsed="1">
      <c r="A158" s="7" t="s">
        <v>19</v>
      </c>
      <c r="B158" s="7" t="s">
        <v>16</v>
      </c>
      <c r="C158" s="7" t="s">
        <v>17</v>
      </c>
      <c r="D158" s="7"/>
      <c r="E158" s="7" t="s">
        <v>51</v>
      </c>
      <c r="F158" s="7" t="s">
        <v>19</v>
      </c>
      <c r="G158" s="7" t="s">
        <v>31</v>
      </c>
      <c r="H158" s="7" t="s">
        <v>17</v>
      </c>
      <c r="I158" s="7" t="s">
        <v>17</v>
      </c>
      <c r="J158" s="7" t="s">
        <v>52</v>
      </c>
    </row>
    <row r="159" spans="1:10" x14ac:dyDescent="0.25" outlineLevel="1" collapsed="1">
      <c r="A159" s="7" t="s">
        <v>19</v>
      </c>
      <c r="B159" s="7" t="s">
        <v>16</v>
      </c>
      <c r="C159" s="7" t="s">
        <v>17</v>
      </c>
      <c r="D159" s="7"/>
      <c r="E159" s="7" t="s">
        <v>2439</v>
      </c>
      <c r="F159" s="7" t="s">
        <v>19</v>
      </c>
      <c r="G159" s="7" t="s">
        <v>31</v>
      </c>
      <c r="H159" s="7" t="s">
        <v>17</v>
      </c>
      <c r="I159" s="7" t="s">
        <v>17</v>
      </c>
      <c r="J159" s="7" t="s">
        <v>54</v>
      </c>
    </row>
    <row r="160" spans="1:10" x14ac:dyDescent="0.25" outlineLevel="1" collapsed="1">
      <c r="A160" s="7" t="s">
        <v>19</v>
      </c>
      <c r="B160" s="7" t="s">
        <v>16</v>
      </c>
      <c r="C160" s="7" t="s">
        <v>17</v>
      </c>
      <c r="D160" s="7"/>
      <c r="E160" s="7" t="s">
        <v>2440</v>
      </c>
      <c r="F160" s="7" t="s">
        <v>19</v>
      </c>
      <c r="G160" s="7" t="s">
        <v>31</v>
      </c>
      <c r="H160" s="7" t="s">
        <v>17</v>
      </c>
      <c r="I160" s="7" t="s">
        <v>17</v>
      </c>
      <c r="J160" s="7" t="s">
        <v>2441</v>
      </c>
    </row>
    <row r="161" spans="1:10" x14ac:dyDescent="0.25" outlineLevel="1" collapsed="1">
      <c r="A161" s="7" t="s">
        <v>19</v>
      </c>
      <c r="B161" s="7" t="s">
        <v>16</v>
      </c>
      <c r="C161" s="7" t="s">
        <v>17</v>
      </c>
      <c r="D161" s="7"/>
      <c r="E161" s="7" t="s">
        <v>2442</v>
      </c>
      <c r="F161" s="7" t="s">
        <v>19</v>
      </c>
      <c r="G161" s="7" t="s">
        <v>31</v>
      </c>
      <c r="H161" s="7" t="s">
        <v>17</v>
      </c>
      <c r="I161" s="7" t="s">
        <v>17</v>
      </c>
      <c r="J161" s="7" t="s">
        <v>2443</v>
      </c>
    </row>
    <row r="162" spans="1:10" x14ac:dyDescent="0.25" outlineLevel="1" collapsed="1">
      <c r="A162" s="7" t="s">
        <v>19</v>
      </c>
      <c r="B162" s="7" t="s">
        <v>16</v>
      </c>
      <c r="C162" s="7" t="s">
        <v>17</v>
      </c>
      <c r="D162" s="7"/>
      <c r="E162" s="7" t="s">
        <v>2444</v>
      </c>
      <c r="F162" s="7" t="s">
        <v>19</v>
      </c>
      <c r="G162" s="7" t="s">
        <v>31</v>
      </c>
      <c r="H162" s="7" t="s">
        <v>17</v>
      </c>
      <c r="I162" s="7" t="s">
        <v>17</v>
      </c>
      <c r="J162" s="7" t="s">
        <v>2445</v>
      </c>
    </row>
    <row r="163" spans="1:10" x14ac:dyDescent="0.25" outlineLevel="1" collapsed="1">
      <c r="A163" s="7" t="s">
        <v>19</v>
      </c>
      <c r="B163" s="7" t="s">
        <v>16</v>
      </c>
      <c r="C163" s="7" t="s">
        <v>17</v>
      </c>
      <c r="D163" s="7"/>
      <c r="E163" s="7" t="s">
        <v>2446</v>
      </c>
      <c r="F163" s="7" t="s">
        <v>19</v>
      </c>
      <c r="G163" s="7" t="s">
        <v>31</v>
      </c>
      <c r="H163" s="7" t="s">
        <v>17</v>
      </c>
      <c r="I163" s="7" t="s">
        <v>17</v>
      </c>
      <c r="J163" s="7" t="s">
        <v>2447</v>
      </c>
    </row>
    <row r="164" spans="1:10" x14ac:dyDescent="0.25">
      <c r="A164" s="5" t="s">
        <v>15</v>
      </c>
      <c r="B164" s="6" t="s">
        <v>2448</v>
      </c>
      <c r="C164" s="5" t="s">
        <v>17</v>
      </c>
      <c r="D164" s="5"/>
      <c r="E164" s="5" t="s">
        <v>2449</v>
      </c>
      <c r="F164" s="5" t="s">
        <v>19</v>
      </c>
      <c r="G164" s="5" t="s">
        <v>17</v>
      </c>
      <c r="H164" s="5" t="s">
        <v>17</v>
      </c>
      <c r="I164" s="5" t="s">
        <v>17</v>
      </c>
      <c r="J164" s="5" t="s">
        <v>2450</v>
      </c>
    </row>
    <row r="165" spans="1:10" x14ac:dyDescent="0.25" outlineLevel="1" collapsed="1">
      <c r="A165" s="7" t="s">
        <v>15</v>
      </c>
      <c r="B165" s="7" t="s">
        <v>16</v>
      </c>
      <c r="C165" s="7" t="s">
        <v>17</v>
      </c>
      <c r="D165" s="7"/>
      <c r="E165" s="7" t="s">
        <v>2451</v>
      </c>
      <c r="F165" s="7" t="s">
        <v>19</v>
      </c>
      <c r="G165" s="7" t="s">
        <v>2452</v>
      </c>
      <c r="H165" s="7" t="s">
        <v>17</v>
      </c>
      <c r="I165" s="7" t="s">
        <v>17</v>
      </c>
      <c r="J165" s="7" t="s">
        <v>2453</v>
      </c>
    </row>
    <row r="166" spans="1:10" x14ac:dyDescent="0.25" outlineLevel="1" collapsed="1">
      <c r="A166" s="7" t="s">
        <v>15</v>
      </c>
      <c r="B166" s="7" t="s">
        <v>16</v>
      </c>
      <c r="C166" s="7" t="s">
        <v>17</v>
      </c>
      <c r="D166" s="7"/>
      <c r="E166" s="7" t="s">
        <v>2454</v>
      </c>
      <c r="F166" s="7" t="s">
        <v>19</v>
      </c>
      <c r="G166" s="7" t="s">
        <v>2455</v>
      </c>
      <c r="H166" s="7" t="s">
        <v>17</v>
      </c>
      <c r="I166" s="7" t="s">
        <v>17</v>
      </c>
      <c r="J166" s="7" t="s">
        <v>1164</v>
      </c>
    </row>
    <row r="167" spans="1:10" x14ac:dyDescent="0.25" outlineLevel="1" collapsed="1">
      <c r="A167" s="7" t="s">
        <v>19</v>
      </c>
      <c r="B167" s="7" t="s">
        <v>16</v>
      </c>
      <c r="C167" s="7" t="s">
        <v>17</v>
      </c>
      <c r="D167" s="7"/>
      <c r="E167" s="7" t="s">
        <v>2456</v>
      </c>
      <c r="F167" s="7" t="s">
        <v>19</v>
      </c>
      <c r="G167" s="7" t="s">
        <v>2457</v>
      </c>
      <c r="H167" s="7" t="s">
        <v>17</v>
      </c>
      <c r="I167" s="7" t="s">
        <v>17</v>
      </c>
      <c r="J167" s="7" t="s">
        <v>1167</v>
      </c>
    </row>
    <row r="168" spans="1:10" x14ac:dyDescent="0.25" outlineLevel="1" collapsed="1">
      <c r="A168" s="7" t="s">
        <v>19</v>
      </c>
      <c r="B168" s="7" t="s">
        <v>16</v>
      </c>
      <c r="C168" s="7" t="s">
        <v>17</v>
      </c>
      <c r="D168" s="7"/>
      <c r="E168" s="7" t="s">
        <v>1168</v>
      </c>
      <c r="F168" s="7" t="s">
        <v>19</v>
      </c>
      <c r="G168" s="7" t="s">
        <v>31</v>
      </c>
      <c r="H168" s="7" t="s">
        <v>17</v>
      </c>
      <c r="I168" s="7" t="s">
        <v>17</v>
      </c>
      <c r="J168" s="7" t="s">
        <v>1169</v>
      </c>
    </row>
    <row r="169" spans="1:10" x14ac:dyDescent="0.25" outlineLevel="1" collapsed="1">
      <c r="A169" s="7" t="s">
        <v>19</v>
      </c>
      <c r="B169" s="7" t="s">
        <v>16</v>
      </c>
      <c r="C169" s="7" t="s">
        <v>17</v>
      </c>
      <c r="D169" s="7"/>
      <c r="E169" s="7" t="s">
        <v>1170</v>
      </c>
      <c r="F169" s="7" t="s">
        <v>19</v>
      </c>
      <c r="G169" s="7" t="s">
        <v>31</v>
      </c>
      <c r="H169" s="7" t="s">
        <v>17</v>
      </c>
      <c r="I169" s="7" t="s">
        <v>17</v>
      </c>
      <c r="J169" s="7" t="s">
        <v>44</v>
      </c>
    </row>
    <row r="170" spans="1:10" x14ac:dyDescent="0.25" outlineLevel="1" collapsed="1">
      <c r="A170" s="7" t="s">
        <v>19</v>
      </c>
      <c r="B170" s="7" t="s">
        <v>16</v>
      </c>
      <c r="C170" s="7" t="s">
        <v>17</v>
      </c>
      <c r="D170" s="7"/>
      <c r="E170" s="7" t="s">
        <v>1171</v>
      </c>
      <c r="F170" s="7" t="s">
        <v>19</v>
      </c>
      <c r="G170" s="7" t="s">
        <v>31</v>
      </c>
      <c r="H170" s="7" t="s">
        <v>17</v>
      </c>
      <c r="I170" s="7" t="s">
        <v>17</v>
      </c>
      <c r="J170" s="7" t="s">
        <v>1172</v>
      </c>
    </row>
    <row r="171" spans="1:10" x14ac:dyDescent="0.25" outlineLevel="1" collapsed="1">
      <c r="A171" s="7" t="s">
        <v>19</v>
      </c>
      <c r="B171" s="7" t="s">
        <v>16</v>
      </c>
      <c r="C171" s="7" t="s">
        <v>17</v>
      </c>
      <c r="D171" s="7"/>
      <c r="E171" s="7" t="s">
        <v>1173</v>
      </c>
      <c r="F171" s="7" t="s">
        <v>19</v>
      </c>
      <c r="G171" s="7" t="s">
        <v>31</v>
      </c>
      <c r="H171" s="7" t="s">
        <v>17</v>
      </c>
      <c r="I171" s="7" t="s">
        <v>17</v>
      </c>
      <c r="J171" s="7" t="s">
        <v>1174</v>
      </c>
    </row>
    <row r="172" spans="1:10" x14ac:dyDescent="0.25" outlineLevel="1" collapsed="1">
      <c r="A172" s="7" t="s">
        <v>19</v>
      </c>
      <c r="B172" s="7" t="s">
        <v>16</v>
      </c>
      <c r="C172" s="7" t="s">
        <v>17</v>
      </c>
      <c r="D172" s="7"/>
      <c r="E172" s="7" t="s">
        <v>1175</v>
      </c>
      <c r="F172" s="7" t="s">
        <v>19</v>
      </c>
      <c r="G172" s="7" t="s">
        <v>31</v>
      </c>
      <c r="H172" s="7" t="s">
        <v>17</v>
      </c>
      <c r="I172" s="7" t="s">
        <v>17</v>
      </c>
      <c r="J172" s="7" t="s">
        <v>1176</v>
      </c>
    </row>
    <row r="173" spans="1:10" x14ac:dyDescent="0.25" outlineLevel="1" collapsed="1">
      <c r="A173" s="7" t="s">
        <v>19</v>
      </c>
      <c r="B173" s="7" t="s">
        <v>16</v>
      </c>
      <c r="C173" s="7" t="s">
        <v>17</v>
      </c>
      <c r="D173" s="7"/>
      <c r="E173" s="7" t="s">
        <v>1177</v>
      </c>
      <c r="F173" s="7" t="s">
        <v>19</v>
      </c>
      <c r="G173" s="7" t="s">
        <v>31</v>
      </c>
      <c r="H173" s="7" t="s">
        <v>17</v>
      </c>
      <c r="I173" s="7" t="s">
        <v>17</v>
      </c>
      <c r="J173" s="7" t="s">
        <v>46</v>
      </c>
    </row>
    <row r="174" spans="1:10" x14ac:dyDescent="0.25" outlineLevel="1" collapsed="1">
      <c r="A174" s="7" t="s">
        <v>19</v>
      </c>
      <c r="B174" s="7" t="s">
        <v>16</v>
      </c>
      <c r="C174" s="7" t="s">
        <v>17</v>
      </c>
      <c r="D174" s="7"/>
      <c r="E174" s="7" t="s">
        <v>1178</v>
      </c>
      <c r="F174" s="7" t="s">
        <v>19</v>
      </c>
      <c r="G174" s="7" t="s">
        <v>31</v>
      </c>
      <c r="H174" s="7" t="s">
        <v>17</v>
      </c>
      <c r="I174" s="7" t="s">
        <v>17</v>
      </c>
      <c r="J174" s="7" t="s">
        <v>1179</v>
      </c>
    </row>
    <row r="175" spans="1:10" x14ac:dyDescent="0.25" outlineLevel="1" collapsed="1">
      <c r="A175" s="7" t="s">
        <v>19</v>
      </c>
      <c r="B175" s="7" t="s">
        <v>16</v>
      </c>
      <c r="C175" s="7" t="s">
        <v>17</v>
      </c>
      <c r="D175" s="7"/>
      <c r="E175" s="7" t="s">
        <v>1180</v>
      </c>
      <c r="F175" s="7" t="s">
        <v>19</v>
      </c>
      <c r="G175" s="7" t="s">
        <v>31</v>
      </c>
      <c r="H175" s="7" t="s">
        <v>17</v>
      </c>
      <c r="I175" s="7" t="s">
        <v>17</v>
      </c>
      <c r="J175" s="7" t="s">
        <v>1181</v>
      </c>
    </row>
    <row r="176" spans="1:10" x14ac:dyDescent="0.25" outlineLevel="1" collapsed="1">
      <c r="A176" s="7" t="s">
        <v>19</v>
      </c>
      <c r="B176" s="7" t="s">
        <v>16</v>
      </c>
      <c r="C176" s="7" t="s">
        <v>17</v>
      </c>
      <c r="D176" s="7"/>
      <c r="E176" s="7" t="s">
        <v>1182</v>
      </c>
      <c r="F176" s="7" t="s">
        <v>19</v>
      </c>
      <c r="G176" s="7" t="s">
        <v>31</v>
      </c>
      <c r="H176" s="7" t="s">
        <v>17</v>
      </c>
      <c r="I176" s="7" t="s">
        <v>17</v>
      </c>
      <c r="J176" s="7" t="s">
        <v>1183</v>
      </c>
    </row>
    <row r="177" spans="1:10" x14ac:dyDescent="0.25" outlineLevel="1" collapsed="1">
      <c r="A177" s="7" t="s">
        <v>19</v>
      </c>
      <c r="B177" s="7" t="s">
        <v>16</v>
      </c>
      <c r="C177" s="7" t="s">
        <v>17</v>
      </c>
      <c r="D177" s="7"/>
      <c r="E177" s="7" t="s">
        <v>1184</v>
      </c>
      <c r="F177" s="7" t="s">
        <v>19</v>
      </c>
      <c r="G177" s="7" t="s">
        <v>31</v>
      </c>
      <c r="H177" s="7" t="s">
        <v>17</v>
      </c>
      <c r="I177" s="7" t="s">
        <v>17</v>
      </c>
      <c r="J177" s="7" t="s">
        <v>1185</v>
      </c>
    </row>
    <row r="178" spans="1:10" x14ac:dyDescent="0.25" outlineLevel="1" collapsed="1">
      <c r="A178" s="7" t="s">
        <v>19</v>
      </c>
      <c r="B178" s="7" t="s">
        <v>16</v>
      </c>
      <c r="C178" s="7" t="s">
        <v>17</v>
      </c>
      <c r="D178" s="7"/>
      <c r="E178" s="7" t="s">
        <v>1186</v>
      </c>
      <c r="F178" s="7" t="s">
        <v>19</v>
      </c>
      <c r="G178" s="7" t="s">
        <v>31</v>
      </c>
      <c r="H178" s="7" t="s">
        <v>17</v>
      </c>
      <c r="I178" s="7" t="s">
        <v>17</v>
      </c>
      <c r="J178" s="7" t="s">
        <v>1187</v>
      </c>
    </row>
    <row r="179" spans="1:10" x14ac:dyDescent="0.25" outlineLevel="1" collapsed="1">
      <c r="A179" s="7" t="s">
        <v>19</v>
      </c>
      <c r="B179" s="7" t="s">
        <v>16</v>
      </c>
      <c r="C179" s="7" t="s">
        <v>17</v>
      </c>
      <c r="D179" s="7"/>
      <c r="E179" s="7" t="s">
        <v>1188</v>
      </c>
      <c r="F179" s="7" t="s">
        <v>19</v>
      </c>
      <c r="G179" s="7" t="s">
        <v>31</v>
      </c>
      <c r="H179" s="7" t="s">
        <v>17</v>
      </c>
      <c r="I179" s="7" t="s">
        <v>17</v>
      </c>
      <c r="J179" s="7" t="s">
        <v>1189</v>
      </c>
    </row>
    <row r="180" spans="1:10" x14ac:dyDescent="0.25" outlineLevel="1" collapsed="1">
      <c r="A180" s="7" t="s">
        <v>19</v>
      </c>
      <c r="B180" s="7" t="s">
        <v>16</v>
      </c>
      <c r="C180" s="7" t="s">
        <v>17</v>
      </c>
      <c r="D180" s="7"/>
      <c r="E180" s="7" t="s">
        <v>1190</v>
      </c>
      <c r="F180" s="7" t="s">
        <v>19</v>
      </c>
      <c r="G180" s="7" t="s">
        <v>31</v>
      </c>
      <c r="H180" s="7" t="s">
        <v>17</v>
      </c>
      <c r="I180" s="7" t="s">
        <v>17</v>
      </c>
      <c r="J180" s="7" t="s">
        <v>1191</v>
      </c>
    </row>
    <row r="181" spans="1:10" x14ac:dyDescent="0.25" outlineLevel="1" collapsed="1">
      <c r="A181" s="7" t="s">
        <v>19</v>
      </c>
      <c r="B181" s="7" t="s">
        <v>16</v>
      </c>
      <c r="C181" s="7" t="s">
        <v>17</v>
      </c>
      <c r="D181" s="7"/>
      <c r="E181" s="7" t="s">
        <v>1192</v>
      </c>
      <c r="F181" s="7" t="s">
        <v>19</v>
      </c>
      <c r="G181" s="7" t="s">
        <v>31</v>
      </c>
      <c r="H181" s="7" t="s">
        <v>17</v>
      </c>
      <c r="I181" s="7" t="s">
        <v>17</v>
      </c>
      <c r="J181" s="7" t="s">
        <v>1193</v>
      </c>
    </row>
    <row r="182" spans="1:10" x14ac:dyDescent="0.25">
      <c r="A182" s="5" t="s">
        <v>15</v>
      </c>
      <c r="B182" s="6" t="s">
        <v>2458</v>
      </c>
      <c r="C182" s="5" t="s">
        <v>17</v>
      </c>
      <c r="D182" s="5"/>
      <c r="E182" s="5" t="s">
        <v>2459</v>
      </c>
      <c r="F182" s="5" t="s">
        <v>19</v>
      </c>
      <c r="G182" s="5" t="s">
        <v>17</v>
      </c>
      <c r="H182" s="5" t="s">
        <v>17</v>
      </c>
      <c r="I182" s="5" t="s">
        <v>17</v>
      </c>
      <c r="J182" s="5" t="s">
        <v>2460</v>
      </c>
    </row>
    <row r="183" spans="1:10" x14ac:dyDescent="0.25" outlineLevel="1" collapsed="1">
      <c r="A183" s="8" t="s">
        <v>19</v>
      </c>
      <c r="B183" s="9" t="s">
        <v>2157</v>
      </c>
      <c r="C183" s="8" t="s">
        <v>17</v>
      </c>
      <c r="D183" s="8"/>
      <c r="E183" s="8" t="s">
        <v>1198</v>
      </c>
      <c r="F183" s="8" t="s">
        <v>15</v>
      </c>
      <c r="G183" s="8" t="s">
        <v>17</v>
      </c>
      <c r="H183" s="8" t="s">
        <v>17</v>
      </c>
      <c r="I183" s="8" t="s">
        <v>17</v>
      </c>
      <c r="J183" s="8" t="s">
        <v>1199</v>
      </c>
    </row>
    <row r="184" spans="1:10" x14ac:dyDescent="0.25" outlineLevel="2" collapsed="1">
      <c r="A184" s="7" t="s">
        <v>19</v>
      </c>
      <c r="B184" s="7" t="s">
        <v>16</v>
      </c>
      <c r="C184" s="7" t="s">
        <v>17</v>
      </c>
      <c r="D184" s="7"/>
      <c r="E184" s="7" t="s">
        <v>1200</v>
      </c>
      <c r="F184" s="7" t="s">
        <v>19</v>
      </c>
      <c r="G184" s="7" t="s">
        <v>31</v>
      </c>
      <c r="H184" s="7" t="s">
        <v>17</v>
      </c>
      <c r="I184" s="7" t="s">
        <v>17</v>
      </c>
      <c r="J184" s="7" t="s">
        <v>1201</v>
      </c>
    </row>
    <row r="185" spans="1:10" x14ac:dyDescent="0.25" outlineLevel="2" collapsed="1">
      <c r="A185" s="7" t="s">
        <v>19</v>
      </c>
      <c r="B185" s="7" t="s">
        <v>16</v>
      </c>
      <c r="C185" s="7" t="s">
        <v>17</v>
      </c>
      <c r="D185" s="7"/>
      <c r="E185" s="7" t="s">
        <v>1202</v>
      </c>
      <c r="F185" s="7" t="s">
        <v>19</v>
      </c>
      <c r="G185" s="7" t="s">
        <v>31</v>
      </c>
      <c r="H185" s="7" t="s">
        <v>17</v>
      </c>
      <c r="I185" s="7" t="s">
        <v>17</v>
      </c>
      <c r="J185" s="7" t="s">
        <v>1203</v>
      </c>
    </row>
    <row r="186" spans="1:10" x14ac:dyDescent="0.25" outlineLevel="2" collapsed="1">
      <c r="A186" s="7" t="s">
        <v>19</v>
      </c>
      <c r="B186" s="7" t="s">
        <v>16</v>
      </c>
      <c r="C186" s="7" t="s">
        <v>17</v>
      </c>
      <c r="D186" s="7"/>
      <c r="E186" s="7" t="s">
        <v>1204</v>
      </c>
      <c r="F186" s="7" t="s">
        <v>19</v>
      </c>
      <c r="G186" s="7" t="s">
        <v>31</v>
      </c>
      <c r="H186" s="7" t="s">
        <v>17</v>
      </c>
      <c r="I186" s="7" t="s">
        <v>17</v>
      </c>
      <c r="J186" s="7" t="s">
        <v>1205</v>
      </c>
    </row>
    <row r="187" spans="1:10" x14ac:dyDescent="0.25" outlineLevel="2" collapsed="1">
      <c r="A187" s="7" t="s">
        <v>19</v>
      </c>
      <c r="B187" s="7" t="s">
        <v>16</v>
      </c>
      <c r="C187" s="7" t="s">
        <v>17</v>
      </c>
      <c r="D187" s="7"/>
      <c r="E187" s="7" t="s">
        <v>1206</v>
      </c>
      <c r="F187" s="7" t="s">
        <v>19</v>
      </c>
      <c r="G187" s="7" t="s">
        <v>31</v>
      </c>
      <c r="H187" s="7" t="s">
        <v>17</v>
      </c>
      <c r="I187" s="7" t="s">
        <v>17</v>
      </c>
      <c r="J187" s="7" t="s">
        <v>1207</v>
      </c>
    </row>
    <row r="188" spans="1:10" x14ac:dyDescent="0.25" outlineLevel="2" collapsed="1">
      <c r="A188" s="7" t="s">
        <v>19</v>
      </c>
      <c r="B188" s="7" t="s">
        <v>16</v>
      </c>
      <c r="C188" s="7" t="s">
        <v>17</v>
      </c>
      <c r="D188" s="7"/>
      <c r="E188" s="7" t="s">
        <v>2158</v>
      </c>
      <c r="F188" s="7" t="s">
        <v>19</v>
      </c>
      <c r="G188" s="7" t="s">
        <v>31</v>
      </c>
      <c r="H188" s="7" t="s">
        <v>17</v>
      </c>
      <c r="I188" s="7" t="s">
        <v>17</v>
      </c>
      <c r="J188" s="7" t="s">
        <v>2159</v>
      </c>
    </row>
    <row r="189" spans="1:10" x14ac:dyDescent="0.25" outlineLevel="2" collapsed="1">
      <c r="A189" s="7" t="s">
        <v>19</v>
      </c>
      <c r="B189" s="7" t="s">
        <v>16</v>
      </c>
      <c r="C189" s="7" t="s">
        <v>17</v>
      </c>
      <c r="D189" s="7"/>
      <c r="E189" s="7" t="s">
        <v>1210</v>
      </c>
      <c r="F189" s="7" t="s">
        <v>19</v>
      </c>
      <c r="G189" s="7" t="s">
        <v>31</v>
      </c>
      <c r="H189" s="7" t="s">
        <v>17</v>
      </c>
      <c r="I189" s="7" t="s">
        <v>17</v>
      </c>
      <c r="J189" s="7" t="s">
        <v>1211</v>
      </c>
    </row>
    <row r="190" spans="1:10" x14ac:dyDescent="0.25">
      <c r="A190" s="5" t="s">
        <v>15</v>
      </c>
      <c r="B190" s="6" t="s">
        <v>2461</v>
      </c>
      <c r="C190" s="5" t="s">
        <v>17</v>
      </c>
      <c r="D190" s="5"/>
      <c r="E190" s="5" t="s">
        <v>2462</v>
      </c>
      <c r="F190" s="5" t="s">
        <v>19</v>
      </c>
      <c r="G190" s="5" t="s">
        <v>17</v>
      </c>
      <c r="H190" s="5" t="s">
        <v>17</v>
      </c>
      <c r="I190" s="5" t="s">
        <v>17</v>
      </c>
      <c r="J190" s="5" t="s">
        <v>2463</v>
      </c>
    </row>
    <row r="191" spans="1:10" x14ac:dyDescent="0.25" outlineLevel="1" collapsed="1">
      <c r="A191" s="7" t="s">
        <v>19</v>
      </c>
      <c r="B191" s="7" t="s">
        <v>16</v>
      </c>
      <c r="C191" s="7" t="s">
        <v>17</v>
      </c>
      <c r="D191" s="7"/>
      <c r="E191" s="7" t="s">
        <v>2464</v>
      </c>
      <c r="F191" s="7" t="s">
        <v>19</v>
      </c>
      <c r="G191" s="7" t="s">
        <v>2465</v>
      </c>
      <c r="H191" s="7" t="s">
        <v>17</v>
      </c>
      <c r="I191" s="7" t="s">
        <v>17</v>
      </c>
      <c r="J191" s="7" t="s">
        <v>2466</v>
      </c>
    </row>
    <row r="192" spans="1:10" x14ac:dyDescent="0.25" outlineLevel="1" collapsed="1">
      <c r="A192" s="7" t="s">
        <v>19</v>
      </c>
      <c r="B192" s="7" t="s">
        <v>16</v>
      </c>
      <c r="C192" s="7" t="s">
        <v>17</v>
      </c>
      <c r="D192" s="7"/>
      <c r="E192" s="7" t="s">
        <v>2467</v>
      </c>
      <c r="F192" s="7" t="s">
        <v>19</v>
      </c>
      <c r="G192" s="7" t="s">
        <v>2468</v>
      </c>
      <c r="H192" s="7" t="s">
        <v>17</v>
      </c>
      <c r="I192" s="7" t="s">
        <v>17</v>
      </c>
      <c r="J192" s="7" t="s">
        <v>2469</v>
      </c>
    </row>
    <row r="193" spans="1:10" x14ac:dyDescent="0.25" outlineLevel="1" collapsed="1">
      <c r="A193" s="7" t="s">
        <v>19</v>
      </c>
      <c r="B193" s="7" t="s">
        <v>16</v>
      </c>
      <c r="C193" s="7" t="s">
        <v>17</v>
      </c>
      <c r="D193" s="7"/>
      <c r="E193" s="7" t="s">
        <v>2470</v>
      </c>
      <c r="F193" s="7" t="s">
        <v>19</v>
      </c>
      <c r="G193" s="7" t="s">
        <v>2471</v>
      </c>
      <c r="H193" s="7" t="s">
        <v>17</v>
      </c>
      <c r="I193" s="7" t="s">
        <v>17</v>
      </c>
      <c r="J193" s="7" t="s">
        <v>2472</v>
      </c>
    </row>
    <row r="194" spans="1:10" x14ac:dyDescent="0.25" outlineLevel="1" collapsed="1">
      <c r="A194" s="8" t="s">
        <v>15</v>
      </c>
      <c r="B194" s="9" t="s">
        <v>2473</v>
      </c>
      <c r="C194" s="8" t="s">
        <v>17</v>
      </c>
      <c r="D194" s="8"/>
      <c r="E194" s="8" t="s">
        <v>2474</v>
      </c>
      <c r="F194" s="8" t="s">
        <v>15</v>
      </c>
      <c r="G194" s="8" t="s">
        <v>17</v>
      </c>
      <c r="H194" s="8" t="s">
        <v>17</v>
      </c>
      <c r="I194" s="8" t="s">
        <v>17</v>
      </c>
      <c r="J194" s="8" t="s">
        <v>2475</v>
      </c>
    </row>
    <row r="195" spans="1:10" x14ac:dyDescent="0.25" outlineLevel="2" collapsed="1">
      <c r="A195" s="7" t="s">
        <v>19</v>
      </c>
      <c r="B195" s="7" t="s">
        <v>16</v>
      </c>
      <c r="C195" s="7" t="s">
        <v>17</v>
      </c>
      <c r="D195" s="7"/>
      <c r="E195" s="7" t="s">
        <v>2476</v>
      </c>
      <c r="F195" s="7" t="s">
        <v>19</v>
      </c>
      <c r="G195" s="7" t="s">
        <v>996</v>
      </c>
      <c r="H195" s="7" t="s">
        <v>17</v>
      </c>
      <c r="I195" s="7" t="s">
        <v>17</v>
      </c>
      <c r="J195" s="7" t="s">
        <v>796</v>
      </c>
    </row>
    <row r="196" spans="1:10" x14ac:dyDescent="0.25" outlineLevel="2" collapsed="1">
      <c r="A196" s="7" t="s">
        <v>19</v>
      </c>
      <c r="B196" s="7" t="s">
        <v>16</v>
      </c>
      <c r="C196" s="7" t="s">
        <v>17</v>
      </c>
      <c r="D196" s="7"/>
      <c r="E196" s="7" t="s">
        <v>2477</v>
      </c>
      <c r="F196" s="7" t="s">
        <v>19</v>
      </c>
      <c r="G196" s="7" t="s">
        <v>2478</v>
      </c>
      <c r="H196" s="7" t="s">
        <v>17</v>
      </c>
      <c r="I196" s="7" t="s">
        <v>17</v>
      </c>
      <c r="J196" s="7" t="s">
        <v>2479</v>
      </c>
    </row>
    <row r="197" spans="1:10" x14ac:dyDescent="0.25" outlineLevel="2" collapsed="1">
      <c r="A197" s="7" t="s">
        <v>19</v>
      </c>
      <c r="B197" s="7" t="s">
        <v>16</v>
      </c>
      <c r="C197" s="7" t="s">
        <v>17</v>
      </c>
      <c r="D197" s="7"/>
      <c r="E197" s="7" t="s">
        <v>2480</v>
      </c>
      <c r="F197" s="7" t="s">
        <v>19</v>
      </c>
      <c r="G197" s="7" t="s">
        <v>2481</v>
      </c>
      <c r="H197" s="7" t="s">
        <v>17</v>
      </c>
      <c r="I197" s="7" t="s">
        <v>17</v>
      </c>
      <c r="J197" s="7" t="s">
        <v>2482</v>
      </c>
    </row>
  </sheetData>
  <mergeCells count="3">
    <mergeCell ref="A1:J1"/>
    <mergeCell ref="B2:J2"/>
    <mergeCell ref="B3:J3"/>
  </mergeCells>
  <dataValidations count="1">
    <dataValidation type="list" allowBlank="1" sqref="G82:I82">
      <formula1>'Enums'!C286:C287</formula1>
    </dataValidation>
  </dataValidations>
  <hyperlinks>
    <hyperlink ref="B5" r:id="rId1" location="#'1.1 Summary Description of the'!A1"/>
    <hyperlink ref="B10" r:id="rId2" location="#'1.2 Audit History (VCS PD 1.2)'!A1"/>
    <hyperlink ref="B18" r:id="rId3" location="#'1.3 Sectoral Scope and Project'!A1"/>
    <hyperlink ref="B22" r:id="rId4" location="#'1.4 Project Eligibility (VCS P'!A1"/>
    <hyperlink ref="B39" r:id="rId5" location="#'1.5 Project Proponent (VCS PD'!A1"/>
    <hyperlink ref="B40" r:id="rId6" location="#'Project Proponent Contact (VCS'!A1"/>
    <hyperlink ref="B47" r:id="rId7" location="#'1.6 Other Entities Involved in'!A1"/>
    <hyperlink ref="B56" r:id="rId8" location="#'1.7 Right to Operate and Ri 2'!A1"/>
    <hyperlink ref="B57" r:id="rId9" location="#'1.7 Right to Operate and Right'!A1"/>
    <hyperlink ref="B59" r:id="rId10" location="#'1.7.2 Land or Resource Rights'!A1"/>
    <hyperlink ref="B68" r:id="rId11" location="#'1.7 Evidence of right to opera'!A1"/>
    <hyperlink ref="B74" r:id="rId12" location="#'1.8 Project Start Date and Ini'!A1"/>
    <hyperlink ref="B78" r:id="rId13" location="#'1.9 Project Crediting Period ('!A1"/>
    <hyperlink ref="B85" r:id="rId14" location="#'1.10 Project Scale (VCS PD 1.1'!A1"/>
    <hyperlink ref="B87" r:id="rId15" location="#'Estimated net reductions and r'!A1"/>
    <hyperlink ref="B94" r:id="rId16" location="#'1.11 Project Design (VCS PD 1.'!A1"/>
    <hyperlink ref="B97" r:id="rId17" location="#'Project activity instances row'!A1"/>
    <hyperlink ref="B100" r:id="rId18" location="#'Grouped project eligibility ar'!A1"/>
    <hyperlink ref="B104" r:id="rId19" location="#'Eligibility criteria per eligi'!A1"/>
    <hyperlink ref="B111" r:id="rId20" location="#'1.12 Conditions Prior to Proje'!A1"/>
    <hyperlink ref="B117" r:id="rId21" location="#'1.13 Description of the Projec'!A1"/>
    <hyperlink ref="B119" r:id="rId22" location="#'Technology system or equipment'!A1"/>
    <hyperlink ref="B124" r:id="rId23" location="#'Implementation schedule row (V'!A1"/>
    <hyperlink ref="B128" r:id="rId24" location="#'1.14 Project Location (VCS PD'!A1"/>
    <hyperlink ref="B130" r:id="rId25" location="#'Project Location Entry (VCS PD'!A1"/>
    <hyperlink ref="B140" r:id="rId26" location="#'1.15 Compliance with Laws and'!A1"/>
    <hyperlink ref="B141" r:id="rId27" location="#'Laws and other regulatory fram'!A1"/>
    <hyperlink ref="B144" r:id="rId28" location="#'1.16 Double Counting and Parti'!A1"/>
    <hyperlink ref="B147" r:id="rId29" location="#'Reductions and removals claime'!A1"/>
    <hyperlink ref="B164" r:id="rId30" location="#'1.17 Double Claiming Other For'!A1"/>
    <hyperlink ref="B182" r:id="rId31" location="#'1.18 Sustainable Development C'!A1"/>
    <hyperlink ref="B183" r:id="rId32" location="#'1.18 Sustainable developmen 2'!A1"/>
    <hyperlink ref="B190" r:id="rId33" location="#'1.19 Additional Information (V'!A1"/>
    <hyperlink ref="B194" r:id="rId34" location="#'Sensitive Information Row (VCS'!A1"/>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2828</v>
      </c>
      <c r="B1" s="1"/>
      <c r="C1" s="1"/>
      <c r="D1" s="1"/>
      <c r="E1" s="1"/>
      <c r="F1" s="1"/>
      <c r="G1" s="1"/>
      <c r="H1" s="1"/>
      <c r="I1" s="1"/>
      <c r="J1" s="1"/>
    </row>
    <row r="2" spans="1:10" x14ac:dyDescent="0.25">
      <c r="A2" s="2" t="s">
        <v>1</v>
      </c>
      <c r="B2" s="3" t="s">
        <v>2829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2830</v>
      </c>
      <c r="B1" s="1"/>
      <c r="C1" s="1"/>
      <c r="D1" s="1"/>
      <c r="E1" s="1"/>
      <c r="F1" s="1"/>
      <c r="G1" s="1"/>
      <c r="H1" s="1"/>
      <c r="I1" s="1"/>
      <c r="J1" s="1"/>
    </row>
    <row r="2" spans="1:10" x14ac:dyDescent="0.25">
      <c r="A2" s="2" t="s">
        <v>1</v>
      </c>
      <c r="B2" s="3" t="s">
        <v>2831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1507</v>
      </c>
      <c r="F5" s="5" t="s">
        <v>19</v>
      </c>
      <c r="G5" s="5" t="b">
        <v>0</v>
      </c>
      <c r="H5" s="5" t="s">
        <v>17</v>
      </c>
      <c r="I5" s="5" t="s">
        <v>17</v>
      </c>
      <c r="J5" s="5" t="s">
        <v>1508</v>
      </c>
    </row>
    <row r="6" spans="1:10" x14ac:dyDescent="0.25">
      <c r="A6" s="5" t="s">
        <v>15</v>
      </c>
      <c r="B6" s="5" t="s">
        <v>16</v>
      </c>
      <c r="C6" s="5" t="s">
        <v>17</v>
      </c>
      <c r="D6" s="5"/>
      <c r="E6" s="5" t="s">
        <v>1509</v>
      </c>
      <c r="F6" s="5" t="s">
        <v>19</v>
      </c>
      <c r="G6" s="5" t="s">
        <v>1510</v>
      </c>
      <c r="H6" s="5" t="s">
        <v>1510</v>
      </c>
      <c r="I6" s="5" t="s">
        <v>17</v>
      </c>
      <c r="J6" s="5" t="s">
        <v>1511</v>
      </c>
    </row>
    <row r="7" spans="1:10" x14ac:dyDescent="0.25">
      <c r="A7" s="5" t="s">
        <v>19</v>
      </c>
      <c r="B7" s="5" t="s">
        <v>63</v>
      </c>
      <c r="C7" s="5" t="s">
        <v>17</v>
      </c>
      <c r="D7" s="5"/>
      <c r="E7" s="5" t="s">
        <v>1512</v>
      </c>
      <c r="F7" s="5" t="s">
        <v>19</v>
      </c>
      <c r="G7" s="5">
        <v>1</v>
      </c>
      <c r="H7" s="5" t="s">
        <v>17</v>
      </c>
      <c r="I7" s="5" t="s">
        <v>17</v>
      </c>
      <c r="J7" s="5" t="s">
        <v>1513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2500</v>
      </c>
      <c r="B1" s="1"/>
      <c r="C1" s="1"/>
      <c r="D1" s="1"/>
      <c r="E1" s="1"/>
      <c r="F1" s="1"/>
      <c r="G1" s="1"/>
      <c r="H1" s="1"/>
      <c r="I1" s="1"/>
      <c r="J1" s="1"/>
    </row>
    <row r="2" spans="1:10" x14ac:dyDescent="0.25">
      <c r="A2" s="2" t="s">
        <v>1</v>
      </c>
      <c r="B2" s="3" t="s">
        <v>2832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2503</v>
      </c>
      <c r="F5" s="5" t="s">
        <v>19</v>
      </c>
      <c r="G5" s="5" t="s">
        <v>2504</v>
      </c>
      <c r="H5" s="5" t="s">
        <v>17</v>
      </c>
      <c r="I5" s="5" t="s">
        <v>17</v>
      </c>
      <c r="J5" s="5" t="s">
        <v>2505</v>
      </c>
    </row>
    <row r="6" spans="1:10" x14ac:dyDescent="0.25">
      <c r="A6" s="5" t="s">
        <v>15</v>
      </c>
      <c r="B6" s="5" t="s">
        <v>16</v>
      </c>
      <c r="C6" s="5" t="s">
        <v>17</v>
      </c>
      <c r="D6" s="5"/>
      <c r="E6" s="5" t="s">
        <v>2506</v>
      </c>
      <c r="F6" s="5" t="s">
        <v>19</v>
      </c>
      <c r="G6" s="5" t="s">
        <v>2507</v>
      </c>
      <c r="H6" s="5" t="s">
        <v>17</v>
      </c>
      <c r="I6" s="5" t="s">
        <v>17</v>
      </c>
      <c r="J6" s="5" t="s">
        <v>2508</v>
      </c>
    </row>
    <row r="7" spans="1:10" x14ac:dyDescent="0.25">
      <c r="A7" s="5" t="s">
        <v>15</v>
      </c>
      <c r="B7" s="5" t="s">
        <v>16</v>
      </c>
      <c r="C7" s="5" t="s">
        <v>17</v>
      </c>
      <c r="D7" s="5"/>
      <c r="E7" s="5" t="s">
        <v>2509</v>
      </c>
      <c r="F7" s="5" t="s">
        <v>19</v>
      </c>
      <c r="G7" s="5" t="s">
        <v>15</v>
      </c>
      <c r="H7" s="5" t="s">
        <v>17</v>
      </c>
      <c r="I7" s="5" t="s">
        <v>17</v>
      </c>
      <c r="J7" s="5" t="s">
        <v>2510</v>
      </c>
    </row>
    <row r="8" spans="1:10" x14ac:dyDescent="0.25">
      <c r="A8" s="5" t="s">
        <v>15</v>
      </c>
      <c r="B8" s="5" t="s">
        <v>16</v>
      </c>
      <c r="C8" s="5" t="s">
        <v>17</v>
      </c>
      <c r="D8" s="5"/>
      <c r="E8" s="5" t="s">
        <v>2511</v>
      </c>
      <c r="F8" s="5" t="s">
        <v>19</v>
      </c>
      <c r="G8" s="5" t="s">
        <v>2512</v>
      </c>
      <c r="H8" s="5" t="s">
        <v>17</v>
      </c>
      <c r="I8" s="5" t="s">
        <v>17</v>
      </c>
      <c r="J8" s="5" t="s">
        <v>1191</v>
      </c>
    </row>
    <row r="9" spans="1:10" x14ac:dyDescent="0.25">
      <c r="A9" s="5" t="s">
        <v>19</v>
      </c>
      <c r="B9" s="5" t="s">
        <v>16</v>
      </c>
      <c r="C9" s="5" t="s">
        <v>17</v>
      </c>
      <c r="D9" s="5"/>
      <c r="E9" s="5" t="s">
        <v>2513</v>
      </c>
      <c r="F9" s="5" t="s">
        <v>19</v>
      </c>
      <c r="G9" s="5" t="s">
        <v>31</v>
      </c>
      <c r="H9" s="5" t="s">
        <v>17</v>
      </c>
      <c r="I9" s="5" t="s">
        <v>17</v>
      </c>
      <c r="J9" s="5" t="s">
        <v>2514</v>
      </c>
    </row>
    <row r="10" spans="1:10" x14ac:dyDescent="0.25">
      <c r="A10" s="5" t="s">
        <v>19</v>
      </c>
      <c r="B10" s="5" t="s">
        <v>16</v>
      </c>
      <c r="C10" s="5" t="s">
        <v>17</v>
      </c>
      <c r="D10" s="5"/>
      <c r="E10" s="5" t="s">
        <v>2515</v>
      </c>
      <c r="F10" s="5" t="s">
        <v>19</v>
      </c>
      <c r="G10" s="5" t="s">
        <v>31</v>
      </c>
      <c r="H10" s="5" t="s">
        <v>17</v>
      </c>
      <c r="I10" s="5" t="s">
        <v>17</v>
      </c>
      <c r="J10" s="5" t="s">
        <v>2516</v>
      </c>
    </row>
    <row r="11" spans="1:10" x14ac:dyDescent="0.25">
      <c r="A11" s="5" t="s">
        <v>19</v>
      </c>
      <c r="B11" s="5" t="s">
        <v>16</v>
      </c>
      <c r="C11" s="5" t="s">
        <v>17</v>
      </c>
      <c r="D11" s="5"/>
      <c r="E11" s="5" t="s">
        <v>478</v>
      </c>
      <c r="F11" s="5" t="s">
        <v>19</v>
      </c>
      <c r="G11" s="5" t="s">
        <v>31</v>
      </c>
      <c r="H11" s="5" t="s">
        <v>17</v>
      </c>
      <c r="I11" s="5" t="s">
        <v>17</v>
      </c>
      <c r="J11" s="5" t="s">
        <v>1323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2833</v>
      </c>
      <c r="B1" s="1"/>
      <c r="C1" s="1"/>
      <c r="D1" s="1"/>
      <c r="E1" s="1"/>
      <c r="F1" s="1"/>
      <c r="G1" s="1"/>
      <c r="H1" s="1"/>
      <c r="I1" s="1"/>
      <c r="J1" s="1"/>
    </row>
    <row r="2" spans="1:10" x14ac:dyDescent="0.25">
      <c r="A2" s="2" t="s">
        <v>1</v>
      </c>
      <c r="B2" s="3" t="s">
        <v>2834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2835</v>
      </c>
      <c r="F5" s="5" t="s">
        <v>19</v>
      </c>
      <c r="G5" s="5" t="s">
        <v>2836</v>
      </c>
      <c r="H5" s="5" t="s">
        <v>17</v>
      </c>
      <c r="I5" s="5" t="s">
        <v>17</v>
      </c>
      <c r="J5" s="5" t="s">
        <v>2837</v>
      </c>
    </row>
    <row r="6" spans="1:10" x14ac:dyDescent="0.25">
      <c r="A6" s="5" t="s">
        <v>15</v>
      </c>
      <c r="B6" s="5" t="s">
        <v>16</v>
      </c>
      <c r="C6" s="5" t="s">
        <v>17</v>
      </c>
      <c r="D6" s="5"/>
      <c r="E6" s="5" t="s">
        <v>2838</v>
      </c>
      <c r="F6" s="5" t="s">
        <v>19</v>
      </c>
      <c r="G6" s="5" t="s">
        <v>1015</v>
      </c>
      <c r="H6" s="5" t="s">
        <v>17</v>
      </c>
      <c r="I6" s="5" t="s">
        <v>17</v>
      </c>
      <c r="J6" s="5" t="s">
        <v>2839</v>
      </c>
    </row>
    <row r="7" spans="1:10" x14ac:dyDescent="0.25">
      <c r="A7" s="5" t="s">
        <v>15</v>
      </c>
      <c r="B7" s="5" t="s">
        <v>16</v>
      </c>
      <c r="C7" s="5" t="s">
        <v>17</v>
      </c>
      <c r="D7" s="5"/>
      <c r="E7" s="5" t="s">
        <v>2840</v>
      </c>
      <c r="F7" s="5" t="s">
        <v>19</v>
      </c>
      <c r="G7" s="5" t="s">
        <v>1015</v>
      </c>
      <c r="H7" s="5" t="s">
        <v>17</v>
      </c>
      <c r="I7" s="5" t="s">
        <v>17</v>
      </c>
      <c r="J7" s="5" t="s">
        <v>2841</v>
      </c>
    </row>
    <row r="8" spans="1:10" x14ac:dyDescent="0.25">
      <c r="A8" s="5" t="s">
        <v>15</v>
      </c>
      <c r="B8" s="5" t="s">
        <v>16</v>
      </c>
      <c r="C8" s="5" t="s">
        <v>17</v>
      </c>
      <c r="D8" s="5"/>
      <c r="E8" s="5" t="s">
        <v>2842</v>
      </c>
      <c r="F8" s="5" t="s">
        <v>19</v>
      </c>
      <c r="G8" s="5" t="s">
        <v>2843</v>
      </c>
      <c r="H8" s="5" t="s">
        <v>17</v>
      </c>
      <c r="I8" s="5" t="s">
        <v>17</v>
      </c>
      <c r="J8" s="5" t="s">
        <v>2844</v>
      </c>
    </row>
    <row r="9" spans="1:10" x14ac:dyDescent="0.25">
      <c r="A9" s="5" t="s">
        <v>15</v>
      </c>
      <c r="B9" s="5" t="s">
        <v>16</v>
      </c>
      <c r="C9" s="5" t="s">
        <v>17</v>
      </c>
      <c r="D9" s="5"/>
      <c r="E9" s="5" t="s">
        <v>2845</v>
      </c>
      <c r="F9" s="5" t="s">
        <v>19</v>
      </c>
      <c r="G9" s="5" t="s">
        <v>1015</v>
      </c>
      <c r="H9" s="5" t="s">
        <v>17</v>
      </c>
      <c r="I9" s="5" t="s">
        <v>17</v>
      </c>
      <c r="J9" s="5" t="s">
        <v>2846</v>
      </c>
    </row>
    <row r="10" spans="1:10" x14ac:dyDescent="0.25">
      <c r="A10" s="5" t="s">
        <v>19</v>
      </c>
      <c r="B10" s="5" t="s">
        <v>16</v>
      </c>
      <c r="C10" s="5" t="s">
        <v>17</v>
      </c>
      <c r="D10" s="5"/>
      <c r="E10" s="5" t="s">
        <v>2847</v>
      </c>
      <c r="F10" s="5" t="s">
        <v>19</v>
      </c>
      <c r="G10" s="5" t="s">
        <v>1015</v>
      </c>
      <c r="H10" s="5" t="s">
        <v>17</v>
      </c>
      <c r="I10" s="5" t="s">
        <v>17</v>
      </c>
      <c r="J10" s="5" t="s">
        <v>2848</v>
      </c>
    </row>
    <row r="11" spans="1:10" x14ac:dyDescent="0.25">
      <c r="A11" s="5" t="s">
        <v>19</v>
      </c>
      <c r="B11" s="5" t="s">
        <v>16</v>
      </c>
      <c r="C11" s="5" t="s">
        <v>17</v>
      </c>
      <c r="D11" s="5"/>
      <c r="E11" s="5" t="s">
        <v>2849</v>
      </c>
      <c r="F11" s="5" t="s">
        <v>19</v>
      </c>
      <c r="G11" s="5" t="s">
        <v>1015</v>
      </c>
      <c r="H11" s="5" t="s">
        <v>17</v>
      </c>
      <c r="I11" s="5" t="s">
        <v>17</v>
      </c>
      <c r="J11" s="5" t="s">
        <v>2850</v>
      </c>
    </row>
    <row r="12" spans="1:10" x14ac:dyDescent="0.25">
      <c r="A12" s="5" t="s">
        <v>19</v>
      </c>
      <c r="B12" s="5" t="s">
        <v>16</v>
      </c>
      <c r="C12" s="5" t="s">
        <v>17</v>
      </c>
      <c r="D12" s="5"/>
      <c r="E12" s="5" t="s">
        <v>2851</v>
      </c>
      <c r="F12" s="5" t="s">
        <v>19</v>
      </c>
      <c r="G12" s="5" t="s">
        <v>1015</v>
      </c>
      <c r="H12" s="5" t="s">
        <v>17</v>
      </c>
      <c r="I12" s="5" t="s">
        <v>17</v>
      </c>
      <c r="J12" s="5" t="s">
        <v>2852</v>
      </c>
    </row>
    <row r="13" spans="1:10" x14ac:dyDescent="0.25">
      <c r="A13" s="5" t="s">
        <v>15</v>
      </c>
      <c r="B13" s="5" t="s">
        <v>16</v>
      </c>
      <c r="C13" s="5" t="s">
        <v>17</v>
      </c>
      <c r="D13" s="5"/>
      <c r="E13" s="5" t="s">
        <v>2853</v>
      </c>
      <c r="F13" s="5" t="s">
        <v>19</v>
      </c>
      <c r="G13" s="5" t="s">
        <v>2854</v>
      </c>
      <c r="H13" s="5" t="s">
        <v>17</v>
      </c>
      <c r="I13" s="5" t="s">
        <v>17</v>
      </c>
      <c r="J13" s="5" t="s">
        <v>1000</v>
      </c>
    </row>
    <row r="14" spans="1:10" x14ac:dyDescent="0.25">
      <c r="A14" s="5" t="s">
        <v>15</v>
      </c>
      <c r="B14" s="5" t="s">
        <v>159</v>
      </c>
      <c r="C14" s="5" t="s">
        <v>17</v>
      </c>
      <c r="D14" s="5"/>
      <c r="E14" s="5" t="s">
        <v>2855</v>
      </c>
      <c r="F14" s="5" t="s">
        <v>19</v>
      </c>
      <c r="G14" s="5" t="b">
        <v>0</v>
      </c>
      <c r="H14" s="5" t="s">
        <v>17</v>
      </c>
      <c r="I14" s="5" t="s">
        <v>17</v>
      </c>
      <c r="J14" s="5" t="s">
        <v>2856</v>
      </c>
    </row>
    <row r="15" spans="1:10" x14ac:dyDescent="0.25">
      <c r="A15" s="5" t="s">
        <v>19</v>
      </c>
      <c r="B15" s="6" t="s">
        <v>2857</v>
      </c>
      <c r="C15" s="5" t="s">
        <v>17</v>
      </c>
      <c r="D15" s="5"/>
      <c r="E15" s="5" t="s">
        <v>2858</v>
      </c>
      <c r="F15" s="5" t="s">
        <v>15</v>
      </c>
      <c r="G15" s="5" t="s">
        <v>17</v>
      </c>
      <c r="H15" s="5" t="s">
        <v>17</v>
      </c>
      <c r="I15" s="5" t="s">
        <v>17</v>
      </c>
      <c r="J15" s="5" t="s">
        <v>2859</v>
      </c>
    </row>
    <row r="16" spans="1:10" x14ac:dyDescent="0.25" outlineLevel="1" collapsed="1">
      <c r="A16" s="7" t="s">
        <v>15</v>
      </c>
      <c r="B16" s="7" t="s">
        <v>16</v>
      </c>
      <c r="C16" s="7" t="s">
        <v>17</v>
      </c>
      <c r="D16" s="7"/>
      <c r="E16" s="7" t="s">
        <v>2860</v>
      </c>
      <c r="F16" s="7" t="s">
        <v>19</v>
      </c>
      <c r="G16" s="7" t="s">
        <v>2836</v>
      </c>
      <c r="H16" s="7" t="s">
        <v>17</v>
      </c>
      <c r="I16" s="7" t="s">
        <v>17</v>
      </c>
      <c r="J16" s="7" t="s">
        <v>2837</v>
      </c>
    </row>
    <row r="17" spans="1:10" x14ac:dyDescent="0.25" outlineLevel="1" collapsed="1">
      <c r="A17" s="7" t="s">
        <v>15</v>
      </c>
      <c r="B17" s="7" t="s">
        <v>16</v>
      </c>
      <c r="C17" s="7" t="s">
        <v>17</v>
      </c>
      <c r="D17" s="7"/>
      <c r="E17" s="7" t="s">
        <v>2861</v>
      </c>
      <c r="F17" s="7" t="s">
        <v>19</v>
      </c>
      <c r="G17" s="7" t="s">
        <v>1015</v>
      </c>
      <c r="H17" s="7" t="s">
        <v>17</v>
      </c>
      <c r="I17" s="7" t="s">
        <v>17</v>
      </c>
      <c r="J17" s="7" t="s">
        <v>2839</v>
      </c>
    </row>
    <row r="18" spans="1:10" x14ac:dyDescent="0.25" outlineLevel="1" collapsed="1">
      <c r="A18" s="7" t="s">
        <v>19</v>
      </c>
      <c r="B18" s="7" t="s">
        <v>16</v>
      </c>
      <c r="C18" s="7" t="s">
        <v>17</v>
      </c>
      <c r="D18" s="7"/>
      <c r="E18" s="7" t="s">
        <v>2862</v>
      </c>
      <c r="F18" s="7" t="s">
        <v>19</v>
      </c>
      <c r="G18" s="7" t="s">
        <v>2863</v>
      </c>
      <c r="H18" s="7" t="s">
        <v>17</v>
      </c>
      <c r="I18" s="7" t="s">
        <v>17</v>
      </c>
      <c r="J18" s="7" t="s">
        <v>810</v>
      </c>
    </row>
    <row r="19" spans="1:10" x14ac:dyDescent="0.25" outlineLevel="1" collapsed="1">
      <c r="A19" s="7" t="s">
        <v>15</v>
      </c>
      <c r="B19" s="7" t="s">
        <v>16</v>
      </c>
      <c r="C19" s="7" t="s">
        <v>17</v>
      </c>
      <c r="D19" s="7"/>
      <c r="E19" s="7" t="s">
        <v>2864</v>
      </c>
      <c r="F19" s="7" t="s">
        <v>19</v>
      </c>
      <c r="G19" s="7" t="s">
        <v>2865</v>
      </c>
      <c r="H19" s="7" t="s">
        <v>17</v>
      </c>
      <c r="I19" s="7" t="s">
        <v>17</v>
      </c>
      <c r="J19" s="7" t="s">
        <v>843</v>
      </c>
    </row>
    <row r="20" spans="1:10" x14ac:dyDescent="0.25" outlineLevel="1" collapsed="1">
      <c r="A20" s="7" t="s">
        <v>15</v>
      </c>
      <c r="B20" s="7" t="s">
        <v>16</v>
      </c>
      <c r="C20" s="7" t="s">
        <v>17</v>
      </c>
      <c r="D20" s="7"/>
      <c r="E20" s="7" t="s">
        <v>2866</v>
      </c>
      <c r="F20" s="7" t="s">
        <v>19</v>
      </c>
      <c r="G20" s="7" t="s">
        <v>996</v>
      </c>
      <c r="H20" s="7" t="s">
        <v>17</v>
      </c>
      <c r="I20" s="7" t="s">
        <v>17</v>
      </c>
      <c r="J20" s="7" t="s">
        <v>2867</v>
      </c>
    </row>
    <row r="21" spans="1:10" x14ac:dyDescent="0.25" outlineLevel="1" collapsed="1">
      <c r="A21" s="7" t="s">
        <v>19</v>
      </c>
      <c r="B21" s="7" t="s">
        <v>16</v>
      </c>
      <c r="C21" s="7" t="s">
        <v>17</v>
      </c>
      <c r="D21" s="7"/>
      <c r="E21" s="7" t="s">
        <v>2868</v>
      </c>
      <c r="F21" s="7" t="s">
        <v>19</v>
      </c>
      <c r="G21" s="7" t="s">
        <v>2869</v>
      </c>
      <c r="H21" s="7" t="s">
        <v>17</v>
      </c>
      <c r="I21" s="7" t="s">
        <v>17</v>
      </c>
      <c r="J21" s="7" t="s">
        <v>2870</v>
      </c>
    </row>
  </sheetData>
  <mergeCells count="3">
    <mergeCell ref="A1:J1"/>
    <mergeCell ref="B2:J2"/>
    <mergeCell ref="B3:J3"/>
  </mergeCells>
  <hyperlinks>
    <hyperlink ref="B15" r:id="rId1" location="#'Grievance Entry (VCS PD 2.4.2)'!A1"/>
  </hyperlink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2871</v>
      </c>
      <c r="B1" s="1"/>
      <c r="C1" s="1"/>
      <c r="D1" s="1"/>
      <c r="E1" s="1"/>
      <c r="F1" s="1"/>
      <c r="G1" s="1"/>
      <c r="H1" s="1"/>
      <c r="I1" s="1"/>
      <c r="J1" s="1"/>
    </row>
    <row r="2" spans="1:10" x14ac:dyDescent="0.25">
      <c r="A2" s="2" t="s">
        <v>1</v>
      </c>
      <c r="B2" s="3" t="s">
        <v>2872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2329</v>
      </c>
      <c r="F5" s="5" t="s">
        <v>19</v>
      </c>
      <c r="G5" s="5" t="s">
        <v>996</v>
      </c>
      <c r="H5" s="5" t="s">
        <v>17</v>
      </c>
      <c r="I5" s="5" t="s">
        <v>17</v>
      </c>
      <c r="J5" s="5" t="s">
        <v>1079</v>
      </c>
    </row>
    <row r="6" spans="1:10" x14ac:dyDescent="0.25">
      <c r="A6" s="5" t="s">
        <v>15</v>
      </c>
      <c r="B6" s="5" t="s">
        <v>16</v>
      </c>
      <c r="C6" s="5" t="s">
        <v>17</v>
      </c>
      <c r="D6" s="5"/>
      <c r="E6" s="5" t="s">
        <v>2330</v>
      </c>
      <c r="F6" s="5" t="s">
        <v>19</v>
      </c>
      <c r="G6" s="5" t="s">
        <v>2331</v>
      </c>
      <c r="H6" s="5" t="s">
        <v>17</v>
      </c>
      <c r="I6" s="5" t="s">
        <v>17</v>
      </c>
      <c r="J6" s="5" t="s">
        <v>827</v>
      </c>
    </row>
    <row r="7" spans="1:10" x14ac:dyDescent="0.25">
      <c r="A7" s="5" t="s">
        <v>15</v>
      </c>
      <c r="B7" s="5" t="s">
        <v>16</v>
      </c>
      <c r="C7" s="5" t="s">
        <v>17</v>
      </c>
      <c r="D7" s="5"/>
      <c r="E7" s="5" t="s">
        <v>2332</v>
      </c>
      <c r="F7" s="5" t="s">
        <v>19</v>
      </c>
      <c r="G7" s="5" t="s">
        <v>2333</v>
      </c>
      <c r="H7" s="5" t="s">
        <v>17</v>
      </c>
      <c r="I7" s="5" t="s">
        <v>17</v>
      </c>
      <c r="J7" s="5" t="s">
        <v>1082</v>
      </c>
    </row>
    <row r="8" spans="1:10" x14ac:dyDescent="0.25">
      <c r="A8" s="5" t="s">
        <v>19</v>
      </c>
      <c r="B8" s="5" t="s">
        <v>16</v>
      </c>
      <c r="C8" s="5" t="s">
        <v>17</v>
      </c>
      <c r="D8" s="5"/>
      <c r="E8" s="5" t="s">
        <v>2334</v>
      </c>
      <c r="F8" s="5" t="s">
        <v>19</v>
      </c>
      <c r="G8" s="5" t="s">
        <v>2333</v>
      </c>
      <c r="H8" s="5" t="s">
        <v>17</v>
      </c>
      <c r="I8" s="5" t="s">
        <v>17</v>
      </c>
      <c r="J8" s="5" t="s">
        <v>1085</v>
      </c>
    </row>
    <row r="9" spans="1:10" x14ac:dyDescent="0.25">
      <c r="A9" s="5" t="s">
        <v>19</v>
      </c>
      <c r="B9" s="5" t="s">
        <v>16</v>
      </c>
      <c r="C9" s="5" t="s">
        <v>17</v>
      </c>
      <c r="D9" s="5"/>
      <c r="E9" s="5" t="s">
        <v>2335</v>
      </c>
      <c r="F9" s="5" t="s">
        <v>19</v>
      </c>
      <c r="G9" s="5" t="s">
        <v>2333</v>
      </c>
      <c r="H9" s="5" t="s">
        <v>17</v>
      </c>
      <c r="I9" s="5" t="s">
        <v>17</v>
      </c>
      <c r="J9" s="5" t="s">
        <v>1088</v>
      </c>
    </row>
    <row r="10" spans="1:10" x14ac:dyDescent="0.25">
      <c r="A10" s="5" t="s">
        <v>19</v>
      </c>
      <c r="B10" s="5" t="s">
        <v>16</v>
      </c>
      <c r="C10" s="5" t="s">
        <v>17</v>
      </c>
      <c r="D10" s="5"/>
      <c r="E10" s="5" t="s">
        <v>2336</v>
      </c>
      <c r="F10" s="5" t="s">
        <v>19</v>
      </c>
      <c r="G10" s="5" t="s">
        <v>2333</v>
      </c>
      <c r="H10" s="5" t="s">
        <v>17</v>
      </c>
      <c r="I10" s="5" t="s">
        <v>17</v>
      </c>
      <c r="J10" s="5" t="s">
        <v>1091</v>
      </c>
    </row>
    <row r="11" spans="1:10" x14ac:dyDescent="0.25">
      <c r="A11" s="5" t="s">
        <v>15</v>
      </c>
      <c r="B11" s="5" t="s">
        <v>16</v>
      </c>
      <c r="C11" s="5" t="s">
        <v>17</v>
      </c>
      <c r="D11" s="5"/>
      <c r="E11" s="5" t="s">
        <v>2337</v>
      </c>
      <c r="F11" s="5" t="s">
        <v>19</v>
      </c>
      <c r="G11" s="5" t="s">
        <v>2333</v>
      </c>
      <c r="H11" s="5" t="s">
        <v>17</v>
      </c>
      <c r="I11" s="5" t="s">
        <v>17</v>
      </c>
      <c r="J11" s="5" t="s">
        <v>1094</v>
      </c>
    </row>
    <row r="12" spans="1:10" x14ac:dyDescent="0.25">
      <c r="A12" s="5" t="s">
        <v>19</v>
      </c>
      <c r="B12" s="5" t="s">
        <v>16</v>
      </c>
      <c r="C12" s="5" t="s">
        <v>17</v>
      </c>
      <c r="D12" s="5"/>
      <c r="E12" s="5" t="s">
        <v>1110</v>
      </c>
      <c r="F12" s="5" t="s">
        <v>19</v>
      </c>
      <c r="G12" s="5" t="s">
        <v>31</v>
      </c>
      <c r="H12" s="5" t="s">
        <v>17</v>
      </c>
      <c r="I12" s="5" t="s">
        <v>17</v>
      </c>
      <c r="J12" s="5" t="s">
        <v>1111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2873</v>
      </c>
      <c r="B1" s="1"/>
      <c r="C1" s="1"/>
      <c r="D1" s="1"/>
      <c r="E1" s="1"/>
      <c r="F1" s="1"/>
      <c r="G1" s="1"/>
      <c r="H1" s="1"/>
      <c r="I1" s="1"/>
      <c r="J1" s="1"/>
    </row>
    <row r="2" spans="1:10" x14ac:dyDescent="0.25">
      <c r="A2" s="2" t="s">
        <v>1</v>
      </c>
      <c r="B2" s="3" t="s">
        <v>2874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1462</v>
      </c>
      <c r="F5" s="5" t="s">
        <v>19</v>
      </c>
      <c r="G5" s="5" t="s">
        <v>1463</v>
      </c>
      <c r="H5" s="5" t="s">
        <v>17</v>
      </c>
      <c r="I5" s="5" t="s">
        <v>17</v>
      </c>
      <c r="J5" s="5" t="s">
        <v>1464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2875</v>
      </c>
      <c r="B1" s="1"/>
      <c r="C1" s="1"/>
      <c r="D1" s="1"/>
      <c r="E1" s="1"/>
      <c r="F1" s="1"/>
      <c r="G1" s="1"/>
      <c r="H1" s="1"/>
      <c r="I1" s="1"/>
      <c r="J1" s="1"/>
    </row>
    <row r="2" spans="1:10" x14ac:dyDescent="0.25">
      <c r="A2" s="2" t="s">
        <v>1</v>
      </c>
      <c r="B2" s="3" t="s">
        <v>2876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2451</v>
      </c>
      <c r="F5" s="5" t="s">
        <v>19</v>
      </c>
      <c r="G5" s="5" t="s">
        <v>2452</v>
      </c>
      <c r="H5" s="5" t="s">
        <v>17</v>
      </c>
      <c r="I5" s="5" t="s">
        <v>17</v>
      </c>
      <c r="J5" s="5" t="s">
        <v>2453</v>
      </c>
    </row>
    <row r="6" spans="1:10" x14ac:dyDescent="0.25">
      <c r="A6" s="5" t="s">
        <v>15</v>
      </c>
      <c r="B6" s="5" t="s">
        <v>16</v>
      </c>
      <c r="C6" s="5" t="s">
        <v>17</v>
      </c>
      <c r="D6" s="5"/>
      <c r="E6" s="5" t="s">
        <v>2454</v>
      </c>
      <c r="F6" s="5" t="s">
        <v>19</v>
      </c>
      <c r="G6" s="5" t="s">
        <v>2455</v>
      </c>
      <c r="H6" s="5" t="s">
        <v>17</v>
      </c>
      <c r="I6" s="5" t="s">
        <v>17</v>
      </c>
      <c r="J6" s="5" t="s">
        <v>1164</v>
      </c>
    </row>
    <row r="7" spans="1:10" x14ac:dyDescent="0.25">
      <c r="A7" s="5" t="s">
        <v>19</v>
      </c>
      <c r="B7" s="5" t="s">
        <v>16</v>
      </c>
      <c r="C7" s="5" t="s">
        <v>17</v>
      </c>
      <c r="D7" s="5"/>
      <c r="E7" s="5" t="s">
        <v>2456</v>
      </c>
      <c r="F7" s="5" t="s">
        <v>19</v>
      </c>
      <c r="G7" s="5" t="s">
        <v>2457</v>
      </c>
      <c r="H7" s="5" t="s">
        <v>17</v>
      </c>
      <c r="I7" s="5" t="s">
        <v>17</v>
      </c>
      <c r="J7" s="5" t="s">
        <v>1167</v>
      </c>
    </row>
    <row r="8" spans="1:10" x14ac:dyDescent="0.25">
      <c r="A8" s="5" t="s">
        <v>19</v>
      </c>
      <c r="B8" s="5" t="s">
        <v>16</v>
      </c>
      <c r="C8" s="5" t="s">
        <v>17</v>
      </c>
      <c r="D8" s="5"/>
      <c r="E8" s="5" t="s">
        <v>1168</v>
      </c>
      <c r="F8" s="5" t="s">
        <v>19</v>
      </c>
      <c r="G8" s="5" t="s">
        <v>31</v>
      </c>
      <c r="H8" s="5" t="s">
        <v>17</v>
      </c>
      <c r="I8" s="5" t="s">
        <v>17</v>
      </c>
      <c r="J8" s="5" t="s">
        <v>1169</v>
      </c>
    </row>
    <row r="9" spans="1:10" x14ac:dyDescent="0.25">
      <c r="A9" s="5" t="s">
        <v>19</v>
      </c>
      <c r="B9" s="5" t="s">
        <v>16</v>
      </c>
      <c r="C9" s="5" t="s">
        <v>17</v>
      </c>
      <c r="D9" s="5"/>
      <c r="E9" s="5" t="s">
        <v>1170</v>
      </c>
      <c r="F9" s="5" t="s">
        <v>19</v>
      </c>
      <c r="G9" s="5" t="s">
        <v>31</v>
      </c>
      <c r="H9" s="5" t="s">
        <v>17</v>
      </c>
      <c r="I9" s="5" t="s">
        <v>17</v>
      </c>
      <c r="J9" s="5" t="s">
        <v>44</v>
      </c>
    </row>
    <row r="10" spans="1:10" x14ac:dyDescent="0.25">
      <c r="A10" s="5" t="s">
        <v>19</v>
      </c>
      <c r="B10" s="5" t="s">
        <v>16</v>
      </c>
      <c r="C10" s="5" t="s">
        <v>17</v>
      </c>
      <c r="D10" s="5"/>
      <c r="E10" s="5" t="s">
        <v>1171</v>
      </c>
      <c r="F10" s="5" t="s">
        <v>19</v>
      </c>
      <c r="G10" s="5" t="s">
        <v>31</v>
      </c>
      <c r="H10" s="5" t="s">
        <v>17</v>
      </c>
      <c r="I10" s="5" t="s">
        <v>17</v>
      </c>
      <c r="J10" s="5" t="s">
        <v>1172</v>
      </c>
    </row>
    <row r="11" spans="1:10" x14ac:dyDescent="0.25">
      <c r="A11" s="5" t="s">
        <v>19</v>
      </c>
      <c r="B11" s="5" t="s">
        <v>16</v>
      </c>
      <c r="C11" s="5" t="s">
        <v>17</v>
      </c>
      <c r="D11" s="5"/>
      <c r="E11" s="5" t="s">
        <v>1173</v>
      </c>
      <c r="F11" s="5" t="s">
        <v>19</v>
      </c>
      <c r="G11" s="5" t="s">
        <v>31</v>
      </c>
      <c r="H11" s="5" t="s">
        <v>17</v>
      </c>
      <c r="I11" s="5" t="s">
        <v>17</v>
      </c>
      <c r="J11" s="5" t="s">
        <v>1174</v>
      </c>
    </row>
    <row r="12" spans="1:10" x14ac:dyDescent="0.25">
      <c r="A12" s="5" t="s">
        <v>19</v>
      </c>
      <c r="B12" s="5" t="s">
        <v>16</v>
      </c>
      <c r="C12" s="5" t="s">
        <v>17</v>
      </c>
      <c r="D12" s="5"/>
      <c r="E12" s="5" t="s">
        <v>1175</v>
      </c>
      <c r="F12" s="5" t="s">
        <v>19</v>
      </c>
      <c r="G12" s="5" t="s">
        <v>31</v>
      </c>
      <c r="H12" s="5" t="s">
        <v>17</v>
      </c>
      <c r="I12" s="5" t="s">
        <v>17</v>
      </c>
      <c r="J12" s="5" t="s">
        <v>1176</v>
      </c>
    </row>
    <row r="13" spans="1:10" x14ac:dyDescent="0.25">
      <c r="A13" s="5" t="s">
        <v>19</v>
      </c>
      <c r="B13" s="5" t="s">
        <v>16</v>
      </c>
      <c r="C13" s="5" t="s">
        <v>17</v>
      </c>
      <c r="D13" s="5"/>
      <c r="E13" s="5" t="s">
        <v>1177</v>
      </c>
      <c r="F13" s="5" t="s">
        <v>19</v>
      </c>
      <c r="G13" s="5" t="s">
        <v>31</v>
      </c>
      <c r="H13" s="5" t="s">
        <v>17</v>
      </c>
      <c r="I13" s="5" t="s">
        <v>17</v>
      </c>
      <c r="J13" s="5" t="s">
        <v>46</v>
      </c>
    </row>
    <row r="14" spans="1:10" x14ac:dyDescent="0.25">
      <c r="A14" s="5" t="s">
        <v>19</v>
      </c>
      <c r="B14" s="5" t="s">
        <v>16</v>
      </c>
      <c r="C14" s="5" t="s">
        <v>17</v>
      </c>
      <c r="D14" s="5"/>
      <c r="E14" s="5" t="s">
        <v>1178</v>
      </c>
      <c r="F14" s="5" t="s">
        <v>19</v>
      </c>
      <c r="G14" s="5" t="s">
        <v>31</v>
      </c>
      <c r="H14" s="5" t="s">
        <v>17</v>
      </c>
      <c r="I14" s="5" t="s">
        <v>17</v>
      </c>
      <c r="J14" s="5" t="s">
        <v>1179</v>
      </c>
    </row>
    <row r="15" spans="1:10" x14ac:dyDescent="0.25">
      <c r="A15" s="5" t="s">
        <v>19</v>
      </c>
      <c r="B15" s="5" t="s">
        <v>16</v>
      </c>
      <c r="C15" s="5" t="s">
        <v>17</v>
      </c>
      <c r="D15" s="5"/>
      <c r="E15" s="5" t="s">
        <v>1180</v>
      </c>
      <c r="F15" s="5" t="s">
        <v>19</v>
      </c>
      <c r="G15" s="5" t="s">
        <v>31</v>
      </c>
      <c r="H15" s="5" t="s">
        <v>17</v>
      </c>
      <c r="I15" s="5" t="s">
        <v>17</v>
      </c>
      <c r="J15" s="5" t="s">
        <v>1181</v>
      </c>
    </row>
    <row r="16" spans="1:10" x14ac:dyDescent="0.25">
      <c r="A16" s="5" t="s">
        <v>19</v>
      </c>
      <c r="B16" s="5" t="s">
        <v>16</v>
      </c>
      <c r="C16" s="5" t="s">
        <v>17</v>
      </c>
      <c r="D16" s="5"/>
      <c r="E16" s="5" t="s">
        <v>1182</v>
      </c>
      <c r="F16" s="5" t="s">
        <v>19</v>
      </c>
      <c r="G16" s="5" t="s">
        <v>31</v>
      </c>
      <c r="H16" s="5" t="s">
        <v>17</v>
      </c>
      <c r="I16" s="5" t="s">
        <v>17</v>
      </c>
      <c r="J16" s="5" t="s">
        <v>1183</v>
      </c>
    </row>
    <row r="17" spans="1:10" x14ac:dyDescent="0.25">
      <c r="A17" s="5" t="s">
        <v>19</v>
      </c>
      <c r="B17" s="5" t="s">
        <v>16</v>
      </c>
      <c r="C17" s="5" t="s">
        <v>17</v>
      </c>
      <c r="D17" s="5"/>
      <c r="E17" s="5" t="s">
        <v>1184</v>
      </c>
      <c r="F17" s="5" t="s">
        <v>19</v>
      </c>
      <c r="G17" s="5" t="s">
        <v>31</v>
      </c>
      <c r="H17" s="5" t="s">
        <v>17</v>
      </c>
      <c r="I17" s="5" t="s">
        <v>17</v>
      </c>
      <c r="J17" s="5" t="s">
        <v>1185</v>
      </c>
    </row>
    <row r="18" spans="1:10" x14ac:dyDescent="0.25">
      <c r="A18" s="5" t="s">
        <v>19</v>
      </c>
      <c r="B18" s="5" t="s">
        <v>16</v>
      </c>
      <c r="C18" s="5" t="s">
        <v>17</v>
      </c>
      <c r="D18" s="5"/>
      <c r="E18" s="5" t="s">
        <v>1186</v>
      </c>
      <c r="F18" s="5" t="s">
        <v>19</v>
      </c>
      <c r="G18" s="5" t="s">
        <v>31</v>
      </c>
      <c r="H18" s="5" t="s">
        <v>17</v>
      </c>
      <c r="I18" s="5" t="s">
        <v>17</v>
      </c>
      <c r="J18" s="5" t="s">
        <v>1187</v>
      </c>
    </row>
    <row r="19" spans="1:10" x14ac:dyDescent="0.25">
      <c r="A19" s="5" t="s">
        <v>19</v>
      </c>
      <c r="B19" s="5" t="s">
        <v>16</v>
      </c>
      <c r="C19" s="5" t="s">
        <v>17</v>
      </c>
      <c r="D19" s="5"/>
      <c r="E19" s="5" t="s">
        <v>1188</v>
      </c>
      <c r="F19" s="5" t="s">
        <v>19</v>
      </c>
      <c r="G19" s="5" t="s">
        <v>31</v>
      </c>
      <c r="H19" s="5" t="s">
        <v>17</v>
      </c>
      <c r="I19" s="5" t="s">
        <v>17</v>
      </c>
      <c r="J19" s="5" t="s">
        <v>1189</v>
      </c>
    </row>
    <row r="20" spans="1:10" x14ac:dyDescent="0.25">
      <c r="A20" s="5" t="s">
        <v>19</v>
      </c>
      <c r="B20" s="5" t="s">
        <v>16</v>
      </c>
      <c r="C20" s="5" t="s">
        <v>17</v>
      </c>
      <c r="D20" s="5"/>
      <c r="E20" s="5" t="s">
        <v>1190</v>
      </c>
      <c r="F20" s="5" t="s">
        <v>19</v>
      </c>
      <c r="G20" s="5" t="s">
        <v>31</v>
      </c>
      <c r="H20" s="5" t="s">
        <v>17</v>
      </c>
      <c r="I20" s="5" t="s">
        <v>17</v>
      </c>
      <c r="J20" s="5" t="s">
        <v>1191</v>
      </c>
    </row>
    <row r="21" spans="1:10" x14ac:dyDescent="0.25">
      <c r="A21" s="5" t="s">
        <v>19</v>
      </c>
      <c r="B21" s="5" t="s">
        <v>16</v>
      </c>
      <c r="C21" s="5" t="s">
        <v>17</v>
      </c>
      <c r="D21" s="5"/>
      <c r="E21" s="5" t="s">
        <v>1192</v>
      </c>
      <c r="F21" s="5" t="s">
        <v>19</v>
      </c>
      <c r="G21" s="5" t="s">
        <v>31</v>
      </c>
      <c r="H21" s="5" t="s">
        <v>17</v>
      </c>
      <c r="I21" s="5" t="s">
        <v>17</v>
      </c>
      <c r="J21" s="5" t="s">
        <v>1193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2877</v>
      </c>
      <c r="B1" s="1"/>
      <c r="C1" s="1"/>
      <c r="D1" s="1"/>
      <c r="E1" s="1"/>
      <c r="F1" s="1"/>
      <c r="G1" s="1"/>
      <c r="H1" s="1"/>
      <c r="I1" s="1"/>
      <c r="J1" s="1"/>
    </row>
    <row r="2" spans="1:10" x14ac:dyDescent="0.25">
      <c r="A2" s="2" t="s">
        <v>1</v>
      </c>
      <c r="B2" s="3" t="s">
        <v>2878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2577</v>
      </c>
      <c r="F5" s="5" t="s">
        <v>19</v>
      </c>
      <c r="G5" s="5" t="s">
        <v>2578</v>
      </c>
      <c r="H5" s="5" t="s">
        <v>17</v>
      </c>
      <c r="I5" s="5" t="s">
        <v>17</v>
      </c>
      <c r="J5" s="5" t="s">
        <v>2579</v>
      </c>
    </row>
    <row r="6" spans="1:10" x14ac:dyDescent="0.25">
      <c r="A6" s="5" t="s">
        <v>19</v>
      </c>
      <c r="B6" s="5" t="s">
        <v>16</v>
      </c>
      <c r="C6" s="5" t="s">
        <v>17</v>
      </c>
      <c r="D6" s="5"/>
      <c r="E6" s="5" t="s">
        <v>2580</v>
      </c>
      <c r="F6" s="5" t="s">
        <v>19</v>
      </c>
      <c r="G6" s="5" t="s">
        <v>2581</v>
      </c>
      <c r="H6" s="5" t="s">
        <v>17</v>
      </c>
      <c r="I6" s="5" t="s">
        <v>17</v>
      </c>
      <c r="J6" s="5" t="s">
        <v>2582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2879</v>
      </c>
      <c r="B1" s="1"/>
      <c r="C1" s="1"/>
      <c r="D1" s="1"/>
      <c r="E1" s="1"/>
      <c r="F1" s="1"/>
      <c r="G1" s="1"/>
      <c r="H1" s="1"/>
      <c r="I1" s="1"/>
      <c r="J1" s="1"/>
    </row>
    <row r="2" spans="1:10" x14ac:dyDescent="0.25">
      <c r="A2" s="2" t="s">
        <v>1</v>
      </c>
      <c r="B2" s="3" t="s">
        <v>2880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1131</v>
      </c>
      <c r="F5" s="5" t="s">
        <v>19</v>
      </c>
      <c r="G5" s="5" t="s">
        <v>1132</v>
      </c>
      <c r="H5" s="5" t="s">
        <v>17</v>
      </c>
      <c r="I5" s="5" t="s">
        <v>17</v>
      </c>
      <c r="J5" s="5" t="s">
        <v>1133</v>
      </c>
    </row>
    <row r="6" spans="1:10" x14ac:dyDescent="0.25">
      <c r="A6" s="5" t="s">
        <v>19</v>
      </c>
      <c r="B6" s="5" t="s">
        <v>16</v>
      </c>
      <c r="C6" s="5" t="s">
        <v>17</v>
      </c>
      <c r="D6" s="5"/>
      <c r="E6" s="5" t="s">
        <v>1134</v>
      </c>
      <c r="F6" s="5" t="s">
        <v>19</v>
      </c>
      <c r="G6" s="5" t="s">
        <v>1135</v>
      </c>
      <c r="H6" s="5" t="s">
        <v>17</v>
      </c>
      <c r="I6" s="5" t="s">
        <v>17</v>
      </c>
      <c r="J6" s="5" t="s">
        <v>1136</v>
      </c>
    </row>
    <row r="7" spans="1:10" x14ac:dyDescent="0.25">
      <c r="A7" s="5" t="s">
        <v>15</v>
      </c>
      <c r="B7" s="5" t="s">
        <v>63</v>
      </c>
      <c r="C7" s="5" t="s">
        <v>17</v>
      </c>
      <c r="D7" s="5"/>
      <c r="E7" s="5" t="s">
        <v>1137</v>
      </c>
      <c r="F7" s="5" t="s">
        <v>19</v>
      </c>
      <c r="G7" s="5">
        <v>-3.35</v>
      </c>
      <c r="H7" s="5" t="s">
        <v>17</v>
      </c>
      <c r="I7" s="5" t="s">
        <v>17</v>
      </c>
      <c r="J7" s="5" t="s">
        <v>1138</v>
      </c>
    </row>
    <row r="8" spans="1:10" x14ac:dyDescent="0.25">
      <c r="A8" s="5" t="s">
        <v>15</v>
      </c>
      <c r="B8" s="5" t="s">
        <v>63</v>
      </c>
      <c r="C8" s="5" t="s">
        <v>17</v>
      </c>
      <c r="D8" s="5"/>
      <c r="E8" s="5" t="s">
        <v>1139</v>
      </c>
      <c r="F8" s="5" t="s">
        <v>19</v>
      </c>
      <c r="G8" s="5">
        <v>37.34</v>
      </c>
      <c r="H8" s="5" t="s">
        <v>17</v>
      </c>
      <c r="I8" s="5" t="s">
        <v>17</v>
      </c>
      <c r="J8" s="5" t="s">
        <v>1140</v>
      </c>
    </row>
    <row r="9" spans="1:10" x14ac:dyDescent="0.25">
      <c r="A9" s="5" t="s">
        <v>19</v>
      </c>
      <c r="B9" s="5" t="s">
        <v>16</v>
      </c>
      <c r="C9" s="5" t="s">
        <v>17</v>
      </c>
      <c r="D9" s="5"/>
      <c r="E9" s="5" t="s">
        <v>1141</v>
      </c>
      <c r="F9" s="5" t="s">
        <v>19</v>
      </c>
      <c r="G9" s="5" t="s">
        <v>1142</v>
      </c>
      <c r="H9" s="5" t="s">
        <v>17</v>
      </c>
      <c r="I9" s="5" t="s">
        <v>17</v>
      </c>
      <c r="J9" s="5" t="s">
        <v>1143</v>
      </c>
    </row>
    <row r="10" spans="1:10" x14ac:dyDescent="0.25">
      <c r="A10" s="5" t="s">
        <v>19</v>
      </c>
      <c r="B10" s="5" t="s">
        <v>16</v>
      </c>
      <c r="C10" s="5" t="s">
        <v>17</v>
      </c>
      <c r="D10" s="5"/>
      <c r="E10" s="5" t="s">
        <v>1144</v>
      </c>
      <c r="F10" s="5" t="s">
        <v>19</v>
      </c>
      <c r="G10" s="5" t="s">
        <v>1145</v>
      </c>
      <c r="H10" s="5" t="s">
        <v>17</v>
      </c>
      <c r="I10" s="5" t="s">
        <v>17</v>
      </c>
      <c r="J10" s="5" t="s">
        <v>1146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2881</v>
      </c>
      <c r="B1" s="1"/>
      <c r="C1" s="1"/>
      <c r="D1" s="1"/>
      <c r="E1" s="1"/>
      <c r="F1" s="1"/>
      <c r="G1" s="1"/>
      <c r="H1" s="1"/>
      <c r="I1" s="1"/>
      <c r="J1" s="1"/>
    </row>
    <row r="2" spans="1:10" x14ac:dyDescent="0.25">
      <c r="A2" s="2" t="s">
        <v>1</v>
      </c>
      <c r="B2" s="3" t="s">
        <v>2882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1444</v>
      </c>
      <c r="F5" s="5" t="s">
        <v>19</v>
      </c>
      <c r="G5" s="5" t="s">
        <v>1445</v>
      </c>
      <c r="H5" s="5" t="s">
        <v>17</v>
      </c>
      <c r="I5" s="5" t="s">
        <v>17</v>
      </c>
      <c r="J5" s="5" t="s">
        <v>1446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2883</v>
      </c>
      <c r="B1" s="1"/>
      <c r="C1" s="1"/>
      <c r="D1" s="1"/>
      <c r="E1" s="1"/>
      <c r="F1" s="1"/>
      <c r="G1" s="1"/>
      <c r="H1" s="1"/>
      <c r="I1" s="1"/>
      <c r="J1" s="1"/>
    </row>
    <row r="2" spans="1:10" x14ac:dyDescent="0.25">
      <c r="A2" s="2" t="s">
        <v>1</v>
      </c>
      <c r="B2" s="3" t="s">
        <v>2884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2885</v>
      </c>
      <c r="F5" s="5" t="s">
        <v>19</v>
      </c>
      <c r="G5" s="5" t="s">
        <v>2886</v>
      </c>
      <c r="H5" s="5" t="s">
        <v>17</v>
      </c>
      <c r="I5" s="5" t="s">
        <v>17</v>
      </c>
      <c r="J5" s="5" t="s">
        <v>666</v>
      </c>
    </row>
    <row r="6" spans="1:10" x14ac:dyDescent="0.25">
      <c r="A6" s="5" t="s">
        <v>15</v>
      </c>
      <c r="B6" s="5" t="s">
        <v>16</v>
      </c>
      <c r="C6" s="5" t="s">
        <v>17</v>
      </c>
      <c r="D6" s="5"/>
      <c r="E6" s="5" t="s">
        <v>2887</v>
      </c>
      <c r="F6" s="5" t="s">
        <v>19</v>
      </c>
      <c r="G6" s="5" t="s">
        <v>2888</v>
      </c>
      <c r="H6" s="5" t="s">
        <v>17</v>
      </c>
      <c r="I6" s="5" t="s">
        <v>17</v>
      </c>
      <c r="J6" s="5" t="s">
        <v>2889</v>
      </c>
    </row>
    <row r="7" spans="1:10" x14ac:dyDescent="0.25">
      <c r="A7" s="5" t="s">
        <v>15</v>
      </c>
      <c r="B7" s="5" t="s">
        <v>16</v>
      </c>
      <c r="C7" s="5" t="s">
        <v>17</v>
      </c>
      <c r="D7" s="5"/>
      <c r="E7" s="5" t="s">
        <v>2890</v>
      </c>
      <c r="F7" s="5" t="s">
        <v>19</v>
      </c>
      <c r="G7" s="5" t="s">
        <v>2891</v>
      </c>
      <c r="H7" s="5" t="s">
        <v>17</v>
      </c>
      <c r="I7" s="5" t="s">
        <v>17</v>
      </c>
      <c r="J7" s="5" t="s">
        <v>2892</v>
      </c>
    </row>
    <row r="8" spans="1:10" x14ac:dyDescent="0.25">
      <c r="A8" s="5" t="s">
        <v>15</v>
      </c>
      <c r="B8" s="5" t="s">
        <v>16</v>
      </c>
      <c r="C8" s="5" t="s">
        <v>17</v>
      </c>
      <c r="D8" s="5"/>
      <c r="E8" s="5" t="s">
        <v>2893</v>
      </c>
      <c r="F8" s="5" t="s">
        <v>19</v>
      </c>
      <c r="G8" s="5" t="s">
        <v>2894</v>
      </c>
      <c r="H8" s="5" t="s">
        <v>17</v>
      </c>
      <c r="I8" s="5" t="s">
        <v>17</v>
      </c>
      <c r="J8" s="5" t="s">
        <v>2895</v>
      </c>
    </row>
    <row r="9" spans="1:10" x14ac:dyDescent="0.25">
      <c r="A9" s="5" t="s">
        <v>15</v>
      </c>
      <c r="B9" s="5" t="s">
        <v>16</v>
      </c>
      <c r="C9" s="5" t="s">
        <v>17</v>
      </c>
      <c r="D9" s="5"/>
      <c r="E9" s="5" t="s">
        <v>2896</v>
      </c>
      <c r="F9" s="5" t="s">
        <v>19</v>
      </c>
      <c r="G9" s="5" t="s">
        <v>2897</v>
      </c>
      <c r="H9" s="5" t="s">
        <v>17</v>
      </c>
      <c r="I9" s="5" t="s">
        <v>17</v>
      </c>
      <c r="J9" s="5" t="s">
        <v>2898</v>
      </c>
    </row>
    <row r="10" spans="1:10" x14ac:dyDescent="0.25">
      <c r="A10" s="5" t="s">
        <v>19</v>
      </c>
      <c r="B10" s="5" t="s">
        <v>16</v>
      </c>
      <c r="C10" s="5" t="s">
        <v>17</v>
      </c>
      <c r="D10" s="5"/>
      <c r="E10" s="5" t="s">
        <v>2899</v>
      </c>
      <c r="F10" s="5" t="s">
        <v>19</v>
      </c>
      <c r="G10" s="5" t="s">
        <v>2900</v>
      </c>
      <c r="H10" s="5" t="s">
        <v>17</v>
      </c>
      <c r="I10" s="5" t="s">
        <v>17</v>
      </c>
      <c r="J10" s="5" t="s">
        <v>2901</v>
      </c>
    </row>
    <row r="11" spans="1:10" x14ac:dyDescent="0.25">
      <c r="A11" s="5" t="s">
        <v>15</v>
      </c>
      <c r="B11" s="5" t="s">
        <v>16</v>
      </c>
      <c r="C11" s="5" t="s">
        <v>17</v>
      </c>
      <c r="D11" s="5"/>
      <c r="E11" s="5" t="s">
        <v>2902</v>
      </c>
      <c r="F11" s="5" t="s">
        <v>19</v>
      </c>
      <c r="G11" s="5" t="s">
        <v>2903</v>
      </c>
      <c r="H11" s="5" t="s">
        <v>17</v>
      </c>
      <c r="I11" s="5" t="s">
        <v>17</v>
      </c>
      <c r="J11" s="5" t="s">
        <v>2904</v>
      </c>
    </row>
    <row r="12" spans="1:10" x14ac:dyDescent="0.25">
      <c r="A12" s="5" t="s">
        <v>15</v>
      </c>
      <c r="B12" s="5" t="s">
        <v>16</v>
      </c>
      <c r="C12" s="5" t="s">
        <v>17</v>
      </c>
      <c r="D12" s="5"/>
      <c r="E12" s="5" t="s">
        <v>2905</v>
      </c>
      <c r="F12" s="5" t="s">
        <v>19</v>
      </c>
      <c r="G12" s="5" t="s">
        <v>2906</v>
      </c>
      <c r="H12" s="5" t="s">
        <v>17</v>
      </c>
      <c r="I12" s="5" t="s">
        <v>17</v>
      </c>
      <c r="J12" s="5" t="s">
        <v>2907</v>
      </c>
    </row>
    <row r="13" spans="1:10" x14ac:dyDescent="0.25">
      <c r="A13" s="5" t="s">
        <v>19</v>
      </c>
      <c r="B13" s="5" t="s">
        <v>16</v>
      </c>
      <c r="C13" s="5" t="s">
        <v>17</v>
      </c>
      <c r="D13" s="5"/>
      <c r="E13" s="5" t="s">
        <v>2908</v>
      </c>
      <c r="F13" s="5" t="s">
        <v>19</v>
      </c>
      <c r="G13" s="5" t="s">
        <v>2909</v>
      </c>
      <c r="H13" s="5" t="s">
        <v>17</v>
      </c>
      <c r="I13" s="5" t="s">
        <v>17</v>
      </c>
      <c r="J13" s="5" t="s">
        <v>2910</v>
      </c>
    </row>
    <row r="14" spans="1:10" x14ac:dyDescent="0.25">
      <c r="A14" s="5" t="s">
        <v>19</v>
      </c>
      <c r="B14" s="5" t="s">
        <v>16</v>
      </c>
      <c r="C14" s="5" t="s">
        <v>17</v>
      </c>
      <c r="D14" s="5"/>
      <c r="E14" s="5" t="s">
        <v>2911</v>
      </c>
      <c r="F14" s="5" t="s">
        <v>19</v>
      </c>
      <c r="G14" s="5" t="s">
        <v>2912</v>
      </c>
      <c r="H14" s="5" t="s">
        <v>17</v>
      </c>
      <c r="I14" s="5" t="s">
        <v>17</v>
      </c>
      <c r="J14" s="5" t="s">
        <v>2913</v>
      </c>
    </row>
    <row r="15" spans="1:10" x14ac:dyDescent="0.25">
      <c r="A15" s="5" t="s">
        <v>15</v>
      </c>
      <c r="B15" s="5" t="s">
        <v>16</v>
      </c>
      <c r="C15" s="5" t="s">
        <v>17</v>
      </c>
      <c r="D15" s="5"/>
      <c r="E15" s="5" t="s">
        <v>2914</v>
      </c>
      <c r="F15" s="5" t="s">
        <v>19</v>
      </c>
      <c r="G15" s="5" t="s">
        <v>2915</v>
      </c>
      <c r="H15" s="5" t="s">
        <v>17</v>
      </c>
      <c r="I15" s="5" t="s">
        <v>17</v>
      </c>
      <c r="J15" s="5" t="s">
        <v>2916</v>
      </c>
    </row>
    <row r="16" spans="1:10" x14ac:dyDescent="0.25">
      <c r="A16" s="5" t="s">
        <v>19</v>
      </c>
      <c r="B16" s="5" t="s">
        <v>16</v>
      </c>
      <c r="C16" s="5" t="s">
        <v>17</v>
      </c>
      <c r="D16" s="5"/>
      <c r="E16" s="5" t="s">
        <v>2917</v>
      </c>
      <c r="F16" s="5" t="s">
        <v>19</v>
      </c>
      <c r="G16" s="5" t="s">
        <v>2065</v>
      </c>
      <c r="H16" s="5" t="s">
        <v>17</v>
      </c>
      <c r="I16" s="5" t="s">
        <v>17</v>
      </c>
      <c r="J16" s="5" t="s">
        <v>2918</v>
      </c>
    </row>
    <row r="17" spans="1:10" x14ac:dyDescent="0.25">
      <c r="A17" s="5" t="s">
        <v>19</v>
      </c>
      <c r="B17" s="5" t="s">
        <v>16</v>
      </c>
      <c r="C17" s="5" t="s">
        <v>17</v>
      </c>
      <c r="D17" s="5"/>
      <c r="E17" s="5" t="s">
        <v>2919</v>
      </c>
      <c r="F17" s="5" t="s">
        <v>19</v>
      </c>
      <c r="G17" s="5" t="s">
        <v>2920</v>
      </c>
      <c r="H17" s="5" t="s">
        <v>17</v>
      </c>
      <c r="I17" s="5" t="s">
        <v>17</v>
      </c>
      <c r="J17" s="5" t="s">
        <v>2921</v>
      </c>
    </row>
    <row r="18" spans="1:10" x14ac:dyDescent="0.25">
      <c r="A18" s="5" t="s">
        <v>19</v>
      </c>
      <c r="B18" s="5" t="s">
        <v>16</v>
      </c>
      <c r="C18" s="5" t="s">
        <v>17</v>
      </c>
      <c r="D18" s="5"/>
      <c r="E18" s="5" t="s">
        <v>2922</v>
      </c>
      <c r="F18" s="5" t="s">
        <v>19</v>
      </c>
      <c r="G18" s="5" t="s">
        <v>2471</v>
      </c>
      <c r="H18" s="5" t="s">
        <v>17</v>
      </c>
      <c r="I18" s="5" t="s">
        <v>17</v>
      </c>
      <c r="J18" s="5" t="s">
        <v>2923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2924</v>
      </c>
      <c r="B1" s="1"/>
      <c r="C1" s="1"/>
      <c r="D1" s="1"/>
      <c r="E1" s="1"/>
      <c r="F1" s="1"/>
      <c r="G1" s="1"/>
      <c r="H1" s="1"/>
      <c r="I1" s="1"/>
      <c r="J1" s="1"/>
    </row>
    <row r="2" spans="1:10" x14ac:dyDescent="0.25">
      <c r="A2" s="2" t="s">
        <v>1</v>
      </c>
      <c r="B2" s="3" t="s">
        <v>2925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1320</v>
      </c>
      <c r="C5" s="5" t="s">
        <v>17</v>
      </c>
      <c r="D5" s="5"/>
      <c r="E5" s="5" t="s">
        <v>1321</v>
      </c>
      <c r="F5" s="5" t="s">
        <v>15</v>
      </c>
      <c r="G5" s="5" t="s">
        <v>17</v>
      </c>
      <c r="H5" s="5" t="s">
        <v>17</v>
      </c>
      <c r="I5" s="5" t="s">
        <v>17</v>
      </c>
      <c r="J5" s="5" t="s">
        <v>1322</v>
      </c>
    </row>
    <row r="6" spans="1:10" x14ac:dyDescent="0.25" outlineLevel="1" collapsed="1">
      <c r="A6" s="7" t="s">
        <v>19</v>
      </c>
      <c r="B6" s="7" t="s">
        <v>16</v>
      </c>
      <c r="C6" s="7" t="s">
        <v>17</v>
      </c>
      <c r="D6" s="7"/>
      <c r="E6" s="7" t="s">
        <v>478</v>
      </c>
      <c r="F6" s="7" t="s">
        <v>19</v>
      </c>
      <c r="G6" s="7" t="s">
        <v>31</v>
      </c>
      <c r="H6" s="7" t="s">
        <v>17</v>
      </c>
      <c r="I6" s="7" t="s">
        <v>17</v>
      </c>
      <c r="J6" s="7" t="s">
        <v>1323</v>
      </c>
    </row>
    <row r="7" spans="1:10" x14ac:dyDescent="0.25" outlineLevel="1" collapsed="1">
      <c r="A7" s="7" t="s">
        <v>19</v>
      </c>
      <c r="B7" s="7" t="s">
        <v>16</v>
      </c>
      <c r="C7" s="7" t="s">
        <v>17</v>
      </c>
      <c r="D7" s="7"/>
      <c r="E7" s="7" t="s">
        <v>1324</v>
      </c>
      <c r="F7" s="7" t="s">
        <v>19</v>
      </c>
      <c r="G7" s="7" t="s">
        <v>31</v>
      </c>
      <c r="H7" s="7" t="s">
        <v>17</v>
      </c>
      <c r="I7" s="7" t="s">
        <v>17</v>
      </c>
      <c r="J7" s="7" t="s">
        <v>1325</v>
      </c>
    </row>
    <row r="8" spans="1:10" x14ac:dyDescent="0.25" outlineLevel="1" collapsed="1">
      <c r="A8" s="7" t="s">
        <v>19</v>
      </c>
      <c r="B8" s="7" t="s">
        <v>16</v>
      </c>
      <c r="C8" s="7" t="s">
        <v>17</v>
      </c>
      <c r="D8" s="7"/>
      <c r="E8" s="7" t="s">
        <v>1326</v>
      </c>
      <c r="F8" s="7" t="s">
        <v>19</v>
      </c>
      <c r="G8" s="7" t="s">
        <v>31</v>
      </c>
      <c r="H8" s="7" t="s">
        <v>17</v>
      </c>
      <c r="I8" s="7" t="s">
        <v>17</v>
      </c>
      <c r="J8" s="7" t="s">
        <v>1327</v>
      </c>
    </row>
    <row r="9" spans="1:10" x14ac:dyDescent="0.25" outlineLevel="1" collapsed="1">
      <c r="A9" s="7" t="s">
        <v>19</v>
      </c>
      <c r="B9" s="7" t="s">
        <v>16</v>
      </c>
      <c r="C9" s="7" t="s">
        <v>17</v>
      </c>
      <c r="D9" s="7"/>
      <c r="E9" s="7" t="s">
        <v>1328</v>
      </c>
      <c r="F9" s="7" t="s">
        <v>19</v>
      </c>
      <c r="G9" s="7" t="s">
        <v>31</v>
      </c>
      <c r="H9" s="7" t="s">
        <v>17</v>
      </c>
      <c r="I9" s="7" t="s">
        <v>17</v>
      </c>
      <c r="J9" s="7" t="s">
        <v>824</v>
      </c>
    </row>
  </sheetData>
  <mergeCells count="3">
    <mergeCell ref="A1:J1"/>
    <mergeCell ref="B2:J2"/>
    <mergeCell ref="B3:J3"/>
  </mergeCells>
  <hyperlinks>
    <hyperlink ref="B5" r:id="rId1" location="#'Methodology details row (VCS P'!A1"/>
  </hyperlink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2926</v>
      </c>
      <c r="B1" s="1"/>
      <c r="C1" s="1"/>
      <c r="D1" s="1"/>
      <c r="E1" s="1"/>
      <c r="F1" s="1"/>
      <c r="G1" s="1"/>
      <c r="H1" s="1"/>
      <c r="I1" s="1"/>
      <c r="J1" s="1"/>
    </row>
    <row r="2" spans="1:10" x14ac:dyDescent="0.25">
      <c r="A2" s="2" t="s">
        <v>1</v>
      </c>
      <c r="B2" s="3" t="s">
        <v>2927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1332</v>
      </c>
      <c r="C5" s="5" t="s">
        <v>17</v>
      </c>
      <c r="D5" s="5"/>
      <c r="E5" s="5" t="s">
        <v>1333</v>
      </c>
      <c r="F5" s="5" t="s">
        <v>19</v>
      </c>
      <c r="G5" s="5" t="s">
        <v>17</v>
      </c>
      <c r="H5" s="5" t="s">
        <v>17</v>
      </c>
      <c r="I5" s="5" t="s">
        <v>17</v>
      </c>
      <c r="J5" s="5" t="s">
        <v>1334</v>
      </c>
    </row>
    <row r="6" spans="1:10" x14ac:dyDescent="0.25" outlineLevel="1" collapsed="1">
      <c r="A6" s="7" t="s">
        <v>15</v>
      </c>
      <c r="B6" s="7" t="s">
        <v>16</v>
      </c>
      <c r="C6" s="7" t="s">
        <v>17</v>
      </c>
      <c r="D6" s="7"/>
      <c r="E6" s="7" t="s">
        <v>1335</v>
      </c>
      <c r="F6" s="7" t="s">
        <v>19</v>
      </c>
      <c r="G6" s="7" t="s">
        <v>1336</v>
      </c>
      <c r="H6" s="7" t="s">
        <v>17</v>
      </c>
      <c r="I6" s="7" t="s">
        <v>17</v>
      </c>
      <c r="J6" s="7" t="s">
        <v>526</v>
      </c>
    </row>
    <row r="7" spans="1:10" x14ac:dyDescent="0.25">
      <c r="A7" s="5" t="s">
        <v>15</v>
      </c>
      <c r="B7" s="6" t="s">
        <v>1337</v>
      </c>
      <c r="C7" s="5" t="s">
        <v>17</v>
      </c>
      <c r="D7" s="5"/>
      <c r="E7" s="5" t="s">
        <v>1338</v>
      </c>
      <c r="F7" s="5" t="s">
        <v>19</v>
      </c>
      <c r="G7" s="5" t="s">
        <v>17</v>
      </c>
      <c r="H7" s="5" t="s">
        <v>17</v>
      </c>
      <c r="I7" s="5" t="s">
        <v>17</v>
      </c>
      <c r="J7" s="5" t="s">
        <v>531</v>
      </c>
    </row>
    <row r="8" spans="1:10" x14ac:dyDescent="0.25" outlineLevel="1" collapsed="1">
      <c r="A8" s="7" t="s">
        <v>15</v>
      </c>
      <c r="B8" s="7" t="s">
        <v>159</v>
      </c>
      <c r="C8" s="7" t="s">
        <v>17</v>
      </c>
      <c r="D8" s="7"/>
      <c r="E8" s="7" t="s">
        <v>1339</v>
      </c>
      <c r="F8" s="7" t="s">
        <v>19</v>
      </c>
      <c r="G8" s="7" t="b">
        <v>0</v>
      </c>
      <c r="H8" s="7" t="s">
        <v>17</v>
      </c>
      <c r="I8" s="7" t="s">
        <v>17</v>
      </c>
      <c r="J8" s="7" t="s">
        <v>1340</v>
      </c>
    </row>
    <row r="9" spans="1:10" x14ac:dyDescent="0.25" outlineLevel="1" collapsed="1">
      <c r="A9" s="7" t="s">
        <v>15</v>
      </c>
      <c r="B9" s="7" t="s">
        <v>16</v>
      </c>
      <c r="C9" s="7" t="s">
        <v>17</v>
      </c>
      <c r="D9" s="7"/>
      <c r="E9" s="7" t="s">
        <v>1341</v>
      </c>
      <c r="F9" s="7" t="s">
        <v>19</v>
      </c>
      <c r="G9" s="7" t="s">
        <v>1342</v>
      </c>
      <c r="H9" s="7" t="s">
        <v>1342</v>
      </c>
      <c r="I9" s="7" t="s">
        <v>17</v>
      </c>
      <c r="J9" s="7" t="s">
        <v>1343</v>
      </c>
    </row>
    <row r="10" spans="1:10" x14ac:dyDescent="0.25">
      <c r="A10" s="5" t="s">
        <v>19</v>
      </c>
      <c r="B10" s="6" t="s">
        <v>1344</v>
      </c>
      <c r="C10" s="5" t="s">
        <v>17</v>
      </c>
      <c r="D10" s="5"/>
      <c r="E10" s="5" t="s">
        <v>1344</v>
      </c>
      <c r="F10" s="5" t="s">
        <v>15</v>
      </c>
      <c r="G10" s="5" t="s">
        <v>17</v>
      </c>
      <c r="H10" s="5" t="s">
        <v>17</v>
      </c>
      <c r="I10" s="5" t="s">
        <v>17</v>
      </c>
      <c r="J10" s="5" t="s">
        <v>529</v>
      </c>
    </row>
    <row r="11" spans="1:10" x14ac:dyDescent="0.25" outlineLevel="1" collapsed="1">
      <c r="A11" s="7" t="s">
        <v>19</v>
      </c>
      <c r="B11" s="7" t="s">
        <v>16</v>
      </c>
      <c r="C11" s="7" t="s">
        <v>17</v>
      </c>
      <c r="D11" s="7"/>
      <c r="E11" s="7" t="s">
        <v>1345</v>
      </c>
      <c r="F11" s="7" t="s">
        <v>19</v>
      </c>
      <c r="G11" s="7" t="s">
        <v>31</v>
      </c>
      <c r="H11" s="7" t="s">
        <v>17</v>
      </c>
      <c r="I11" s="7" t="s">
        <v>17</v>
      </c>
      <c r="J11" s="7" t="s">
        <v>1346</v>
      </c>
    </row>
    <row r="12" spans="1:10" x14ac:dyDescent="0.25" outlineLevel="1" collapsed="1">
      <c r="A12" s="7" t="s">
        <v>19</v>
      </c>
      <c r="B12" s="7" t="s">
        <v>16</v>
      </c>
      <c r="C12" s="7" t="s">
        <v>17</v>
      </c>
      <c r="D12" s="7"/>
      <c r="E12" s="7" t="s">
        <v>1347</v>
      </c>
      <c r="F12" s="7" t="s">
        <v>19</v>
      </c>
      <c r="G12" s="7" t="s">
        <v>31</v>
      </c>
      <c r="H12" s="7" t="s">
        <v>17</v>
      </c>
      <c r="I12" s="7" t="s">
        <v>17</v>
      </c>
      <c r="J12" s="7" t="s">
        <v>1348</v>
      </c>
    </row>
    <row r="13" spans="1:10" x14ac:dyDescent="0.25" outlineLevel="1" collapsed="1">
      <c r="A13" s="7" t="s">
        <v>19</v>
      </c>
      <c r="B13" s="7" t="s">
        <v>16</v>
      </c>
      <c r="C13" s="7" t="s">
        <v>17</v>
      </c>
      <c r="D13" s="7"/>
      <c r="E13" s="7" t="s">
        <v>1349</v>
      </c>
      <c r="F13" s="7" t="s">
        <v>19</v>
      </c>
      <c r="G13" s="7" t="s">
        <v>31</v>
      </c>
      <c r="H13" s="7" t="s">
        <v>17</v>
      </c>
      <c r="I13" s="7" t="s">
        <v>17</v>
      </c>
      <c r="J13" s="7" t="s">
        <v>1350</v>
      </c>
    </row>
    <row r="14" spans="1:10" x14ac:dyDescent="0.25" outlineLevel="1" collapsed="1">
      <c r="A14" s="7" t="s">
        <v>19</v>
      </c>
      <c r="B14" s="7" t="s">
        <v>16</v>
      </c>
      <c r="C14" s="7" t="s">
        <v>17</v>
      </c>
      <c r="D14" s="7"/>
      <c r="E14" s="7" t="s">
        <v>9</v>
      </c>
      <c r="F14" s="7" t="s">
        <v>19</v>
      </c>
      <c r="G14" s="7" t="s">
        <v>31</v>
      </c>
      <c r="H14" s="7" t="s">
        <v>17</v>
      </c>
      <c r="I14" s="7" t="s">
        <v>17</v>
      </c>
      <c r="J14" s="7" t="s">
        <v>843</v>
      </c>
    </row>
    <row r="15" spans="1:10" x14ac:dyDescent="0.25">
      <c r="A15" s="5" t="s">
        <v>19</v>
      </c>
      <c r="B15" s="6" t="s">
        <v>1351</v>
      </c>
      <c r="C15" s="5" t="s">
        <v>17</v>
      </c>
      <c r="D15" s="5"/>
      <c r="E15" s="5" t="s">
        <v>1352</v>
      </c>
      <c r="F15" s="5" t="s">
        <v>15</v>
      </c>
      <c r="G15" s="5" t="s">
        <v>17</v>
      </c>
      <c r="H15" s="5" t="s">
        <v>17</v>
      </c>
      <c r="I15" s="5" t="s">
        <v>17</v>
      </c>
      <c r="J15" s="5" t="s">
        <v>1353</v>
      </c>
    </row>
    <row r="16" spans="1:10" x14ac:dyDescent="0.25" outlineLevel="1" collapsed="1">
      <c r="A16" s="7" t="s">
        <v>19</v>
      </c>
      <c r="B16" s="7" t="s">
        <v>16</v>
      </c>
      <c r="C16" s="7" t="s">
        <v>17</v>
      </c>
      <c r="D16" s="7"/>
      <c r="E16" s="7" t="s">
        <v>1354</v>
      </c>
      <c r="F16" s="7" t="s">
        <v>19</v>
      </c>
      <c r="G16" s="7" t="s">
        <v>31</v>
      </c>
      <c r="H16" s="7" t="s">
        <v>17</v>
      </c>
      <c r="I16" s="7" t="s">
        <v>17</v>
      </c>
      <c r="J16" s="7" t="s">
        <v>1355</v>
      </c>
    </row>
    <row r="17" spans="1:10" x14ac:dyDescent="0.25" outlineLevel="1" collapsed="1">
      <c r="A17" s="7" t="s">
        <v>19</v>
      </c>
      <c r="B17" s="7" t="s">
        <v>16</v>
      </c>
      <c r="C17" s="7" t="s">
        <v>17</v>
      </c>
      <c r="D17" s="7"/>
      <c r="E17" s="7" t="s">
        <v>1356</v>
      </c>
      <c r="F17" s="7" t="s">
        <v>19</v>
      </c>
      <c r="G17" s="7" t="s">
        <v>31</v>
      </c>
      <c r="H17" s="7" t="s">
        <v>17</v>
      </c>
      <c r="I17" s="7" t="s">
        <v>17</v>
      </c>
      <c r="J17" s="7" t="s">
        <v>1357</v>
      </c>
    </row>
    <row r="18" spans="1:10" x14ac:dyDescent="0.25" outlineLevel="1" collapsed="1">
      <c r="A18" s="7" t="s">
        <v>19</v>
      </c>
      <c r="B18" s="7" t="s">
        <v>16</v>
      </c>
      <c r="C18" s="7" t="s">
        <v>17</v>
      </c>
      <c r="D18" s="7"/>
      <c r="E18" s="7" t="s">
        <v>1358</v>
      </c>
      <c r="F18" s="7" t="s">
        <v>19</v>
      </c>
      <c r="G18" s="7" t="s">
        <v>31</v>
      </c>
      <c r="H18" s="7" t="s">
        <v>17</v>
      </c>
      <c r="I18" s="7" t="s">
        <v>17</v>
      </c>
      <c r="J18" s="7" t="s">
        <v>1359</v>
      </c>
    </row>
    <row r="19" spans="1:10" x14ac:dyDescent="0.25" outlineLevel="1" collapsed="1">
      <c r="A19" s="7" t="s">
        <v>19</v>
      </c>
      <c r="B19" s="7" t="s">
        <v>63</v>
      </c>
      <c r="C19" s="7" t="s">
        <v>17</v>
      </c>
      <c r="D19" s="7"/>
      <c r="E19" s="7" t="s">
        <v>1360</v>
      </c>
      <c r="F19" s="7" t="s">
        <v>19</v>
      </c>
      <c r="G19" s="7">
        <v>1</v>
      </c>
      <c r="H19" s="7" t="s">
        <v>17</v>
      </c>
      <c r="I19" s="7" t="s">
        <v>17</v>
      </c>
      <c r="J19" s="7" t="s">
        <v>1361</v>
      </c>
    </row>
    <row r="20" spans="1:10" x14ac:dyDescent="0.25" outlineLevel="1" collapsed="1">
      <c r="A20" s="7" t="s">
        <v>19</v>
      </c>
      <c r="B20" s="7" t="s">
        <v>16</v>
      </c>
      <c r="C20" s="7" t="s">
        <v>17</v>
      </c>
      <c r="D20" s="7"/>
      <c r="E20" s="7" t="s">
        <v>1362</v>
      </c>
      <c r="F20" s="7" t="s">
        <v>19</v>
      </c>
      <c r="G20" s="7" t="s">
        <v>31</v>
      </c>
      <c r="H20" s="7" t="s">
        <v>17</v>
      </c>
      <c r="I20" s="7" t="s">
        <v>17</v>
      </c>
      <c r="J20" s="7" t="s">
        <v>1191</v>
      </c>
    </row>
  </sheetData>
  <mergeCells count="3">
    <mergeCell ref="A1:J1"/>
    <mergeCell ref="B2:J2"/>
    <mergeCell ref="B3:J3"/>
  </mergeCells>
  <hyperlinks>
    <hyperlink ref="B5" r:id="rId1" location="#'MR 3.2.1 General Implementatio'!A1"/>
    <hyperlink ref="B7" r:id="rId2" location="#'MR 3.2.2 Loss Events (VCS MR 3'!A1"/>
    <hyperlink ref="B10" r:id="rId3" location="#'General implementation status'!A1"/>
    <hyperlink ref="B15" r:id="rId4" location="#'Loss events row (VCS v5.0B)'!A1"/>
  </hyperlink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2928</v>
      </c>
      <c r="B1" s="1"/>
      <c r="C1" s="1"/>
      <c r="D1" s="1"/>
      <c r="E1" s="1"/>
      <c r="F1" s="1"/>
      <c r="G1" s="1"/>
      <c r="H1" s="1"/>
      <c r="I1" s="1"/>
      <c r="J1" s="1"/>
    </row>
    <row r="2" spans="1:10" x14ac:dyDescent="0.25">
      <c r="A2" s="2" t="s">
        <v>1</v>
      </c>
      <c r="B2" s="3" t="s">
        <v>2929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1450</v>
      </c>
      <c r="F5" s="5" t="s">
        <v>19</v>
      </c>
      <c r="G5" s="5" t="s">
        <v>1451</v>
      </c>
      <c r="H5" s="5" t="s">
        <v>17</v>
      </c>
      <c r="I5" s="5" t="s">
        <v>17</v>
      </c>
      <c r="J5" s="5" t="s">
        <v>1452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2930</v>
      </c>
      <c r="B1" s="1"/>
      <c r="C1" s="1"/>
      <c r="D1" s="1"/>
      <c r="E1" s="1"/>
      <c r="F1" s="1"/>
      <c r="G1" s="1"/>
      <c r="H1" s="1"/>
      <c r="I1" s="1"/>
      <c r="J1" s="1"/>
    </row>
    <row r="2" spans="1:10" x14ac:dyDescent="0.25">
      <c r="A2" s="2" t="s">
        <v>1</v>
      </c>
      <c r="B2" s="3" t="s">
        <v>2931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1070</v>
      </c>
      <c r="F5" s="5" t="s">
        <v>19</v>
      </c>
      <c r="G5" s="5" t="s">
        <v>985</v>
      </c>
      <c r="H5" s="5" t="s">
        <v>17</v>
      </c>
      <c r="I5" s="5" t="s">
        <v>17</v>
      </c>
      <c r="J5" s="5" t="s">
        <v>986</v>
      </c>
    </row>
    <row r="6" spans="1:10" x14ac:dyDescent="0.25">
      <c r="A6" s="5" t="s">
        <v>19</v>
      </c>
      <c r="B6" s="5" t="s">
        <v>16</v>
      </c>
      <c r="C6" s="5" t="s">
        <v>17</v>
      </c>
      <c r="D6" s="5"/>
      <c r="E6" s="5" t="s">
        <v>987</v>
      </c>
      <c r="F6" s="5" t="s">
        <v>19</v>
      </c>
      <c r="G6" s="5" t="s">
        <v>31</v>
      </c>
      <c r="H6" s="5" t="s">
        <v>17</v>
      </c>
      <c r="I6" s="5" t="s">
        <v>17</v>
      </c>
      <c r="J6" s="5" t="s">
        <v>988</v>
      </c>
    </row>
    <row r="7" spans="1:10" x14ac:dyDescent="0.25">
      <c r="A7" s="5" t="s">
        <v>19</v>
      </c>
      <c r="B7" s="5" t="s">
        <v>16</v>
      </c>
      <c r="C7" s="5" t="s">
        <v>17</v>
      </c>
      <c r="D7" s="5"/>
      <c r="E7" s="5" t="s">
        <v>989</v>
      </c>
      <c r="F7" s="5" t="s">
        <v>19</v>
      </c>
      <c r="G7" s="5" t="s">
        <v>31</v>
      </c>
      <c r="H7" s="5" t="s">
        <v>17</v>
      </c>
      <c r="I7" s="5" t="s">
        <v>17</v>
      </c>
      <c r="J7" s="5" t="s">
        <v>990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2932</v>
      </c>
      <c r="B1" s="1"/>
      <c r="C1" s="1"/>
      <c r="D1" s="1"/>
      <c r="E1" s="1"/>
      <c r="F1" s="1"/>
      <c r="G1" s="1"/>
      <c r="H1" s="1"/>
      <c r="I1" s="1"/>
      <c r="J1" s="1"/>
    </row>
    <row r="2" spans="1:10" x14ac:dyDescent="0.25">
      <c r="A2" s="2" t="s">
        <v>1</v>
      </c>
      <c r="B2" s="3" t="s">
        <v>2933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1125</v>
      </c>
      <c r="F5" s="5" t="s">
        <v>19</v>
      </c>
      <c r="G5" s="5" t="s">
        <v>1126</v>
      </c>
      <c r="H5" s="5" t="s">
        <v>17</v>
      </c>
      <c r="I5" s="5" t="s">
        <v>17</v>
      </c>
      <c r="J5" s="5" t="s">
        <v>1127</v>
      </c>
    </row>
    <row r="6" spans="1:10" x14ac:dyDescent="0.25">
      <c r="A6" s="5" t="s">
        <v>19</v>
      </c>
      <c r="B6" s="6" t="s">
        <v>1128</v>
      </c>
      <c r="C6" s="5" t="s">
        <v>17</v>
      </c>
      <c r="D6" s="5"/>
      <c r="E6" s="5" t="s">
        <v>2419</v>
      </c>
      <c r="F6" s="5" t="s">
        <v>15</v>
      </c>
      <c r="G6" s="5" t="s">
        <v>17</v>
      </c>
      <c r="H6" s="5" t="s">
        <v>17</v>
      </c>
      <c r="I6" s="5" t="s">
        <v>17</v>
      </c>
      <c r="J6" s="5" t="s">
        <v>1130</v>
      </c>
    </row>
    <row r="7" spans="1:10" x14ac:dyDescent="0.25" outlineLevel="1" collapsed="1">
      <c r="A7" s="7" t="s">
        <v>15</v>
      </c>
      <c r="B7" s="7" t="s">
        <v>16</v>
      </c>
      <c r="C7" s="7" t="s">
        <v>17</v>
      </c>
      <c r="D7" s="7"/>
      <c r="E7" s="7" t="s">
        <v>1131</v>
      </c>
      <c r="F7" s="7" t="s">
        <v>19</v>
      </c>
      <c r="G7" s="7" t="s">
        <v>1132</v>
      </c>
      <c r="H7" s="7" t="s">
        <v>17</v>
      </c>
      <c r="I7" s="7" t="s">
        <v>17</v>
      </c>
      <c r="J7" s="7" t="s">
        <v>1133</v>
      </c>
    </row>
    <row r="8" spans="1:10" x14ac:dyDescent="0.25" outlineLevel="1" collapsed="1">
      <c r="A8" s="7" t="s">
        <v>19</v>
      </c>
      <c r="B8" s="7" t="s">
        <v>16</v>
      </c>
      <c r="C8" s="7" t="s">
        <v>17</v>
      </c>
      <c r="D8" s="7"/>
      <c r="E8" s="7" t="s">
        <v>1134</v>
      </c>
      <c r="F8" s="7" t="s">
        <v>19</v>
      </c>
      <c r="G8" s="7" t="s">
        <v>1135</v>
      </c>
      <c r="H8" s="7" t="s">
        <v>17</v>
      </c>
      <c r="I8" s="7" t="s">
        <v>17</v>
      </c>
      <c r="J8" s="7" t="s">
        <v>1136</v>
      </c>
    </row>
    <row r="9" spans="1:10" x14ac:dyDescent="0.25" outlineLevel="1" collapsed="1">
      <c r="A9" s="7" t="s">
        <v>15</v>
      </c>
      <c r="B9" s="7" t="s">
        <v>63</v>
      </c>
      <c r="C9" s="7" t="s">
        <v>17</v>
      </c>
      <c r="D9" s="7"/>
      <c r="E9" s="7" t="s">
        <v>1137</v>
      </c>
      <c r="F9" s="7" t="s">
        <v>19</v>
      </c>
      <c r="G9" s="7">
        <v>-3.35</v>
      </c>
      <c r="H9" s="7" t="s">
        <v>17</v>
      </c>
      <c r="I9" s="7" t="s">
        <v>17</v>
      </c>
      <c r="J9" s="7" t="s">
        <v>1138</v>
      </c>
    </row>
    <row r="10" spans="1:10" x14ac:dyDescent="0.25" outlineLevel="1" collapsed="1">
      <c r="A10" s="7" t="s">
        <v>15</v>
      </c>
      <c r="B10" s="7" t="s">
        <v>63</v>
      </c>
      <c r="C10" s="7" t="s">
        <v>17</v>
      </c>
      <c r="D10" s="7"/>
      <c r="E10" s="7" t="s">
        <v>1139</v>
      </c>
      <c r="F10" s="7" t="s">
        <v>19</v>
      </c>
      <c r="G10" s="7">
        <v>37.34</v>
      </c>
      <c r="H10" s="7" t="s">
        <v>17</v>
      </c>
      <c r="I10" s="7" t="s">
        <v>17</v>
      </c>
      <c r="J10" s="7" t="s">
        <v>1140</v>
      </c>
    </row>
    <row r="11" spans="1:10" x14ac:dyDescent="0.25" outlineLevel="1" collapsed="1">
      <c r="A11" s="7" t="s">
        <v>19</v>
      </c>
      <c r="B11" s="7" t="s">
        <v>16</v>
      </c>
      <c r="C11" s="7" t="s">
        <v>17</v>
      </c>
      <c r="D11" s="7"/>
      <c r="E11" s="7" t="s">
        <v>1141</v>
      </c>
      <c r="F11" s="7" t="s">
        <v>19</v>
      </c>
      <c r="G11" s="7" t="s">
        <v>1142</v>
      </c>
      <c r="H11" s="7" t="s">
        <v>17</v>
      </c>
      <c r="I11" s="7" t="s">
        <v>17</v>
      </c>
      <c r="J11" s="7" t="s">
        <v>1143</v>
      </c>
    </row>
    <row r="12" spans="1:10" x14ac:dyDescent="0.25" outlineLevel="1" collapsed="1">
      <c r="A12" s="7" t="s">
        <v>19</v>
      </c>
      <c r="B12" s="7" t="s">
        <v>16</v>
      </c>
      <c r="C12" s="7" t="s">
        <v>17</v>
      </c>
      <c r="D12" s="7"/>
      <c r="E12" s="7" t="s">
        <v>1144</v>
      </c>
      <c r="F12" s="7" t="s">
        <v>19</v>
      </c>
      <c r="G12" s="7" t="s">
        <v>1145</v>
      </c>
      <c r="H12" s="7" t="s">
        <v>17</v>
      </c>
      <c r="I12" s="7" t="s">
        <v>17</v>
      </c>
      <c r="J12" s="7" t="s">
        <v>1146</v>
      </c>
    </row>
    <row r="13" spans="1:10" x14ac:dyDescent="0.25">
      <c r="A13" s="5" t="s">
        <v>19</v>
      </c>
      <c r="B13" s="5" t="s">
        <v>16</v>
      </c>
      <c r="C13" s="5" t="s">
        <v>17</v>
      </c>
      <c r="D13" s="5"/>
      <c r="E13" s="5" t="s">
        <v>1147</v>
      </c>
      <c r="F13" s="5" t="s">
        <v>19</v>
      </c>
      <c r="G13" s="5" t="s">
        <v>31</v>
      </c>
      <c r="H13" s="5" t="s">
        <v>17</v>
      </c>
      <c r="I13" s="5" t="s">
        <v>17</v>
      </c>
      <c r="J13" s="5" t="s">
        <v>1148</v>
      </c>
    </row>
    <row r="14" spans="1:10" x14ac:dyDescent="0.25">
      <c r="A14" s="5" t="s">
        <v>19</v>
      </c>
      <c r="B14" s="5" t="s">
        <v>16</v>
      </c>
      <c r="C14" s="5" t="s">
        <v>17</v>
      </c>
      <c r="D14" s="5"/>
      <c r="E14" s="5" t="s">
        <v>1149</v>
      </c>
      <c r="F14" s="5" t="s">
        <v>19</v>
      </c>
      <c r="G14" s="5" t="s">
        <v>31</v>
      </c>
      <c r="H14" s="5" t="s">
        <v>17</v>
      </c>
      <c r="I14" s="5" t="s">
        <v>17</v>
      </c>
      <c r="J14" s="5" t="s">
        <v>1150</v>
      </c>
    </row>
    <row r="15" spans="1:10" x14ac:dyDescent="0.25">
      <c r="A15" s="5" t="s">
        <v>19</v>
      </c>
      <c r="B15" s="5" t="s">
        <v>16</v>
      </c>
      <c r="C15" s="5" t="s">
        <v>17</v>
      </c>
      <c r="D15" s="5"/>
      <c r="E15" s="5" t="s">
        <v>1151</v>
      </c>
      <c r="F15" s="5" t="s">
        <v>19</v>
      </c>
      <c r="G15" s="5" t="s">
        <v>31</v>
      </c>
      <c r="H15" s="5" t="s">
        <v>17</v>
      </c>
      <c r="I15" s="5" t="s">
        <v>17</v>
      </c>
      <c r="J15" s="5" t="s">
        <v>1152</v>
      </c>
    </row>
  </sheetData>
  <mergeCells count="3">
    <mergeCell ref="A1:J1"/>
    <mergeCell ref="B2:J2"/>
    <mergeCell ref="B3:J3"/>
  </mergeCells>
  <hyperlinks>
    <hyperlink ref="B6" r:id="rId1" location="#'Project Location Entry (VCS PD'!A1"/>
  </hyperlink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2934</v>
      </c>
      <c r="B1" s="1"/>
      <c r="C1" s="1"/>
      <c r="D1" s="1"/>
      <c r="E1" s="1"/>
      <c r="F1" s="1"/>
      <c r="G1" s="1"/>
      <c r="H1" s="1"/>
      <c r="I1" s="1"/>
      <c r="J1" s="1"/>
    </row>
    <row r="2" spans="1:10" x14ac:dyDescent="0.25">
      <c r="A2" s="2" t="s">
        <v>1</v>
      </c>
      <c r="B2" s="3" t="s">
        <v>2935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189</v>
      </c>
      <c r="F5" s="5" t="s">
        <v>19</v>
      </c>
      <c r="G5" s="5" t="s">
        <v>190</v>
      </c>
      <c r="H5" s="5" t="s">
        <v>17</v>
      </c>
      <c r="I5" s="5" t="s">
        <v>17</v>
      </c>
      <c r="J5" s="5" t="s">
        <v>191</v>
      </c>
    </row>
    <row r="6" spans="1:10" x14ac:dyDescent="0.25">
      <c r="A6" s="5" t="s">
        <v>15</v>
      </c>
      <c r="B6" s="5" t="s">
        <v>16</v>
      </c>
      <c r="C6" s="5" t="s">
        <v>17</v>
      </c>
      <c r="D6" s="5"/>
      <c r="E6" s="5" t="s">
        <v>192</v>
      </c>
      <c r="F6" s="5" t="s">
        <v>19</v>
      </c>
      <c r="G6" s="5" t="s">
        <v>193</v>
      </c>
      <c r="H6" s="5" t="s">
        <v>17</v>
      </c>
      <c r="I6" s="5" t="s">
        <v>17</v>
      </c>
      <c r="J6" s="5" t="s">
        <v>194</v>
      </c>
    </row>
    <row r="7" spans="1:10" x14ac:dyDescent="0.25">
      <c r="A7" s="5" t="s">
        <v>15</v>
      </c>
      <c r="B7" s="5" t="s">
        <v>16</v>
      </c>
      <c r="C7" s="5" t="s">
        <v>17</v>
      </c>
      <c r="D7" s="5"/>
      <c r="E7" s="5" t="s">
        <v>195</v>
      </c>
      <c r="F7" s="5" t="s">
        <v>19</v>
      </c>
      <c r="G7" s="5" t="s">
        <v>196</v>
      </c>
      <c r="H7" s="5" t="s">
        <v>17</v>
      </c>
      <c r="I7" s="5" t="s">
        <v>17</v>
      </c>
      <c r="J7" s="5" t="s">
        <v>197</v>
      </c>
    </row>
    <row r="8" spans="1:10" x14ac:dyDescent="0.25">
      <c r="A8" s="5" t="s">
        <v>19</v>
      </c>
      <c r="B8" s="5" t="s">
        <v>16</v>
      </c>
      <c r="C8" s="5" t="s">
        <v>17</v>
      </c>
      <c r="D8" s="5"/>
      <c r="E8" s="5" t="s">
        <v>198</v>
      </c>
      <c r="F8" s="5" t="s">
        <v>19</v>
      </c>
      <c r="G8" s="5" t="s">
        <v>199</v>
      </c>
      <c r="H8" s="5" t="s">
        <v>17</v>
      </c>
      <c r="I8" s="5" t="s">
        <v>17</v>
      </c>
      <c r="J8" s="5" t="s">
        <v>200</v>
      </c>
    </row>
    <row r="9" spans="1:10" x14ac:dyDescent="0.25">
      <c r="A9" s="5" t="s">
        <v>15</v>
      </c>
      <c r="B9" s="5" t="s">
        <v>16</v>
      </c>
      <c r="C9" s="5" t="s">
        <v>17</v>
      </c>
      <c r="D9" s="5"/>
      <c r="E9" s="5" t="s">
        <v>201</v>
      </c>
      <c r="F9" s="5" t="s">
        <v>19</v>
      </c>
      <c r="G9" s="5" t="s">
        <v>202</v>
      </c>
      <c r="H9" s="5" t="s">
        <v>17</v>
      </c>
      <c r="I9" s="5" t="s">
        <v>17</v>
      </c>
      <c r="J9" s="5" t="s">
        <v>203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2857</v>
      </c>
      <c r="B1" s="1"/>
      <c r="C1" s="1"/>
      <c r="D1" s="1"/>
      <c r="E1" s="1"/>
      <c r="F1" s="1"/>
      <c r="G1" s="1"/>
      <c r="H1" s="1"/>
      <c r="I1" s="1"/>
      <c r="J1" s="1"/>
    </row>
    <row r="2" spans="1:10" x14ac:dyDescent="0.25">
      <c r="A2" s="2" t="s">
        <v>1</v>
      </c>
      <c r="B2" s="3" t="s">
        <v>2936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2860</v>
      </c>
      <c r="F5" s="5" t="s">
        <v>19</v>
      </c>
      <c r="G5" s="5" t="s">
        <v>2836</v>
      </c>
      <c r="H5" s="5" t="s">
        <v>17</v>
      </c>
      <c r="I5" s="5" t="s">
        <v>17</v>
      </c>
      <c r="J5" s="5" t="s">
        <v>2837</v>
      </c>
    </row>
    <row r="6" spans="1:10" x14ac:dyDescent="0.25">
      <c r="A6" s="5" t="s">
        <v>15</v>
      </c>
      <c r="B6" s="5" t="s">
        <v>16</v>
      </c>
      <c r="C6" s="5" t="s">
        <v>17</v>
      </c>
      <c r="D6" s="5"/>
      <c r="E6" s="5" t="s">
        <v>2861</v>
      </c>
      <c r="F6" s="5" t="s">
        <v>19</v>
      </c>
      <c r="G6" s="5" t="s">
        <v>1015</v>
      </c>
      <c r="H6" s="5" t="s">
        <v>17</v>
      </c>
      <c r="I6" s="5" t="s">
        <v>17</v>
      </c>
      <c r="J6" s="5" t="s">
        <v>2839</v>
      </c>
    </row>
    <row r="7" spans="1:10" x14ac:dyDescent="0.25">
      <c r="A7" s="5" t="s">
        <v>19</v>
      </c>
      <c r="B7" s="5" t="s">
        <v>16</v>
      </c>
      <c r="C7" s="5" t="s">
        <v>17</v>
      </c>
      <c r="D7" s="5"/>
      <c r="E7" s="5" t="s">
        <v>2862</v>
      </c>
      <c r="F7" s="5" t="s">
        <v>19</v>
      </c>
      <c r="G7" s="5" t="s">
        <v>2863</v>
      </c>
      <c r="H7" s="5" t="s">
        <v>17</v>
      </c>
      <c r="I7" s="5" t="s">
        <v>17</v>
      </c>
      <c r="J7" s="5" t="s">
        <v>810</v>
      </c>
    </row>
    <row r="8" spans="1:10" x14ac:dyDescent="0.25">
      <c r="A8" s="5" t="s">
        <v>15</v>
      </c>
      <c r="B8" s="5" t="s">
        <v>16</v>
      </c>
      <c r="C8" s="5" t="s">
        <v>17</v>
      </c>
      <c r="D8" s="5"/>
      <c r="E8" s="5" t="s">
        <v>2864</v>
      </c>
      <c r="F8" s="5" t="s">
        <v>19</v>
      </c>
      <c r="G8" s="5" t="s">
        <v>2865</v>
      </c>
      <c r="H8" s="5" t="s">
        <v>17</v>
      </c>
      <c r="I8" s="5" t="s">
        <v>17</v>
      </c>
      <c r="J8" s="5" t="s">
        <v>843</v>
      </c>
    </row>
    <row r="9" spans="1:10" x14ac:dyDescent="0.25">
      <c r="A9" s="5" t="s">
        <v>15</v>
      </c>
      <c r="B9" s="5" t="s">
        <v>16</v>
      </c>
      <c r="C9" s="5" t="s">
        <v>17</v>
      </c>
      <c r="D9" s="5"/>
      <c r="E9" s="5" t="s">
        <v>2866</v>
      </c>
      <c r="F9" s="5" t="s">
        <v>19</v>
      </c>
      <c r="G9" s="5" t="s">
        <v>996</v>
      </c>
      <c r="H9" s="5" t="s">
        <v>17</v>
      </c>
      <c r="I9" s="5" t="s">
        <v>17</v>
      </c>
      <c r="J9" s="5" t="s">
        <v>2867</v>
      </c>
    </row>
    <row r="10" spans="1:10" x14ac:dyDescent="0.25">
      <c r="A10" s="5" t="s">
        <v>19</v>
      </c>
      <c r="B10" s="5" t="s">
        <v>16</v>
      </c>
      <c r="C10" s="5" t="s">
        <v>17</v>
      </c>
      <c r="D10" s="5"/>
      <c r="E10" s="5" t="s">
        <v>2868</v>
      </c>
      <c r="F10" s="5" t="s">
        <v>19</v>
      </c>
      <c r="G10" s="5" t="s">
        <v>2869</v>
      </c>
      <c r="H10" s="5" t="s">
        <v>17</v>
      </c>
      <c r="I10" s="5" t="s">
        <v>17</v>
      </c>
      <c r="J10" s="5" t="s">
        <v>2870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2937</v>
      </c>
      <c r="B1" s="1"/>
      <c r="C1" s="1"/>
      <c r="D1" s="1"/>
      <c r="E1" s="1"/>
      <c r="F1" s="1"/>
      <c r="G1" s="1"/>
      <c r="H1" s="1"/>
      <c r="I1" s="1"/>
      <c r="J1" s="1"/>
    </row>
    <row r="2" spans="1:10" x14ac:dyDescent="0.25">
      <c r="A2" s="2" t="s">
        <v>1</v>
      </c>
      <c r="B2" s="3" t="s">
        <v>2938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132</v>
      </c>
      <c r="C5" s="5" t="s">
        <v>17</v>
      </c>
      <c r="D5" s="5"/>
      <c r="E5" s="5" t="s">
        <v>133</v>
      </c>
      <c r="F5" s="5" t="s">
        <v>15</v>
      </c>
      <c r="G5" s="5" t="s">
        <v>17</v>
      </c>
      <c r="H5" s="5" t="s">
        <v>17</v>
      </c>
      <c r="I5" s="5" t="s">
        <v>17</v>
      </c>
      <c r="J5" s="5" t="s">
        <v>134</v>
      </c>
    </row>
    <row r="6" spans="1:10" x14ac:dyDescent="0.25" outlineLevel="1" collapsed="1">
      <c r="A6" s="7" t="s">
        <v>19</v>
      </c>
      <c r="B6" s="7" t="s">
        <v>16</v>
      </c>
      <c r="C6" s="7" t="s">
        <v>17</v>
      </c>
      <c r="D6" s="7"/>
      <c r="E6" s="7" t="s">
        <v>135</v>
      </c>
      <c r="F6" s="7" t="s">
        <v>19</v>
      </c>
      <c r="G6" s="7" t="s">
        <v>31</v>
      </c>
      <c r="H6" s="7" t="s">
        <v>17</v>
      </c>
      <c r="I6" s="7" t="s">
        <v>17</v>
      </c>
      <c r="J6" s="7" t="s">
        <v>136</v>
      </c>
    </row>
    <row r="7" spans="1:10" x14ac:dyDescent="0.25" outlineLevel="1" collapsed="1">
      <c r="A7" s="7" t="s">
        <v>19</v>
      </c>
      <c r="B7" s="7" t="s">
        <v>16</v>
      </c>
      <c r="C7" s="7" t="s">
        <v>17</v>
      </c>
      <c r="D7" s="7"/>
      <c r="E7" s="7" t="s">
        <v>137</v>
      </c>
      <c r="F7" s="7" t="s">
        <v>19</v>
      </c>
      <c r="G7" s="7" t="s">
        <v>31</v>
      </c>
      <c r="H7" s="7" t="s">
        <v>17</v>
      </c>
      <c r="I7" s="7" t="s">
        <v>17</v>
      </c>
      <c r="J7" s="7" t="s">
        <v>138</v>
      </c>
    </row>
    <row r="8" spans="1:10" x14ac:dyDescent="0.25" outlineLevel="1" collapsed="1">
      <c r="A8" s="7" t="s">
        <v>19</v>
      </c>
      <c r="B8" s="7" t="s">
        <v>16</v>
      </c>
      <c r="C8" s="7" t="s">
        <v>17</v>
      </c>
      <c r="D8" s="7"/>
      <c r="E8" s="7" t="s">
        <v>139</v>
      </c>
      <c r="F8" s="7" t="s">
        <v>19</v>
      </c>
      <c r="G8" s="7" t="s">
        <v>31</v>
      </c>
      <c r="H8" s="7" t="s">
        <v>17</v>
      </c>
      <c r="I8" s="7" t="s">
        <v>17</v>
      </c>
      <c r="J8" s="7" t="s">
        <v>140</v>
      </c>
    </row>
    <row r="9" spans="1:10" x14ac:dyDescent="0.25" outlineLevel="1" collapsed="1">
      <c r="A9" s="7" t="s">
        <v>19</v>
      </c>
      <c r="B9" s="7" t="s">
        <v>16</v>
      </c>
      <c r="C9" s="7" t="s">
        <v>17</v>
      </c>
      <c r="D9" s="7"/>
      <c r="E9" s="7" t="s">
        <v>141</v>
      </c>
      <c r="F9" s="7" t="s">
        <v>19</v>
      </c>
      <c r="G9" s="7" t="s">
        <v>31</v>
      </c>
      <c r="H9" s="7" t="s">
        <v>17</v>
      </c>
      <c r="I9" s="7" t="s">
        <v>17</v>
      </c>
      <c r="J9" s="7" t="s">
        <v>142</v>
      </c>
    </row>
    <row r="10" spans="1:10" x14ac:dyDescent="0.25" outlineLevel="1" collapsed="1">
      <c r="A10" s="7" t="s">
        <v>19</v>
      </c>
      <c r="B10" s="7" t="s">
        <v>16</v>
      </c>
      <c r="C10" s="7" t="s">
        <v>17</v>
      </c>
      <c r="D10" s="7"/>
      <c r="E10" s="7" t="s">
        <v>143</v>
      </c>
      <c r="F10" s="7" t="s">
        <v>19</v>
      </c>
      <c r="G10" s="7" t="s">
        <v>31</v>
      </c>
      <c r="H10" s="7" t="s">
        <v>17</v>
      </c>
      <c r="I10" s="7" t="s">
        <v>17</v>
      </c>
      <c r="J10" s="7" t="s">
        <v>144</v>
      </c>
    </row>
    <row r="11" spans="1:10" x14ac:dyDescent="0.25" outlineLevel="1" collapsed="1">
      <c r="A11" s="7" t="s">
        <v>19</v>
      </c>
      <c r="B11" s="7" t="s">
        <v>16</v>
      </c>
      <c r="C11" s="7" t="s">
        <v>17</v>
      </c>
      <c r="D11" s="7"/>
      <c r="E11" s="7" t="s">
        <v>145</v>
      </c>
      <c r="F11" s="7" t="s">
        <v>19</v>
      </c>
      <c r="G11" s="7" t="s">
        <v>31</v>
      </c>
      <c r="H11" s="7" t="s">
        <v>17</v>
      </c>
      <c r="I11" s="7" t="s">
        <v>17</v>
      </c>
      <c r="J11" s="7" t="s">
        <v>146</v>
      </c>
    </row>
    <row r="12" spans="1:10" x14ac:dyDescent="0.25" outlineLevel="1" collapsed="1">
      <c r="A12" s="7" t="s">
        <v>19</v>
      </c>
      <c r="B12" s="7" t="s">
        <v>16</v>
      </c>
      <c r="C12" s="7" t="s">
        <v>17</v>
      </c>
      <c r="D12" s="7"/>
      <c r="E12" s="7" t="s">
        <v>147</v>
      </c>
      <c r="F12" s="7" t="s">
        <v>19</v>
      </c>
      <c r="G12" s="7" t="s">
        <v>31</v>
      </c>
      <c r="H12" s="7" t="s">
        <v>17</v>
      </c>
      <c r="I12" s="7" t="s">
        <v>17</v>
      </c>
      <c r="J12" s="7" t="s">
        <v>148</v>
      </c>
    </row>
    <row r="13" spans="1:10" x14ac:dyDescent="0.25" outlineLevel="1" collapsed="1">
      <c r="A13" s="7" t="s">
        <v>19</v>
      </c>
      <c r="B13" s="7" t="s">
        <v>16</v>
      </c>
      <c r="C13" s="7" t="s">
        <v>17</v>
      </c>
      <c r="D13" s="7"/>
      <c r="E13" s="7" t="s">
        <v>149</v>
      </c>
      <c r="F13" s="7" t="s">
        <v>19</v>
      </c>
      <c r="G13" s="7" t="s">
        <v>31</v>
      </c>
      <c r="H13" s="7" t="s">
        <v>17</v>
      </c>
      <c r="I13" s="7" t="s">
        <v>17</v>
      </c>
      <c r="J13" s="7" t="s">
        <v>150</v>
      </c>
    </row>
  </sheetData>
  <mergeCells count="3">
    <mergeCell ref="A1:J1"/>
    <mergeCell ref="B2:J2"/>
    <mergeCell ref="B3:J3"/>
  </mergeCells>
  <hyperlinks>
    <hyperlink ref="B5" r:id="rId1" location="#'2.1 Stakeholder consultation a'!A1"/>
  </hyperlinks>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2939</v>
      </c>
      <c r="B1" s="1"/>
      <c r="C1" s="1"/>
      <c r="D1" s="1"/>
      <c r="E1" s="1"/>
      <c r="F1" s="1"/>
      <c r="G1" s="1"/>
      <c r="H1" s="1"/>
      <c r="I1" s="1"/>
      <c r="J1" s="1"/>
    </row>
    <row r="2" spans="1:10" x14ac:dyDescent="0.25">
      <c r="A2" s="2" t="s">
        <v>1</v>
      </c>
      <c r="B2" s="3" t="s">
        <v>2940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2344</v>
      </c>
      <c r="F5" s="5" t="s">
        <v>19</v>
      </c>
      <c r="G5" s="5" t="s">
        <v>2345</v>
      </c>
      <c r="H5" s="5" t="s">
        <v>17</v>
      </c>
      <c r="I5" s="5" t="s">
        <v>17</v>
      </c>
      <c r="J5" s="5" t="s">
        <v>2343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2941</v>
      </c>
      <c r="B1" s="1"/>
      <c r="C1" s="1"/>
      <c r="D1" s="1"/>
      <c r="E1" s="1"/>
      <c r="F1" s="1"/>
      <c r="G1" s="1"/>
      <c r="H1" s="1"/>
      <c r="I1" s="1"/>
      <c r="J1" s="1"/>
    </row>
    <row r="2" spans="1:10" x14ac:dyDescent="0.25">
      <c r="A2" s="2" t="s">
        <v>1</v>
      </c>
      <c r="B2" s="3" t="s">
        <v>2942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215</v>
      </c>
      <c r="C5" s="5" t="s">
        <v>17</v>
      </c>
      <c r="D5" s="5"/>
      <c r="E5" s="5" t="s">
        <v>216</v>
      </c>
      <c r="F5" s="5" t="s">
        <v>19</v>
      </c>
      <c r="G5" s="5" t="s">
        <v>17</v>
      </c>
      <c r="H5" s="5" t="s">
        <v>17</v>
      </c>
      <c r="I5" s="5" t="s">
        <v>17</v>
      </c>
      <c r="J5" s="5" t="s">
        <v>217</v>
      </c>
    </row>
    <row r="6" spans="1:10" x14ac:dyDescent="0.25" outlineLevel="1" collapsed="1">
      <c r="A6" s="7" t="s">
        <v>15</v>
      </c>
      <c r="B6" s="7" t="s">
        <v>159</v>
      </c>
      <c r="C6" s="7" t="s">
        <v>17</v>
      </c>
      <c r="D6" s="7"/>
      <c r="E6" s="7" t="s">
        <v>218</v>
      </c>
      <c r="F6" s="7" t="s">
        <v>19</v>
      </c>
      <c r="G6" s="7" t="b">
        <v>0</v>
      </c>
      <c r="H6" s="7" t="s">
        <v>17</v>
      </c>
      <c r="I6" s="7" t="s">
        <v>17</v>
      </c>
      <c r="J6" s="7" t="s">
        <v>219</v>
      </c>
    </row>
    <row r="7" spans="1:10" x14ac:dyDescent="0.25" outlineLevel="1" collapsed="1">
      <c r="A7" s="7" t="s">
        <v>15</v>
      </c>
      <c r="B7" s="7" t="s">
        <v>16</v>
      </c>
      <c r="C7" s="7" t="s">
        <v>17</v>
      </c>
      <c r="D7" s="7"/>
      <c r="E7" s="7" t="s">
        <v>220</v>
      </c>
      <c r="F7" s="7" t="s">
        <v>19</v>
      </c>
      <c r="G7" s="7" t="s">
        <v>221</v>
      </c>
      <c r="H7" s="7" t="s">
        <v>221</v>
      </c>
      <c r="I7" s="7" t="s">
        <v>17</v>
      </c>
      <c r="J7" s="7" t="s">
        <v>222</v>
      </c>
    </row>
    <row r="8" spans="1:10" x14ac:dyDescent="0.25">
      <c r="A8" s="5" t="s">
        <v>15</v>
      </c>
      <c r="B8" s="6" t="s">
        <v>223</v>
      </c>
      <c r="C8" s="5" t="s">
        <v>17</v>
      </c>
      <c r="D8" s="5"/>
      <c r="E8" s="5" t="s">
        <v>224</v>
      </c>
      <c r="F8" s="5" t="s">
        <v>19</v>
      </c>
      <c r="G8" s="5" t="s">
        <v>17</v>
      </c>
      <c r="H8" s="5" t="s">
        <v>17</v>
      </c>
      <c r="I8" s="5" t="s">
        <v>17</v>
      </c>
      <c r="J8" s="5" t="s">
        <v>225</v>
      </c>
    </row>
    <row r="9" spans="1:10" x14ac:dyDescent="0.25" outlineLevel="1" collapsed="1">
      <c r="A9" s="7" t="s">
        <v>15</v>
      </c>
      <c r="B9" s="7" t="s">
        <v>16</v>
      </c>
      <c r="C9" s="7" t="s">
        <v>17</v>
      </c>
      <c r="D9" s="7"/>
      <c r="E9" s="7" t="s">
        <v>226</v>
      </c>
      <c r="F9" s="7" t="s">
        <v>19</v>
      </c>
      <c r="G9" s="7" t="s">
        <v>227</v>
      </c>
      <c r="H9" s="7" t="s">
        <v>17</v>
      </c>
      <c r="I9" s="7" t="s">
        <v>17</v>
      </c>
      <c r="J9" s="7" t="s">
        <v>225</v>
      </c>
    </row>
    <row r="10" spans="1:10" x14ac:dyDescent="0.25">
      <c r="A10" s="5" t="s">
        <v>15</v>
      </c>
      <c r="B10" s="6" t="s">
        <v>228</v>
      </c>
      <c r="C10" s="5" t="s">
        <v>17</v>
      </c>
      <c r="D10" s="5"/>
      <c r="E10" s="5" t="s">
        <v>229</v>
      </c>
      <c r="F10" s="5" t="s">
        <v>19</v>
      </c>
      <c r="G10" s="5" t="s">
        <v>17</v>
      </c>
      <c r="H10" s="5" t="s">
        <v>17</v>
      </c>
      <c r="I10" s="5" t="s">
        <v>17</v>
      </c>
      <c r="J10" s="5" t="s">
        <v>230</v>
      </c>
    </row>
    <row r="11" spans="1:10" x14ac:dyDescent="0.25" outlineLevel="1" collapsed="1">
      <c r="A11" s="7" t="s">
        <v>15</v>
      </c>
      <c r="B11" s="7" t="s">
        <v>159</v>
      </c>
      <c r="C11" s="7" t="s">
        <v>17</v>
      </c>
      <c r="D11" s="7"/>
      <c r="E11" s="7" t="s">
        <v>231</v>
      </c>
      <c r="F11" s="7" t="s">
        <v>19</v>
      </c>
      <c r="G11" s="7" t="b">
        <v>0</v>
      </c>
      <c r="H11" s="7" t="s">
        <v>17</v>
      </c>
      <c r="I11" s="7" t="s">
        <v>17</v>
      </c>
      <c r="J11" s="7" t="s">
        <v>232</v>
      </c>
    </row>
    <row r="12" spans="1:10" x14ac:dyDescent="0.25" outlineLevel="1" collapsed="1">
      <c r="A12" s="7" t="s">
        <v>19</v>
      </c>
      <c r="B12" s="7" t="s">
        <v>16</v>
      </c>
      <c r="C12" s="7" t="s">
        <v>17</v>
      </c>
      <c r="D12" s="7"/>
      <c r="E12" s="7" t="s">
        <v>233</v>
      </c>
      <c r="F12" s="7" t="s">
        <v>19</v>
      </c>
      <c r="G12" s="7" t="s">
        <v>234</v>
      </c>
      <c r="H12" s="7" t="s">
        <v>17</v>
      </c>
      <c r="I12" s="7" t="s">
        <v>17</v>
      </c>
      <c r="J12" s="7" t="s">
        <v>235</v>
      </c>
    </row>
    <row r="13" spans="1:10" x14ac:dyDescent="0.25" outlineLevel="1" collapsed="1">
      <c r="A13" s="7" t="s">
        <v>19</v>
      </c>
      <c r="B13" s="7" t="s">
        <v>16</v>
      </c>
      <c r="C13" s="7" t="s">
        <v>17</v>
      </c>
      <c r="D13" s="7"/>
      <c r="E13" s="7" t="s">
        <v>236</v>
      </c>
      <c r="F13" s="7" t="s">
        <v>19</v>
      </c>
      <c r="G13" s="7" t="s">
        <v>237</v>
      </c>
      <c r="H13" s="7" t="s">
        <v>17</v>
      </c>
      <c r="I13" s="7" t="s">
        <v>17</v>
      </c>
      <c r="J13" s="7" t="s">
        <v>238</v>
      </c>
    </row>
  </sheetData>
  <mergeCells count="3">
    <mergeCell ref="A1:J1"/>
    <mergeCell ref="B2:J2"/>
    <mergeCell ref="B3:J3"/>
  </mergeCells>
  <hyperlinks>
    <hyperlink ref="B5" r:id="rId1" location="#'2.5.1 Ecosystem Restoration (V'!A1"/>
    <hyperlink ref="B8" r:id="rId2" location="#'2.5.2 Management Experience (V'!A1"/>
    <hyperlink ref="B10" r:id="rId3" location="#'2.5.3 Legal Compliance (VCS PD'!A1"/>
  </hyperlinks>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2943</v>
      </c>
      <c r="B1" s="1"/>
      <c r="C1" s="1"/>
      <c r="D1" s="1"/>
      <c r="E1" s="1"/>
      <c r="F1" s="1"/>
      <c r="G1" s="1"/>
      <c r="H1" s="1"/>
      <c r="I1" s="1"/>
      <c r="J1" s="1"/>
    </row>
    <row r="2" spans="1:10" x14ac:dyDescent="0.25">
      <c r="A2" s="2" t="s">
        <v>1</v>
      </c>
      <c r="B2" s="3" t="s">
        <v>2944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2497</v>
      </c>
      <c r="F5" s="5" t="s">
        <v>19</v>
      </c>
      <c r="G5" s="5" t="s">
        <v>2498</v>
      </c>
      <c r="H5" s="5" t="s">
        <v>17</v>
      </c>
      <c r="I5" s="5" t="s">
        <v>17</v>
      </c>
      <c r="J5" s="5" t="s">
        <v>2499</v>
      </c>
    </row>
    <row r="6" spans="1:10" x14ac:dyDescent="0.25">
      <c r="A6" s="5" t="s">
        <v>19</v>
      </c>
      <c r="B6" s="6" t="s">
        <v>2500</v>
      </c>
      <c r="C6" s="5" t="s">
        <v>17</v>
      </c>
      <c r="D6" s="5"/>
      <c r="E6" s="5" t="s">
        <v>2501</v>
      </c>
      <c r="F6" s="5" t="s">
        <v>15</v>
      </c>
      <c r="G6" s="5" t="s">
        <v>17</v>
      </c>
      <c r="H6" s="5" t="s">
        <v>17</v>
      </c>
      <c r="I6" s="5" t="s">
        <v>17</v>
      </c>
      <c r="J6" s="5" t="s">
        <v>2502</v>
      </c>
    </row>
    <row r="7" spans="1:10" x14ac:dyDescent="0.25" outlineLevel="1" collapsed="1">
      <c r="A7" s="7" t="s">
        <v>15</v>
      </c>
      <c r="B7" s="7" t="s">
        <v>16</v>
      </c>
      <c r="C7" s="7" t="s">
        <v>17</v>
      </c>
      <c r="D7" s="7"/>
      <c r="E7" s="7" t="s">
        <v>2503</v>
      </c>
      <c r="F7" s="7" t="s">
        <v>19</v>
      </c>
      <c r="G7" s="7" t="s">
        <v>2504</v>
      </c>
      <c r="H7" s="7" t="s">
        <v>17</v>
      </c>
      <c r="I7" s="7" t="s">
        <v>17</v>
      </c>
      <c r="J7" s="7" t="s">
        <v>2505</v>
      </c>
    </row>
    <row r="8" spans="1:10" x14ac:dyDescent="0.25" outlineLevel="1" collapsed="1">
      <c r="A8" s="7" t="s">
        <v>15</v>
      </c>
      <c r="B8" s="7" t="s">
        <v>16</v>
      </c>
      <c r="C8" s="7" t="s">
        <v>17</v>
      </c>
      <c r="D8" s="7"/>
      <c r="E8" s="7" t="s">
        <v>2506</v>
      </c>
      <c r="F8" s="7" t="s">
        <v>19</v>
      </c>
      <c r="G8" s="7" t="s">
        <v>2507</v>
      </c>
      <c r="H8" s="7" t="s">
        <v>17</v>
      </c>
      <c r="I8" s="7" t="s">
        <v>17</v>
      </c>
      <c r="J8" s="7" t="s">
        <v>2508</v>
      </c>
    </row>
    <row r="9" spans="1:10" x14ac:dyDescent="0.25" outlineLevel="1" collapsed="1">
      <c r="A9" s="7" t="s">
        <v>15</v>
      </c>
      <c r="B9" s="7" t="s">
        <v>16</v>
      </c>
      <c r="C9" s="7" t="s">
        <v>17</v>
      </c>
      <c r="D9" s="7"/>
      <c r="E9" s="7" t="s">
        <v>2509</v>
      </c>
      <c r="F9" s="7" t="s">
        <v>19</v>
      </c>
      <c r="G9" s="7" t="s">
        <v>15</v>
      </c>
      <c r="H9" s="7" t="s">
        <v>17</v>
      </c>
      <c r="I9" s="7" t="s">
        <v>17</v>
      </c>
      <c r="J9" s="7" t="s">
        <v>2510</v>
      </c>
    </row>
    <row r="10" spans="1:10" x14ac:dyDescent="0.25" outlineLevel="1" collapsed="1">
      <c r="A10" s="7" t="s">
        <v>15</v>
      </c>
      <c r="B10" s="7" t="s">
        <v>16</v>
      </c>
      <c r="C10" s="7" t="s">
        <v>17</v>
      </c>
      <c r="D10" s="7"/>
      <c r="E10" s="7" t="s">
        <v>2511</v>
      </c>
      <c r="F10" s="7" t="s">
        <v>19</v>
      </c>
      <c r="G10" s="7" t="s">
        <v>2512</v>
      </c>
      <c r="H10" s="7" t="s">
        <v>17</v>
      </c>
      <c r="I10" s="7" t="s">
        <v>17</v>
      </c>
      <c r="J10" s="7" t="s">
        <v>1191</v>
      </c>
    </row>
    <row r="11" spans="1:10" x14ac:dyDescent="0.25" outlineLevel="1" collapsed="1">
      <c r="A11" s="7" t="s">
        <v>19</v>
      </c>
      <c r="B11" s="7" t="s">
        <v>16</v>
      </c>
      <c r="C11" s="7" t="s">
        <v>17</v>
      </c>
      <c r="D11" s="7"/>
      <c r="E11" s="7" t="s">
        <v>2513</v>
      </c>
      <c r="F11" s="7" t="s">
        <v>19</v>
      </c>
      <c r="G11" s="7" t="s">
        <v>31</v>
      </c>
      <c r="H11" s="7" t="s">
        <v>17</v>
      </c>
      <c r="I11" s="7" t="s">
        <v>17</v>
      </c>
      <c r="J11" s="7" t="s">
        <v>2514</v>
      </c>
    </row>
    <row r="12" spans="1:10" x14ac:dyDescent="0.25" outlineLevel="1" collapsed="1">
      <c r="A12" s="7" t="s">
        <v>19</v>
      </c>
      <c r="B12" s="7" t="s">
        <v>16</v>
      </c>
      <c r="C12" s="7" t="s">
        <v>17</v>
      </c>
      <c r="D12" s="7"/>
      <c r="E12" s="7" t="s">
        <v>2515</v>
      </c>
      <c r="F12" s="7" t="s">
        <v>19</v>
      </c>
      <c r="G12" s="7" t="s">
        <v>31</v>
      </c>
      <c r="H12" s="7" t="s">
        <v>17</v>
      </c>
      <c r="I12" s="7" t="s">
        <v>17</v>
      </c>
      <c r="J12" s="7" t="s">
        <v>2516</v>
      </c>
    </row>
    <row r="13" spans="1:10" x14ac:dyDescent="0.25" outlineLevel="1" collapsed="1">
      <c r="A13" s="7" t="s">
        <v>19</v>
      </c>
      <c r="B13" s="7" t="s">
        <v>16</v>
      </c>
      <c r="C13" s="7" t="s">
        <v>17</v>
      </c>
      <c r="D13" s="7"/>
      <c r="E13" s="7" t="s">
        <v>478</v>
      </c>
      <c r="F13" s="7" t="s">
        <v>19</v>
      </c>
      <c r="G13" s="7" t="s">
        <v>31</v>
      </c>
      <c r="H13" s="7" t="s">
        <v>17</v>
      </c>
      <c r="I13" s="7" t="s">
        <v>17</v>
      </c>
      <c r="J13" s="7" t="s">
        <v>1323</v>
      </c>
    </row>
    <row r="14" spans="1:10" x14ac:dyDescent="0.25">
      <c r="A14" s="5" t="s">
        <v>15</v>
      </c>
      <c r="B14" s="6" t="s">
        <v>2517</v>
      </c>
      <c r="C14" s="5" t="s">
        <v>17</v>
      </c>
      <c r="D14" s="5"/>
      <c r="E14" s="5" t="s">
        <v>2518</v>
      </c>
      <c r="F14" s="5" t="s">
        <v>19</v>
      </c>
      <c r="G14" s="5" t="s">
        <v>17</v>
      </c>
      <c r="H14" s="5" t="s">
        <v>17</v>
      </c>
      <c r="I14" s="5" t="s">
        <v>17</v>
      </c>
      <c r="J14" s="5" t="s">
        <v>1516</v>
      </c>
    </row>
    <row r="15" spans="1:10" x14ac:dyDescent="0.25" outlineLevel="1" collapsed="1">
      <c r="A15" s="7" t="s">
        <v>15</v>
      </c>
      <c r="B15" s="7" t="s">
        <v>159</v>
      </c>
      <c r="C15" s="7" t="s">
        <v>17</v>
      </c>
      <c r="D15" s="7"/>
      <c r="E15" s="7" t="s">
        <v>2519</v>
      </c>
      <c r="F15" s="7" t="s">
        <v>19</v>
      </c>
      <c r="G15" s="7" t="b">
        <v>0</v>
      </c>
      <c r="H15" s="7" t="s">
        <v>17</v>
      </c>
      <c r="I15" s="7" t="s">
        <v>17</v>
      </c>
      <c r="J15" s="7" t="s">
        <v>2520</v>
      </c>
    </row>
    <row r="16" spans="1:10" x14ac:dyDescent="0.25" outlineLevel="1" collapsed="1">
      <c r="A16" s="7" t="s">
        <v>15</v>
      </c>
      <c r="B16" s="7" t="s">
        <v>16</v>
      </c>
      <c r="C16" s="7" t="s">
        <v>17</v>
      </c>
      <c r="D16" s="7"/>
      <c r="E16" s="7" t="s">
        <v>2521</v>
      </c>
      <c r="F16" s="7" t="s">
        <v>19</v>
      </c>
      <c r="G16" s="7" t="s">
        <v>2522</v>
      </c>
      <c r="H16" s="7" t="s">
        <v>2522</v>
      </c>
      <c r="I16" s="7" t="s">
        <v>17</v>
      </c>
      <c r="J16" s="7" t="s">
        <v>2523</v>
      </c>
    </row>
    <row r="17" spans="1:10" x14ac:dyDescent="0.25">
      <c r="A17" s="5" t="s">
        <v>19</v>
      </c>
      <c r="B17" s="5" t="s">
        <v>16</v>
      </c>
      <c r="C17" s="5" t="s">
        <v>17</v>
      </c>
      <c r="D17" s="5"/>
      <c r="E17" s="5" t="s">
        <v>2524</v>
      </c>
      <c r="F17" s="5" t="s">
        <v>19</v>
      </c>
      <c r="G17" s="5" t="s">
        <v>31</v>
      </c>
      <c r="H17" s="5" t="s">
        <v>17</v>
      </c>
      <c r="I17" s="5" t="s">
        <v>17</v>
      </c>
      <c r="J17" s="5" t="s">
        <v>2525</v>
      </c>
    </row>
    <row r="18" spans="1:10" x14ac:dyDescent="0.25">
      <c r="A18" s="5" t="s">
        <v>19</v>
      </c>
      <c r="B18" s="5" t="s">
        <v>16</v>
      </c>
      <c r="C18" s="5" t="s">
        <v>17</v>
      </c>
      <c r="D18" s="5"/>
      <c r="E18" s="5" t="s">
        <v>2526</v>
      </c>
      <c r="F18" s="5" t="s">
        <v>19</v>
      </c>
      <c r="G18" s="5" t="s">
        <v>31</v>
      </c>
      <c r="H18" s="5" t="s">
        <v>17</v>
      </c>
      <c r="I18" s="5" t="s">
        <v>17</v>
      </c>
      <c r="J18" s="5" t="s">
        <v>2527</v>
      </c>
    </row>
    <row r="19" spans="1:10" x14ac:dyDescent="0.25">
      <c r="A19" s="5" t="s">
        <v>19</v>
      </c>
      <c r="B19" s="6" t="s">
        <v>2528</v>
      </c>
      <c r="C19" s="5" t="s">
        <v>17</v>
      </c>
      <c r="D19" s="5"/>
      <c r="E19" s="5" t="s">
        <v>2529</v>
      </c>
      <c r="F19" s="5" t="s">
        <v>15</v>
      </c>
      <c r="G19" s="5" t="s">
        <v>17</v>
      </c>
      <c r="H19" s="5" t="s">
        <v>17</v>
      </c>
      <c r="I19" s="5" t="s">
        <v>17</v>
      </c>
      <c r="J19" s="5" t="s">
        <v>2530</v>
      </c>
    </row>
    <row r="20" spans="1:10" x14ac:dyDescent="0.25" outlineLevel="1" collapsed="1">
      <c r="A20" s="7" t="s">
        <v>19</v>
      </c>
      <c r="B20" s="7" t="s">
        <v>16</v>
      </c>
      <c r="C20" s="7" t="s">
        <v>17</v>
      </c>
      <c r="D20" s="7"/>
      <c r="E20" s="7" t="s">
        <v>2531</v>
      </c>
      <c r="F20" s="7" t="s">
        <v>19</v>
      </c>
      <c r="G20" s="7" t="s">
        <v>31</v>
      </c>
      <c r="H20" s="7" t="s">
        <v>17</v>
      </c>
      <c r="I20" s="7" t="s">
        <v>17</v>
      </c>
      <c r="J20" s="7" t="s">
        <v>2532</v>
      </c>
    </row>
    <row r="21" spans="1:10" x14ac:dyDescent="0.25" outlineLevel="1" collapsed="1">
      <c r="A21" s="7" t="s">
        <v>19</v>
      </c>
      <c r="B21" s="7" t="s">
        <v>16</v>
      </c>
      <c r="C21" s="7" t="s">
        <v>17</v>
      </c>
      <c r="D21" s="7"/>
      <c r="E21" s="7" t="s">
        <v>1345</v>
      </c>
      <c r="F21" s="7" t="s">
        <v>19</v>
      </c>
      <c r="G21" s="7" t="s">
        <v>31</v>
      </c>
      <c r="H21" s="7" t="s">
        <v>17</v>
      </c>
      <c r="I21" s="7" t="s">
        <v>17</v>
      </c>
      <c r="J21" s="7" t="s">
        <v>1346</v>
      </c>
    </row>
    <row r="22" spans="1:10" x14ac:dyDescent="0.25" outlineLevel="1" collapsed="1">
      <c r="A22" s="7" t="s">
        <v>19</v>
      </c>
      <c r="B22" s="7" t="s">
        <v>16</v>
      </c>
      <c r="C22" s="7" t="s">
        <v>17</v>
      </c>
      <c r="D22" s="7"/>
      <c r="E22" s="7" t="s">
        <v>1347</v>
      </c>
      <c r="F22" s="7" t="s">
        <v>19</v>
      </c>
      <c r="G22" s="7" t="s">
        <v>31</v>
      </c>
      <c r="H22" s="7" t="s">
        <v>17</v>
      </c>
      <c r="I22" s="7" t="s">
        <v>17</v>
      </c>
      <c r="J22" s="7" t="s">
        <v>1348</v>
      </c>
    </row>
    <row r="23" spans="1:10" x14ac:dyDescent="0.25" outlineLevel="1" collapsed="1">
      <c r="A23" s="7" t="s">
        <v>19</v>
      </c>
      <c r="B23" s="7" t="s">
        <v>16</v>
      </c>
      <c r="C23" s="7" t="s">
        <v>17</v>
      </c>
      <c r="D23" s="7"/>
      <c r="E23" s="7" t="s">
        <v>2533</v>
      </c>
      <c r="F23" s="7" t="s">
        <v>19</v>
      </c>
      <c r="G23" s="7" t="s">
        <v>31</v>
      </c>
      <c r="H23" s="7" t="s">
        <v>17</v>
      </c>
      <c r="I23" s="7" t="s">
        <v>17</v>
      </c>
      <c r="J23" s="7" t="s">
        <v>2534</v>
      </c>
    </row>
    <row r="24" spans="1:10" x14ac:dyDescent="0.25">
      <c r="A24" s="5" t="s">
        <v>19</v>
      </c>
      <c r="B24" s="6" t="s">
        <v>2535</v>
      </c>
      <c r="C24" s="5" t="s">
        <v>17</v>
      </c>
      <c r="D24" s="5"/>
      <c r="E24" s="5" t="s">
        <v>2536</v>
      </c>
      <c r="F24" s="5" t="s">
        <v>15</v>
      </c>
      <c r="G24" s="5" t="s">
        <v>17</v>
      </c>
      <c r="H24" s="5" t="s">
        <v>17</v>
      </c>
      <c r="I24" s="5" t="s">
        <v>17</v>
      </c>
      <c r="J24" s="5" t="s">
        <v>2537</v>
      </c>
    </row>
    <row r="25" spans="1:10" x14ac:dyDescent="0.25" outlineLevel="1" collapsed="1">
      <c r="A25" s="7" t="s">
        <v>19</v>
      </c>
      <c r="B25" s="7" t="s">
        <v>16</v>
      </c>
      <c r="C25" s="7" t="s">
        <v>17</v>
      </c>
      <c r="D25" s="7"/>
      <c r="E25" s="7" t="s">
        <v>2538</v>
      </c>
      <c r="F25" s="7" t="s">
        <v>19</v>
      </c>
      <c r="G25" s="7" t="s">
        <v>31</v>
      </c>
      <c r="H25" s="7" t="s">
        <v>17</v>
      </c>
      <c r="I25" s="7" t="s">
        <v>17</v>
      </c>
      <c r="J25" s="7" t="s">
        <v>2539</v>
      </c>
    </row>
    <row r="26" spans="1:10" x14ac:dyDescent="0.25" outlineLevel="1" collapsed="1">
      <c r="A26" s="7" t="s">
        <v>19</v>
      </c>
      <c r="B26" s="7" t="s">
        <v>16</v>
      </c>
      <c r="C26" s="7" t="s">
        <v>17</v>
      </c>
      <c r="D26" s="7"/>
      <c r="E26" s="7" t="s">
        <v>2540</v>
      </c>
      <c r="F26" s="7" t="s">
        <v>19</v>
      </c>
      <c r="G26" s="7" t="s">
        <v>31</v>
      </c>
      <c r="H26" s="7" t="s">
        <v>17</v>
      </c>
      <c r="I26" s="7" t="s">
        <v>17</v>
      </c>
      <c r="J26" s="7" t="s">
        <v>606</v>
      </c>
    </row>
    <row r="27" spans="1:10" x14ac:dyDescent="0.25" outlineLevel="1" collapsed="1">
      <c r="A27" s="7" t="s">
        <v>19</v>
      </c>
      <c r="B27" s="7" t="s">
        <v>16</v>
      </c>
      <c r="C27" s="7" t="s">
        <v>17</v>
      </c>
      <c r="D27" s="7"/>
      <c r="E27" s="7" t="s">
        <v>2541</v>
      </c>
      <c r="F27" s="7" t="s">
        <v>19</v>
      </c>
      <c r="G27" s="7" t="s">
        <v>31</v>
      </c>
      <c r="H27" s="7" t="s">
        <v>17</v>
      </c>
      <c r="I27" s="7" t="s">
        <v>17</v>
      </c>
      <c r="J27" s="7" t="s">
        <v>2542</v>
      </c>
    </row>
  </sheetData>
  <mergeCells count="3">
    <mergeCell ref="A1:J1"/>
    <mergeCell ref="B2:J2"/>
    <mergeCell ref="B3:J3"/>
  </mergeCells>
  <hyperlinks>
    <hyperlink ref="B6" r:id="rId1" location="#'GHG Source Row (VCS PD 3.3)'!A1"/>
    <hyperlink ref="B14" r:id="rId2" location="#'3.3.1 De Minimis GHG Sources a'!A1"/>
    <hyperlink ref="B19" r:id="rId3" location="#'De minimis comparison period r'!A1"/>
    <hyperlink ref="B24" r:id="rId4" location="#'De minimis quantification per'!A1"/>
  </hyperlinks>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2945</v>
      </c>
      <c r="B1" s="1"/>
      <c r="C1" s="1"/>
      <c r="D1" s="1"/>
      <c r="E1" s="1"/>
      <c r="F1" s="1"/>
      <c r="G1" s="1"/>
      <c r="H1" s="1"/>
      <c r="I1" s="1"/>
      <c r="J1" s="1"/>
    </row>
    <row r="2" spans="1:10" x14ac:dyDescent="0.25">
      <c r="A2" s="2" t="s">
        <v>1</v>
      </c>
      <c r="B2" s="3" t="s">
        <v>2946</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2947</v>
      </c>
      <c r="F5" s="5" t="s">
        <v>19</v>
      </c>
      <c r="G5" s="5" t="s">
        <v>2948</v>
      </c>
      <c r="H5" s="5" t="s">
        <v>17</v>
      </c>
      <c r="I5" s="5" t="s">
        <v>17</v>
      </c>
      <c r="J5" s="5" t="s">
        <v>2949</v>
      </c>
    </row>
    <row r="6" spans="1:10" x14ac:dyDescent="0.25">
      <c r="A6" s="5" t="s">
        <v>15</v>
      </c>
      <c r="B6" s="5" t="s">
        <v>291</v>
      </c>
      <c r="C6" s="5" t="s">
        <v>17</v>
      </c>
      <c r="D6" s="5"/>
      <c r="E6" s="5" t="s">
        <v>2950</v>
      </c>
      <c r="F6" s="5" t="s">
        <v>19</v>
      </c>
      <c r="G6" s="5" t="s">
        <v>293</v>
      </c>
      <c r="H6" s="5" t="s">
        <v>17</v>
      </c>
      <c r="I6" s="5" t="s">
        <v>17</v>
      </c>
      <c r="J6" s="5" t="s">
        <v>2951</v>
      </c>
    </row>
    <row r="7" spans="1:10" x14ac:dyDescent="0.25">
      <c r="A7" s="5" t="s">
        <v>15</v>
      </c>
      <c r="B7" s="5" t="s">
        <v>16</v>
      </c>
      <c r="C7" s="5" t="s">
        <v>17</v>
      </c>
      <c r="D7" s="5"/>
      <c r="E7" s="5" t="s">
        <v>2952</v>
      </c>
      <c r="F7" s="5" t="s">
        <v>19</v>
      </c>
      <c r="G7" s="5" t="s">
        <v>282</v>
      </c>
      <c r="H7" s="5" t="s">
        <v>17</v>
      </c>
      <c r="I7" s="5" t="s">
        <v>17</v>
      </c>
      <c r="J7" s="5" t="s">
        <v>283</v>
      </c>
    </row>
    <row r="8" spans="1:10" x14ac:dyDescent="0.25">
      <c r="A8" s="5" t="s">
        <v>15</v>
      </c>
      <c r="B8" s="5" t="s">
        <v>284</v>
      </c>
      <c r="C8" s="10" t="s">
        <v>2953</v>
      </c>
      <c r="D8" s="5"/>
      <c r="E8" s="5" t="s">
        <v>2953</v>
      </c>
      <c r="F8" s="5" t="s">
        <v>19</v>
      </c>
      <c r="G8" s="5" t="s">
        <v>286</v>
      </c>
      <c r="H8" s="5" t="s">
        <v>17</v>
      </c>
      <c r="I8" s="5" t="s">
        <v>17</v>
      </c>
      <c r="J8" s="5" t="s">
        <v>287</v>
      </c>
    </row>
    <row r="9" spans="1:10" x14ac:dyDescent="0.25">
      <c r="A9" s="5" t="s">
        <v>15</v>
      </c>
      <c r="B9" s="5" t="s">
        <v>16</v>
      </c>
      <c r="C9" s="5" t="s">
        <v>17</v>
      </c>
      <c r="D9" s="5"/>
      <c r="E9" s="5" t="s">
        <v>288</v>
      </c>
      <c r="F9" s="5" t="s">
        <v>19</v>
      </c>
      <c r="G9" s="5" t="s">
        <v>289</v>
      </c>
      <c r="H9" s="5" t="s">
        <v>17</v>
      </c>
      <c r="I9" s="5" t="s">
        <v>17</v>
      </c>
      <c r="J9" s="5" t="s">
        <v>290</v>
      </c>
    </row>
    <row r="10" spans="1:10" x14ac:dyDescent="0.25">
      <c r="A10" s="5" t="s">
        <v>15</v>
      </c>
      <c r="B10" s="5" t="s">
        <v>291</v>
      </c>
      <c r="C10" s="5" t="s">
        <v>17</v>
      </c>
      <c r="D10" s="5"/>
      <c r="E10" s="5" t="s">
        <v>2258</v>
      </c>
      <c r="F10" s="5" t="s">
        <v>19</v>
      </c>
      <c r="G10" s="5" t="s">
        <v>293</v>
      </c>
      <c r="H10" s="5" t="s">
        <v>17</v>
      </c>
      <c r="I10" s="5" t="s">
        <v>17</v>
      </c>
      <c r="J10" s="5" t="s">
        <v>2259</v>
      </c>
    </row>
    <row r="11" spans="1:10" x14ac:dyDescent="0.25">
      <c r="A11" s="5" t="s">
        <v>15</v>
      </c>
      <c r="B11" s="5" t="s">
        <v>291</v>
      </c>
      <c r="C11" s="5" t="s">
        <v>17</v>
      </c>
      <c r="D11" s="5"/>
      <c r="E11" s="5" t="s">
        <v>2260</v>
      </c>
      <c r="F11" s="5" t="s">
        <v>19</v>
      </c>
      <c r="G11" s="5" t="s">
        <v>293</v>
      </c>
      <c r="H11" s="5" t="s">
        <v>17</v>
      </c>
      <c r="I11" s="5" t="s">
        <v>17</v>
      </c>
      <c r="J11" s="5" t="s">
        <v>2261</v>
      </c>
    </row>
    <row r="12" spans="1:10" x14ac:dyDescent="0.25">
      <c r="A12" s="5" t="s">
        <v>15</v>
      </c>
      <c r="B12" s="5" t="s">
        <v>291</v>
      </c>
      <c r="C12" s="5" t="s">
        <v>17</v>
      </c>
      <c r="D12" s="5"/>
      <c r="E12" s="5" t="s">
        <v>1037</v>
      </c>
      <c r="F12" s="5" t="s">
        <v>19</v>
      </c>
      <c r="G12" s="5" t="s">
        <v>293</v>
      </c>
      <c r="H12" s="5" t="s">
        <v>17</v>
      </c>
      <c r="I12" s="5" t="s">
        <v>17</v>
      </c>
      <c r="J12" s="5" t="s">
        <v>298</v>
      </c>
    </row>
    <row r="13" spans="1:10" x14ac:dyDescent="0.25">
      <c r="A13" s="5" t="s">
        <v>15</v>
      </c>
      <c r="B13" s="5" t="s">
        <v>16</v>
      </c>
      <c r="C13" s="5" t="s">
        <v>17</v>
      </c>
      <c r="D13" s="5"/>
      <c r="E13" s="5" t="s">
        <v>1038</v>
      </c>
      <c r="F13" s="5" t="s">
        <v>19</v>
      </c>
      <c r="G13" s="5" t="s">
        <v>300</v>
      </c>
      <c r="H13" s="5" t="s">
        <v>17</v>
      </c>
      <c r="I13" s="5" t="s">
        <v>17</v>
      </c>
      <c r="J13" s="5" t="s">
        <v>301</v>
      </c>
    </row>
    <row r="14" spans="1:10" x14ac:dyDescent="0.25">
      <c r="A14" s="5" t="s">
        <v>15</v>
      </c>
      <c r="B14" s="5" t="s">
        <v>16</v>
      </c>
      <c r="C14" s="5" t="s">
        <v>17</v>
      </c>
      <c r="D14" s="5"/>
      <c r="E14" s="5" t="s">
        <v>2264</v>
      </c>
      <c r="F14" s="5" t="s">
        <v>19</v>
      </c>
      <c r="G14" s="5" t="s">
        <v>303</v>
      </c>
      <c r="H14" s="5" t="s">
        <v>17</v>
      </c>
      <c r="I14" s="5" t="s">
        <v>17</v>
      </c>
      <c r="J14" s="5" t="s">
        <v>304</v>
      </c>
    </row>
    <row r="15" spans="1:10" x14ac:dyDescent="0.25">
      <c r="A15" s="5" t="s">
        <v>15</v>
      </c>
      <c r="B15" s="5" t="s">
        <v>16</v>
      </c>
      <c r="C15" s="5" t="s">
        <v>17</v>
      </c>
      <c r="D15" s="5"/>
      <c r="E15" s="5" t="s">
        <v>1041</v>
      </c>
      <c r="F15" s="5" t="s">
        <v>19</v>
      </c>
      <c r="G15" s="5" t="s">
        <v>306</v>
      </c>
      <c r="H15" s="5" t="s">
        <v>17</v>
      </c>
      <c r="I15" s="5" t="s">
        <v>17</v>
      </c>
      <c r="J15" s="5" t="s">
        <v>307</v>
      </c>
    </row>
    <row r="16" spans="1:10" x14ac:dyDescent="0.25">
      <c r="A16" s="5" t="s">
        <v>15</v>
      </c>
      <c r="B16" s="5" t="s">
        <v>16</v>
      </c>
      <c r="C16" s="5" t="s">
        <v>17</v>
      </c>
      <c r="D16" s="5"/>
      <c r="E16" s="5" t="s">
        <v>2954</v>
      </c>
      <c r="F16" s="5" t="s">
        <v>19</v>
      </c>
      <c r="G16" s="5" t="s">
        <v>309</v>
      </c>
      <c r="H16" s="5" t="s">
        <v>17</v>
      </c>
      <c r="I16" s="5" t="s">
        <v>17</v>
      </c>
      <c r="J16" s="5" t="s">
        <v>310</v>
      </c>
    </row>
    <row r="17" spans="1:10" x14ac:dyDescent="0.25">
      <c r="A17" s="5" t="s">
        <v>15</v>
      </c>
      <c r="B17" s="5" t="s">
        <v>16</v>
      </c>
      <c r="C17" s="5" t="s">
        <v>17</v>
      </c>
      <c r="D17" s="5"/>
      <c r="E17" s="5" t="s">
        <v>2955</v>
      </c>
      <c r="F17" s="5" t="s">
        <v>19</v>
      </c>
      <c r="G17" s="5" t="s">
        <v>312</v>
      </c>
      <c r="H17" s="5" t="s">
        <v>17</v>
      </c>
      <c r="I17" s="5" t="s">
        <v>17</v>
      </c>
      <c r="J17" s="5" t="s">
        <v>313</v>
      </c>
    </row>
    <row r="18" spans="1:10" x14ac:dyDescent="0.25">
      <c r="A18" s="5" t="s">
        <v>15</v>
      </c>
      <c r="B18" s="5" t="s">
        <v>16</v>
      </c>
      <c r="C18" s="5" t="s">
        <v>17</v>
      </c>
      <c r="D18" s="5"/>
      <c r="E18" s="5" t="s">
        <v>2956</v>
      </c>
      <c r="F18" s="5" t="s">
        <v>19</v>
      </c>
      <c r="G18" s="5" t="s">
        <v>315</v>
      </c>
      <c r="H18" s="5" t="s">
        <v>17</v>
      </c>
      <c r="I18" s="5" t="s">
        <v>17</v>
      </c>
      <c r="J18" s="5" t="s">
        <v>261</v>
      </c>
    </row>
    <row r="19" spans="1:10" x14ac:dyDescent="0.25">
      <c r="A19" s="5" t="s">
        <v>15</v>
      </c>
      <c r="B19" s="5" t="s">
        <v>16</v>
      </c>
      <c r="C19" s="5" t="s">
        <v>17</v>
      </c>
      <c r="D19" s="5"/>
      <c r="E19" s="5" t="s">
        <v>2957</v>
      </c>
      <c r="F19" s="5" t="s">
        <v>19</v>
      </c>
      <c r="G19" s="5" t="s">
        <v>317</v>
      </c>
      <c r="H19" s="5" t="s">
        <v>17</v>
      </c>
      <c r="I19" s="5" t="s">
        <v>17</v>
      </c>
      <c r="J19" s="5" t="s">
        <v>318</v>
      </c>
    </row>
    <row r="20" spans="1:10" x14ac:dyDescent="0.25">
      <c r="A20" s="5" t="s">
        <v>15</v>
      </c>
      <c r="B20" s="5" t="s">
        <v>16</v>
      </c>
      <c r="C20" s="5" t="s">
        <v>17</v>
      </c>
      <c r="D20" s="5"/>
      <c r="E20" s="5" t="s">
        <v>2958</v>
      </c>
      <c r="F20" s="5" t="s">
        <v>19</v>
      </c>
      <c r="G20" s="5" t="s">
        <v>320</v>
      </c>
      <c r="H20" s="5" t="s">
        <v>17</v>
      </c>
      <c r="I20" s="5" t="s">
        <v>17</v>
      </c>
      <c r="J20" s="5" t="s">
        <v>321</v>
      </c>
    </row>
    <row r="21" spans="1:10" x14ac:dyDescent="0.25">
      <c r="A21" s="5" t="s">
        <v>15</v>
      </c>
      <c r="B21" s="5" t="s">
        <v>16</v>
      </c>
      <c r="C21" s="5" t="s">
        <v>17</v>
      </c>
      <c r="D21" s="5"/>
      <c r="E21" s="5" t="s">
        <v>2959</v>
      </c>
      <c r="F21" s="5" t="s">
        <v>19</v>
      </c>
      <c r="G21" s="5" t="s">
        <v>2960</v>
      </c>
      <c r="H21" s="5" t="s">
        <v>17</v>
      </c>
      <c r="I21" s="5" t="s">
        <v>17</v>
      </c>
      <c r="J21" s="5" t="s">
        <v>324</v>
      </c>
    </row>
    <row r="22" spans="1:10" x14ac:dyDescent="0.25">
      <c r="A22" s="5" t="s">
        <v>19</v>
      </c>
      <c r="B22" s="6" t="s">
        <v>2961</v>
      </c>
      <c r="C22" s="5" t="s">
        <v>17</v>
      </c>
      <c r="D22" s="5"/>
      <c r="E22" s="5" t="s">
        <v>326</v>
      </c>
      <c r="F22" s="5" t="s">
        <v>15</v>
      </c>
      <c r="G22" s="5" t="s">
        <v>17</v>
      </c>
      <c r="H22" s="5" t="s">
        <v>17</v>
      </c>
      <c r="I22" s="5" t="s">
        <v>17</v>
      </c>
      <c r="J22" s="5" t="s">
        <v>327</v>
      </c>
    </row>
    <row r="23" spans="1:10" x14ac:dyDescent="0.25" outlineLevel="1" collapsed="1">
      <c r="A23" s="7" t="s">
        <v>15</v>
      </c>
      <c r="B23" s="7" t="s">
        <v>16</v>
      </c>
      <c r="C23" s="7" t="s">
        <v>17</v>
      </c>
      <c r="D23" s="7"/>
      <c r="E23" s="7" t="s">
        <v>2962</v>
      </c>
      <c r="F23" s="7" t="s">
        <v>19</v>
      </c>
      <c r="G23" s="7" t="s">
        <v>2963</v>
      </c>
      <c r="H23" s="7" t="s">
        <v>17</v>
      </c>
      <c r="I23" s="7" t="s">
        <v>17</v>
      </c>
      <c r="J23" s="7" t="s">
        <v>330</v>
      </c>
    </row>
    <row r="24" spans="1:10" x14ac:dyDescent="0.25" outlineLevel="1" collapsed="1">
      <c r="A24" s="7" t="s">
        <v>15</v>
      </c>
      <c r="B24" s="7" t="s">
        <v>16</v>
      </c>
      <c r="C24" s="7" t="s">
        <v>17</v>
      </c>
      <c r="D24" s="7"/>
      <c r="E24" s="7" t="s">
        <v>9</v>
      </c>
      <c r="F24" s="7" t="s">
        <v>19</v>
      </c>
      <c r="G24" s="7" t="s">
        <v>2964</v>
      </c>
      <c r="H24" s="7" t="s">
        <v>17</v>
      </c>
      <c r="I24" s="7" t="s">
        <v>17</v>
      </c>
      <c r="J24" s="7" t="s">
        <v>333</v>
      </c>
    </row>
    <row r="25" spans="1:10" x14ac:dyDescent="0.25">
      <c r="A25" s="5" t="s">
        <v>15</v>
      </c>
      <c r="B25" s="5" t="s">
        <v>16</v>
      </c>
      <c r="C25" s="5" t="s">
        <v>17</v>
      </c>
      <c r="D25" s="5"/>
      <c r="E25" s="5" t="s">
        <v>2965</v>
      </c>
      <c r="F25" s="5" t="s">
        <v>19</v>
      </c>
      <c r="G25" s="5" t="s">
        <v>2966</v>
      </c>
      <c r="H25" s="5" t="s">
        <v>17</v>
      </c>
      <c r="I25" s="5" t="s">
        <v>17</v>
      </c>
      <c r="J25" s="5" t="s">
        <v>336</v>
      </c>
    </row>
    <row r="26" spans="1:10" x14ac:dyDescent="0.25">
      <c r="A26" s="5" t="s">
        <v>15</v>
      </c>
      <c r="B26" s="6" t="s">
        <v>2967</v>
      </c>
      <c r="C26" s="5" t="s">
        <v>17</v>
      </c>
      <c r="D26" s="5"/>
      <c r="E26" s="5" t="s">
        <v>338</v>
      </c>
      <c r="F26" s="5" t="s">
        <v>19</v>
      </c>
      <c r="G26" s="5" t="s">
        <v>17</v>
      </c>
      <c r="H26" s="5" t="s">
        <v>17</v>
      </c>
      <c r="I26" s="5" t="s">
        <v>17</v>
      </c>
      <c r="J26" s="5" t="s">
        <v>339</v>
      </c>
    </row>
    <row r="27" spans="1:10" x14ac:dyDescent="0.25" outlineLevel="1" collapsed="1">
      <c r="A27" s="7" t="s">
        <v>15</v>
      </c>
      <c r="B27" s="7" t="s">
        <v>16</v>
      </c>
      <c r="C27" s="7" t="s">
        <v>17</v>
      </c>
      <c r="D27" s="7"/>
      <c r="E27" s="7" t="s">
        <v>2968</v>
      </c>
      <c r="F27" s="7" t="s">
        <v>19</v>
      </c>
      <c r="G27" s="7" t="s">
        <v>2969</v>
      </c>
      <c r="H27" s="7" t="s">
        <v>17</v>
      </c>
      <c r="I27" s="7" t="s">
        <v>17</v>
      </c>
      <c r="J27" s="7" t="s">
        <v>342</v>
      </c>
    </row>
    <row r="28" spans="1:10" x14ac:dyDescent="0.25" outlineLevel="1" collapsed="1">
      <c r="A28" s="7" t="s">
        <v>15</v>
      </c>
      <c r="B28" s="7" t="s">
        <v>16</v>
      </c>
      <c r="C28" s="7" t="s">
        <v>17</v>
      </c>
      <c r="D28" s="7"/>
      <c r="E28" s="7" t="s">
        <v>2970</v>
      </c>
      <c r="F28" s="7" t="s">
        <v>19</v>
      </c>
      <c r="G28" s="7" t="s">
        <v>344</v>
      </c>
      <c r="H28" s="7" t="s">
        <v>17</v>
      </c>
      <c r="I28" s="7" t="s">
        <v>17</v>
      </c>
      <c r="J28" s="7" t="s">
        <v>345</v>
      </c>
    </row>
    <row r="29" spans="1:10" x14ac:dyDescent="0.25" outlineLevel="1" collapsed="1">
      <c r="A29" s="7" t="s">
        <v>15</v>
      </c>
      <c r="B29" s="7" t="s">
        <v>16</v>
      </c>
      <c r="C29" s="7" t="s">
        <v>17</v>
      </c>
      <c r="D29" s="7"/>
      <c r="E29" s="7" t="s">
        <v>2971</v>
      </c>
      <c r="F29" s="7" t="s">
        <v>19</v>
      </c>
      <c r="G29" s="7" t="s">
        <v>2972</v>
      </c>
      <c r="H29" s="7" t="s">
        <v>17</v>
      </c>
      <c r="I29" s="7" t="s">
        <v>17</v>
      </c>
      <c r="J29" s="7" t="s">
        <v>2973</v>
      </c>
    </row>
    <row r="30" spans="1:10" x14ac:dyDescent="0.25" outlineLevel="1" collapsed="1">
      <c r="A30" s="7" t="s">
        <v>15</v>
      </c>
      <c r="B30" s="7" t="s">
        <v>16</v>
      </c>
      <c r="C30" s="7" t="s">
        <v>17</v>
      </c>
      <c r="D30" s="7"/>
      <c r="E30" s="7" t="s">
        <v>353</v>
      </c>
      <c r="F30" s="7" t="s">
        <v>19</v>
      </c>
      <c r="G30" s="7" t="s">
        <v>2974</v>
      </c>
      <c r="H30" s="7" t="s">
        <v>17</v>
      </c>
      <c r="I30" s="7" t="s">
        <v>17</v>
      </c>
      <c r="J30" s="7" t="s">
        <v>355</v>
      </c>
    </row>
    <row r="31" spans="1:10" x14ac:dyDescent="0.25">
      <c r="A31" s="5" t="s">
        <v>15</v>
      </c>
      <c r="B31" s="6" t="s">
        <v>2975</v>
      </c>
      <c r="C31" s="5" t="s">
        <v>17</v>
      </c>
      <c r="D31" s="5"/>
      <c r="E31" s="5" t="s">
        <v>2976</v>
      </c>
      <c r="F31" s="5" t="s">
        <v>19</v>
      </c>
      <c r="G31" s="5" t="s">
        <v>17</v>
      </c>
      <c r="H31" s="5" t="s">
        <v>17</v>
      </c>
      <c r="I31" s="5" t="s">
        <v>17</v>
      </c>
      <c r="J31" s="5" t="s">
        <v>2977</v>
      </c>
    </row>
    <row r="32" spans="1:10" x14ac:dyDescent="0.25" outlineLevel="1" collapsed="1">
      <c r="A32" s="8" t="s">
        <v>15</v>
      </c>
      <c r="B32" s="9" t="s">
        <v>2978</v>
      </c>
      <c r="C32" s="8" t="s">
        <v>17</v>
      </c>
      <c r="D32" s="8"/>
      <c r="E32" s="8" t="s">
        <v>360</v>
      </c>
      <c r="F32" s="8" t="s">
        <v>19</v>
      </c>
      <c r="G32" s="8" t="s">
        <v>17</v>
      </c>
      <c r="H32" s="8" t="s">
        <v>17</v>
      </c>
      <c r="I32" s="8" t="s">
        <v>17</v>
      </c>
      <c r="J32" s="8" t="s">
        <v>361</v>
      </c>
    </row>
    <row r="33" spans="1:10" x14ac:dyDescent="0.25" outlineLevel="2" collapsed="1">
      <c r="A33" s="7" t="s">
        <v>15</v>
      </c>
      <c r="B33" s="7" t="s">
        <v>16</v>
      </c>
      <c r="C33" s="7" t="s">
        <v>17</v>
      </c>
      <c r="D33" s="7"/>
      <c r="E33" s="7" t="s">
        <v>360</v>
      </c>
      <c r="F33" s="7" t="s">
        <v>19</v>
      </c>
      <c r="G33" s="7" t="s">
        <v>2979</v>
      </c>
      <c r="H33" s="7" t="s">
        <v>17</v>
      </c>
      <c r="I33" s="7" t="s">
        <v>17</v>
      </c>
      <c r="J33" s="7" t="s">
        <v>361</v>
      </c>
    </row>
    <row r="34" spans="1:10" x14ac:dyDescent="0.25" outlineLevel="2" collapsed="1">
      <c r="A34" s="8" t="s">
        <v>19</v>
      </c>
      <c r="B34" s="9" t="s">
        <v>364</v>
      </c>
      <c r="C34" s="8" t="s">
        <v>17</v>
      </c>
      <c r="D34" s="8"/>
      <c r="E34" s="8" t="s">
        <v>2980</v>
      </c>
      <c r="F34" s="8" t="s">
        <v>15</v>
      </c>
      <c r="G34" s="8" t="s">
        <v>17</v>
      </c>
      <c r="H34" s="8" t="s">
        <v>17</v>
      </c>
      <c r="I34" s="8" t="s">
        <v>17</v>
      </c>
      <c r="J34" s="8" t="s">
        <v>366</v>
      </c>
    </row>
    <row r="35" spans="1:10" x14ac:dyDescent="0.25" outlineLevel="3" collapsed="1">
      <c r="A35" s="7" t="s">
        <v>15</v>
      </c>
      <c r="B35" s="7" t="s">
        <v>16</v>
      </c>
      <c r="C35" s="7" t="s">
        <v>17</v>
      </c>
      <c r="D35" s="7"/>
      <c r="E35" s="7" t="s">
        <v>367</v>
      </c>
      <c r="F35" s="7" t="s">
        <v>19</v>
      </c>
      <c r="G35" s="7" t="s">
        <v>368</v>
      </c>
      <c r="H35" s="7" t="s">
        <v>17</v>
      </c>
      <c r="I35" s="7" t="s">
        <v>17</v>
      </c>
      <c r="J35" s="7" t="s">
        <v>369</v>
      </c>
    </row>
    <row r="36" spans="1:10" x14ac:dyDescent="0.25" outlineLevel="3" collapsed="1">
      <c r="A36" s="7" t="s">
        <v>15</v>
      </c>
      <c r="B36" s="7" t="s">
        <v>291</v>
      </c>
      <c r="C36" s="7" t="s">
        <v>17</v>
      </c>
      <c r="D36" s="7"/>
      <c r="E36" s="7" t="s">
        <v>370</v>
      </c>
      <c r="F36" s="7" t="s">
        <v>19</v>
      </c>
      <c r="G36" s="7" t="s">
        <v>293</v>
      </c>
      <c r="H36" s="7" t="s">
        <v>17</v>
      </c>
      <c r="I36" s="7" t="s">
        <v>17</v>
      </c>
      <c r="J36" s="7" t="s">
        <v>371</v>
      </c>
    </row>
    <row r="37" spans="1:10" x14ac:dyDescent="0.25" outlineLevel="1" collapsed="1">
      <c r="A37" s="8" t="s">
        <v>15</v>
      </c>
      <c r="B37" s="9" t="s">
        <v>2981</v>
      </c>
      <c r="C37" s="8" t="s">
        <v>17</v>
      </c>
      <c r="D37" s="8"/>
      <c r="E37" s="8" t="s">
        <v>373</v>
      </c>
      <c r="F37" s="8" t="s">
        <v>19</v>
      </c>
      <c r="G37" s="8" t="s">
        <v>17</v>
      </c>
      <c r="H37" s="8" t="s">
        <v>17</v>
      </c>
      <c r="I37" s="8" t="s">
        <v>17</v>
      </c>
      <c r="J37" s="8" t="s">
        <v>374</v>
      </c>
    </row>
    <row r="38" spans="1:10" x14ac:dyDescent="0.25" outlineLevel="2" collapsed="1">
      <c r="A38" s="8" t="s">
        <v>15</v>
      </c>
      <c r="B38" s="9" t="s">
        <v>375</v>
      </c>
      <c r="C38" s="8" t="s">
        <v>17</v>
      </c>
      <c r="D38" s="8"/>
      <c r="E38" s="8" t="s">
        <v>376</v>
      </c>
      <c r="F38" s="8" t="s">
        <v>19</v>
      </c>
      <c r="G38" s="8" t="s">
        <v>17</v>
      </c>
      <c r="H38" s="8" t="s">
        <v>17</v>
      </c>
      <c r="I38" s="8" t="s">
        <v>17</v>
      </c>
      <c r="J38" s="8" t="s">
        <v>377</v>
      </c>
    </row>
    <row r="39" spans="1:10" x14ac:dyDescent="0.25" outlineLevel="3" collapsed="1">
      <c r="A39" s="7" t="s">
        <v>15</v>
      </c>
      <c r="B39" s="7" t="s">
        <v>291</v>
      </c>
      <c r="C39" s="7" t="s">
        <v>17</v>
      </c>
      <c r="D39" s="7"/>
      <c r="E39" s="7" t="s">
        <v>378</v>
      </c>
      <c r="F39" s="7" t="s">
        <v>19</v>
      </c>
      <c r="G39" s="7" t="s">
        <v>293</v>
      </c>
      <c r="H39" s="7" t="s">
        <v>17</v>
      </c>
      <c r="I39" s="7" t="s">
        <v>17</v>
      </c>
      <c r="J39" s="7" t="s">
        <v>379</v>
      </c>
    </row>
    <row r="40" spans="1:10" x14ac:dyDescent="0.25" outlineLevel="3" collapsed="1">
      <c r="A40" s="7" t="s">
        <v>15</v>
      </c>
      <c r="B40" s="7" t="s">
        <v>291</v>
      </c>
      <c r="C40" s="7" t="s">
        <v>17</v>
      </c>
      <c r="D40" s="7"/>
      <c r="E40" s="7" t="s">
        <v>380</v>
      </c>
      <c r="F40" s="7" t="s">
        <v>19</v>
      </c>
      <c r="G40" s="7" t="s">
        <v>293</v>
      </c>
      <c r="H40" s="7" t="s">
        <v>17</v>
      </c>
      <c r="I40" s="7" t="s">
        <v>17</v>
      </c>
      <c r="J40" s="7" t="s">
        <v>381</v>
      </c>
    </row>
    <row r="41" spans="1:10" x14ac:dyDescent="0.25" outlineLevel="3" collapsed="1">
      <c r="A41" s="7" t="s">
        <v>15</v>
      </c>
      <c r="B41" s="7" t="s">
        <v>63</v>
      </c>
      <c r="C41" s="7" t="s">
        <v>17</v>
      </c>
      <c r="D41" s="7"/>
      <c r="E41" s="7" t="s">
        <v>382</v>
      </c>
      <c r="F41" s="7" t="s">
        <v>19</v>
      </c>
      <c r="G41" s="7">
        <v>5</v>
      </c>
      <c r="H41" s="7" t="s">
        <v>17</v>
      </c>
      <c r="I41" s="7" t="s">
        <v>17</v>
      </c>
      <c r="J41" s="7" t="s">
        <v>383</v>
      </c>
    </row>
    <row r="42" spans="1:10" x14ac:dyDescent="0.25" outlineLevel="3" collapsed="1">
      <c r="A42" s="7" t="s">
        <v>15</v>
      </c>
      <c r="B42" s="7" t="s">
        <v>16</v>
      </c>
      <c r="C42" s="7" t="s">
        <v>17</v>
      </c>
      <c r="D42" s="7"/>
      <c r="E42" s="7" t="s">
        <v>384</v>
      </c>
      <c r="F42" s="7" t="s">
        <v>19</v>
      </c>
      <c r="G42" s="7" t="s">
        <v>385</v>
      </c>
      <c r="H42" s="7" t="s">
        <v>17</v>
      </c>
      <c r="I42" s="7" t="s">
        <v>17</v>
      </c>
      <c r="J42" s="7" t="s">
        <v>386</v>
      </c>
    </row>
    <row r="43" spans="1:10" x14ac:dyDescent="0.25" outlineLevel="3" collapsed="1">
      <c r="A43" s="7" t="s">
        <v>15</v>
      </c>
      <c r="B43" s="7" t="s">
        <v>16</v>
      </c>
      <c r="C43" s="7" t="s">
        <v>17</v>
      </c>
      <c r="D43" s="7"/>
      <c r="E43" s="7" t="s">
        <v>387</v>
      </c>
      <c r="F43" s="7" t="s">
        <v>19</v>
      </c>
      <c r="G43" s="7" t="s">
        <v>388</v>
      </c>
      <c r="H43" s="7" t="s">
        <v>17</v>
      </c>
      <c r="I43" s="7" t="s">
        <v>17</v>
      </c>
      <c r="J43" s="7" t="s">
        <v>389</v>
      </c>
    </row>
    <row r="44" spans="1:10" x14ac:dyDescent="0.25" outlineLevel="2" collapsed="1">
      <c r="A44" s="8" t="s">
        <v>19</v>
      </c>
      <c r="B44" s="9" t="s">
        <v>390</v>
      </c>
      <c r="C44" s="8" t="s">
        <v>17</v>
      </c>
      <c r="D44" s="8"/>
      <c r="E44" s="8" t="s">
        <v>391</v>
      </c>
      <c r="F44" s="8" t="s">
        <v>15</v>
      </c>
      <c r="G44" s="8" t="s">
        <v>17</v>
      </c>
      <c r="H44" s="8" t="s">
        <v>17</v>
      </c>
      <c r="I44" s="8" t="s">
        <v>17</v>
      </c>
      <c r="J44" s="8" t="s">
        <v>392</v>
      </c>
    </row>
    <row r="45" spans="1:10" x14ac:dyDescent="0.25" outlineLevel="3" collapsed="1">
      <c r="A45" s="7" t="s">
        <v>15</v>
      </c>
      <c r="B45" s="7" t="s">
        <v>16</v>
      </c>
      <c r="C45" s="7" t="s">
        <v>17</v>
      </c>
      <c r="D45" s="7"/>
      <c r="E45" s="7" t="s">
        <v>393</v>
      </c>
      <c r="F45" s="7" t="s">
        <v>19</v>
      </c>
      <c r="G45" s="7" t="s">
        <v>394</v>
      </c>
      <c r="H45" s="7" t="s">
        <v>17</v>
      </c>
      <c r="I45" s="7" t="s">
        <v>17</v>
      </c>
      <c r="J45" s="7" t="s">
        <v>395</v>
      </c>
    </row>
    <row r="46" spans="1:10" x14ac:dyDescent="0.25" outlineLevel="3" collapsed="1">
      <c r="A46" s="7" t="s">
        <v>15</v>
      </c>
      <c r="B46" s="7" t="s">
        <v>16</v>
      </c>
      <c r="C46" s="7" t="s">
        <v>17</v>
      </c>
      <c r="D46" s="7"/>
      <c r="E46" s="7" t="s">
        <v>396</v>
      </c>
      <c r="F46" s="7" t="s">
        <v>19</v>
      </c>
      <c r="G46" s="7" t="s">
        <v>397</v>
      </c>
      <c r="H46" s="7" t="s">
        <v>17</v>
      </c>
      <c r="I46" s="7" t="s">
        <v>17</v>
      </c>
      <c r="J46" s="7" t="s">
        <v>398</v>
      </c>
    </row>
    <row r="47" spans="1:10" x14ac:dyDescent="0.25" outlineLevel="3" collapsed="1">
      <c r="A47" s="7" t="s">
        <v>19</v>
      </c>
      <c r="B47" s="7" t="s">
        <v>16</v>
      </c>
      <c r="C47" s="7" t="s">
        <v>17</v>
      </c>
      <c r="D47" s="7"/>
      <c r="E47" s="7" t="s">
        <v>399</v>
      </c>
      <c r="F47" s="7" t="s">
        <v>19</v>
      </c>
      <c r="G47" s="7" t="s">
        <v>400</v>
      </c>
      <c r="H47" s="7" t="s">
        <v>17</v>
      </c>
      <c r="I47" s="7" t="s">
        <v>17</v>
      </c>
      <c r="J47" s="7" t="s">
        <v>401</v>
      </c>
    </row>
    <row r="48" spans="1:10" x14ac:dyDescent="0.25" outlineLevel="3" collapsed="1">
      <c r="A48" s="7" t="s">
        <v>19</v>
      </c>
      <c r="B48" s="7" t="s">
        <v>291</v>
      </c>
      <c r="C48" s="7" t="s">
        <v>17</v>
      </c>
      <c r="D48" s="7"/>
      <c r="E48" s="7" t="s">
        <v>402</v>
      </c>
      <c r="F48" s="7" t="s">
        <v>19</v>
      </c>
      <c r="G48" s="7" t="s">
        <v>293</v>
      </c>
      <c r="H48" s="7" t="s">
        <v>17</v>
      </c>
      <c r="I48" s="7" t="s">
        <v>17</v>
      </c>
      <c r="J48" s="7" t="s">
        <v>403</v>
      </c>
    </row>
    <row r="49" spans="1:10" x14ac:dyDescent="0.25" outlineLevel="2" collapsed="1">
      <c r="A49" s="8" t="s">
        <v>19</v>
      </c>
      <c r="B49" s="9" t="s">
        <v>404</v>
      </c>
      <c r="C49" s="8" t="s">
        <v>17</v>
      </c>
      <c r="D49" s="8"/>
      <c r="E49" s="8" t="s">
        <v>405</v>
      </c>
      <c r="F49" s="8" t="s">
        <v>15</v>
      </c>
      <c r="G49" s="8" t="s">
        <v>17</v>
      </c>
      <c r="H49" s="8" t="s">
        <v>17</v>
      </c>
      <c r="I49" s="8" t="s">
        <v>17</v>
      </c>
      <c r="J49" s="8" t="s">
        <v>406</v>
      </c>
    </row>
    <row r="50" spans="1:10" x14ac:dyDescent="0.25" outlineLevel="3" collapsed="1">
      <c r="A50" s="7" t="s">
        <v>19</v>
      </c>
      <c r="B50" s="7" t="s">
        <v>16</v>
      </c>
      <c r="C50" s="7" t="s">
        <v>17</v>
      </c>
      <c r="D50" s="7"/>
      <c r="E50" s="7" t="s">
        <v>378</v>
      </c>
      <c r="F50" s="7" t="s">
        <v>19</v>
      </c>
      <c r="G50" s="7" t="s">
        <v>31</v>
      </c>
      <c r="H50" s="7" t="s">
        <v>17</v>
      </c>
      <c r="I50" s="7" t="s">
        <v>17</v>
      </c>
      <c r="J50" s="7" t="s">
        <v>379</v>
      </c>
    </row>
    <row r="51" spans="1:10" x14ac:dyDescent="0.25" outlineLevel="3" collapsed="1">
      <c r="A51" s="7" t="s">
        <v>19</v>
      </c>
      <c r="B51" s="7" t="s">
        <v>16</v>
      </c>
      <c r="C51" s="7" t="s">
        <v>17</v>
      </c>
      <c r="D51" s="7"/>
      <c r="E51" s="7" t="s">
        <v>380</v>
      </c>
      <c r="F51" s="7" t="s">
        <v>19</v>
      </c>
      <c r="G51" s="7" t="s">
        <v>31</v>
      </c>
      <c r="H51" s="7" t="s">
        <v>17</v>
      </c>
      <c r="I51" s="7" t="s">
        <v>17</v>
      </c>
      <c r="J51" s="7" t="s">
        <v>381</v>
      </c>
    </row>
    <row r="52" spans="1:10" x14ac:dyDescent="0.25" outlineLevel="3" collapsed="1">
      <c r="A52" s="7" t="s">
        <v>19</v>
      </c>
      <c r="B52" s="7" t="s">
        <v>63</v>
      </c>
      <c r="C52" s="7" t="s">
        <v>17</v>
      </c>
      <c r="D52" s="7"/>
      <c r="E52" s="7" t="s">
        <v>407</v>
      </c>
      <c r="F52" s="7" t="s">
        <v>19</v>
      </c>
      <c r="G52" s="7">
        <v>1</v>
      </c>
      <c r="H52" s="7" t="s">
        <v>17</v>
      </c>
      <c r="I52" s="7" t="s">
        <v>17</v>
      </c>
      <c r="J52" s="7" t="s">
        <v>408</v>
      </c>
    </row>
    <row r="53" spans="1:10" x14ac:dyDescent="0.25" outlineLevel="3" collapsed="1">
      <c r="A53" s="7" t="s">
        <v>19</v>
      </c>
      <c r="B53" s="7" t="s">
        <v>16</v>
      </c>
      <c r="C53" s="7" t="s">
        <v>17</v>
      </c>
      <c r="D53" s="7"/>
      <c r="E53" s="7" t="s">
        <v>409</v>
      </c>
      <c r="F53" s="7" t="s">
        <v>19</v>
      </c>
      <c r="G53" s="7" t="s">
        <v>31</v>
      </c>
      <c r="H53" s="7" t="s">
        <v>17</v>
      </c>
      <c r="I53" s="7" t="s">
        <v>17</v>
      </c>
      <c r="J53" s="7" t="s">
        <v>386</v>
      </c>
    </row>
    <row r="54" spans="1:10" x14ac:dyDescent="0.25" outlineLevel="3" collapsed="1">
      <c r="A54" s="7" t="s">
        <v>19</v>
      </c>
      <c r="B54" s="7" t="s">
        <v>16</v>
      </c>
      <c r="C54" s="7" t="s">
        <v>17</v>
      </c>
      <c r="D54" s="7"/>
      <c r="E54" s="7" t="s">
        <v>410</v>
      </c>
      <c r="F54" s="7" t="s">
        <v>19</v>
      </c>
      <c r="G54" s="7" t="s">
        <v>31</v>
      </c>
      <c r="H54" s="7" t="s">
        <v>17</v>
      </c>
      <c r="I54" s="7" t="s">
        <v>17</v>
      </c>
      <c r="J54" s="7" t="s">
        <v>411</v>
      </c>
    </row>
    <row r="55" spans="1:10" x14ac:dyDescent="0.25" outlineLevel="1" collapsed="1">
      <c r="A55" s="8" t="s">
        <v>15</v>
      </c>
      <c r="B55" s="9" t="s">
        <v>2982</v>
      </c>
      <c r="C55" s="8" t="s">
        <v>17</v>
      </c>
      <c r="D55" s="8"/>
      <c r="E55" s="8" t="s">
        <v>413</v>
      </c>
      <c r="F55" s="8" t="s">
        <v>19</v>
      </c>
      <c r="G55" s="8" t="s">
        <v>17</v>
      </c>
      <c r="H55" s="8" t="s">
        <v>17</v>
      </c>
      <c r="I55" s="8" t="s">
        <v>17</v>
      </c>
      <c r="J55" s="8" t="s">
        <v>414</v>
      </c>
    </row>
    <row r="56" spans="1:10" x14ac:dyDescent="0.25" outlineLevel="2" collapsed="1">
      <c r="A56" s="7" t="s">
        <v>15</v>
      </c>
      <c r="B56" s="7" t="s">
        <v>16</v>
      </c>
      <c r="C56" s="7" t="s">
        <v>17</v>
      </c>
      <c r="D56" s="7"/>
      <c r="E56" s="7" t="s">
        <v>415</v>
      </c>
      <c r="F56" s="7" t="s">
        <v>19</v>
      </c>
      <c r="G56" s="7" t="s">
        <v>416</v>
      </c>
      <c r="H56" s="7" t="s">
        <v>17</v>
      </c>
      <c r="I56" s="7" t="s">
        <v>17</v>
      </c>
      <c r="J56" s="7" t="s">
        <v>417</v>
      </c>
    </row>
    <row r="57" spans="1:10" x14ac:dyDescent="0.25" outlineLevel="2" collapsed="1">
      <c r="A57" s="7" t="s">
        <v>15</v>
      </c>
      <c r="B57" s="7" t="s">
        <v>16</v>
      </c>
      <c r="C57" s="7" t="s">
        <v>17</v>
      </c>
      <c r="D57" s="7"/>
      <c r="E57" s="7" t="s">
        <v>418</v>
      </c>
      <c r="F57" s="7" t="s">
        <v>19</v>
      </c>
      <c r="G57" s="7" t="s">
        <v>419</v>
      </c>
      <c r="H57" s="7" t="s">
        <v>17</v>
      </c>
      <c r="I57" s="7" t="s">
        <v>17</v>
      </c>
      <c r="J57" s="7" t="s">
        <v>420</v>
      </c>
    </row>
    <row r="58" spans="1:10" x14ac:dyDescent="0.25" outlineLevel="2" collapsed="1">
      <c r="A58" s="7" t="s">
        <v>19</v>
      </c>
      <c r="B58" s="7" t="s">
        <v>16</v>
      </c>
      <c r="C58" s="7" t="s">
        <v>17</v>
      </c>
      <c r="D58" s="7"/>
      <c r="E58" s="7" t="s">
        <v>421</v>
      </c>
      <c r="F58" s="7" t="s">
        <v>19</v>
      </c>
      <c r="G58" s="7" t="s">
        <v>422</v>
      </c>
      <c r="H58" s="7" t="s">
        <v>17</v>
      </c>
      <c r="I58" s="7" t="s">
        <v>17</v>
      </c>
      <c r="J58" s="7" t="s">
        <v>423</v>
      </c>
    </row>
    <row r="59" spans="1:10" x14ac:dyDescent="0.25" outlineLevel="2" collapsed="1">
      <c r="A59" s="8" t="s">
        <v>19</v>
      </c>
      <c r="B59" s="9" t="s">
        <v>424</v>
      </c>
      <c r="C59" s="8" t="s">
        <v>17</v>
      </c>
      <c r="D59" s="8"/>
      <c r="E59" s="8" t="s">
        <v>425</v>
      </c>
      <c r="F59" s="8" t="s">
        <v>15</v>
      </c>
      <c r="G59" s="8" t="s">
        <v>17</v>
      </c>
      <c r="H59" s="8" t="s">
        <v>17</v>
      </c>
      <c r="I59" s="8" t="s">
        <v>17</v>
      </c>
      <c r="J59" s="8" t="s">
        <v>426</v>
      </c>
    </row>
    <row r="60" spans="1:10" x14ac:dyDescent="0.25" outlineLevel="3" collapsed="1">
      <c r="A60" s="7" t="s">
        <v>15</v>
      </c>
      <c r="B60" s="7" t="s">
        <v>16</v>
      </c>
      <c r="C60" s="7" t="s">
        <v>17</v>
      </c>
      <c r="D60" s="7"/>
      <c r="E60" s="7" t="s">
        <v>427</v>
      </c>
      <c r="F60" s="7" t="s">
        <v>19</v>
      </c>
      <c r="G60" s="7" t="s">
        <v>428</v>
      </c>
      <c r="H60" s="7" t="s">
        <v>17</v>
      </c>
      <c r="I60" s="7" t="s">
        <v>17</v>
      </c>
      <c r="J60" s="7" t="s">
        <v>429</v>
      </c>
    </row>
    <row r="61" spans="1:10" x14ac:dyDescent="0.25" outlineLevel="3" collapsed="1">
      <c r="A61" s="7" t="s">
        <v>15</v>
      </c>
      <c r="B61" s="7" t="s">
        <v>16</v>
      </c>
      <c r="C61" s="7" t="s">
        <v>17</v>
      </c>
      <c r="D61" s="7"/>
      <c r="E61" s="7" t="s">
        <v>430</v>
      </c>
      <c r="F61" s="7" t="s">
        <v>19</v>
      </c>
      <c r="G61" s="7" t="s">
        <v>431</v>
      </c>
      <c r="H61" s="7" t="s">
        <v>17</v>
      </c>
      <c r="I61" s="7" t="s">
        <v>17</v>
      </c>
      <c r="J61" s="7" t="s">
        <v>432</v>
      </c>
    </row>
    <row r="62" spans="1:10" x14ac:dyDescent="0.25" outlineLevel="3" collapsed="1">
      <c r="A62" s="7" t="s">
        <v>15</v>
      </c>
      <c r="B62" s="7" t="s">
        <v>16</v>
      </c>
      <c r="C62" s="7" t="s">
        <v>17</v>
      </c>
      <c r="D62" s="7"/>
      <c r="E62" s="7" t="s">
        <v>433</v>
      </c>
      <c r="F62" s="7" t="s">
        <v>19</v>
      </c>
      <c r="G62" s="7" t="s">
        <v>434</v>
      </c>
      <c r="H62" s="7" t="s">
        <v>17</v>
      </c>
      <c r="I62" s="7" t="s">
        <v>17</v>
      </c>
      <c r="J62" s="7" t="s">
        <v>435</v>
      </c>
    </row>
    <row r="63" spans="1:10" x14ac:dyDescent="0.25" outlineLevel="1" collapsed="1">
      <c r="A63" s="8" t="s">
        <v>15</v>
      </c>
      <c r="B63" s="9" t="s">
        <v>436</v>
      </c>
      <c r="C63" s="8" t="s">
        <v>17</v>
      </c>
      <c r="D63" s="8"/>
      <c r="E63" s="8" t="s">
        <v>437</v>
      </c>
      <c r="F63" s="8" t="s">
        <v>19</v>
      </c>
      <c r="G63" s="8" t="s">
        <v>17</v>
      </c>
      <c r="H63" s="8" t="s">
        <v>17</v>
      </c>
      <c r="I63" s="8" t="s">
        <v>17</v>
      </c>
      <c r="J63" s="8" t="s">
        <v>438</v>
      </c>
    </row>
    <row r="64" spans="1:10" x14ac:dyDescent="0.25" outlineLevel="2" collapsed="1">
      <c r="A64" s="7" t="s">
        <v>15</v>
      </c>
      <c r="B64" s="7" t="s">
        <v>291</v>
      </c>
      <c r="C64" s="7" t="s">
        <v>17</v>
      </c>
      <c r="D64" s="7"/>
      <c r="E64" s="7" t="s">
        <v>439</v>
      </c>
      <c r="F64" s="7" t="s">
        <v>19</v>
      </c>
      <c r="G64" s="7" t="s">
        <v>293</v>
      </c>
      <c r="H64" s="7" t="s">
        <v>17</v>
      </c>
      <c r="I64" s="7" t="s">
        <v>17</v>
      </c>
      <c r="J64" s="7" t="s">
        <v>440</v>
      </c>
    </row>
    <row r="65" spans="1:10" x14ac:dyDescent="0.25" outlineLevel="2" collapsed="1">
      <c r="A65" s="7" t="s">
        <v>15</v>
      </c>
      <c r="B65" s="7" t="s">
        <v>291</v>
      </c>
      <c r="C65" s="7" t="s">
        <v>17</v>
      </c>
      <c r="D65" s="7"/>
      <c r="E65" s="7" t="s">
        <v>441</v>
      </c>
      <c r="F65" s="7" t="s">
        <v>19</v>
      </c>
      <c r="G65" s="7" t="s">
        <v>293</v>
      </c>
      <c r="H65" s="7" t="s">
        <v>17</v>
      </c>
      <c r="I65" s="7" t="s">
        <v>17</v>
      </c>
      <c r="J65" s="7" t="s">
        <v>442</v>
      </c>
    </row>
    <row r="66" spans="1:10" x14ac:dyDescent="0.25" outlineLevel="2" collapsed="1">
      <c r="A66" s="7" t="s">
        <v>15</v>
      </c>
      <c r="B66" s="7" t="s">
        <v>159</v>
      </c>
      <c r="C66" s="7" t="s">
        <v>17</v>
      </c>
      <c r="D66" s="7"/>
      <c r="E66" s="7" t="s">
        <v>443</v>
      </c>
      <c r="F66" s="7" t="s">
        <v>19</v>
      </c>
      <c r="G66" s="7" t="b">
        <v>1</v>
      </c>
      <c r="H66" s="7" t="s">
        <v>17</v>
      </c>
      <c r="I66" s="7" t="s">
        <v>17</v>
      </c>
      <c r="J66" s="7" t="s">
        <v>444</v>
      </c>
    </row>
    <row r="67" spans="1:10" x14ac:dyDescent="0.25" outlineLevel="2" collapsed="1">
      <c r="A67" s="7" t="s">
        <v>19</v>
      </c>
      <c r="B67" s="7" t="s">
        <v>16</v>
      </c>
      <c r="C67" s="7" t="s">
        <v>17</v>
      </c>
      <c r="D67" s="7"/>
      <c r="E67" s="7" t="s">
        <v>445</v>
      </c>
      <c r="F67" s="7" t="s">
        <v>19</v>
      </c>
      <c r="G67" s="7" t="s">
        <v>31</v>
      </c>
      <c r="H67" s="7" t="s">
        <v>17</v>
      </c>
      <c r="I67" s="7" t="s">
        <v>17</v>
      </c>
      <c r="J67" s="7" t="s">
        <v>446</v>
      </c>
    </row>
    <row r="68" spans="1:10" x14ac:dyDescent="0.25" outlineLevel="2" collapsed="1">
      <c r="A68" s="7" t="s">
        <v>15</v>
      </c>
      <c r="B68" s="7" t="s">
        <v>16</v>
      </c>
      <c r="C68" s="7" t="s">
        <v>17</v>
      </c>
      <c r="D68" s="7"/>
      <c r="E68" s="7" t="s">
        <v>447</v>
      </c>
      <c r="F68" s="7" t="s">
        <v>19</v>
      </c>
      <c r="G68" s="7" t="s">
        <v>448</v>
      </c>
      <c r="H68" s="7" t="s">
        <v>17</v>
      </c>
      <c r="I68" s="7" t="s">
        <v>17</v>
      </c>
      <c r="J68" s="7" t="s">
        <v>449</v>
      </c>
    </row>
    <row r="69" spans="1:10" x14ac:dyDescent="0.25" outlineLevel="2" collapsed="1">
      <c r="A69" s="7" t="s">
        <v>15</v>
      </c>
      <c r="B69" s="7" t="s">
        <v>16</v>
      </c>
      <c r="C69" s="7" t="s">
        <v>17</v>
      </c>
      <c r="D69" s="7"/>
      <c r="E69" s="7" t="s">
        <v>450</v>
      </c>
      <c r="F69" s="7" t="s">
        <v>19</v>
      </c>
      <c r="G69" s="7" t="s">
        <v>451</v>
      </c>
      <c r="H69" s="7" t="s">
        <v>17</v>
      </c>
      <c r="I69" s="7" t="s">
        <v>17</v>
      </c>
      <c r="J69" s="7" t="s">
        <v>452</v>
      </c>
    </row>
    <row r="70" spans="1:10" x14ac:dyDescent="0.25" outlineLevel="2" collapsed="1">
      <c r="A70" s="7" t="s">
        <v>15</v>
      </c>
      <c r="B70" s="7" t="s">
        <v>16</v>
      </c>
      <c r="C70" s="7" t="s">
        <v>17</v>
      </c>
      <c r="D70" s="7"/>
      <c r="E70" s="7" t="s">
        <v>453</v>
      </c>
      <c r="F70" s="7" t="s">
        <v>19</v>
      </c>
      <c r="G70" s="7" t="s">
        <v>454</v>
      </c>
      <c r="H70" s="7" t="s">
        <v>17</v>
      </c>
      <c r="I70" s="7" t="s">
        <v>17</v>
      </c>
      <c r="J70" s="7" t="s">
        <v>324</v>
      </c>
    </row>
    <row r="71" spans="1:10" x14ac:dyDescent="0.25" outlineLevel="2" collapsed="1">
      <c r="A71" s="7" t="s">
        <v>19</v>
      </c>
      <c r="B71" s="7" t="s">
        <v>16</v>
      </c>
      <c r="C71" s="7" t="s">
        <v>17</v>
      </c>
      <c r="D71" s="7"/>
      <c r="E71" s="7" t="s">
        <v>455</v>
      </c>
      <c r="F71" s="7" t="s">
        <v>19</v>
      </c>
      <c r="G71" s="7" t="s">
        <v>31</v>
      </c>
      <c r="H71" s="7" t="s">
        <v>17</v>
      </c>
      <c r="I71" s="7" t="s">
        <v>17</v>
      </c>
      <c r="J71" s="7" t="s">
        <v>456</v>
      </c>
    </row>
    <row r="72" spans="1:10" x14ac:dyDescent="0.25" outlineLevel="1" collapsed="1">
      <c r="A72" s="8" t="s">
        <v>15</v>
      </c>
      <c r="B72" s="9" t="s">
        <v>2983</v>
      </c>
      <c r="C72" s="8" t="s">
        <v>17</v>
      </c>
      <c r="D72" s="8"/>
      <c r="E72" s="8" t="s">
        <v>458</v>
      </c>
      <c r="F72" s="8" t="s">
        <v>19</v>
      </c>
      <c r="G72" s="8" t="s">
        <v>17</v>
      </c>
      <c r="H72" s="8" t="s">
        <v>17</v>
      </c>
      <c r="I72" s="8" t="s">
        <v>17</v>
      </c>
      <c r="J72" s="8" t="s">
        <v>459</v>
      </c>
    </row>
    <row r="73" spans="1:10" x14ac:dyDescent="0.25" outlineLevel="2" collapsed="1">
      <c r="A73" s="7" t="s">
        <v>15</v>
      </c>
      <c r="B73" s="7" t="s">
        <v>16</v>
      </c>
      <c r="C73" s="7" t="s">
        <v>17</v>
      </c>
      <c r="D73" s="7"/>
      <c r="E73" s="7" t="s">
        <v>460</v>
      </c>
      <c r="F73" s="7" t="s">
        <v>19</v>
      </c>
      <c r="G73" s="7" t="s">
        <v>461</v>
      </c>
      <c r="H73" s="7" t="s">
        <v>17</v>
      </c>
      <c r="I73" s="7" t="s">
        <v>17</v>
      </c>
      <c r="J73" s="7" t="s">
        <v>462</v>
      </c>
    </row>
    <row r="74" spans="1:10" x14ac:dyDescent="0.25" outlineLevel="2" collapsed="1">
      <c r="A74" s="7" t="s">
        <v>15</v>
      </c>
      <c r="B74" s="7" t="s">
        <v>63</v>
      </c>
      <c r="C74" s="7" t="s">
        <v>17</v>
      </c>
      <c r="D74" s="7"/>
      <c r="E74" s="7" t="s">
        <v>463</v>
      </c>
      <c r="F74" s="7" t="s">
        <v>19</v>
      </c>
      <c r="G74" s="7">
        <v>0</v>
      </c>
      <c r="H74" s="7" t="s">
        <v>17</v>
      </c>
      <c r="I74" s="7" t="s">
        <v>17</v>
      </c>
      <c r="J74" s="7" t="s">
        <v>464</v>
      </c>
    </row>
    <row r="75" spans="1:10" x14ac:dyDescent="0.25" outlineLevel="2" collapsed="1">
      <c r="A75" s="7" t="s">
        <v>15</v>
      </c>
      <c r="B75" s="7" t="s">
        <v>63</v>
      </c>
      <c r="C75" s="7" t="s">
        <v>17</v>
      </c>
      <c r="D75" s="7"/>
      <c r="E75" s="7" t="s">
        <v>465</v>
      </c>
      <c r="F75" s="7" t="s">
        <v>19</v>
      </c>
      <c r="G75" s="7">
        <v>0</v>
      </c>
      <c r="H75" s="7" t="s">
        <v>17</v>
      </c>
      <c r="I75" s="7" t="s">
        <v>17</v>
      </c>
      <c r="J75" s="7" t="s">
        <v>466</v>
      </c>
    </row>
    <row r="76" spans="1:10" x14ac:dyDescent="0.25" outlineLevel="2" collapsed="1">
      <c r="A76" s="7" t="s">
        <v>15</v>
      </c>
      <c r="B76" s="7" t="s">
        <v>63</v>
      </c>
      <c r="C76" s="7" t="s">
        <v>17</v>
      </c>
      <c r="D76" s="7"/>
      <c r="E76" s="7" t="s">
        <v>467</v>
      </c>
      <c r="F76" s="7" t="s">
        <v>19</v>
      </c>
      <c r="G76" s="7">
        <v>0</v>
      </c>
      <c r="H76" s="7" t="s">
        <v>17</v>
      </c>
      <c r="I76" s="7" t="s">
        <v>17</v>
      </c>
      <c r="J76" s="7" t="s">
        <v>468</v>
      </c>
    </row>
    <row r="77" spans="1:10" x14ac:dyDescent="0.25" outlineLevel="2" collapsed="1">
      <c r="A77" s="7" t="s">
        <v>15</v>
      </c>
      <c r="B77" s="7" t="s">
        <v>63</v>
      </c>
      <c r="C77" s="7" t="s">
        <v>17</v>
      </c>
      <c r="D77" s="7"/>
      <c r="E77" s="7" t="s">
        <v>469</v>
      </c>
      <c r="F77" s="7" t="s">
        <v>19</v>
      </c>
      <c r="G77" s="7">
        <v>0</v>
      </c>
      <c r="H77" s="7" t="s">
        <v>17</v>
      </c>
      <c r="I77" s="7" t="s">
        <v>17</v>
      </c>
      <c r="J77" s="7" t="s">
        <v>470</v>
      </c>
    </row>
    <row r="78" spans="1:10" x14ac:dyDescent="0.25" outlineLevel="2" collapsed="1">
      <c r="A78" s="8" t="s">
        <v>19</v>
      </c>
      <c r="B78" s="9" t="s">
        <v>471</v>
      </c>
      <c r="C78" s="8" t="s">
        <v>17</v>
      </c>
      <c r="D78" s="8"/>
      <c r="E78" s="8" t="s">
        <v>472</v>
      </c>
      <c r="F78" s="8" t="s">
        <v>15</v>
      </c>
      <c r="G78" s="8" t="s">
        <v>17</v>
      </c>
      <c r="H78" s="8" t="s">
        <v>17</v>
      </c>
      <c r="I78" s="8" t="s">
        <v>17</v>
      </c>
      <c r="J78" s="8" t="s">
        <v>473</v>
      </c>
    </row>
    <row r="79" spans="1:10" x14ac:dyDescent="0.25" outlineLevel="3" collapsed="1">
      <c r="A79" s="7" t="s">
        <v>15</v>
      </c>
      <c r="B79" s="7" t="s">
        <v>16</v>
      </c>
      <c r="C79" s="7" t="s">
        <v>17</v>
      </c>
      <c r="D79" s="7"/>
      <c r="E79" s="7" t="s">
        <v>474</v>
      </c>
      <c r="F79" s="7" t="s">
        <v>19</v>
      </c>
      <c r="G79" s="7" t="s">
        <v>475</v>
      </c>
      <c r="H79" s="7" t="s">
        <v>17</v>
      </c>
      <c r="I79" s="7" t="s">
        <v>17</v>
      </c>
      <c r="J79" s="7" t="s">
        <v>476</v>
      </c>
    </row>
    <row r="80" spans="1:10" x14ac:dyDescent="0.25" outlineLevel="3" collapsed="1">
      <c r="A80" s="7" t="s">
        <v>15</v>
      </c>
      <c r="B80" s="7" t="s">
        <v>284</v>
      </c>
      <c r="C80" s="11" t="s">
        <v>477</v>
      </c>
      <c r="D80" s="7"/>
      <c r="E80" s="7" t="s">
        <v>478</v>
      </c>
      <c r="F80" s="7" t="s">
        <v>19</v>
      </c>
      <c r="G80" s="7" t="s">
        <v>479</v>
      </c>
      <c r="H80" s="7" t="s">
        <v>17</v>
      </c>
      <c r="I80" s="7" t="s">
        <v>17</v>
      </c>
      <c r="J80" s="7" t="s">
        <v>480</v>
      </c>
    </row>
    <row r="81" spans="1:10" x14ac:dyDescent="0.25" outlineLevel="3" collapsed="1">
      <c r="A81" s="7" t="s">
        <v>15</v>
      </c>
      <c r="B81" s="7" t="s">
        <v>16</v>
      </c>
      <c r="C81" s="7" t="s">
        <v>17</v>
      </c>
      <c r="D81" s="7"/>
      <c r="E81" s="7" t="s">
        <v>481</v>
      </c>
      <c r="F81" s="7" t="s">
        <v>19</v>
      </c>
      <c r="G81" s="7" t="s">
        <v>482</v>
      </c>
      <c r="H81" s="7" t="s">
        <v>17</v>
      </c>
      <c r="I81" s="7" t="s">
        <v>17</v>
      </c>
      <c r="J81" s="7" t="s">
        <v>483</v>
      </c>
    </row>
    <row r="82" spans="1:10" x14ac:dyDescent="0.25">
      <c r="A82" s="5" t="s">
        <v>15</v>
      </c>
      <c r="B82" s="6" t="s">
        <v>2984</v>
      </c>
      <c r="C82" s="5" t="s">
        <v>17</v>
      </c>
      <c r="D82" s="5"/>
      <c r="E82" s="5" t="s">
        <v>488</v>
      </c>
      <c r="F82" s="5" t="s">
        <v>19</v>
      </c>
      <c r="G82" s="5" t="s">
        <v>17</v>
      </c>
      <c r="H82" s="5" t="s">
        <v>17</v>
      </c>
      <c r="I82" s="5" t="s">
        <v>17</v>
      </c>
      <c r="J82" s="5" t="s">
        <v>489</v>
      </c>
    </row>
    <row r="83" spans="1:10" x14ac:dyDescent="0.25" outlineLevel="1" collapsed="1">
      <c r="A83" s="8" t="s">
        <v>15</v>
      </c>
      <c r="B83" s="9" t="s">
        <v>2985</v>
      </c>
      <c r="C83" s="8" t="s">
        <v>17</v>
      </c>
      <c r="D83" s="8"/>
      <c r="E83" s="8" t="s">
        <v>2986</v>
      </c>
      <c r="F83" s="8" t="s">
        <v>19</v>
      </c>
      <c r="G83" s="8" t="s">
        <v>17</v>
      </c>
      <c r="H83" s="8" t="s">
        <v>17</v>
      </c>
      <c r="I83" s="8" t="s">
        <v>17</v>
      </c>
      <c r="J83" s="8" t="s">
        <v>534</v>
      </c>
    </row>
    <row r="84" spans="1:10" x14ac:dyDescent="0.25" outlineLevel="2" collapsed="1">
      <c r="A84" s="8" t="s">
        <v>15</v>
      </c>
      <c r="B84" s="9" t="s">
        <v>2987</v>
      </c>
      <c r="C84" s="8" t="s">
        <v>17</v>
      </c>
      <c r="D84" s="8"/>
      <c r="E84" s="8" t="s">
        <v>2988</v>
      </c>
      <c r="F84" s="8" t="s">
        <v>19</v>
      </c>
      <c r="G84" s="8" t="s">
        <v>17</v>
      </c>
      <c r="H84" s="8" t="s">
        <v>17</v>
      </c>
      <c r="I84" s="8" t="s">
        <v>17</v>
      </c>
      <c r="J84" s="8" t="s">
        <v>355</v>
      </c>
    </row>
    <row r="85" spans="1:10" x14ac:dyDescent="0.25" outlineLevel="3" collapsed="1">
      <c r="A85" s="7" t="s">
        <v>15</v>
      </c>
      <c r="B85" s="7" t="s">
        <v>16</v>
      </c>
      <c r="C85" s="7" t="s">
        <v>17</v>
      </c>
      <c r="D85" s="7"/>
      <c r="E85" s="7" t="s">
        <v>492</v>
      </c>
      <c r="F85" s="7" t="s">
        <v>19</v>
      </c>
      <c r="G85" s="7" t="s">
        <v>493</v>
      </c>
      <c r="H85" s="7" t="s">
        <v>17</v>
      </c>
      <c r="I85" s="7" t="s">
        <v>17</v>
      </c>
      <c r="J85" s="7" t="s">
        <v>494</v>
      </c>
    </row>
    <row r="86" spans="1:10" x14ac:dyDescent="0.25" outlineLevel="3" collapsed="1">
      <c r="A86" s="7" t="s">
        <v>15</v>
      </c>
      <c r="B86" s="7" t="s">
        <v>16</v>
      </c>
      <c r="C86" s="7" t="s">
        <v>17</v>
      </c>
      <c r="D86" s="7"/>
      <c r="E86" s="7" t="s">
        <v>495</v>
      </c>
      <c r="F86" s="7" t="s">
        <v>19</v>
      </c>
      <c r="G86" s="7" t="s">
        <v>496</v>
      </c>
      <c r="H86" s="7" t="s">
        <v>17</v>
      </c>
      <c r="I86" s="7" t="s">
        <v>17</v>
      </c>
      <c r="J86" s="7" t="s">
        <v>497</v>
      </c>
    </row>
    <row r="87" spans="1:10" x14ac:dyDescent="0.25" outlineLevel="2" collapsed="1">
      <c r="A87" s="8" t="s">
        <v>15</v>
      </c>
      <c r="B87" s="9" t="s">
        <v>2989</v>
      </c>
      <c r="C87" s="8" t="s">
        <v>17</v>
      </c>
      <c r="D87" s="8"/>
      <c r="E87" s="8" t="s">
        <v>2989</v>
      </c>
      <c r="F87" s="8" t="s">
        <v>19</v>
      </c>
      <c r="G87" s="8" t="s">
        <v>17</v>
      </c>
      <c r="H87" s="8" t="s">
        <v>17</v>
      </c>
      <c r="I87" s="8" t="s">
        <v>17</v>
      </c>
      <c r="J87" s="8" t="s">
        <v>536</v>
      </c>
    </row>
    <row r="88" spans="1:10" x14ac:dyDescent="0.25" outlineLevel="3" collapsed="1">
      <c r="A88" s="7" t="s">
        <v>15</v>
      </c>
      <c r="B88" s="7" t="s">
        <v>16</v>
      </c>
      <c r="C88" s="7" t="s">
        <v>17</v>
      </c>
      <c r="D88" s="7"/>
      <c r="E88" s="7" t="s">
        <v>492</v>
      </c>
      <c r="F88" s="7" t="s">
        <v>19</v>
      </c>
      <c r="G88" s="7" t="s">
        <v>493</v>
      </c>
      <c r="H88" s="7" t="s">
        <v>17</v>
      </c>
      <c r="I88" s="7" t="s">
        <v>17</v>
      </c>
      <c r="J88" s="7" t="s">
        <v>494</v>
      </c>
    </row>
    <row r="89" spans="1:10" x14ac:dyDescent="0.25" outlineLevel="3" collapsed="1">
      <c r="A89" s="7" t="s">
        <v>15</v>
      </c>
      <c r="B89" s="7" t="s">
        <v>16</v>
      </c>
      <c r="C89" s="7" t="s">
        <v>17</v>
      </c>
      <c r="D89" s="7"/>
      <c r="E89" s="7" t="s">
        <v>495</v>
      </c>
      <c r="F89" s="7" t="s">
        <v>19</v>
      </c>
      <c r="G89" s="7" t="s">
        <v>496</v>
      </c>
      <c r="H89" s="7" t="s">
        <v>17</v>
      </c>
      <c r="I89" s="7" t="s">
        <v>17</v>
      </c>
      <c r="J89" s="7" t="s">
        <v>497</v>
      </c>
    </row>
    <row r="90" spans="1:10" x14ac:dyDescent="0.25" outlineLevel="3" collapsed="1">
      <c r="A90" s="7" t="s">
        <v>19</v>
      </c>
      <c r="B90" s="7" t="s">
        <v>16</v>
      </c>
      <c r="C90" s="7" t="s">
        <v>17</v>
      </c>
      <c r="D90" s="7"/>
      <c r="E90" s="7" t="s">
        <v>539</v>
      </c>
      <c r="F90" s="7" t="s">
        <v>19</v>
      </c>
      <c r="G90" s="7" t="s">
        <v>31</v>
      </c>
      <c r="H90" s="7" t="s">
        <v>17</v>
      </c>
      <c r="I90" s="7" t="s">
        <v>17</v>
      </c>
      <c r="J90" s="7" t="s">
        <v>540</v>
      </c>
    </row>
    <row r="91" spans="1:10" x14ac:dyDescent="0.25" outlineLevel="2" collapsed="1">
      <c r="A91" s="8" t="s">
        <v>15</v>
      </c>
      <c r="B91" s="9" t="s">
        <v>2990</v>
      </c>
      <c r="C91" s="8" t="s">
        <v>17</v>
      </c>
      <c r="D91" s="8"/>
      <c r="E91" s="8" t="s">
        <v>2991</v>
      </c>
      <c r="F91" s="8" t="s">
        <v>19</v>
      </c>
      <c r="G91" s="8" t="s">
        <v>17</v>
      </c>
      <c r="H91" s="8" t="s">
        <v>17</v>
      </c>
      <c r="I91" s="8" t="s">
        <v>17</v>
      </c>
      <c r="J91" s="8" t="s">
        <v>543</v>
      </c>
    </row>
    <row r="92" spans="1:10" x14ac:dyDescent="0.25" outlineLevel="3" collapsed="1">
      <c r="A92" s="7" t="s">
        <v>15</v>
      </c>
      <c r="B92" s="7" t="s">
        <v>16</v>
      </c>
      <c r="C92" s="7" t="s">
        <v>17</v>
      </c>
      <c r="D92" s="7"/>
      <c r="E92" s="7" t="s">
        <v>492</v>
      </c>
      <c r="F92" s="7" t="s">
        <v>19</v>
      </c>
      <c r="G92" s="7" t="s">
        <v>493</v>
      </c>
      <c r="H92" s="7" t="s">
        <v>17</v>
      </c>
      <c r="I92" s="7" t="s">
        <v>17</v>
      </c>
      <c r="J92" s="7" t="s">
        <v>494</v>
      </c>
    </row>
    <row r="93" spans="1:10" x14ac:dyDescent="0.25" outlineLevel="3" collapsed="1">
      <c r="A93" s="7" t="s">
        <v>15</v>
      </c>
      <c r="B93" s="7" t="s">
        <v>16</v>
      </c>
      <c r="C93" s="7" t="s">
        <v>17</v>
      </c>
      <c r="D93" s="7"/>
      <c r="E93" s="7" t="s">
        <v>495</v>
      </c>
      <c r="F93" s="7" t="s">
        <v>19</v>
      </c>
      <c r="G93" s="7" t="s">
        <v>496</v>
      </c>
      <c r="H93" s="7" t="s">
        <v>17</v>
      </c>
      <c r="I93" s="7" t="s">
        <v>17</v>
      </c>
      <c r="J93" s="7" t="s">
        <v>497</v>
      </c>
    </row>
    <row r="94" spans="1:10" x14ac:dyDescent="0.25" outlineLevel="2" collapsed="1">
      <c r="A94" s="8" t="s">
        <v>15</v>
      </c>
      <c r="B94" s="9" t="s">
        <v>2992</v>
      </c>
      <c r="C94" s="8" t="s">
        <v>17</v>
      </c>
      <c r="D94" s="8"/>
      <c r="E94" s="8" t="s">
        <v>2992</v>
      </c>
      <c r="F94" s="8" t="s">
        <v>19</v>
      </c>
      <c r="G94" s="8" t="s">
        <v>17</v>
      </c>
      <c r="H94" s="8" t="s">
        <v>17</v>
      </c>
      <c r="I94" s="8" t="s">
        <v>17</v>
      </c>
      <c r="J94" s="8" t="s">
        <v>2290</v>
      </c>
    </row>
    <row r="95" spans="1:10" x14ac:dyDescent="0.25" outlineLevel="3" collapsed="1">
      <c r="A95" s="8" t="s">
        <v>15</v>
      </c>
      <c r="B95" s="9" t="s">
        <v>2993</v>
      </c>
      <c r="C95" s="8" t="s">
        <v>17</v>
      </c>
      <c r="D95" s="8"/>
      <c r="E95" s="8" t="s">
        <v>2994</v>
      </c>
      <c r="F95" s="8" t="s">
        <v>19</v>
      </c>
      <c r="G95" s="8" t="s">
        <v>17</v>
      </c>
      <c r="H95" s="8" t="s">
        <v>17</v>
      </c>
      <c r="I95" s="8" t="s">
        <v>17</v>
      </c>
      <c r="J95" s="8" t="s">
        <v>2293</v>
      </c>
    </row>
    <row r="96" spans="1:10" x14ac:dyDescent="0.25" outlineLevel="4" collapsed="1">
      <c r="A96" s="7" t="s">
        <v>19</v>
      </c>
      <c r="B96" s="7" t="s">
        <v>159</v>
      </c>
      <c r="C96" s="7" t="s">
        <v>17</v>
      </c>
      <c r="D96" s="7"/>
      <c r="E96" s="7" t="s">
        <v>2995</v>
      </c>
      <c r="F96" s="7" t="s">
        <v>19</v>
      </c>
      <c r="G96" s="7" t="b">
        <v>1</v>
      </c>
      <c r="H96" s="7" t="s">
        <v>17</v>
      </c>
      <c r="I96" s="7" t="s">
        <v>17</v>
      </c>
      <c r="J96" s="7" t="s">
        <v>2996</v>
      </c>
    </row>
    <row r="97" spans="1:10" x14ac:dyDescent="0.25" outlineLevel="4" collapsed="1">
      <c r="A97" s="7" t="s">
        <v>19</v>
      </c>
      <c r="B97" s="7" t="s">
        <v>159</v>
      </c>
      <c r="C97" s="7" t="s">
        <v>17</v>
      </c>
      <c r="D97" s="7"/>
      <c r="E97" s="7" t="s">
        <v>2997</v>
      </c>
      <c r="F97" s="7" t="s">
        <v>19</v>
      </c>
      <c r="G97" s="7" t="b">
        <v>1</v>
      </c>
      <c r="H97" s="7" t="s">
        <v>17</v>
      </c>
      <c r="I97" s="7" t="s">
        <v>17</v>
      </c>
      <c r="J97" s="7" t="s">
        <v>2998</v>
      </c>
    </row>
    <row r="98" spans="1:10" x14ac:dyDescent="0.25" outlineLevel="4" collapsed="1">
      <c r="A98" s="7" t="s">
        <v>19</v>
      </c>
      <c r="B98" s="7" t="s">
        <v>159</v>
      </c>
      <c r="C98" s="7" t="s">
        <v>17</v>
      </c>
      <c r="D98" s="7"/>
      <c r="E98" s="7" t="s">
        <v>2999</v>
      </c>
      <c r="F98" s="7" t="s">
        <v>19</v>
      </c>
      <c r="G98" s="7" t="b">
        <v>1</v>
      </c>
      <c r="H98" s="7" t="s">
        <v>17</v>
      </c>
      <c r="I98" s="7" t="s">
        <v>17</v>
      </c>
      <c r="J98" s="7" t="s">
        <v>3000</v>
      </c>
    </row>
    <row r="99" spans="1:10" x14ac:dyDescent="0.25" outlineLevel="4" collapsed="1">
      <c r="A99" s="7" t="s">
        <v>15</v>
      </c>
      <c r="B99" s="7" t="s">
        <v>16</v>
      </c>
      <c r="C99" s="7" t="s">
        <v>17</v>
      </c>
      <c r="D99" s="7"/>
      <c r="E99" s="7" t="s">
        <v>3001</v>
      </c>
      <c r="F99" s="7" t="s">
        <v>19</v>
      </c>
      <c r="G99" s="7" t="s">
        <v>31</v>
      </c>
      <c r="H99" s="7" t="s">
        <v>17</v>
      </c>
      <c r="I99" s="7" t="s">
        <v>17</v>
      </c>
      <c r="J99" s="7" t="s">
        <v>494</v>
      </c>
    </row>
    <row r="100" spans="1:10" x14ac:dyDescent="0.25" outlineLevel="4" collapsed="1">
      <c r="A100" s="7" t="s">
        <v>15</v>
      </c>
      <c r="B100" s="7" t="s">
        <v>16</v>
      </c>
      <c r="C100" s="7" t="s">
        <v>17</v>
      </c>
      <c r="D100" s="7"/>
      <c r="E100" s="7" t="s">
        <v>3002</v>
      </c>
      <c r="F100" s="7" t="s">
        <v>19</v>
      </c>
      <c r="G100" s="7" t="s">
        <v>31</v>
      </c>
      <c r="H100" s="7" t="s">
        <v>17</v>
      </c>
      <c r="I100" s="7" t="s">
        <v>17</v>
      </c>
      <c r="J100" s="7" t="s">
        <v>497</v>
      </c>
    </row>
    <row r="101" spans="1:10" x14ac:dyDescent="0.25" outlineLevel="3" collapsed="1">
      <c r="A101" s="8" t="s">
        <v>19</v>
      </c>
      <c r="B101" s="9" t="s">
        <v>3003</v>
      </c>
      <c r="C101" s="8" t="s">
        <v>17</v>
      </c>
      <c r="D101" s="8"/>
      <c r="E101" s="8" t="s">
        <v>3004</v>
      </c>
      <c r="F101" s="8" t="s">
        <v>19</v>
      </c>
      <c r="G101" s="8" t="s">
        <v>17</v>
      </c>
      <c r="H101" s="8" t="s">
        <v>17</v>
      </c>
      <c r="I101" s="8" t="s">
        <v>17</v>
      </c>
      <c r="J101" s="8" t="s">
        <v>3005</v>
      </c>
    </row>
    <row r="102" spans="1:10" x14ac:dyDescent="0.25" outlineLevel="4" collapsed="1">
      <c r="A102" s="7" t="s">
        <v>15</v>
      </c>
      <c r="B102" s="7" t="s">
        <v>16</v>
      </c>
      <c r="C102" s="7" t="s">
        <v>17</v>
      </c>
      <c r="D102" s="7"/>
      <c r="E102" s="7" t="s">
        <v>3006</v>
      </c>
      <c r="F102" s="7" t="s">
        <v>19</v>
      </c>
      <c r="G102" s="7" t="s">
        <v>31</v>
      </c>
      <c r="H102" s="7" t="s">
        <v>17</v>
      </c>
      <c r="I102" s="7" t="s">
        <v>17</v>
      </c>
      <c r="J102" s="7" t="s">
        <v>494</v>
      </c>
    </row>
    <row r="103" spans="1:10" x14ac:dyDescent="0.25" outlineLevel="4" collapsed="1">
      <c r="A103" s="7" t="s">
        <v>15</v>
      </c>
      <c r="B103" s="7" t="s">
        <v>16</v>
      </c>
      <c r="C103" s="7" t="s">
        <v>17</v>
      </c>
      <c r="D103" s="7"/>
      <c r="E103" s="7" t="s">
        <v>3007</v>
      </c>
      <c r="F103" s="7" t="s">
        <v>19</v>
      </c>
      <c r="G103" s="7" t="s">
        <v>31</v>
      </c>
      <c r="H103" s="7" t="s">
        <v>17</v>
      </c>
      <c r="I103" s="7" t="s">
        <v>17</v>
      </c>
      <c r="J103" s="7" t="s">
        <v>497</v>
      </c>
    </row>
    <row r="104" spans="1:10" x14ac:dyDescent="0.25" outlineLevel="3" collapsed="1">
      <c r="A104" s="8" t="s">
        <v>19</v>
      </c>
      <c r="B104" s="9" t="s">
        <v>3008</v>
      </c>
      <c r="C104" s="8" t="s">
        <v>17</v>
      </c>
      <c r="D104" s="8"/>
      <c r="E104" s="8" t="s">
        <v>3009</v>
      </c>
      <c r="F104" s="8" t="s">
        <v>19</v>
      </c>
      <c r="G104" s="8" t="s">
        <v>17</v>
      </c>
      <c r="H104" s="8" t="s">
        <v>17</v>
      </c>
      <c r="I104" s="8" t="s">
        <v>17</v>
      </c>
      <c r="J104" s="8" t="s">
        <v>3010</v>
      </c>
    </row>
    <row r="105" spans="1:10" x14ac:dyDescent="0.25" outlineLevel="4" collapsed="1">
      <c r="A105" s="7" t="s">
        <v>19</v>
      </c>
      <c r="B105" s="7" t="s">
        <v>159</v>
      </c>
      <c r="C105" s="7" t="s">
        <v>17</v>
      </c>
      <c r="D105" s="7"/>
      <c r="E105" s="7" t="s">
        <v>3011</v>
      </c>
      <c r="F105" s="7" t="s">
        <v>19</v>
      </c>
      <c r="G105" s="7" t="b">
        <v>1</v>
      </c>
      <c r="H105" s="7" t="s">
        <v>17</v>
      </c>
      <c r="I105" s="7" t="s">
        <v>17</v>
      </c>
      <c r="J105" s="7" t="s">
        <v>2996</v>
      </c>
    </row>
    <row r="106" spans="1:10" x14ac:dyDescent="0.25" outlineLevel="4" collapsed="1">
      <c r="A106" s="7" t="s">
        <v>19</v>
      </c>
      <c r="B106" s="7" t="s">
        <v>159</v>
      </c>
      <c r="C106" s="7" t="s">
        <v>17</v>
      </c>
      <c r="D106" s="7"/>
      <c r="E106" s="7" t="s">
        <v>3012</v>
      </c>
      <c r="F106" s="7" t="s">
        <v>19</v>
      </c>
      <c r="G106" s="7" t="b">
        <v>1</v>
      </c>
      <c r="H106" s="7" t="s">
        <v>17</v>
      </c>
      <c r="I106" s="7" t="s">
        <v>17</v>
      </c>
      <c r="J106" s="7" t="s">
        <v>2998</v>
      </c>
    </row>
    <row r="107" spans="1:10" x14ac:dyDescent="0.25" outlineLevel="4" collapsed="1">
      <c r="A107" s="7" t="s">
        <v>19</v>
      </c>
      <c r="B107" s="7" t="s">
        <v>159</v>
      </c>
      <c r="C107" s="7" t="s">
        <v>17</v>
      </c>
      <c r="D107" s="7"/>
      <c r="E107" s="7" t="s">
        <v>3013</v>
      </c>
      <c r="F107" s="7" t="s">
        <v>19</v>
      </c>
      <c r="G107" s="7" t="b">
        <v>1</v>
      </c>
      <c r="H107" s="7" t="s">
        <v>17</v>
      </c>
      <c r="I107" s="7" t="s">
        <v>17</v>
      </c>
      <c r="J107" s="7" t="s">
        <v>3000</v>
      </c>
    </row>
    <row r="108" spans="1:10" x14ac:dyDescent="0.25" outlineLevel="4" collapsed="1">
      <c r="A108" s="7" t="s">
        <v>19</v>
      </c>
      <c r="B108" s="7" t="s">
        <v>159</v>
      </c>
      <c r="C108" s="7" t="s">
        <v>17</v>
      </c>
      <c r="D108" s="7"/>
      <c r="E108" s="7" t="s">
        <v>3014</v>
      </c>
      <c r="F108" s="7" t="s">
        <v>19</v>
      </c>
      <c r="G108" s="7" t="b">
        <v>1</v>
      </c>
      <c r="H108" s="7" t="s">
        <v>17</v>
      </c>
      <c r="I108" s="7" t="s">
        <v>17</v>
      </c>
      <c r="J108" s="7" t="s">
        <v>3015</v>
      </c>
    </row>
    <row r="109" spans="1:10" x14ac:dyDescent="0.25" outlineLevel="4" collapsed="1">
      <c r="A109" s="7" t="s">
        <v>15</v>
      </c>
      <c r="B109" s="7" t="s">
        <v>16</v>
      </c>
      <c r="C109" s="7" t="s">
        <v>17</v>
      </c>
      <c r="D109" s="7"/>
      <c r="E109" s="7" t="s">
        <v>3016</v>
      </c>
      <c r="F109" s="7" t="s">
        <v>19</v>
      </c>
      <c r="G109" s="7" t="s">
        <v>31</v>
      </c>
      <c r="H109" s="7" t="s">
        <v>17</v>
      </c>
      <c r="I109" s="7" t="s">
        <v>17</v>
      </c>
      <c r="J109" s="7" t="s">
        <v>494</v>
      </c>
    </row>
    <row r="110" spans="1:10" x14ac:dyDescent="0.25" outlineLevel="4" collapsed="1">
      <c r="A110" s="7" t="s">
        <v>15</v>
      </c>
      <c r="B110" s="7" t="s">
        <v>16</v>
      </c>
      <c r="C110" s="7" t="s">
        <v>17</v>
      </c>
      <c r="D110" s="7"/>
      <c r="E110" s="7" t="s">
        <v>3017</v>
      </c>
      <c r="F110" s="7" t="s">
        <v>19</v>
      </c>
      <c r="G110" s="7" t="s">
        <v>31</v>
      </c>
      <c r="H110" s="7" t="s">
        <v>17</v>
      </c>
      <c r="I110" s="7" t="s">
        <v>17</v>
      </c>
      <c r="J110" s="7" t="s">
        <v>497</v>
      </c>
    </row>
    <row r="111" spans="1:10" x14ac:dyDescent="0.25" outlineLevel="3" collapsed="1">
      <c r="A111" s="8" t="s">
        <v>19</v>
      </c>
      <c r="B111" s="9" t="s">
        <v>3018</v>
      </c>
      <c r="C111" s="8" t="s">
        <v>17</v>
      </c>
      <c r="D111" s="8"/>
      <c r="E111" s="8" t="s">
        <v>3019</v>
      </c>
      <c r="F111" s="8" t="s">
        <v>19</v>
      </c>
      <c r="G111" s="8" t="s">
        <v>17</v>
      </c>
      <c r="H111" s="8" t="s">
        <v>17</v>
      </c>
      <c r="I111" s="8" t="s">
        <v>17</v>
      </c>
      <c r="J111" s="8" t="s">
        <v>972</v>
      </c>
    </row>
    <row r="112" spans="1:10" x14ac:dyDescent="0.25" outlineLevel="4" collapsed="1">
      <c r="A112" s="7" t="s">
        <v>15</v>
      </c>
      <c r="B112" s="7" t="s">
        <v>16</v>
      </c>
      <c r="C112" s="7" t="s">
        <v>17</v>
      </c>
      <c r="D112" s="7"/>
      <c r="E112" s="7" t="s">
        <v>3020</v>
      </c>
      <c r="F112" s="7" t="s">
        <v>19</v>
      </c>
      <c r="G112" s="7" t="s">
        <v>31</v>
      </c>
      <c r="H112" s="7" t="s">
        <v>17</v>
      </c>
      <c r="I112" s="7" t="s">
        <v>17</v>
      </c>
      <c r="J112" s="7" t="s">
        <v>494</v>
      </c>
    </row>
    <row r="113" spans="1:10" x14ac:dyDescent="0.25" outlineLevel="4" collapsed="1">
      <c r="A113" s="7" t="s">
        <v>15</v>
      </c>
      <c r="B113" s="7" t="s">
        <v>16</v>
      </c>
      <c r="C113" s="7" t="s">
        <v>17</v>
      </c>
      <c r="D113" s="7"/>
      <c r="E113" s="7" t="s">
        <v>3021</v>
      </c>
      <c r="F113" s="7" t="s">
        <v>19</v>
      </c>
      <c r="G113" s="7" t="s">
        <v>31</v>
      </c>
      <c r="H113" s="7" t="s">
        <v>17</v>
      </c>
      <c r="I113" s="7" t="s">
        <v>17</v>
      </c>
      <c r="J113" s="7" t="s">
        <v>497</v>
      </c>
    </row>
    <row r="114" spans="1:10" x14ac:dyDescent="0.25" outlineLevel="3" collapsed="1">
      <c r="A114" s="8" t="s">
        <v>19</v>
      </c>
      <c r="B114" s="9" t="s">
        <v>502</v>
      </c>
      <c r="C114" s="8" t="s">
        <v>17</v>
      </c>
      <c r="D114" s="8"/>
      <c r="E114" s="8" t="s">
        <v>503</v>
      </c>
      <c r="F114" s="8" t="s">
        <v>15</v>
      </c>
      <c r="G114" s="8" t="s">
        <v>17</v>
      </c>
      <c r="H114" s="8" t="s">
        <v>17</v>
      </c>
      <c r="I114" s="8" t="s">
        <v>17</v>
      </c>
      <c r="J114" s="8" t="s">
        <v>504</v>
      </c>
    </row>
    <row r="115" spans="1:10" x14ac:dyDescent="0.25" outlineLevel="4" collapsed="1">
      <c r="A115" s="7" t="s">
        <v>19</v>
      </c>
      <c r="B115" s="7" t="s">
        <v>16</v>
      </c>
      <c r="C115" s="7" t="s">
        <v>17</v>
      </c>
      <c r="D115" s="7"/>
      <c r="E115" s="7" t="s">
        <v>505</v>
      </c>
      <c r="F115" s="7" t="s">
        <v>19</v>
      </c>
      <c r="G115" s="7" t="s">
        <v>31</v>
      </c>
      <c r="H115" s="7" t="s">
        <v>17</v>
      </c>
      <c r="I115" s="7" t="s">
        <v>17</v>
      </c>
      <c r="J115" s="7" t="s">
        <v>506</v>
      </c>
    </row>
    <row r="116" spans="1:10" x14ac:dyDescent="0.25" outlineLevel="4" collapsed="1">
      <c r="A116" s="7" t="s">
        <v>19</v>
      </c>
      <c r="B116" s="7" t="s">
        <v>16</v>
      </c>
      <c r="C116" s="7" t="s">
        <v>17</v>
      </c>
      <c r="D116" s="7"/>
      <c r="E116" s="7" t="s">
        <v>501</v>
      </c>
      <c r="F116" s="7" t="s">
        <v>19</v>
      </c>
      <c r="G116" s="7" t="s">
        <v>31</v>
      </c>
      <c r="H116" s="7" t="s">
        <v>17</v>
      </c>
      <c r="I116" s="7" t="s">
        <v>17</v>
      </c>
      <c r="J116" s="7" t="s">
        <v>497</v>
      </c>
    </row>
    <row r="117" spans="1:10" x14ac:dyDescent="0.25" outlineLevel="2" collapsed="1">
      <c r="A117" s="8" t="s">
        <v>15</v>
      </c>
      <c r="B117" s="9" t="s">
        <v>3022</v>
      </c>
      <c r="C117" s="8" t="s">
        <v>17</v>
      </c>
      <c r="D117" s="8"/>
      <c r="E117" s="8" t="s">
        <v>3023</v>
      </c>
      <c r="F117" s="8" t="s">
        <v>19</v>
      </c>
      <c r="G117" s="8" t="s">
        <v>17</v>
      </c>
      <c r="H117" s="8" t="s">
        <v>17</v>
      </c>
      <c r="I117" s="8" t="s">
        <v>17</v>
      </c>
      <c r="J117" s="8" t="s">
        <v>3024</v>
      </c>
    </row>
    <row r="118" spans="1:10" x14ac:dyDescent="0.25" outlineLevel="3" collapsed="1">
      <c r="A118" s="7" t="s">
        <v>15</v>
      </c>
      <c r="B118" s="7" t="s">
        <v>16</v>
      </c>
      <c r="C118" s="7" t="s">
        <v>17</v>
      </c>
      <c r="D118" s="7"/>
      <c r="E118" s="7" t="s">
        <v>492</v>
      </c>
      <c r="F118" s="7" t="s">
        <v>19</v>
      </c>
      <c r="G118" s="7" t="s">
        <v>493</v>
      </c>
      <c r="H118" s="7" t="s">
        <v>17</v>
      </c>
      <c r="I118" s="7" t="s">
        <v>17</v>
      </c>
      <c r="J118" s="7" t="s">
        <v>494</v>
      </c>
    </row>
    <row r="119" spans="1:10" x14ac:dyDescent="0.25" outlineLevel="3" collapsed="1">
      <c r="A119" s="7" t="s">
        <v>15</v>
      </c>
      <c r="B119" s="7" t="s">
        <v>16</v>
      </c>
      <c r="C119" s="7" t="s">
        <v>17</v>
      </c>
      <c r="D119" s="7"/>
      <c r="E119" s="7" t="s">
        <v>495</v>
      </c>
      <c r="F119" s="7" t="s">
        <v>19</v>
      </c>
      <c r="G119" s="7" t="s">
        <v>496</v>
      </c>
      <c r="H119" s="7" t="s">
        <v>17</v>
      </c>
      <c r="I119" s="7" t="s">
        <v>17</v>
      </c>
      <c r="J119" s="7" t="s">
        <v>497</v>
      </c>
    </row>
    <row r="120" spans="1:10" x14ac:dyDescent="0.25" outlineLevel="3" collapsed="1">
      <c r="A120" s="8" t="s">
        <v>19</v>
      </c>
      <c r="B120" s="9" t="s">
        <v>502</v>
      </c>
      <c r="C120" s="8" t="s">
        <v>17</v>
      </c>
      <c r="D120" s="8"/>
      <c r="E120" s="8" t="s">
        <v>503</v>
      </c>
      <c r="F120" s="8" t="s">
        <v>15</v>
      </c>
      <c r="G120" s="8" t="s">
        <v>17</v>
      </c>
      <c r="H120" s="8" t="s">
        <v>17</v>
      </c>
      <c r="I120" s="8" t="s">
        <v>17</v>
      </c>
      <c r="J120" s="8" t="s">
        <v>504</v>
      </c>
    </row>
    <row r="121" spans="1:10" x14ac:dyDescent="0.25" outlineLevel="4" collapsed="1">
      <c r="A121" s="7" t="s">
        <v>19</v>
      </c>
      <c r="B121" s="7" t="s">
        <v>16</v>
      </c>
      <c r="C121" s="7" t="s">
        <v>17</v>
      </c>
      <c r="D121" s="7"/>
      <c r="E121" s="7" t="s">
        <v>505</v>
      </c>
      <c r="F121" s="7" t="s">
        <v>19</v>
      </c>
      <c r="G121" s="7" t="s">
        <v>31</v>
      </c>
      <c r="H121" s="7" t="s">
        <v>17</v>
      </c>
      <c r="I121" s="7" t="s">
        <v>17</v>
      </c>
      <c r="J121" s="7" t="s">
        <v>506</v>
      </c>
    </row>
    <row r="122" spans="1:10" x14ac:dyDescent="0.25" outlineLevel="4" collapsed="1">
      <c r="A122" s="7" t="s">
        <v>19</v>
      </c>
      <c r="B122" s="7" t="s">
        <v>16</v>
      </c>
      <c r="C122" s="7" t="s">
        <v>17</v>
      </c>
      <c r="D122" s="7"/>
      <c r="E122" s="7" t="s">
        <v>501</v>
      </c>
      <c r="F122" s="7" t="s">
        <v>19</v>
      </c>
      <c r="G122" s="7" t="s">
        <v>31</v>
      </c>
      <c r="H122" s="7" t="s">
        <v>17</v>
      </c>
      <c r="I122" s="7" t="s">
        <v>17</v>
      </c>
      <c r="J122" s="7" t="s">
        <v>497</v>
      </c>
    </row>
    <row r="123" spans="1:10" x14ac:dyDescent="0.25" outlineLevel="2" collapsed="1">
      <c r="A123" s="8" t="s">
        <v>15</v>
      </c>
      <c r="B123" s="9" t="s">
        <v>3025</v>
      </c>
      <c r="C123" s="8" t="s">
        <v>17</v>
      </c>
      <c r="D123" s="8"/>
      <c r="E123" s="8" t="s">
        <v>3025</v>
      </c>
      <c r="F123" s="8" t="s">
        <v>19</v>
      </c>
      <c r="G123" s="8" t="s">
        <v>17</v>
      </c>
      <c r="H123" s="8" t="s">
        <v>17</v>
      </c>
      <c r="I123" s="8" t="s">
        <v>17</v>
      </c>
      <c r="J123" s="8" t="s">
        <v>3026</v>
      </c>
    </row>
    <row r="124" spans="1:10" x14ac:dyDescent="0.25" outlineLevel="3" collapsed="1">
      <c r="A124" s="7" t="s">
        <v>15</v>
      </c>
      <c r="B124" s="7" t="s">
        <v>16</v>
      </c>
      <c r="C124" s="7" t="s">
        <v>17</v>
      </c>
      <c r="D124" s="7"/>
      <c r="E124" s="7" t="s">
        <v>492</v>
      </c>
      <c r="F124" s="7" t="s">
        <v>19</v>
      </c>
      <c r="G124" s="7" t="s">
        <v>493</v>
      </c>
      <c r="H124" s="7" t="s">
        <v>17</v>
      </c>
      <c r="I124" s="7" t="s">
        <v>17</v>
      </c>
      <c r="J124" s="7" t="s">
        <v>494</v>
      </c>
    </row>
    <row r="125" spans="1:10" x14ac:dyDescent="0.25" outlineLevel="3" collapsed="1">
      <c r="A125" s="7" t="s">
        <v>15</v>
      </c>
      <c r="B125" s="7" t="s">
        <v>16</v>
      </c>
      <c r="C125" s="7" t="s">
        <v>17</v>
      </c>
      <c r="D125" s="7"/>
      <c r="E125" s="7" t="s">
        <v>495</v>
      </c>
      <c r="F125" s="7" t="s">
        <v>19</v>
      </c>
      <c r="G125" s="7" t="s">
        <v>496</v>
      </c>
      <c r="H125" s="7" t="s">
        <v>17</v>
      </c>
      <c r="I125" s="7" t="s">
        <v>17</v>
      </c>
      <c r="J125" s="7" t="s">
        <v>497</v>
      </c>
    </row>
    <row r="126" spans="1:10" x14ac:dyDescent="0.25" outlineLevel="2" collapsed="1">
      <c r="A126" s="8" t="s">
        <v>15</v>
      </c>
      <c r="B126" s="9" t="s">
        <v>3027</v>
      </c>
      <c r="C126" s="8" t="s">
        <v>17</v>
      </c>
      <c r="D126" s="8"/>
      <c r="E126" s="8" t="s">
        <v>3027</v>
      </c>
      <c r="F126" s="8" t="s">
        <v>19</v>
      </c>
      <c r="G126" s="8" t="s">
        <v>17</v>
      </c>
      <c r="H126" s="8" t="s">
        <v>17</v>
      </c>
      <c r="I126" s="8" t="s">
        <v>17</v>
      </c>
      <c r="J126" s="8" t="s">
        <v>59</v>
      </c>
    </row>
    <row r="127" spans="1:10" x14ac:dyDescent="0.25" outlineLevel="3" collapsed="1">
      <c r="A127" s="7" t="s">
        <v>15</v>
      </c>
      <c r="B127" s="7" t="s">
        <v>16</v>
      </c>
      <c r="C127" s="7" t="s">
        <v>17</v>
      </c>
      <c r="D127" s="7"/>
      <c r="E127" s="7" t="s">
        <v>492</v>
      </c>
      <c r="F127" s="7" t="s">
        <v>19</v>
      </c>
      <c r="G127" s="7" t="s">
        <v>493</v>
      </c>
      <c r="H127" s="7" t="s">
        <v>17</v>
      </c>
      <c r="I127" s="7" t="s">
        <v>17</v>
      </c>
      <c r="J127" s="7" t="s">
        <v>494</v>
      </c>
    </row>
    <row r="128" spans="1:10" x14ac:dyDescent="0.25" outlineLevel="3" collapsed="1">
      <c r="A128" s="7" t="s">
        <v>15</v>
      </c>
      <c r="B128" s="7" t="s">
        <v>16</v>
      </c>
      <c r="C128" s="7" t="s">
        <v>17</v>
      </c>
      <c r="D128" s="7"/>
      <c r="E128" s="7" t="s">
        <v>495</v>
      </c>
      <c r="F128" s="7" t="s">
        <v>19</v>
      </c>
      <c r="G128" s="7" t="s">
        <v>496</v>
      </c>
      <c r="H128" s="7" t="s">
        <v>17</v>
      </c>
      <c r="I128" s="7" t="s">
        <v>17</v>
      </c>
      <c r="J128" s="7" t="s">
        <v>497</v>
      </c>
    </row>
    <row r="129" spans="1:10" x14ac:dyDescent="0.25" outlineLevel="2" collapsed="1">
      <c r="A129" s="8" t="s">
        <v>15</v>
      </c>
      <c r="B129" s="9" t="s">
        <v>3028</v>
      </c>
      <c r="C129" s="8" t="s">
        <v>17</v>
      </c>
      <c r="D129" s="8"/>
      <c r="E129" s="8" t="s">
        <v>3028</v>
      </c>
      <c r="F129" s="8" t="s">
        <v>19</v>
      </c>
      <c r="G129" s="8" t="s">
        <v>17</v>
      </c>
      <c r="H129" s="8" t="s">
        <v>17</v>
      </c>
      <c r="I129" s="8" t="s">
        <v>17</v>
      </c>
      <c r="J129" s="8" t="s">
        <v>2383</v>
      </c>
    </row>
    <row r="130" spans="1:10" x14ac:dyDescent="0.25" outlineLevel="3" collapsed="1">
      <c r="A130" s="7" t="s">
        <v>15</v>
      </c>
      <c r="B130" s="7" t="s">
        <v>16</v>
      </c>
      <c r="C130" s="7" t="s">
        <v>17</v>
      </c>
      <c r="D130" s="7"/>
      <c r="E130" s="7" t="s">
        <v>492</v>
      </c>
      <c r="F130" s="7" t="s">
        <v>19</v>
      </c>
      <c r="G130" s="7" t="s">
        <v>493</v>
      </c>
      <c r="H130" s="7" t="s">
        <v>17</v>
      </c>
      <c r="I130" s="7" t="s">
        <v>17</v>
      </c>
      <c r="J130" s="7" t="s">
        <v>494</v>
      </c>
    </row>
    <row r="131" spans="1:10" x14ac:dyDescent="0.25" outlineLevel="3" collapsed="1">
      <c r="A131" s="7" t="s">
        <v>15</v>
      </c>
      <c r="B131" s="7" t="s">
        <v>16</v>
      </c>
      <c r="C131" s="7" t="s">
        <v>17</v>
      </c>
      <c r="D131" s="7"/>
      <c r="E131" s="7" t="s">
        <v>495</v>
      </c>
      <c r="F131" s="7" t="s">
        <v>19</v>
      </c>
      <c r="G131" s="7" t="s">
        <v>496</v>
      </c>
      <c r="H131" s="7" t="s">
        <v>17</v>
      </c>
      <c r="I131" s="7" t="s">
        <v>17</v>
      </c>
      <c r="J131" s="7" t="s">
        <v>497</v>
      </c>
    </row>
    <row r="132" spans="1:10" x14ac:dyDescent="0.25" outlineLevel="3" collapsed="1">
      <c r="A132" s="8" t="s">
        <v>19</v>
      </c>
      <c r="B132" s="9" t="s">
        <v>502</v>
      </c>
      <c r="C132" s="8" t="s">
        <v>17</v>
      </c>
      <c r="D132" s="8"/>
      <c r="E132" s="8" t="s">
        <v>503</v>
      </c>
      <c r="F132" s="8" t="s">
        <v>15</v>
      </c>
      <c r="G132" s="8" t="s">
        <v>17</v>
      </c>
      <c r="H132" s="8" t="s">
        <v>17</v>
      </c>
      <c r="I132" s="8" t="s">
        <v>17</v>
      </c>
      <c r="J132" s="8" t="s">
        <v>504</v>
      </c>
    </row>
    <row r="133" spans="1:10" x14ac:dyDescent="0.25" outlineLevel="4" collapsed="1">
      <c r="A133" s="7" t="s">
        <v>19</v>
      </c>
      <c r="B133" s="7" t="s">
        <v>16</v>
      </c>
      <c r="C133" s="7" t="s">
        <v>17</v>
      </c>
      <c r="D133" s="7"/>
      <c r="E133" s="7" t="s">
        <v>505</v>
      </c>
      <c r="F133" s="7" t="s">
        <v>19</v>
      </c>
      <c r="G133" s="7" t="s">
        <v>31</v>
      </c>
      <c r="H133" s="7" t="s">
        <v>17</v>
      </c>
      <c r="I133" s="7" t="s">
        <v>17</v>
      </c>
      <c r="J133" s="7" t="s">
        <v>506</v>
      </c>
    </row>
    <row r="134" spans="1:10" x14ac:dyDescent="0.25" outlineLevel="4" collapsed="1">
      <c r="A134" s="7" t="s">
        <v>19</v>
      </c>
      <c r="B134" s="7" t="s">
        <v>16</v>
      </c>
      <c r="C134" s="7" t="s">
        <v>17</v>
      </c>
      <c r="D134" s="7"/>
      <c r="E134" s="7" t="s">
        <v>501</v>
      </c>
      <c r="F134" s="7" t="s">
        <v>19</v>
      </c>
      <c r="G134" s="7" t="s">
        <v>31</v>
      </c>
      <c r="H134" s="7" t="s">
        <v>17</v>
      </c>
      <c r="I134" s="7" t="s">
        <v>17</v>
      </c>
      <c r="J134" s="7" t="s">
        <v>497</v>
      </c>
    </row>
    <row r="135" spans="1:10" x14ac:dyDescent="0.25" outlineLevel="2" collapsed="1">
      <c r="A135" s="8" t="s">
        <v>15</v>
      </c>
      <c r="B135" s="9" t="s">
        <v>3029</v>
      </c>
      <c r="C135" s="8" t="s">
        <v>17</v>
      </c>
      <c r="D135" s="8"/>
      <c r="E135" s="8" t="s">
        <v>3030</v>
      </c>
      <c r="F135" s="8" t="s">
        <v>19</v>
      </c>
      <c r="G135" s="8" t="s">
        <v>17</v>
      </c>
      <c r="H135" s="8" t="s">
        <v>17</v>
      </c>
      <c r="I135" s="8" t="s">
        <v>17</v>
      </c>
      <c r="J135" s="8" t="s">
        <v>3031</v>
      </c>
    </row>
    <row r="136" spans="1:10" x14ac:dyDescent="0.25" outlineLevel="3" collapsed="1">
      <c r="A136" s="7" t="s">
        <v>15</v>
      </c>
      <c r="B136" s="7" t="s">
        <v>16</v>
      </c>
      <c r="C136" s="7" t="s">
        <v>17</v>
      </c>
      <c r="D136" s="7"/>
      <c r="E136" s="7" t="s">
        <v>492</v>
      </c>
      <c r="F136" s="7" t="s">
        <v>19</v>
      </c>
      <c r="G136" s="7" t="s">
        <v>493</v>
      </c>
      <c r="H136" s="7" t="s">
        <v>17</v>
      </c>
      <c r="I136" s="7" t="s">
        <v>17</v>
      </c>
      <c r="J136" s="7" t="s">
        <v>494</v>
      </c>
    </row>
    <row r="137" spans="1:10" x14ac:dyDescent="0.25" outlineLevel="3" collapsed="1">
      <c r="A137" s="7" t="s">
        <v>15</v>
      </c>
      <c r="B137" s="7" t="s">
        <v>16</v>
      </c>
      <c r="C137" s="7" t="s">
        <v>17</v>
      </c>
      <c r="D137" s="7"/>
      <c r="E137" s="7" t="s">
        <v>495</v>
      </c>
      <c r="F137" s="7" t="s">
        <v>19</v>
      </c>
      <c r="G137" s="7" t="s">
        <v>496</v>
      </c>
      <c r="H137" s="7" t="s">
        <v>17</v>
      </c>
      <c r="I137" s="7" t="s">
        <v>17</v>
      </c>
      <c r="J137" s="7" t="s">
        <v>497</v>
      </c>
    </row>
    <row r="138" spans="1:10" x14ac:dyDescent="0.25" outlineLevel="3" collapsed="1">
      <c r="A138" s="8" t="s">
        <v>19</v>
      </c>
      <c r="B138" s="9" t="s">
        <v>502</v>
      </c>
      <c r="C138" s="8" t="s">
        <v>17</v>
      </c>
      <c r="D138" s="8"/>
      <c r="E138" s="8" t="s">
        <v>503</v>
      </c>
      <c r="F138" s="8" t="s">
        <v>15</v>
      </c>
      <c r="G138" s="8" t="s">
        <v>17</v>
      </c>
      <c r="H138" s="8" t="s">
        <v>17</v>
      </c>
      <c r="I138" s="8" t="s">
        <v>17</v>
      </c>
      <c r="J138" s="8" t="s">
        <v>504</v>
      </c>
    </row>
    <row r="139" spans="1:10" x14ac:dyDescent="0.25" outlineLevel="4" collapsed="1">
      <c r="A139" s="7" t="s">
        <v>19</v>
      </c>
      <c r="B139" s="7" t="s">
        <v>16</v>
      </c>
      <c r="C139" s="7" t="s">
        <v>17</v>
      </c>
      <c r="D139" s="7"/>
      <c r="E139" s="7" t="s">
        <v>505</v>
      </c>
      <c r="F139" s="7" t="s">
        <v>19</v>
      </c>
      <c r="G139" s="7" t="s">
        <v>31</v>
      </c>
      <c r="H139" s="7" t="s">
        <v>17</v>
      </c>
      <c r="I139" s="7" t="s">
        <v>17</v>
      </c>
      <c r="J139" s="7" t="s">
        <v>506</v>
      </c>
    </row>
    <row r="140" spans="1:10" x14ac:dyDescent="0.25" outlineLevel="4" collapsed="1">
      <c r="A140" s="7" t="s">
        <v>19</v>
      </c>
      <c r="B140" s="7" t="s">
        <v>16</v>
      </c>
      <c r="C140" s="7" t="s">
        <v>17</v>
      </c>
      <c r="D140" s="7"/>
      <c r="E140" s="7" t="s">
        <v>501</v>
      </c>
      <c r="F140" s="7" t="s">
        <v>19</v>
      </c>
      <c r="G140" s="7" t="s">
        <v>31</v>
      </c>
      <c r="H140" s="7" t="s">
        <v>17</v>
      </c>
      <c r="I140" s="7" t="s">
        <v>17</v>
      </c>
      <c r="J140" s="7" t="s">
        <v>497</v>
      </c>
    </row>
    <row r="141" spans="1:10" x14ac:dyDescent="0.25" outlineLevel="2" collapsed="1">
      <c r="A141" s="8" t="s">
        <v>15</v>
      </c>
      <c r="B141" s="9" t="s">
        <v>3032</v>
      </c>
      <c r="C141" s="8" t="s">
        <v>17</v>
      </c>
      <c r="D141" s="8"/>
      <c r="E141" s="8" t="s">
        <v>3033</v>
      </c>
      <c r="F141" s="8" t="s">
        <v>19</v>
      </c>
      <c r="G141" s="8" t="s">
        <v>17</v>
      </c>
      <c r="H141" s="8" t="s">
        <v>17</v>
      </c>
      <c r="I141" s="8" t="s">
        <v>17</v>
      </c>
      <c r="J141" s="8" t="s">
        <v>3034</v>
      </c>
    </row>
    <row r="142" spans="1:10" x14ac:dyDescent="0.25" outlineLevel="3" collapsed="1">
      <c r="A142" s="7" t="s">
        <v>15</v>
      </c>
      <c r="B142" s="7" t="s">
        <v>16</v>
      </c>
      <c r="C142" s="7" t="s">
        <v>17</v>
      </c>
      <c r="D142" s="7"/>
      <c r="E142" s="7" t="s">
        <v>492</v>
      </c>
      <c r="F142" s="7" t="s">
        <v>19</v>
      </c>
      <c r="G142" s="7" t="s">
        <v>493</v>
      </c>
      <c r="H142" s="7" t="s">
        <v>17</v>
      </c>
      <c r="I142" s="7" t="s">
        <v>17</v>
      </c>
      <c r="J142" s="7" t="s">
        <v>494</v>
      </c>
    </row>
    <row r="143" spans="1:10" x14ac:dyDescent="0.25" outlineLevel="3" collapsed="1">
      <c r="A143" s="7" t="s">
        <v>15</v>
      </c>
      <c r="B143" s="7" t="s">
        <v>16</v>
      </c>
      <c r="C143" s="7" t="s">
        <v>17</v>
      </c>
      <c r="D143" s="7"/>
      <c r="E143" s="7" t="s">
        <v>495</v>
      </c>
      <c r="F143" s="7" t="s">
        <v>19</v>
      </c>
      <c r="G143" s="7" t="s">
        <v>496</v>
      </c>
      <c r="H143" s="7" t="s">
        <v>17</v>
      </c>
      <c r="I143" s="7" t="s">
        <v>17</v>
      </c>
      <c r="J143" s="7" t="s">
        <v>497</v>
      </c>
    </row>
    <row r="144" spans="1:10" x14ac:dyDescent="0.25" outlineLevel="3" collapsed="1">
      <c r="A144" s="8" t="s">
        <v>19</v>
      </c>
      <c r="B144" s="9" t="s">
        <v>502</v>
      </c>
      <c r="C144" s="8" t="s">
        <v>17</v>
      </c>
      <c r="D144" s="8"/>
      <c r="E144" s="8" t="s">
        <v>503</v>
      </c>
      <c r="F144" s="8" t="s">
        <v>15</v>
      </c>
      <c r="G144" s="8" t="s">
        <v>17</v>
      </c>
      <c r="H144" s="8" t="s">
        <v>17</v>
      </c>
      <c r="I144" s="8" t="s">
        <v>17</v>
      </c>
      <c r="J144" s="8" t="s">
        <v>504</v>
      </c>
    </row>
    <row r="145" spans="1:10" x14ac:dyDescent="0.25" outlineLevel="4" collapsed="1">
      <c r="A145" s="7" t="s">
        <v>19</v>
      </c>
      <c r="B145" s="7" t="s">
        <v>16</v>
      </c>
      <c r="C145" s="7" t="s">
        <v>17</v>
      </c>
      <c r="D145" s="7"/>
      <c r="E145" s="7" t="s">
        <v>505</v>
      </c>
      <c r="F145" s="7" t="s">
        <v>19</v>
      </c>
      <c r="G145" s="7" t="s">
        <v>31</v>
      </c>
      <c r="H145" s="7" t="s">
        <v>17</v>
      </c>
      <c r="I145" s="7" t="s">
        <v>17</v>
      </c>
      <c r="J145" s="7" t="s">
        <v>506</v>
      </c>
    </row>
    <row r="146" spans="1:10" x14ac:dyDescent="0.25" outlineLevel="4" collapsed="1">
      <c r="A146" s="7" t="s">
        <v>19</v>
      </c>
      <c r="B146" s="7" t="s">
        <v>16</v>
      </c>
      <c r="C146" s="7" t="s">
        <v>17</v>
      </c>
      <c r="D146" s="7"/>
      <c r="E146" s="7" t="s">
        <v>501</v>
      </c>
      <c r="F146" s="7" t="s">
        <v>19</v>
      </c>
      <c r="G146" s="7" t="s">
        <v>31</v>
      </c>
      <c r="H146" s="7" t="s">
        <v>17</v>
      </c>
      <c r="I146" s="7" t="s">
        <v>17</v>
      </c>
      <c r="J146" s="7" t="s">
        <v>497</v>
      </c>
    </row>
    <row r="147" spans="1:10" x14ac:dyDescent="0.25" outlineLevel="2" collapsed="1">
      <c r="A147" s="8" t="s">
        <v>15</v>
      </c>
      <c r="B147" s="9" t="s">
        <v>3035</v>
      </c>
      <c r="C147" s="8" t="s">
        <v>17</v>
      </c>
      <c r="D147" s="8"/>
      <c r="E147" s="8" t="s">
        <v>3035</v>
      </c>
      <c r="F147" s="8" t="s">
        <v>19</v>
      </c>
      <c r="G147" s="8" t="s">
        <v>17</v>
      </c>
      <c r="H147" s="8" t="s">
        <v>17</v>
      </c>
      <c r="I147" s="8" t="s">
        <v>17</v>
      </c>
      <c r="J147" s="8" t="s">
        <v>545</v>
      </c>
    </row>
    <row r="148" spans="1:10" x14ac:dyDescent="0.25" outlineLevel="3" collapsed="1">
      <c r="A148" s="7" t="s">
        <v>15</v>
      </c>
      <c r="B148" s="7" t="s">
        <v>16</v>
      </c>
      <c r="C148" s="7" t="s">
        <v>17</v>
      </c>
      <c r="D148" s="7"/>
      <c r="E148" s="7" t="s">
        <v>492</v>
      </c>
      <c r="F148" s="7" t="s">
        <v>19</v>
      </c>
      <c r="G148" s="7" t="s">
        <v>493</v>
      </c>
      <c r="H148" s="7" t="s">
        <v>17</v>
      </c>
      <c r="I148" s="7" t="s">
        <v>17</v>
      </c>
      <c r="J148" s="7" t="s">
        <v>494</v>
      </c>
    </row>
    <row r="149" spans="1:10" x14ac:dyDescent="0.25" outlineLevel="3" collapsed="1">
      <c r="A149" s="7" t="s">
        <v>15</v>
      </c>
      <c r="B149" s="7" t="s">
        <v>16</v>
      </c>
      <c r="C149" s="7" t="s">
        <v>17</v>
      </c>
      <c r="D149" s="7"/>
      <c r="E149" s="7" t="s">
        <v>495</v>
      </c>
      <c r="F149" s="7" t="s">
        <v>19</v>
      </c>
      <c r="G149" s="7" t="s">
        <v>496</v>
      </c>
      <c r="H149" s="7" t="s">
        <v>17</v>
      </c>
      <c r="I149" s="7" t="s">
        <v>17</v>
      </c>
      <c r="J149" s="7" t="s">
        <v>497</v>
      </c>
    </row>
    <row r="150" spans="1:10" x14ac:dyDescent="0.25" outlineLevel="3" collapsed="1">
      <c r="A150" s="8" t="s">
        <v>19</v>
      </c>
      <c r="B150" s="9" t="s">
        <v>502</v>
      </c>
      <c r="C150" s="8" t="s">
        <v>17</v>
      </c>
      <c r="D150" s="8"/>
      <c r="E150" s="8" t="s">
        <v>503</v>
      </c>
      <c r="F150" s="8" t="s">
        <v>15</v>
      </c>
      <c r="G150" s="8" t="s">
        <v>17</v>
      </c>
      <c r="H150" s="8" t="s">
        <v>17</v>
      </c>
      <c r="I150" s="8" t="s">
        <v>17</v>
      </c>
      <c r="J150" s="8" t="s">
        <v>504</v>
      </c>
    </row>
    <row r="151" spans="1:10" x14ac:dyDescent="0.25" outlineLevel="4" collapsed="1">
      <c r="A151" s="7" t="s">
        <v>19</v>
      </c>
      <c r="B151" s="7" t="s">
        <v>16</v>
      </c>
      <c r="C151" s="7" t="s">
        <v>17</v>
      </c>
      <c r="D151" s="7"/>
      <c r="E151" s="7" t="s">
        <v>505</v>
      </c>
      <c r="F151" s="7" t="s">
        <v>19</v>
      </c>
      <c r="G151" s="7" t="s">
        <v>31</v>
      </c>
      <c r="H151" s="7" t="s">
        <v>17</v>
      </c>
      <c r="I151" s="7" t="s">
        <v>17</v>
      </c>
      <c r="J151" s="7" t="s">
        <v>506</v>
      </c>
    </row>
    <row r="152" spans="1:10" x14ac:dyDescent="0.25" outlineLevel="4" collapsed="1">
      <c r="A152" s="7" t="s">
        <v>19</v>
      </c>
      <c r="B152" s="7" t="s">
        <v>16</v>
      </c>
      <c r="C152" s="7" t="s">
        <v>17</v>
      </c>
      <c r="D152" s="7"/>
      <c r="E152" s="7" t="s">
        <v>501</v>
      </c>
      <c r="F152" s="7" t="s">
        <v>19</v>
      </c>
      <c r="G152" s="7" t="s">
        <v>31</v>
      </c>
      <c r="H152" s="7" t="s">
        <v>17</v>
      </c>
      <c r="I152" s="7" t="s">
        <v>17</v>
      </c>
      <c r="J152" s="7" t="s">
        <v>497</v>
      </c>
    </row>
    <row r="153" spans="1:10" x14ac:dyDescent="0.25" outlineLevel="2" collapsed="1">
      <c r="A153" s="8" t="s">
        <v>15</v>
      </c>
      <c r="B153" s="9" t="s">
        <v>3036</v>
      </c>
      <c r="C153" s="8" t="s">
        <v>17</v>
      </c>
      <c r="D153" s="8"/>
      <c r="E153" s="8" t="s">
        <v>3037</v>
      </c>
      <c r="F153" s="8" t="s">
        <v>19</v>
      </c>
      <c r="G153" s="8" t="s">
        <v>17</v>
      </c>
      <c r="H153" s="8" t="s">
        <v>17</v>
      </c>
      <c r="I153" s="8" t="s">
        <v>17</v>
      </c>
      <c r="J153" s="8" t="s">
        <v>2422</v>
      </c>
    </row>
    <row r="154" spans="1:10" x14ac:dyDescent="0.25" outlineLevel="3" collapsed="1">
      <c r="A154" s="7" t="s">
        <v>15</v>
      </c>
      <c r="B154" s="7" t="s">
        <v>16</v>
      </c>
      <c r="C154" s="7" t="s">
        <v>17</v>
      </c>
      <c r="D154" s="7"/>
      <c r="E154" s="7" t="s">
        <v>492</v>
      </c>
      <c r="F154" s="7" t="s">
        <v>19</v>
      </c>
      <c r="G154" s="7" t="s">
        <v>493</v>
      </c>
      <c r="H154" s="7" t="s">
        <v>17</v>
      </c>
      <c r="I154" s="7" t="s">
        <v>17</v>
      </c>
      <c r="J154" s="7" t="s">
        <v>494</v>
      </c>
    </row>
    <row r="155" spans="1:10" x14ac:dyDescent="0.25" outlineLevel="3" collapsed="1">
      <c r="A155" s="7" t="s">
        <v>15</v>
      </c>
      <c r="B155" s="7" t="s">
        <v>16</v>
      </c>
      <c r="C155" s="7" t="s">
        <v>17</v>
      </c>
      <c r="D155" s="7"/>
      <c r="E155" s="7" t="s">
        <v>495</v>
      </c>
      <c r="F155" s="7" t="s">
        <v>19</v>
      </c>
      <c r="G155" s="7" t="s">
        <v>496</v>
      </c>
      <c r="H155" s="7" t="s">
        <v>17</v>
      </c>
      <c r="I155" s="7" t="s">
        <v>17</v>
      </c>
      <c r="J155" s="7" t="s">
        <v>497</v>
      </c>
    </row>
    <row r="156" spans="1:10" x14ac:dyDescent="0.25" outlineLevel="3" collapsed="1">
      <c r="A156" s="8" t="s">
        <v>19</v>
      </c>
      <c r="B156" s="9" t="s">
        <v>502</v>
      </c>
      <c r="C156" s="8" t="s">
        <v>17</v>
      </c>
      <c r="D156" s="8"/>
      <c r="E156" s="8" t="s">
        <v>503</v>
      </c>
      <c r="F156" s="8" t="s">
        <v>15</v>
      </c>
      <c r="G156" s="8" t="s">
        <v>17</v>
      </c>
      <c r="H156" s="8" t="s">
        <v>17</v>
      </c>
      <c r="I156" s="8" t="s">
        <v>17</v>
      </c>
      <c r="J156" s="8" t="s">
        <v>504</v>
      </c>
    </row>
    <row r="157" spans="1:10" x14ac:dyDescent="0.25" outlineLevel="4" collapsed="1">
      <c r="A157" s="7" t="s">
        <v>19</v>
      </c>
      <c r="B157" s="7" t="s">
        <v>16</v>
      </c>
      <c r="C157" s="7" t="s">
        <v>17</v>
      </c>
      <c r="D157" s="7"/>
      <c r="E157" s="7" t="s">
        <v>505</v>
      </c>
      <c r="F157" s="7" t="s">
        <v>19</v>
      </c>
      <c r="G157" s="7" t="s">
        <v>31</v>
      </c>
      <c r="H157" s="7" t="s">
        <v>17</v>
      </c>
      <c r="I157" s="7" t="s">
        <v>17</v>
      </c>
      <c r="J157" s="7" t="s">
        <v>506</v>
      </c>
    </row>
    <row r="158" spans="1:10" x14ac:dyDescent="0.25" outlineLevel="4" collapsed="1">
      <c r="A158" s="7" t="s">
        <v>19</v>
      </c>
      <c r="B158" s="7" t="s">
        <v>16</v>
      </c>
      <c r="C158" s="7" t="s">
        <v>17</v>
      </c>
      <c r="D158" s="7"/>
      <c r="E158" s="7" t="s">
        <v>501</v>
      </c>
      <c r="F158" s="7" t="s">
        <v>19</v>
      </c>
      <c r="G158" s="7" t="s">
        <v>31</v>
      </c>
      <c r="H158" s="7" t="s">
        <v>17</v>
      </c>
      <c r="I158" s="7" t="s">
        <v>17</v>
      </c>
      <c r="J158" s="7" t="s">
        <v>497</v>
      </c>
    </row>
    <row r="159" spans="1:10" x14ac:dyDescent="0.25" outlineLevel="2" collapsed="1">
      <c r="A159" s="8" t="s">
        <v>15</v>
      </c>
      <c r="B159" s="9" t="s">
        <v>3038</v>
      </c>
      <c r="C159" s="8" t="s">
        <v>17</v>
      </c>
      <c r="D159" s="8"/>
      <c r="E159" s="8" t="s">
        <v>3039</v>
      </c>
      <c r="F159" s="8" t="s">
        <v>19</v>
      </c>
      <c r="G159" s="8" t="s">
        <v>17</v>
      </c>
      <c r="H159" s="8" t="s">
        <v>17</v>
      </c>
      <c r="I159" s="8" t="s">
        <v>17</v>
      </c>
      <c r="J159" s="8" t="s">
        <v>548</v>
      </c>
    </row>
    <row r="160" spans="1:10" x14ac:dyDescent="0.25" outlineLevel="3" collapsed="1">
      <c r="A160" s="8" t="s">
        <v>15</v>
      </c>
      <c r="B160" s="9" t="s">
        <v>3040</v>
      </c>
      <c r="C160" s="8" t="s">
        <v>17</v>
      </c>
      <c r="D160" s="8"/>
      <c r="E160" s="8" t="s">
        <v>3041</v>
      </c>
      <c r="F160" s="8" t="s">
        <v>19</v>
      </c>
      <c r="G160" s="8" t="s">
        <v>17</v>
      </c>
      <c r="H160" s="8" t="s">
        <v>17</v>
      </c>
      <c r="I160" s="8" t="s">
        <v>17</v>
      </c>
      <c r="J160" s="8" t="s">
        <v>550</v>
      </c>
    </row>
    <row r="161" spans="1:10" x14ac:dyDescent="0.25" outlineLevel="4" collapsed="1">
      <c r="A161" s="7" t="s">
        <v>15</v>
      </c>
      <c r="B161" s="7" t="s">
        <v>16</v>
      </c>
      <c r="C161" s="7" t="s">
        <v>17</v>
      </c>
      <c r="D161" s="7"/>
      <c r="E161" s="7" t="s">
        <v>3042</v>
      </c>
      <c r="F161" s="7" t="s">
        <v>19</v>
      </c>
      <c r="G161" s="7" t="s">
        <v>31</v>
      </c>
      <c r="H161" s="7" t="s">
        <v>17</v>
      </c>
      <c r="I161" s="7" t="s">
        <v>17</v>
      </c>
      <c r="J161" s="7" t="s">
        <v>494</v>
      </c>
    </row>
    <row r="162" spans="1:10" x14ac:dyDescent="0.25" outlineLevel="4" collapsed="1">
      <c r="A162" s="7" t="s">
        <v>15</v>
      </c>
      <c r="B162" s="7" t="s">
        <v>16</v>
      </c>
      <c r="C162" s="7" t="s">
        <v>17</v>
      </c>
      <c r="D162" s="7"/>
      <c r="E162" s="7" t="s">
        <v>3043</v>
      </c>
      <c r="F162" s="7" t="s">
        <v>19</v>
      </c>
      <c r="G162" s="7" t="s">
        <v>31</v>
      </c>
      <c r="H162" s="7" t="s">
        <v>17</v>
      </c>
      <c r="I162" s="7" t="s">
        <v>17</v>
      </c>
      <c r="J162" s="7" t="s">
        <v>497</v>
      </c>
    </row>
    <row r="163" spans="1:10" x14ac:dyDescent="0.25" outlineLevel="3" collapsed="1">
      <c r="A163" s="8" t="s">
        <v>19</v>
      </c>
      <c r="B163" s="9" t="s">
        <v>3044</v>
      </c>
      <c r="C163" s="8" t="s">
        <v>17</v>
      </c>
      <c r="D163" s="8"/>
      <c r="E163" s="8" t="s">
        <v>3045</v>
      </c>
      <c r="F163" s="8" t="s">
        <v>19</v>
      </c>
      <c r="G163" s="8" t="s">
        <v>17</v>
      </c>
      <c r="H163" s="8" t="s">
        <v>17</v>
      </c>
      <c r="I163" s="8" t="s">
        <v>17</v>
      </c>
      <c r="J163" s="8" t="s">
        <v>3046</v>
      </c>
    </row>
    <row r="164" spans="1:10" x14ac:dyDescent="0.25" outlineLevel="4" collapsed="1">
      <c r="A164" s="7" t="s">
        <v>15</v>
      </c>
      <c r="B164" s="7" t="s">
        <v>16</v>
      </c>
      <c r="C164" s="7" t="s">
        <v>17</v>
      </c>
      <c r="D164" s="7"/>
      <c r="E164" s="7" t="s">
        <v>3047</v>
      </c>
      <c r="F164" s="7" t="s">
        <v>19</v>
      </c>
      <c r="G164" s="7" t="s">
        <v>31</v>
      </c>
      <c r="H164" s="7" t="s">
        <v>17</v>
      </c>
      <c r="I164" s="7" t="s">
        <v>17</v>
      </c>
      <c r="J164" s="7" t="s">
        <v>494</v>
      </c>
    </row>
    <row r="165" spans="1:10" x14ac:dyDescent="0.25" outlineLevel="4" collapsed="1">
      <c r="A165" s="7" t="s">
        <v>15</v>
      </c>
      <c r="B165" s="7" t="s">
        <v>16</v>
      </c>
      <c r="C165" s="7" t="s">
        <v>17</v>
      </c>
      <c r="D165" s="7"/>
      <c r="E165" s="7" t="s">
        <v>3048</v>
      </c>
      <c r="F165" s="7" t="s">
        <v>19</v>
      </c>
      <c r="G165" s="7" t="s">
        <v>31</v>
      </c>
      <c r="H165" s="7" t="s">
        <v>17</v>
      </c>
      <c r="I165" s="7" t="s">
        <v>17</v>
      </c>
      <c r="J165" s="7" t="s">
        <v>497</v>
      </c>
    </row>
    <row r="166" spans="1:10" x14ac:dyDescent="0.25" outlineLevel="3" collapsed="1">
      <c r="A166" s="8" t="s">
        <v>19</v>
      </c>
      <c r="B166" s="9" t="s">
        <v>3049</v>
      </c>
      <c r="C166" s="8" t="s">
        <v>17</v>
      </c>
      <c r="D166" s="8"/>
      <c r="E166" s="8" t="s">
        <v>3050</v>
      </c>
      <c r="F166" s="8" t="s">
        <v>19</v>
      </c>
      <c r="G166" s="8" t="s">
        <v>17</v>
      </c>
      <c r="H166" s="8" t="s">
        <v>17</v>
      </c>
      <c r="I166" s="8" t="s">
        <v>17</v>
      </c>
      <c r="J166" s="8" t="s">
        <v>3051</v>
      </c>
    </row>
    <row r="167" spans="1:10" x14ac:dyDescent="0.25" outlineLevel="4" collapsed="1">
      <c r="A167" s="7" t="s">
        <v>15</v>
      </c>
      <c r="B167" s="7" t="s">
        <v>16</v>
      </c>
      <c r="C167" s="7" t="s">
        <v>17</v>
      </c>
      <c r="D167" s="7"/>
      <c r="E167" s="7" t="s">
        <v>3052</v>
      </c>
      <c r="F167" s="7" t="s">
        <v>19</v>
      </c>
      <c r="G167" s="7" t="s">
        <v>31</v>
      </c>
      <c r="H167" s="7" t="s">
        <v>17</v>
      </c>
      <c r="I167" s="7" t="s">
        <v>17</v>
      </c>
      <c r="J167" s="7" t="s">
        <v>494</v>
      </c>
    </row>
    <row r="168" spans="1:10" x14ac:dyDescent="0.25" outlineLevel="4" collapsed="1">
      <c r="A168" s="7" t="s">
        <v>15</v>
      </c>
      <c r="B168" s="7" t="s">
        <v>16</v>
      </c>
      <c r="C168" s="7" t="s">
        <v>17</v>
      </c>
      <c r="D168" s="7"/>
      <c r="E168" s="7" t="s">
        <v>3053</v>
      </c>
      <c r="F168" s="7" t="s">
        <v>19</v>
      </c>
      <c r="G168" s="7" t="s">
        <v>31</v>
      </c>
      <c r="H168" s="7" t="s">
        <v>17</v>
      </c>
      <c r="I168" s="7" t="s">
        <v>17</v>
      </c>
      <c r="J168" s="7" t="s">
        <v>497</v>
      </c>
    </row>
    <row r="169" spans="1:10" x14ac:dyDescent="0.25" outlineLevel="2" collapsed="1">
      <c r="A169" s="8" t="s">
        <v>15</v>
      </c>
      <c r="B169" s="9" t="s">
        <v>3054</v>
      </c>
      <c r="C169" s="8" t="s">
        <v>17</v>
      </c>
      <c r="D169" s="8"/>
      <c r="E169" s="8" t="s">
        <v>3055</v>
      </c>
      <c r="F169" s="8" t="s">
        <v>19</v>
      </c>
      <c r="G169" s="8" t="s">
        <v>17</v>
      </c>
      <c r="H169" s="8" t="s">
        <v>17</v>
      </c>
      <c r="I169" s="8" t="s">
        <v>17</v>
      </c>
      <c r="J169" s="8" t="s">
        <v>556</v>
      </c>
    </row>
    <row r="170" spans="1:10" x14ac:dyDescent="0.25" outlineLevel="3" collapsed="1">
      <c r="A170" s="8" t="s">
        <v>15</v>
      </c>
      <c r="B170" s="9" t="s">
        <v>3056</v>
      </c>
      <c r="C170" s="8" t="s">
        <v>17</v>
      </c>
      <c r="D170" s="8"/>
      <c r="E170" s="8" t="s">
        <v>3057</v>
      </c>
      <c r="F170" s="8" t="s">
        <v>19</v>
      </c>
      <c r="G170" s="8" t="s">
        <v>17</v>
      </c>
      <c r="H170" s="8" t="s">
        <v>17</v>
      </c>
      <c r="I170" s="8" t="s">
        <v>17</v>
      </c>
      <c r="J170" s="8" t="s">
        <v>3058</v>
      </c>
    </row>
    <row r="171" spans="1:10" x14ac:dyDescent="0.25" outlineLevel="4" collapsed="1">
      <c r="A171" s="7" t="s">
        <v>15</v>
      </c>
      <c r="B171" s="7" t="s">
        <v>16</v>
      </c>
      <c r="C171" s="7" t="s">
        <v>17</v>
      </c>
      <c r="D171" s="7"/>
      <c r="E171" s="7" t="s">
        <v>3059</v>
      </c>
      <c r="F171" s="7" t="s">
        <v>19</v>
      </c>
      <c r="G171" s="7" t="s">
        <v>31</v>
      </c>
      <c r="H171" s="7" t="s">
        <v>17</v>
      </c>
      <c r="I171" s="7" t="s">
        <v>17</v>
      </c>
      <c r="J171" s="7" t="s">
        <v>494</v>
      </c>
    </row>
    <row r="172" spans="1:10" x14ac:dyDescent="0.25" outlineLevel="4" collapsed="1">
      <c r="A172" s="7" t="s">
        <v>15</v>
      </c>
      <c r="B172" s="7" t="s">
        <v>16</v>
      </c>
      <c r="C172" s="7" t="s">
        <v>17</v>
      </c>
      <c r="D172" s="7"/>
      <c r="E172" s="7" t="s">
        <v>3060</v>
      </c>
      <c r="F172" s="7" t="s">
        <v>19</v>
      </c>
      <c r="G172" s="7" t="s">
        <v>31</v>
      </c>
      <c r="H172" s="7" t="s">
        <v>17</v>
      </c>
      <c r="I172" s="7" t="s">
        <v>17</v>
      </c>
      <c r="J172" s="7" t="s">
        <v>497</v>
      </c>
    </row>
    <row r="173" spans="1:10" x14ac:dyDescent="0.25" outlineLevel="3" collapsed="1">
      <c r="A173" s="8" t="s">
        <v>15</v>
      </c>
      <c r="B173" s="9" t="s">
        <v>3061</v>
      </c>
      <c r="C173" s="8" t="s">
        <v>17</v>
      </c>
      <c r="D173" s="8"/>
      <c r="E173" s="8" t="s">
        <v>3062</v>
      </c>
      <c r="F173" s="8" t="s">
        <v>19</v>
      </c>
      <c r="G173" s="8" t="s">
        <v>17</v>
      </c>
      <c r="H173" s="8" t="s">
        <v>17</v>
      </c>
      <c r="I173" s="8" t="s">
        <v>17</v>
      </c>
      <c r="J173" s="8" t="s">
        <v>3063</v>
      </c>
    </row>
    <row r="174" spans="1:10" x14ac:dyDescent="0.25" outlineLevel="4" collapsed="1">
      <c r="A174" s="7" t="s">
        <v>15</v>
      </c>
      <c r="B174" s="7" t="s">
        <v>16</v>
      </c>
      <c r="C174" s="7" t="s">
        <v>17</v>
      </c>
      <c r="D174" s="7"/>
      <c r="E174" s="7" t="s">
        <v>3064</v>
      </c>
      <c r="F174" s="7" t="s">
        <v>19</v>
      </c>
      <c r="G174" s="7" t="s">
        <v>31</v>
      </c>
      <c r="H174" s="7" t="s">
        <v>17</v>
      </c>
      <c r="I174" s="7" t="s">
        <v>17</v>
      </c>
      <c r="J174" s="7" t="s">
        <v>494</v>
      </c>
    </row>
    <row r="175" spans="1:10" x14ac:dyDescent="0.25" outlineLevel="4" collapsed="1">
      <c r="A175" s="7" t="s">
        <v>15</v>
      </c>
      <c r="B175" s="7" t="s">
        <v>16</v>
      </c>
      <c r="C175" s="7" t="s">
        <v>17</v>
      </c>
      <c r="D175" s="7"/>
      <c r="E175" s="7" t="s">
        <v>3065</v>
      </c>
      <c r="F175" s="7" t="s">
        <v>19</v>
      </c>
      <c r="G175" s="7" t="s">
        <v>31</v>
      </c>
      <c r="H175" s="7" t="s">
        <v>17</v>
      </c>
      <c r="I175" s="7" t="s">
        <v>17</v>
      </c>
      <c r="J175" s="7" t="s">
        <v>497</v>
      </c>
    </row>
    <row r="176" spans="1:10" x14ac:dyDescent="0.25" outlineLevel="3" collapsed="1">
      <c r="A176" s="8" t="s">
        <v>15</v>
      </c>
      <c r="B176" s="9" t="s">
        <v>3066</v>
      </c>
      <c r="C176" s="8" t="s">
        <v>17</v>
      </c>
      <c r="D176" s="8"/>
      <c r="E176" s="8" t="s">
        <v>3067</v>
      </c>
      <c r="F176" s="8" t="s">
        <v>19</v>
      </c>
      <c r="G176" s="8" t="s">
        <v>17</v>
      </c>
      <c r="H176" s="8" t="s">
        <v>17</v>
      </c>
      <c r="I176" s="8" t="s">
        <v>17</v>
      </c>
      <c r="J176" s="8" t="s">
        <v>597</v>
      </c>
    </row>
    <row r="177" spans="1:10" x14ac:dyDescent="0.25" outlineLevel="4" collapsed="1">
      <c r="A177" s="7" t="s">
        <v>15</v>
      </c>
      <c r="B177" s="7" t="s">
        <v>16</v>
      </c>
      <c r="C177" s="7" t="s">
        <v>17</v>
      </c>
      <c r="D177" s="7"/>
      <c r="E177" s="7" t="s">
        <v>3068</v>
      </c>
      <c r="F177" s="7" t="s">
        <v>19</v>
      </c>
      <c r="G177" s="7" t="s">
        <v>31</v>
      </c>
      <c r="H177" s="7" t="s">
        <v>17</v>
      </c>
      <c r="I177" s="7" t="s">
        <v>17</v>
      </c>
      <c r="J177" s="7" t="s">
        <v>494</v>
      </c>
    </row>
    <row r="178" spans="1:10" x14ac:dyDescent="0.25" outlineLevel="4" collapsed="1">
      <c r="A178" s="7" t="s">
        <v>15</v>
      </c>
      <c r="B178" s="7" t="s">
        <v>16</v>
      </c>
      <c r="C178" s="7" t="s">
        <v>17</v>
      </c>
      <c r="D178" s="7"/>
      <c r="E178" s="7" t="s">
        <v>3069</v>
      </c>
      <c r="F178" s="7" t="s">
        <v>19</v>
      </c>
      <c r="G178" s="7" t="s">
        <v>31</v>
      </c>
      <c r="H178" s="7" t="s">
        <v>17</v>
      </c>
      <c r="I178" s="7" t="s">
        <v>17</v>
      </c>
      <c r="J178" s="7" t="s">
        <v>497</v>
      </c>
    </row>
    <row r="179" spans="1:10" x14ac:dyDescent="0.25" outlineLevel="3" collapsed="1">
      <c r="A179" s="8" t="s">
        <v>19</v>
      </c>
      <c r="B179" s="9" t="s">
        <v>502</v>
      </c>
      <c r="C179" s="8" t="s">
        <v>17</v>
      </c>
      <c r="D179" s="8"/>
      <c r="E179" s="8" t="s">
        <v>503</v>
      </c>
      <c r="F179" s="8" t="s">
        <v>15</v>
      </c>
      <c r="G179" s="8" t="s">
        <v>17</v>
      </c>
      <c r="H179" s="8" t="s">
        <v>17</v>
      </c>
      <c r="I179" s="8" t="s">
        <v>17</v>
      </c>
      <c r="J179" s="8" t="s">
        <v>504</v>
      </c>
    </row>
    <row r="180" spans="1:10" x14ac:dyDescent="0.25" outlineLevel="4" collapsed="1">
      <c r="A180" s="7" t="s">
        <v>19</v>
      </c>
      <c r="B180" s="7" t="s">
        <v>16</v>
      </c>
      <c r="C180" s="7" t="s">
        <v>17</v>
      </c>
      <c r="D180" s="7"/>
      <c r="E180" s="7" t="s">
        <v>505</v>
      </c>
      <c r="F180" s="7" t="s">
        <v>19</v>
      </c>
      <c r="G180" s="7" t="s">
        <v>31</v>
      </c>
      <c r="H180" s="7" t="s">
        <v>17</v>
      </c>
      <c r="I180" s="7" t="s">
        <v>17</v>
      </c>
      <c r="J180" s="7" t="s">
        <v>506</v>
      </c>
    </row>
    <row r="181" spans="1:10" x14ac:dyDescent="0.25" outlineLevel="4" collapsed="1">
      <c r="A181" s="7" t="s">
        <v>19</v>
      </c>
      <c r="B181" s="7" t="s">
        <v>16</v>
      </c>
      <c r="C181" s="7" t="s">
        <v>17</v>
      </c>
      <c r="D181" s="7"/>
      <c r="E181" s="7" t="s">
        <v>501</v>
      </c>
      <c r="F181" s="7" t="s">
        <v>19</v>
      </c>
      <c r="G181" s="7" t="s">
        <v>31</v>
      </c>
      <c r="H181" s="7" t="s">
        <v>17</v>
      </c>
      <c r="I181" s="7" t="s">
        <v>17</v>
      </c>
      <c r="J181" s="7" t="s">
        <v>497</v>
      </c>
    </row>
    <row r="182" spans="1:10" x14ac:dyDescent="0.25" outlineLevel="2" collapsed="1">
      <c r="A182" s="8" t="s">
        <v>15</v>
      </c>
      <c r="B182" s="9" t="s">
        <v>3070</v>
      </c>
      <c r="C182" s="8" t="s">
        <v>17</v>
      </c>
      <c r="D182" s="8"/>
      <c r="E182" s="8" t="s">
        <v>3071</v>
      </c>
      <c r="F182" s="8" t="s">
        <v>19</v>
      </c>
      <c r="G182" s="8" t="s">
        <v>17</v>
      </c>
      <c r="H182" s="8" t="s">
        <v>17</v>
      </c>
      <c r="I182" s="8" t="s">
        <v>17</v>
      </c>
      <c r="J182" s="8" t="s">
        <v>568</v>
      </c>
    </row>
    <row r="183" spans="1:10" x14ac:dyDescent="0.25" outlineLevel="3" collapsed="1">
      <c r="A183" s="7" t="s">
        <v>15</v>
      </c>
      <c r="B183" s="7" t="s">
        <v>16</v>
      </c>
      <c r="C183" s="7" t="s">
        <v>17</v>
      </c>
      <c r="D183" s="7"/>
      <c r="E183" s="7" t="s">
        <v>492</v>
      </c>
      <c r="F183" s="7" t="s">
        <v>19</v>
      </c>
      <c r="G183" s="7" t="s">
        <v>493</v>
      </c>
      <c r="H183" s="7" t="s">
        <v>17</v>
      </c>
      <c r="I183" s="7" t="s">
        <v>17</v>
      </c>
      <c r="J183" s="7" t="s">
        <v>494</v>
      </c>
    </row>
    <row r="184" spans="1:10" x14ac:dyDescent="0.25" outlineLevel="3" collapsed="1">
      <c r="A184" s="7" t="s">
        <v>15</v>
      </c>
      <c r="B184" s="7" t="s">
        <v>16</v>
      </c>
      <c r="C184" s="7" t="s">
        <v>17</v>
      </c>
      <c r="D184" s="7"/>
      <c r="E184" s="7" t="s">
        <v>495</v>
      </c>
      <c r="F184" s="7" t="s">
        <v>19</v>
      </c>
      <c r="G184" s="7" t="s">
        <v>496</v>
      </c>
      <c r="H184" s="7" t="s">
        <v>17</v>
      </c>
      <c r="I184" s="7" t="s">
        <v>17</v>
      </c>
      <c r="J184" s="7" t="s">
        <v>497</v>
      </c>
    </row>
    <row r="185" spans="1:10" x14ac:dyDescent="0.25" outlineLevel="3" collapsed="1">
      <c r="A185" s="8" t="s">
        <v>19</v>
      </c>
      <c r="B185" s="9" t="s">
        <v>502</v>
      </c>
      <c r="C185" s="8" t="s">
        <v>17</v>
      </c>
      <c r="D185" s="8"/>
      <c r="E185" s="8" t="s">
        <v>503</v>
      </c>
      <c r="F185" s="8" t="s">
        <v>15</v>
      </c>
      <c r="G185" s="8" t="s">
        <v>17</v>
      </c>
      <c r="H185" s="8" t="s">
        <v>17</v>
      </c>
      <c r="I185" s="8" t="s">
        <v>17</v>
      </c>
      <c r="J185" s="8" t="s">
        <v>504</v>
      </c>
    </row>
    <row r="186" spans="1:10" x14ac:dyDescent="0.25" outlineLevel="4" collapsed="1">
      <c r="A186" s="7" t="s">
        <v>19</v>
      </c>
      <c r="B186" s="7" t="s">
        <v>16</v>
      </c>
      <c r="C186" s="7" t="s">
        <v>17</v>
      </c>
      <c r="D186" s="7"/>
      <c r="E186" s="7" t="s">
        <v>505</v>
      </c>
      <c r="F186" s="7" t="s">
        <v>19</v>
      </c>
      <c r="G186" s="7" t="s">
        <v>31</v>
      </c>
      <c r="H186" s="7" t="s">
        <v>17</v>
      </c>
      <c r="I186" s="7" t="s">
        <v>17</v>
      </c>
      <c r="J186" s="7" t="s">
        <v>506</v>
      </c>
    </row>
    <row r="187" spans="1:10" x14ac:dyDescent="0.25" outlineLevel="4" collapsed="1">
      <c r="A187" s="7" t="s">
        <v>19</v>
      </c>
      <c r="B187" s="7" t="s">
        <v>16</v>
      </c>
      <c r="C187" s="7" t="s">
        <v>17</v>
      </c>
      <c r="D187" s="7"/>
      <c r="E187" s="7" t="s">
        <v>501</v>
      </c>
      <c r="F187" s="7" t="s">
        <v>19</v>
      </c>
      <c r="G187" s="7" t="s">
        <v>31</v>
      </c>
      <c r="H187" s="7" t="s">
        <v>17</v>
      </c>
      <c r="I187" s="7" t="s">
        <v>17</v>
      </c>
      <c r="J187" s="7" t="s">
        <v>497</v>
      </c>
    </row>
    <row r="188" spans="1:10" x14ac:dyDescent="0.25" outlineLevel="2" collapsed="1">
      <c r="A188" s="8" t="s">
        <v>15</v>
      </c>
      <c r="B188" s="9" t="s">
        <v>3072</v>
      </c>
      <c r="C188" s="8" t="s">
        <v>17</v>
      </c>
      <c r="D188" s="8"/>
      <c r="E188" s="8" t="s">
        <v>3072</v>
      </c>
      <c r="F188" s="8" t="s">
        <v>19</v>
      </c>
      <c r="G188" s="8" t="s">
        <v>17</v>
      </c>
      <c r="H188" s="8" t="s">
        <v>17</v>
      </c>
      <c r="I188" s="8" t="s">
        <v>17</v>
      </c>
      <c r="J188" s="8" t="s">
        <v>571</v>
      </c>
    </row>
    <row r="189" spans="1:10" x14ac:dyDescent="0.25" outlineLevel="3" collapsed="1">
      <c r="A189" s="8" t="s">
        <v>15</v>
      </c>
      <c r="B189" s="9" t="s">
        <v>3073</v>
      </c>
      <c r="C189" s="8" t="s">
        <v>17</v>
      </c>
      <c r="D189" s="8"/>
      <c r="E189" s="8" t="s">
        <v>3074</v>
      </c>
      <c r="F189" s="8" t="s">
        <v>19</v>
      </c>
      <c r="G189" s="8" t="s">
        <v>17</v>
      </c>
      <c r="H189" s="8" t="s">
        <v>17</v>
      </c>
      <c r="I189" s="8" t="s">
        <v>17</v>
      </c>
      <c r="J189" s="8" t="s">
        <v>2466</v>
      </c>
    </row>
    <row r="190" spans="1:10" x14ac:dyDescent="0.25" outlineLevel="4" collapsed="1">
      <c r="A190" s="7" t="s">
        <v>15</v>
      </c>
      <c r="B190" s="7" t="s">
        <v>16</v>
      </c>
      <c r="C190" s="7" t="s">
        <v>17</v>
      </c>
      <c r="D190" s="7"/>
      <c r="E190" s="7" t="s">
        <v>3075</v>
      </c>
      <c r="F190" s="7" t="s">
        <v>19</v>
      </c>
      <c r="G190" s="7" t="s">
        <v>31</v>
      </c>
      <c r="H190" s="7" t="s">
        <v>17</v>
      </c>
      <c r="I190" s="7" t="s">
        <v>17</v>
      </c>
      <c r="J190" s="7" t="s">
        <v>494</v>
      </c>
    </row>
    <row r="191" spans="1:10" x14ac:dyDescent="0.25" outlineLevel="3" collapsed="1">
      <c r="A191" s="8" t="s">
        <v>15</v>
      </c>
      <c r="B191" s="9" t="s">
        <v>3076</v>
      </c>
      <c r="C191" s="8" t="s">
        <v>17</v>
      </c>
      <c r="D191" s="8"/>
      <c r="E191" s="8" t="s">
        <v>3076</v>
      </c>
      <c r="F191" s="8" t="s">
        <v>19</v>
      </c>
      <c r="G191" s="8" t="s">
        <v>17</v>
      </c>
      <c r="H191" s="8" t="s">
        <v>17</v>
      </c>
      <c r="I191" s="8" t="s">
        <v>17</v>
      </c>
      <c r="J191" s="8" t="s">
        <v>573</v>
      </c>
    </row>
    <row r="192" spans="1:10" x14ac:dyDescent="0.25" outlineLevel="4" collapsed="1">
      <c r="A192" s="7" t="s">
        <v>15</v>
      </c>
      <c r="B192" s="7" t="s">
        <v>16</v>
      </c>
      <c r="C192" s="7" t="s">
        <v>17</v>
      </c>
      <c r="D192" s="7"/>
      <c r="E192" s="7" t="s">
        <v>3077</v>
      </c>
      <c r="F192" s="7" t="s">
        <v>19</v>
      </c>
      <c r="G192" s="7" t="s">
        <v>31</v>
      </c>
      <c r="H192" s="7" t="s">
        <v>17</v>
      </c>
      <c r="I192" s="7" t="s">
        <v>17</v>
      </c>
      <c r="J192" s="7" t="s">
        <v>494</v>
      </c>
    </row>
    <row r="193" spans="1:10" x14ac:dyDescent="0.25" outlineLevel="3" collapsed="1">
      <c r="A193" s="8" t="s">
        <v>15</v>
      </c>
      <c r="B193" s="9" t="s">
        <v>3078</v>
      </c>
      <c r="C193" s="8" t="s">
        <v>17</v>
      </c>
      <c r="D193" s="8"/>
      <c r="E193" s="8" t="s">
        <v>3079</v>
      </c>
      <c r="F193" s="8" t="s">
        <v>19</v>
      </c>
      <c r="G193" s="8" t="s">
        <v>17</v>
      </c>
      <c r="H193" s="8" t="s">
        <v>17</v>
      </c>
      <c r="I193" s="8" t="s">
        <v>17</v>
      </c>
      <c r="J193" s="8" t="s">
        <v>2472</v>
      </c>
    </row>
    <row r="194" spans="1:10" x14ac:dyDescent="0.25" outlineLevel="4" collapsed="1">
      <c r="A194" s="7" t="s">
        <v>15</v>
      </c>
      <c r="B194" s="7" t="s">
        <v>16</v>
      </c>
      <c r="C194" s="7" t="s">
        <v>17</v>
      </c>
      <c r="D194" s="7"/>
      <c r="E194" s="7" t="s">
        <v>3080</v>
      </c>
      <c r="F194" s="7" t="s">
        <v>19</v>
      </c>
      <c r="G194" s="7" t="s">
        <v>31</v>
      </c>
      <c r="H194" s="7" t="s">
        <v>17</v>
      </c>
      <c r="I194" s="7" t="s">
        <v>17</v>
      </c>
      <c r="J194" s="7" t="s">
        <v>494</v>
      </c>
    </row>
    <row r="195" spans="1:10" x14ac:dyDescent="0.25" outlineLevel="2" collapsed="1">
      <c r="A195" s="8" t="s">
        <v>19</v>
      </c>
      <c r="B195" s="9" t="s">
        <v>3081</v>
      </c>
      <c r="C195" s="8" t="s">
        <v>17</v>
      </c>
      <c r="D195" s="8"/>
      <c r="E195" s="8" t="s">
        <v>3082</v>
      </c>
      <c r="F195" s="8" t="s">
        <v>19</v>
      </c>
      <c r="G195" s="8" t="s">
        <v>17</v>
      </c>
      <c r="H195" s="8" t="s">
        <v>17</v>
      </c>
      <c r="I195" s="8" t="s">
        <v>17</v>
      </c>
      <c r="J195" s="8" t="s">
        <v>2466</v>
      </c>
    </row>
    <row r="196" spans="1:10" x14ac:dyDescent="0.25" outlineLevel="3" collapsed="1">
      <c r="A196" s="7" t="s">
        <v>19</v>
      </c>
      <c r="B196" s="7" t="s">
        <v>16</v>
      </c>
      <c r="C196" s="7" t="s">
        <v>17</v>
      </c>
      <c r="D196" s="7"/>
      <c r="E196" s="7" t="s">
        <v>500</v>
      </c>
      <c r="F196" s="7" t="s">
        <v>19</v>
      </c>
      <c r="G196" s="7" t="s">
        <v>31</v>
      </c>
      <c r="H196" s="7" t="s">
        <v>17</v>
      </c>
      <c r="I196" s="7" t="s">
        <v>17</v>
      </c>
      <c r="J196" s="7" t="s">
        <v>494</v>
      </c>
    </row>
    <row r="197" spans="1:10" x14ac:dyDescent="0.25" outlineLevel="2" collapsed="1">
      <c r="A197" s="8" t="s">
        <v>19</v>
      </c>
      <c r="B197" s="9" t="s">
        <v>3083</v>
      </c>
      <c r="C197" s="8" t="s">
        <v>17</v>
      </c>
      <c r="D197" s="8"/>
      <c r="E197" s="8" t="s">
        <v>581</v>
      </c>
      <c r="F197" s="8" t="s">
        <v>19</v>
      </c>
      <c r="G197" s="8" t="s">
        <v>17</v>
      </c>
      <c r="H197" s="8" t="s">
        <v>17</v>
      </c>
      <c r="I197" s="8" t="s">
        <v>17</v>
      </c>
      <c r="J197" s="8" t="s">
        <v>573</v>
      </c>
    </row>
    <row r="198" spans="1:10" x14ac:dyDescent="0.25" outlineLevel="3" collapsed="1">
      <c r="A198" s="7" t="s">
        <v>19</v>
      </c>
      <c r="B198" s="7" t="s">
        <v>16</v>
      </c>
      <c r="C198" s="7" t="s">
        <v>17</v>
      </c>
      <c r="D198" s="7"/>
      <c r="E198" s="7" t="s">
        <v>500</v>
      </c>
      <c r="F198" s="7" t="s">
        <v>19</v>
      </c>
      <c r="G198" s="7" t="s">
        <v>31</v>
      </c>
      <c r="H198" s="7" t="s">
        <v>17</v>
      </c>
      <c r="I198" s="7" t="s">
        <v>17</v>
      </c>
      <c r="J198" s="7" t="s">
        <v>494</v>
      </c>
    </row>
    <row r="199" spans="1:10" x14ac:dyDescent="0.25" outlineLevel="2" collapsed="1">
      <c r="A199" s="8" t="s">
        <v>19</v>
      </c>
      <c r="B199" s="9" t="s">
        <v>3084</v>
      </c>
      <c r="C199" s="8" t="s">
        <v>17</v>
      </c>
      <c r="D199" s="8"/>
      <c r="E199" s="8" t="s">
        <v>3085</v>
      </c>
      <c r="F199" s="8" t="s">
        <v>19</v>
      </c>
      <c r="G199" s="8" t="s">
        <v>17</v>
      </c>
      <c r="H199" s="8" t="s">
        <v>17</v>
      </c>
      <c r="I199" s="8" t="s">
        <v>17</v>
      </c>
      <c r="J199" s="8" t="s">
        <v>2472</v>
      </c>
    </row>
    <row r="200" spans="1:10" x14ac:dyDescent="0.25" outlineLevel="3" collapsed="1">
      <c r="A200" s="7" t="s">
        <v>19</v>
      </c>
      <c r="B200" s="7" t="s">
        <v>16</v>
      </c>
      <c r="C200" s="7" t="s">
        <v>17</v>
      </c>
      <c r="D200" s="7"/>
      <c r="E200" s="7" t="s">
        <v>500</v>
      </c>
      <c r="F200" s="7" t="s">
        <v>19</v>
      </c>
      <c r="G200" s="7" t="s">
        <v>31</v>
      </c>
      <c r="H200" s="7" t="s">
        <v>17</v>
      </c>
      <c r="I200" s="7" t="s">
        <v>17</v>
      </c>
      <c r="J200" s="7" t="s">
        <v>494</v>
      </c>
    </row>
    <row r="201" spans="1:10" x14ac:dyDescent="0.25" outlineLevel="2" collapsed="1">
      <c r="A201" s="8" t="s">
        <v>19</v>
      </c>
      <c r="B201" s="9" t="s">
        <v>3086</v>
      </c>
      <c r="C201" s="8" t="s">
        <v>17</v>
      </c>
      <c r="D201" s="8"/>
      <c r="E201" s="8" t="s">
        <v>3087</v>
      </c>
      <c r="F201" s="8" t="s">
        <v>19</v>
      </c>
      <c r="G201" s="8" t="s">
        <v>17</v>
      </c>
      <c r="H201" s="8" t="s">
        <v>17</v>
      </c>
      <c r="I201" s="8" t="s">
        <v>17</v>
      </c>
      <c r="J201" s="8" t="s">
        <v>2293</v>
      </c>
    </row>
    <row r="202" spans="1:10" x14ac:dyDescent="0.25" outlineLevel="3" collapsed="1">
      <c r="A202" s="7" t="s">
        <v>19</v>
      </c>
      <c r="B202" s="7" t="s">
        <v>16</v>
      </c>
      <c r="C202" s="7" t="s">
        <v>17</v>
      </c>
      <c r="D202" s="7"/>
      <c r="E202" s="7" t="s">
        <v>500</v>
      </c>
      <c r="F202" s="7" t="s">
        <v>19</v>
      </c>
      <c r="G202" s="7" t="s">
        <v>31</v>
      </c>
      <c r="H202" s="7" t="s">
        <v>17</v>
      </c>
      <c r="I202" s="7" t="s">
        <v>17</v>
      </c>
      <c r="J202" s="7" t="s">
        <v>494</v>
      </c>
    </row>
    <row r="203" spans="1:10" x14ac:dyDescent="0.25" outlineLevel="3" collapsed="1">
      <c r="A203" s="7" t="s">
        <v>19</v>
      </c>
      <c r="B203" s="7" t="s">
        <v>16</v>
      </c>
      <c r="C203" s="7" t="s">
        <v>17</v>
      </c>
      <c r="D203" s="7"/>
      <c r="E203" s="7" t="s">
        <v>501</v>
      </c>
      <c r="F203" s="7" t="s">
        <v>19</v>
      </c>
      <c r="G203" s="7" t="s">
        <v>31</v>
      </c>
      <c r="H203" s="7" t="s">
        <v>17</v>
      </c>
      <c r="I203" s="7" t="s">
        <v>17</v>
      </c>
      <c r="J203" s="7" t="s">
        <v>497</v>
      </c>
    </row>
    <row r="204" spans="1:10" x14ac:dyDescent="0.25" outlineLevel="3" collapsed="1">
      <c r="A204" s="8" t="s">
        <v>19</v>
      </c>
      <c r="B204" s="9" t="s">
        <v>502</v>
      </c>
      <c r="C204" s="8" t="s">
        <v>17</v>
      </c>
      <c r="D204" s="8"/>
      <c r="E204" s="8" t="s">
        <v>503</v>
      </c>
      <c r="F204" s="8" t="s">
        <v>15</v>
      </c>
      <c r="G204" s="8" t="s">
        <v>17</v>
      </c>
      <c r="H204" s="8" t="s">
        <v>17</v>
      </c>
      <c r="I204" s="8" t="s">
        <v>17</v>
      </c>
      <c r="J204" s="8" t="s">
        <v>504</v>
      </c>
    </row>
    <row r="205" spans="1:10" x14ac:dyDescent="0.25" outlineLevel="4" collapsed="1">
      <c r="A205" s="7" t="s">
        <v>19</v>
      </c>
      <c r="B205" s="7" t="s">
        <v>16</v>
      </c>
      <c r="C205" s="7" t="s">
        <v>17</v>
      </c>
      <c r="D205" s="7"/>
      <c r="E205" s="7" t="s">
        <v>505</v>
      </c>
      <c r="F205" s="7" t="s">
        <v>19</v>
      </c>
      <c r="G205" s="7" t="s">
        <v>31</v>
      </c>
      <c r="H205" s="7" t="s">
        <v>17</v>
      </c>
      <c r="I205" s="7" t="s">
        <v>17</v>
      </c>
      <c r="J205" s="7" t="s">
        <v>506</v>
      </c>
    </row>
    <row r="206" spans="1:10" x14ac:dyDescent="0.25" outlineLevel="4" collapsed="1">
      <c r="A206" s="7" t="s">
        <v>19</v>
      </c>
      <c r="B206" s="7" t="s">
        <v>16</v>
      </c>
      <c r="C206" s="7" t="s">
        <v>17</v>
      </c>
      <c r="D206" s="7"/>
      <c r="E206" s="7" t="s">
        <v>501</v>
      </c>
      <c r="F206" s="7" t="s">
        <v>19</v>
      </c>
      <c r="G206" s="7" t="s">
        <v>31</v>
      </c>
      <c r="H206" s="7" t="s">
        <v>17</v>
      </c>
      <c r="I206" s="7" t="s">
        <v>17</v>
      </c>
      <c r="J206" s="7" t="s">
        <v>497</v>
      </c>
    </row>
    <row r="207" spans="1:10" x14ac:dyDescent="0.25" outlineLevel="2" collapsed="1">
      <c r="A207" s="8" t="s">
        <v>19</v>
      </c>
      <c r="B207" s="9" t="s">
        <v>3088</v>
      </c>
      <c r="C207" s="8" t="s">
        <v>17</v>
      </c>
      <c r="D207" s="8"/>
      <c r="E207" s="8" t="s">
        <v>3089</v>
      </c>
      <c r="F207" s="8" t="s">
        <v>19</v>
      </c>
      <c r="G207" s="8" t="s">
        <v>17</v>
      </c>
      <c r="H207" s="8" t="s">
        <v>17</v>
      </c>
      <c r="I207" s="8" t="s">
        <v>17</v>
      </c>
      <c r="J207" s="8" t="s">
        <v>3090</v>
      </c>
    </row>
    <row r="208" spans="1:10" x14ac:dyDescent="0.25" outlineLevel="3" collapsed="1">
      <c r="A208" s="7" t="s">
        <v>19</v>
      </c>
      <c r="B208" s="7" t="s">
        <v>16</v>
      </c>
      <c r="C208" s="7" t="s">
        <v>17</v>
      </c>
      <c r="D208" s="7"/>
      <c r="E208" s="7" t="s">
        <v>500</v>
      </c>
      <c r="F208" s="7" t="s">
        <v>19</v>
      </c>
      <c r="G208" s="7" t="s">
        <v>31</v>
      </c>
      <c r="H208" s="7" t="s">
        <v>17</v>
      </c>
      <c r="I208" s="7" t="s">
        <v>17</v>
      </c>
      <c r="J208" s="7" t="s">
        <v>494</v>
      </c>
    </row>
    <row r="209" spans="1:10" x14ac:dyDescent="0.25" outlineLevel="3" collapsed="1">
      <c r="A209" s="7" t="s">
        <v>19</v>
      </c>
      <c r="B209" s="7" t="s">
        <v>16</v>
      </c>
      <c r="C209" s="7" t="s">
        <v>17</v>
      </c>
      <c r="D209" s="7"/>
      <c r="E209" s="7" t="s">
        <v>501</v>
      </c>
      <c r="F209" s="7" t="s">
        <v>19</v>
      </c>
      <c r="G209" s="7" t="s">
        <v>31</v>
      </c>
      <c r="H209" s="7" t="s">
        <v>17</v>
      </c>
      <c r="I209" s="7" t="s">
        <v>17</v>
      </c>
      <c r="J209" s="7" t="s">
        <v>497</v>
      </c>
    </row>
    <row r="210" spans="1:10" x14ac:dyDescent="0.25" outlineLevel="3" collapsed="1">
      <c r="A210" s="8" t="s">
        <v>19</v>
      </c>
      <c r="B210" s="9" t="s">
        <v>502</v>
      </c>
      <c r="C210" s="8" t="s">
        <v>17</v>
      </c>
      <c r="D210" s="8"/>
      <c r="E210" s="8" t="s">
        <v>503</v>
      </c>
      <c r="F210" s="8" t="s">
        <v>15</v>
      </c>
      <c r="G210" s="8" t="s">
        <v>17</v>
      </c>
      <c r="H210" s="8" t="s">
        <v>17</v>
      </c>
      <c r="I210" s="8" t="s">
        <v>17</v>
      </c>
      <c r="J210" s="8" t="s">
        <v>504</v>
      </c>
    </row>
    <row r="211" spans="1:10" x14ac:dyDescent="0.25" outlineLevel="4" collapsed="1">
      <c r="A211" s="7" t="s">
        <v>19</v>
      </c>
      <c r="B211" s="7" t="s">
        <v>16</v>
      </c>
      <c r="C211" s="7" t="s">
        <v>17</v>
      </c>
      <c r="D211" s="7"/>
      <c r="E211" s="7" t="s">
        <v>505</v>
      </c>
      <c r="F211" s="7" t="s">
        <v>19</v>
      </c>
      <c r="G211" s="7" t="s">
        <v>31</v>
      </c>
      <c r="H211" s="7" t="s">
        <v>17</v>
      </c>
      <c r="I211" s="7" t="s">
        <v>17</v>
      </c>
      <c r="J211" s="7" t="s">
        <v>506</v>
      </c>
    </row>
    <row r="212" spans="1:10" x14ac:dyDescent="0.25" outlineLevel="4" collapsed="1">
      <c r="A212" s="7" t="s">
        <v>19</v>
      </c>
      <c r="B212" s="7" t="s">
        <v>16</v>
      </c>
      <c r="C212" s="7" t="s">
        <v>17</v>
      </c>
      <c r="D212" s="7"/>
      <c r="E212" s="7" t="s">
        <v>501</v>
      </c>
      <c r="F212" s="7" t="s">
        <v>19</v>
      </c>
      <c r="G212" s="7" t="s">
        <v>31</v>
      </c>
      <c r="H212" s="7" t="s">
        <v>17</v>
      </c>
      <c r="I212" s="7" t="s">
        <v>17</v>
      </c>
      <c r="J212" s="7" t="s">
        <v>497</v>
      </c>
    </row>
    <row r="213" spans="1:10" x14ac:dyDescent="0.25" outlineLevel="2" collapsed="1">
      <c r="A213" s="8" t="s">
        <v>19</v>
      </c>
      <c r="B213" s="9" t="s">
        <v>3091</v>
      </c>
      <c r="C213" s="8" t="s">
        <v>17</v>
      </c>
      <c r="D213" s="8"/>
      <c r="E213" s="8" t="s">
        <v>3092</v>
      </c>
      <c r="F213" s="8" t="s">
        <v>19</v>
      </c>
      <c r="G213" s="8" t="s">
        <v>17</v>
      </c>
      <c r="H213" s="8" t="s">
        <v>17</v>
      </c>
      <c r="I213" s="8" t="s">
        <v>17</v>
      </c>
      <c r="J213" s="8" t="s">
        <v>972</v>
      </c>
    </row>
    <row r="214" spans="1:10" x14ac:dyDescent="0.25" outlineLevel="3" collapsed="1">
      <c r="A214" s="7" t="s">
        <v>19</v>
      </c>
      <c r="B214" s="7" t="s">
        <v>16</v>
      </c>
      <c r="C214" s="7" t="s">
        <v>17</v>
      </c>
      <c r="D214" s="7"/>
      <c r="E214" s="7" t="s">
        <v>500</v>
      </c>
      <c r="F214" s="7" t="s">
        <v>19</v>
      </c>
      <c r="G214" s="7" t="s">
        <v>31</v>
      </c>
      <c r="H214" s="7" t="s">
        <v>17</v>
      </c>
      <c r="I214" s="7" t="s">
        <v>17</v>
      </c>
      <c r="J214" s="7" t="s">
        <v>494</v>
      </c>
    </row>
    <row r="215" spans="1:10" x14ac:dyDescent="0.25" outlineLevel="3" collapsed="1">
      <c r="A215" s="7" t="s">
        <v>19</v>
      </c>
      <c r="B215" s="7" t="s">
        <v>16</v>
      </c>
      <c r="C215" s="7" t="s">
        <v>17</v>
      </c>
      <c r="D215" s="7"/>
      <c r="E215" s="7" t="s">
        <v>501</v>
      </c>
      <c r="F215" s="7" t="s">
        <v>19</v>
      </c>
      <c r="G215" s="7" t="s">
        <v>31</v>
      </c>
      <c r="H215" s="7" t="s">
        <v>17</v>
      </c>
      <c r="I215" s="7" t="s">
        <v>17</v>
      </c>
      <c r="J215" s="7" t="s">
        <v>497</v>
      </c>
    </row>
    <row r="216" spans="1:10" x14ac:dyDescent="0.25" outlineLevel="3" collapsed="1">
      <c r="A216" s="8" t="s">
        <v>19</v>
      </c>
      <c r="B216" s="9" t="s">
        <v>502</v>
      </c>
      <c r="C216" s="8" t="s">
        <v>17</v>
      </c>
      <c r="D216" s="8"/>
      <c r="E216" s="8" t="s">
        <v>503</v>
      </c>
      <c r="F216" s="8" t="s">
        <v>15</v>
      </c>
      <c r="G216" s="8" t="s">
        <v>17</v>
      </c>
      <c r="H216" s="8" t="s">
        <v>17</v>
      </c>
      <c r="I216" s="8" t="s">
        <v>17</v>
      </c>
      <c r="J216" s="8" t="s">
        <v>504</v>
      </c>
    </row>
    <row r="217" spans="1:10" x14ac:dyDescent="0.25" outlineLevel="4" collapsed="1">
      <c r="A217" s="7" t="s">
        <v>19</v>
      </c>
      <c r="B217" s="7" t="s">
        <v>16</v>
      </c>
      <c r="C217" s="7" t="s">
        <v>17</v>
      </c>
      <c r="D217" s="7"/>
      <c r="E217" s="7" t="s">
        <v>505</v>
      </c>
      <c r="F217" s="7" t="s">
        <v>19</v>
      </c>
      <c r="G217" s="7" t="s">
        <v>31</v>
      </c>
      <c r="H217" s="7" t="s">
        <v>17</v>
      </c>
      <c r="I217" s="7" t="s">
        <v>17</v>
      </c>
      <c r="J217" s="7" t="s">
        <v>506</v>
      </c>
    </row>
    <row r="218" spans="1:10" x14ac:dyDescent="0.25" outlineLevel="4" collapsed="1">
      <c r="A218" s="7" t="s">
        <v>19</v>
      </c>
      <c r="B218" s="7" t="s">
        <v>16</v>
      </c>
      <c r="C218" s="7" t="s">
        <v>17</v>
      </c>
      <c r="D218" s="7"/>
      <c r="E218" s="7" t="s">
        <v>501</v>
      </c>
      <c r="F218" s="7" t="s">
        <v>19</v>
      </c>
      <c r="G218" s="7" t="s">
        <v>31</v>
      </c>
      <c r="H218" s="7" t="s">
        <v>17</v>
      </c>
      <c r="I218" s="7" t="s">
        <v>17</v>
      </c>
      <c r="J218" s="7" t="s">
        <v>497</v>
      </c>
    </row>
    <row r="219" spans="1:10" x14ac:dyDescent="0.25" outlineLevel="2" collapsed="1">
      <c r="A219" s="8" t="s">
        <v>19</v>
      </c>
      <c r="B219" s="9" t="s">
        <v>3093</v>
      </c>
      <c r="C219" s="8" t="s">
        <v>17</v>
      </c>
      <c r="D219" s="8"/>
      <c r="E219" s="8" t="s">
        <v>599</v>
      </c>
      <c r="F219" s="8" t="s">
        <v>19</v>
      </c>
      <c r="G219" s="8" t="s">
        <v>17</v>
      </c>
      <c r="H219" s="8" t="s">
        <v>17</v>
      </c>
      <c r="I219" s="8" t="s">
        <v>17</v>
      </c>
      <c r="J219" s="8" t="s">
        <v>600</v>
      </c>
    </row>
    <row r="220" spans="1:10" x14ac:dyDescent="0.25" outlineLevel="3" collapsed="1">
      <c r="A220" s="7" t="s">
        <v>19</v>
      </c>
      <c r="B220" s="7" t="s">
        <v>16</v>
      </c>
      <c r="C220" s="7" t="s">
        <v>17</v>
      </c>
      <c r="D220" s="7"/>
      <c r="E220" s="7" t="s">
        <v>500</v>
      </c>
      <c r="F220" s="7" t="s">
        <v>19</v>
      </c>
      <c r="G220" s="7" t="s">
        <v>31</v>
      </c>
      <c r="H220" s="7" t="s">
        <v>17</v>
      </c>
      <c r="I220" s="7" t="s">
        <v>17</v>
      </c>
      <c r="J220" s="7" t="s">
        <v>494</v>
      </c>
    </row>
    <row r="221" spans="1:10" x14ac:dyDescent="0.25" outlineLevel="3" collapsed="1">
      <c r="A221" s="7" t="s">
        <v>19</v>
      </c>
      <c r="B221" s="7" t="s">
        <v>16</v>
      </c>
      <c r="C221" s="7" t="s">
        <v>17</v>
      </c>
      <c r="D221" s="7"/>
      <c r="E221" s="7" t="s">
        <v>501</v>
      </c>
      <c r="F221" s="7" t="s">
        <v>19</v>
      </c>
      <c r="G221" s="7" t="s">
        <v>31</v>
      </c>
      <c r="H221" s="7" t="s">
        <v>17</v>
      </c>
      <c r="I221" s="7" t="s">
        <v>17</v>
      </c>
      <c r="J221" s="7" t="s">
        <v>497</v>
      </c>
    </row>
    <row r="222" spans="1:10" x14ac:dyDescent="0.25" outlineLevel="3" collapsed="1">
      <c r="A222" s="8" t="s">
        <v>19</v>
      </c>
      <c r="B222" s="9" t="s">
        <v>502</v>
      </c>
      <c r="C222" s="8" t="s">
        <v>17</v>
      </c>
      <c r="D222" s="8"/>
      <c r="E222" s="8" t="s">
        <v>503</v>
      </c>
      <c r="F222" s="8" t="s">
        <v>15</v>
      </c>
      <c r="G222" s="8" t="s">
        <v>17</v>
      </c>
      <c r="H222" s="8" t="s">
        <v>17</v>
      </c>
      <c r="I222" s="8" t="s">
        <v>17</v>
      </c>
      <c r="J222" s="8" t="s">
        <v>504</v>
      </c>
    </row>
    <row r="223" spans="1:10" x14ac:dyDescent="0.25" outlineLevel="4" collapsed="1">
      <c r="A223" s="7" t="s">
        <v>19</v>
      </c>
      <c r="B223" s="7" t="s">
        <v>16</v>
      </c>
      <c r="C223" s="7" t="s">
        <v>17</v>
      </c>
      <c r="D223" s="7"/>
      <c r="E223" s="7" t="s">
        <v>505</v>
      </c>
      <c r="F223" s="7" t="s">
        <v>19</v>
      </c>
      <c r="G223" s="7" t="s">
        <v>31</v>
      </c>
      <c r="H223" s="7" t="s">
        <v>17</v>
      </c>
      <c r="I223" s="7" t="s">
        <v>17</v>
      </c>
      <c r="J223" s="7" t="s">
        <v>506</v>
      </c>
    </row>
    <row r="224" spans="1:10" x14ac:dyDescent="0.25" outlineLevel="4" collapsed="1">
      <c r="A224" s="7" t="s">
        <v>19</v>
      </c>
      <c r="B224" s="7" t="s">
        <v>16</v>
      </c>
      <c r="C224" s="7" t="s">
        <v>17</v>
      </c>
      <c r="D224" s="7"/>
      <c r="E224" s="7" t="s">
        <v>501</v>
      </c>
      <c r="F224" s="7" t="s">
        <v>19</v>
      </c>
      <c r="G224" s="7" t="s">
        <v>31</v>
      </c>
      <c r="H224" s="7" t="s">
        <v>17</v>
      </c>
      <c r="I224" s="7" t="s">
        <v>17</v>
      </c>
      <c r="J224" s="7" t="s">
        <v>497</v>
      </c>
    </row>
    <row r="225" spans="1:10" x14ac:dyDescent="0.25" outlineLevel="2" collapsed="1">
      <c r="A225" s="8" t="s">
        <v>19</v>
      </c>
      <c r="B225" s="9" t="s">
        <v>3094</v>
      </c>
      <c r="C225" s="8" t="s">
        <v>17</v>
      </c>
      <c r="D225" s="8"/>
      <c r="E225" s="8" t="s">
        <v>602</v>
      </c>
      <c r="F225" s="8" t="s">
        <v>19</v>
      </c>
      <c r="G225" s="8" t="s">
        <v>17</v>
      </c>
      <c r="H225" s="8" t="s">
        <v>17</v>
      </c>
      <c r="I225" s="8" t="s">
        <v>17</v>
      </c>
      <c r="J225" s="8" t="s">
        <v>603</v>
      </c>
    </row>
    <row r="226" spans="1:10" x14ac:dyDescent="0.25" outlineLevel="3" collapsed="1">
      <c r="A226" s="7" t="s">
        <v>19</v>
      </c>
      <c r="B226" s="7" t="s">
        <v>16</v>
      </c>
      <c r="C226" s="7" t="s">
        <v>17</v>
      </c>
      <c r="D226" s="7"/>
      <c r="E226" s="7" t="s">
        <v>500</v>
      </c>
      <c r="F226" s="7" t="s">
        <v>19</v>
      </c>
      <c r="G226" s="7" t="s">
        <v>31</v>
      </c>
      <c r="H226" s="7" t="s">
        <v>17</v>
      </c>
      <c r="I226" s="7" t="s">
        <v>17</v>
      </c>
      <c r="J226" s="7" t="s">
        <v>494</v>
      </c>
    </row>
    <row r="227" spans="1:10" x14ac:dyDescent="0.25" outlineLevel="3" collapsed="1">
      <c r="A227" s="7" t="s">
        <v>19</v>
      </c>
      <c r="B227" s="7" t="s">
        <v>16</v>
      </c>
      <c r="C227" s="7" t="s">
        <v>17</v>
      </c>
      <c r="D227" s="7"/>
      <c r="E227" s="7" t="s">
        <v>501</v>
      </c>
      <c r="F227" s="7" t="s">
        <v>19</v>
      </c>
      <c r="G227" s="7" t="s">
        <v>31</v>
      </c>
      <c r="H227" s="7" t="s">
        <v>17</v>
      </c>
      <c r="I227" s="7" t="s">
        <v>17</v>
      </c>
      <c r="J227" s="7" t="s">
        <v>497</v>
      </c>
    </row>
    <row r="228" spans="1:10" x14ac:dyDescent="0.25" outlineLevel="3" collapsed="1">
      <c r="A228" s="8" t="s">
        <v>19</v>
      </c>
      <c r="B228" s="9" t="s">
        <v>502</v>
      </c>
      <c r="C228" s="8" t="s">
        <v>17</v>
      </c>
      <c r="D228" s="8"/>
      <c r="E228" s="8" t="s">
        <v>503</v>
      </c>
      <c r="F228" s="8" t="s">
        <v>15</v>
      </c>
      <c r="G228" s="8" t="s">
        <v>17</v>
      </c>
      <c r="H228" s="8" t="s">
        <v>17</v>
      </c>
      <c r="I228" s="8" t="s">
        <v>17</v>
      </c>
      <c r="J228" s="8" t="s">
        <v>504</v>
      </c>
    </row>
    <row r="229" spans="1:10" x14ac:dyDescent="0.25" outlineLevel="4" collapsed="1">
      <c r="A229" s="7" t="s">
        <v>19</v>
      </c>
      <c r="B229" s="7" t="s">
        <v>16</v>
      </c>
      <c r="C229" s="7" t="s">
        <v>17</v>
      </c>
      <c r="D229" s="7"/>
      <c r="E229" s="7" t="s">
        <v>505</v>
      </c>
      <c r="F229" s="7" t="s">
        <v>19</v>
      </c>
      <c r="G229" s="7" t="s">
        <v>31</v>
      </c>
      <c r="H229" s="7" t="s">
        <v>17</v>
      </c>
      <c r="I229" s="7" t="s">
        <v>17</v>
      </c>
      <c r="J229" s="7" t="s">
        <v>506</v>
      </c>
    </row>
    <row r="230" spans="1:10" x14ac:dyDescent="0.25" outlineLevel="4" collapsed="1">
      <c r="A230" s="7" t="s">
        <v>19</v>
      </c>
      <c r="B230" s="7" t="s">
        <v>16</v>
      </c>
      <c r="C230" s="7" t="s">
        <v>17</v>
      </c>
      <c r="D230" s="7"/>
      <c r="E230" s="7" t="s">
        <v>501</v>
      </c>
      <c r="F230" s="7" t="s">
        <v>19</v>
      </c>
      <c r="G230" s="7" t="s">
        <v>31</v>
      </c>
      <c r="H230" s="7" t="s">
        <v>17</v>
      </c>
      <c r="I230" s="7" t="s">
        <v>17</v>
      </c>
      <c r="J230" s="7" t="s">
        <v>497</v>
      </c>
    </row>
    <row r="231" spans="1:10" x14ac:dyDescent="0.25" outlineLevel="2" collapsed="1">
      <c r="A231" s="8" t="s">
        <v>19</v>
      </c>
      <c r="B231" s="9" t="s">
        <v>3095</v>
      </c>
      <c r="C231" s="8" t="s">
        <v>17</v>
      </c>
      <c r="D231" s="8"/>
      <c r="E231" s="8" t="s">
        <v>588</v>
      </c>
      <c r="F231" s="8" t="s">
        <v>19</v>
      </c>
      <c r="G231" s="8" t="s">
        <v>17</v>
      </c>
      <c r="H231" s="8" t="s">
        <v>17</v>
      </c>
      <c r="I231" s="8" t="s">
        <v>17</v>
      </c>
      <c r="J231" s="8" t="s">
        <v>550</v>
      </c>
    </row>
    <row r="232" spans="1:10" x14ac:dyDescent="0.25" outlineLevel="3" collapsed="1">
      <c r="A232" s="7" t="s">
        <v>19</v>
      </c>
      <c r="B232" s="7" t="s">
        <v>16</v>
      </c>
      <c r="C232" s="7" t="s">
        <v>17</v>
      </c>
      <c r="D232" s="7"/>
      <c r="E232" s="7" t="s">
        <v>500</v>
      </c>
      <c r="F232" s="7" t="s">
        <v>19</v>
      </c>
      <c r="G232" s="7" t="s">
        <v>31</v>
      </c>
      <c r="H232" s="7" t="s">
        <v>17</v>
      </c>
      <c r="I232" s="7" t="s">
        <v>17</v>
      </c>
      <c r="J232" s="7" t="s">
        <v>494</v>
      </c>
    </row>
    <row r="233" spans="1:10" x14ac:dyDescent="0.25" outlineLevel="3" collapsed="1">
      <c r="A233" s="7" t="s">
        <v>19</v>
      </c>
      <c r="B233" s="7" t="s">
        <v>16</v>
      </c>
      <c r="C233" s="7" t="s">
        <v>17</v>
      </c>
      <c r="D233" s="7"/>
      <c r="E233" s="7" t="s">
        <v>501</v>
      </c>
      <c r="F233" s="7" t="s">
        <v>19</v>
      </c>
      <c r="G233" s="7" t="s">
        <v>31</v>
      </c>
      <c r="H233" s="7" t="s">
        <v>17</v>
      </c>
      <c r="I233" s="7" t="s">
        <v>17</v>
      </c>
      <c r="J233" s="7" t="s">
        <v>497</v>
      </c>
    </row>
    <row r="234" spans="1:10" x14ac:dyDescent="0.25" outlineLevel="3" collapsed="1">
      <c r="A234" s="8" t="s">
        <v>19</v>
      </c>
      <c r="B234" s="9" t="s">
        <v>502</v>
      </c>
      <c r="C234" s="8" t="s">
        <v>17</v>
      </c>
      <c r="D234" s="8"/>
      <c r="E234" s="8" t="s">
        <v>503</v>
      </c>
      <c r="F234" s="8" t="s">
        <v>15</v>
      </c>
      <c r="G234" s="8" t="s">
        <v>17</v>
      </c>
      <c r="H234" s="8" t="s">
        <v>17</v>
      </c>
      <c r="I234" s="8" t="s">
        <v>17</v>
      </c>
      <c r="J234" s="8" t="s">
        <v>504</v>
      </c>
    </row>
    <row r="235" spans="1:10" x14ac:dyDescent="0.25" outlineLevel="4" collapsed="1">
      <c r="A235" s="7" t="s">
        <v>19</v>
      </c>
      <c r="B235" s="7" t="s">
        <v>16</v>
      </c>
      <c r="C235" s="7" t="s">
        <v>17</v>
      </c>
      <c r="D235" s="7"/>
      <c r="E235" s="7" t="s">
        <v>505</v>
      </c>
      <c r="F235" s="7" t="s">
        <v>19</v>
      </c>
      <c r="G235" s="7" t="s">
        <v>31</v>
      </c>
      <c r="H235" s="7" t="s">
        <v>17</v>
      </c>
      <c r="I235" s="7" t="s">
        <v>17</v>
      </c>
      <c r="J235" s="7" t="s">
        <v>506</v>
      </c>
    </row>
    <row r="236" spans="1:10" x14ac:dyDescent="0.25" outlineLevel="4" collapsed="1">
      <c r="A236" s="7" t="s">
        <v>19</v>
      </c>
      <c r="B236" s="7" t="s">
        <v>16</v>
      </c>
      <c r="C236" s="7" t="s">
        <v>17</v>
      </c>
      <c r="D236" s="7"/>
      <c r="E236" s="7" t="s">
        <v>501</v>
      </c>
      <c r="F236" s="7" t="s">
        <v>19</v>
      </c>
      <c r="G236" s="7" t="s">
        <v>31</v>
      </c>
      <c r="H236" s="7" t="s">
        <v>17</v>
      </c>
      <c r="I236" s="7" t="s">
        <v>17</v>
      </c>
      <c r="J236" s="7" t="s">
        <v>497</v>
      </c>
    </row>
    <row r="237" spans="1:10" x14ac:dyDescent="0.25" outlineLevel="2" collapsed="1">
      <c r="A237" s="8" t="s">
        <v>19</v>
      </c>
      <c r="B237" s="9" t="s">
        <v>3096</v>
      </c>
      <c r="C237" s="8" t="s">
        <v>17</v>
      </c>
      <c r="D237" s="8"/>
      <c r="E237" s="8" t="s">
        <v>590</v>
      </c>
      <c r="F237" s="8" t="s">
        <v>19</v>
      </c>
      <c r="G237" s="8" t="s">
        <v>17</v>
      </c>
      <c r="H237" s="8" t="s">
        <v>17</v>
      </c>
      <c r="I237" s="8" t="s">
        <v>17</v>
      </c>
      <c r="J237" s="8" t="s">
        <v>591</v>
      </c>
    </row>
    <row r="238" spans="1:10" x14ac:dyDescent="0.25" outlineLevel="3" collapsed="1">
      <c r="A238" s="7" t="s">
        <v>19</v>
      </c>
      <c r="B238" s="7" t="s">
        <v>16</v>
      </c>
      <c r="C238" s="7" t="s">
        <v>17</v>
      </c>
      <c r="D238" s="7"/>
      <c r="E238" s="7" t="s">
        <v>500</v>
      </c>
      <c r="F238" s="7" t="s">
        <v>19</v>
      </c>
      <c r="G238" s="7" t="s">
        <v>31</v>
      </c>
      <c r="H238" s="7" t="s">
        <v>17</v>
      </c>
      <c r="I238" s="7" t="s">
        <v>17</v>
      </c>
      <c r="J238" s="7" t="s">
        <v>494</v>
      </c>
    </row>
    <row r="239" spans="1:10" x14ac:dyDescent="0.25" outlineLevel="3" collapsed="1">
      <c r="A239" s="7" t="s">
        <v>19</v>
      </c>
      <c r="B239" s="7" t="s">
        <v>16</v>
      </c>
      <c r="C239" s="7" t="s">
        <v>17</v>
      </c>
      <c r="D239" s="7"/>
      <c r="E239" s="7" t="s">
        <v>501</v>
      </c>
      <c r="F239" s="7" t="s">
        <v>19</v>
      </c>
      <c r="G239" s="7" t="s">
        <v>31</v>
      </c>
      <c r="H239" s="7" t="s">
        <v>17</v>
      </c>
      <c r="I239" s="7" t="s">
        <v>17</v>
      </c>
      <c r="J239" s="7" t="s">
        <v>497</v>
      </c>
    </row>
    <row r="240" spans="1:10" x14ac:dyDescent="0.25" outlineLevel="3" collapsed="1">
      <c r="A240" s="8" t="s">
        <v>19</v>
      </c>
      <c r="B240" s="9" t="s">
        <v>502</v>
      </c>
      <c r="C240" s="8" t="s">
        <v>17</v>
      </c>
      <c r="D240" s="8"/>
      <c r="E240" s="8" t="s">
        <v>503</v>
      </c>
      <c r="F240" s="8" t="s">
        <v>15</v>
      </c>
      <c r="G240" s="8" t="s">
        <v>17</v>
      </c>
      <c r="H240" s="8" t="s">
        <v>17</v>
      </c>
      <c r="I240" s="8" t="s">
        <v>17</v>
      </c>
      <c r="J240" s="8" t="s">
        <v>504</v>
      </c>
    </row>
    <row r="241" spans="1:10" x14ac:dyDescent="0.25" outlineLevel="4" collapsed="1">
      <c r="A241" s="7" t="s">
        <v>19</v>
      </c>
      <c r="B241" s="7" t="s">
        <v>16</v>
      </c>
      <c r="C241" s="7" t="s">
        <v>17</v>
      </c>
      <c r="D241" s="7"/>
      <c r="E241" s="7" t="s">
        <v>505</v>
      </c>
      <c r="F241" s="7" t="s">
        <v>19</v>
      </c>
      <c r="G241" s="7" t="s">
        <v>31</v>
      </c>
      <c r="H241" s="7" t="s">
        <v>17</v>
      </c>
      <c r="I241" s="7" t="s">
        <v>17</v>
      </c>
      <c r="J241" s="7" t="s">
        <v>506</v>
      </c>
    </row>
    <row r="242" spans="1:10" x14ac:dyDescent="0.25" outlineLevel="4" collapsed="1">
      <c r="A242" s="7" t="s">
        <v>19</v>
      </c>
      <c r="B242" s="7" t="s">
        <v>16</v>
      </c>
      <c r="C242" s="7" t="s">
        <v>17</v>
      </c>
      <c r="D242" s="7"/>
      <c r="E242" s="7" t="s">
        <v>501</v>
      </c>
      <c r="F242" s="7" t="s">
        <v>19</v>
      </c>
      <c r="G242" s="7" t="s">
        <v>31</v>
      </c>
      <c r="H242" s="7" t="s">
        <v>17</v>
      </c>
      <c r="I242" s="7" t="s">
        <v>17</v>
      </c>
      <c r="J242" s="7" t="s">
        <v>497</v>
      </c>
    </row>
    <row r="243" spans="1:10" x14ac:dyDescent="0.25" outlineLevel="2" collapsed="1">
      <c r="A243" s="8" t="s">
        <v>19</v>
      </c>
      <c r="B243" s="9" t="s">
        <v>3097</v>
      </c>
      <c r="C243" s="8" t="s">
        <v>17</v>
      </c>
      <c r="D243" s="8"/>
      <c r="E243" s="8" t="s">
        <v>593</v>
      </c>
      <c r="F243" s="8" t="s">
        <v>19</v>
      </c>
      <c r="G243" s="8" t="s">
        <v>17</v>
      </c>
      <c r="H243" s="8" t="s">
        <v>17</v>
      </c>
      <c r="I243" s="8" t="s">
        <v>17</v>
      </c>
      <c r="J243" s="8" t="s">
        <v>594</v>
      </c>
    </row>
    <row r="244" spans="1:10" x14ac:dyDescent="0.25" outlineLevel="3" collapsed="1">
      <c r="A244" s="7" t="s">
        <v>19</v>
      </c>
      <c r="B244" s="7" t="s">
        <v>16</v>
      </c>
      <c r="C244" s="7" t="s">
        <v>17</v>
      </c>
      <c r="D244" s="7"/>
      <c r="E244" s="7" t="s">
        <v>500</v>
      </c>
      <c r="F244" s="7" t="s">
        <v>19</v>
      </c>
      <c r="G244" s="7" t="s">
        <v>31</v>
      </c>
      <c r="H244" s="7" t="s">
        <v>17</v>
      </c>
      <c r="I244" s="7" t="s">
        <v>17</v>
      </c>
      <c r="J244" s="7" t="s">
        <v>494</v>
      </c>
    </row>
    <row r="245" spans="1:10" x14ac:dyDescent="0.25" outlineLevel="3" collapsed="1">
      <c r="A245" s="7" t="s">
        <v>19</v>
      </c>
      <c r="B245" s="7" t="s">
        <v>16</v>
      </c>
      <c r="C245" s="7" t="s">
        <v>17</v>
      </c>
      <c r="D245" s="7"/>
      <c r="E245" s="7" t="s">
        <v>501</v>
      </c>
      <c r="F245" s="7" t="s">
        <v>19</v>
      </c>
      <c r="G245" s="7" t="s">
        <v>31</v>
      </c>
      <c r="H245" s="7" t="s">
        <v>17</v>
      </c>
      <c r="I245" s="7" t="s">
        <v>17</v>
      </c>
      <c r="J245" s="7" t="s">
        <v>497</v>
      </c>
    </row>
    <row r="246" spans="1:10" x14ac:dyDescent="0.25" outlineLevel="3" collapsed="1">
      <c r="A246" s="8" t="s">
        <v>19</v>
      </c>
      <c r="B246" s="9" t="s">
        <v>502</v>
      </c>
      <c r="C246" s="8" t="s">
        <v>17</v>
      </c>
      <c r="D246" s="8"/>
      <c r="E246" s="8" t="s">
        <v>503</v>
      </c>
      <c r="F246" s="8" t="s">
        <v>15</v>
      </c>
      <c r="G246" s="8" t="s">
        <v>17</v>
      </c>
      <c r="H246" s="8" t="s">
        <v>17</v>
      </c>
      <c r="I246" s="8" t="s">
        <v>17</v>
      </c>
      <c r="J246" s="8" t="s">
        <v>504</v>
      </c>
    </row>
    <row r="247" spans="1:10" x14ac:dyDescent="0.25" outlineLevel="4" collapsed="1">
      <c r="A247" s="7" t="s">
        <v>19</v>
      </c>
      <c r="B247" s="7" t="s">
        <v>16</v>
      </c>
      <c r="C247" s="7" t="s">
        <v>17</v>
      </c>
      <c r="D247" s="7"/>
      <c r="E247" s="7" t="s">
        <v>505</v>
      </c>
      <c r="F247" s="7" t="s">
        <v>19</v>
      </c>
      <c r="G247" s="7" t="s">
        <v>31</v>
      </c>
      <c r="H247" s="7" t="s">
        <v>17</v>
      </c>
      <c r="I247" s="7" t="s">
        <v>17</v>
      </c>
      <c r="J247" s="7" t="s">
        <v>506</v>
      </c>
    </row>
    <row r="248" spans="1:10" x14ac:dyDescent="0.25" outlineLevel="4" collapsed="1">
      <c r="A248" s="7" t="s">
        <v>19</v>
      </c>
      <c r="B248" s="7" t="s">
        <v>16</v>
      </c>
      <c r="C248" s="7" t="s">
        <v>17</v>
      </c>
      <c r="D248" s="7"/>
      <c r="E248" s="7" t="s">
        <v>501</v>
      </c>
      <c r="F248" s="7" t="s">
        <v>19</v>
      </c>
      <c r="G248" s="7" t="s">
        <v>31</v>
      </c>
      <c r="H248" s="7" t="s">
        <v>17</v>
      </c>
      <c r="I248" s="7" t="s">
        <v>17</v>
      </c>
      <c r="J248" s="7" t="s">
        <v>497</v>
      </c>
    </row>
    <row r="249" spans="1:10" x14ac:dyDescent="0.25" outlineLevel="2" collapsed="1">
      <c r="A249" s="8" t="s">
        <v>19</v>
      </c>
      <c r="B249" s="9" t="s">
        <v>3098</v>
      </c>
      <c r="C249" s="8" t="s">
        <v>17</v>
      </c>
      <c r="D249" s="8"/>
      <c r="E249" s="8" t="s">
        <v>596</v>
      </c>
      <c r="F249" s="8" t="s">
        <v>19</v>
      </c>
      <c r="G249" s="8" t="s">
        <v>17</v>
      </c>
      <c r="H249" s="8" t="s">
        <v>17</v>
      </c>
      <c r="I249" s="8" t="s">
        <v>17</v>
      </c>
      <c r="J249" s="8" t="s">
        <v>597</v>
      </c>
    </row>
    <row r="250" spans="1:10" x14ac:dyDescent="0.25" outlineLevel="3" collapsed="1">
      <c r="A250" s="7" t="s">
        <v>19</v>
      </c>
      <c r="B250" s="7" t="s">
        <v>16</v>
      </c>
      <c r="C250" s="7" t="s">
        <v>17</v>
      </c>
      <c r="D250" s="7"/>
      <c r="E250" s="7" t="s">
        <v>500</v>
      </c>
      <c r="F250" s="7" t="s">
        <v>19</v>
      </c>
      <c r="G250" s="7" t="s">
        <v>31</v>
      </c>
      <c r="H250" s="7" t="s">
        <v>17</v>
      </c>
      <c r="I250" s="7" t="s">
        <v>17</v>
      </c>
      <c r="J250" s="7" t="s">
        <v>494</v>
      </c>
    </row>
    <row r="251" spans="1:10" x14ac:dyDescent="0.25" outlineLevel="3" collapsed="1">
      <c r="A251" s="7" t="s">
        <v>19</v>
      </c>
      <c r="B251" s="7" t="s">
        <v>16</v>
      </c>
      <c r="C251" s="7" t="s">
        <v>17</v>
      </c>
      <c r="D251" s="7"/>
      <c r="E251" s="7" t="s">
        <v>501</v>
      </c>
      <c r="F251" s="7" t="s">
        <v>19</v>
      </c>
      <c r="G251" s="7" t="s">
        <v>31</v>
      </c>
      <c r="H251" s="7" t="s">
        <v>17</v>
      </c>
      <c r="I251" s="7" t="s">
        <v>17</v>
      </c>
      <c r="J251" s="7" t="s">
        <v>497</v>
      </c>
    </row>
    <row r="252" spans="1:10" x14ac:dyDescent="0.25" outlineLevel="3" collapsed="1">
      <c r="A252" s="8" t="s">
        <v>19</v>
      </c>
      <c r="B252" s="9" t="s">
        <v>502</v>
      </c>
      <c r="C252" s="8" t="s">
        <v>17</v>
      </c>
      <c r="D252" s="8"/>
      <c r="E252" s="8" t="s">
        <v>503</v>
      </c>
      <c r="F252" s="8" t="s">
        <v>15</v>
      </c>
      <c r="G252" s="8" t="s">
        <v>17</v>
      </c>
      <c r="H252" s="8" t="s">
        <v>17</v>
      </c>
      <c r="I252" s="8" t="s">
        <v>17</v>
      </c>
      <c r="J252" s="8" t="s">
        <v>504</v>
      </c>
    </row>
    <row r="253" spans="1:10" x14ac:dyDescent="0.25" outlineLevel="4" collapsed="1">
      <c r="A253" s="7" t="s">
        <v>19</v>
      </c>
      <c r="B253" s="7" t="s">
        <v>16</v>
      </c>
      <c r="C253" s="7" t="s">
        <v>17</v>
      </c>
      <c r="D253" s="7"/>
      <c r="E253" s="7" t="s">
        <v>505</v>
      </c>
      <c r="F253" s="7" t="s">
        <v>19</v>
      </c>
      <c r="G253" s="7" t="s">
        <v>31</v>
      </c>
      <c r="H253" s="7" t="s">
        <v>17</v>
      </c>
      <c r="I253" s="7" t="s">
        <v>17</v>
      </c>
      <c r="J253" s="7" t="s">
        <v>506</v>
      </c>
    </row>
    <row r="254" spans="1:10" x14ac:dyDescent="0.25" outlineLevel="4" collapsed="1">
      <c r="A254" s="7" t="s">
        <v>19</v>
      </c>
      <c r="B254" s="7" t="s">
        <v>16</v>
      </c>
      <c r="C254" s="7" t="s">
        <v>17</v>
      </c>
      <c r="D254" s="7"/>
      <c r="E254" s="7" t="s">
        <v>501</v>
      </c>
      <c r="F254" s="7" t="s">
        <v>19</v>
      </c>
      <c r="G254" s="7" t="s">
        <v>31</v>
      </c>
      <c r="H254" s="7" t="s">
        <v>17</v>
      </c>
      <c r="I254" s="7" t="s">
        <v>17</v>
      </c>
      <c r="J254" s="7" t="s">
        <v>497</v>
      </c>
    </row>
    <row r="255" spans="1:10" x14ac:dyDescent="0.25" outlineLevel="1" collapsed="1">
      <c r="A255" s="8" t="s">
        <v>15</v>
      </c>
      <c r="B255" s="9" t="s">
        <v>3099</v>
      </c>
      <c r="C255" s="8" t="s">
        <v>17</v>
      </c>
      <c r="D255" s="8"/>
      <c r="E255" s="8" t="s">
        <v>3099</v>
      </c>
      <c r="F255" s="8" t="s">
        <v>19</v>
      </c>
      <c r="G255" s="8" t="s">
        <v>17</v>
      </c>
      <c r="H255" s="8" t="s">
        <v>17</v>
      </c>
      <c r="I255" s="8" t="s">
        <v>17</v>
      </c>
      <c r="J255" s="8" t="s">
        <v>3100</v>
      </c>
    </row>
    <row r="256" spans="1:10" x14ac:dyDescent="0.25" outlineLevel="2" collapsed="1">
      <c r="A256" s="8" t="s">
        <v>15</v>
      </c>
      <c r="B256" s="9" t="s">
        <v>3101</v>
      </c>
      <c r="C256" s="8" t="s">
        <v>17</v>
      </c>
      <c r="D256" s="8"/>
      <c r="E256" s="8" t="s">
        <v>3101</v>
      </c>
      <c r="F256" s="8" t="s">
        <v>19</v>
      </c>
      <c r="G256" s="8" t="s">
        <v>17</v>
      </c>
      <c r="H256" s="8" t="s">
        <v>17</v>
      </c>
      <c r="I256" s="8" t="s">
        <v>17</v>
      </c>
      <c r="J256" s="8" t="s">
        <v>1322</v>
      </c>
    </row>
    <row r="257" spans="1:10" x14ac:dyDescent="0.25" outlineLevel="3" collapsed="1">
      <c r="A257" s="7" t="s">
        <v>15</v>
      </c>
      <c r="B257" s="7" t="s">
        <v>16</v>
      </c>
      <c r="C257" s="7" t="s">
        <v>17</v>
      </c>
      <c r="D257" s="7"/>
      <c r="E257" s="7" t="s">
        <v>492</v>
      </c>
      <c r="F257" s="7" t="s">
        <v>19</v>
      </c>
      <c r="G257" s="7" t="s">
        <v>493</v>
      </c>
      <c r="H257" s="7" t="s">
        <v>17</v>
      </c>
      <c r="I257" s="7" t="s">
        <v>17</v>
      </c>
      <c r="J257" s="7" t="s">
        <v>494</v>
      </c>
    </row>
    <row r="258" spans="1:10" x14ac:dyDescent="0.25" outlineLevel="3" collapsed="1">
      <c r="A258" s="7" t="s">
        <v>15</v>
      </c>
      <c r="B258" s="7" t="s">
        <v>16</v>
      </c>
      <c r="C258" s="7" t="s">
        <v>17</v>
      </c>
      <c r="D258" s="7"/>
      <c r="E258" s="7" t="s">
        <v>495</v>
      </c>
      <c r="F258" s="7" t="s">
        <v>19</v>
      </c>
      <c r="G258" s="7" t="s">
        <v>496</v>
      </c>
      <c r="H258" s="7" t="s">
        <v>17</v>
      </c>
      <c r="I258" s="7" t="s">
        <v>17</v>
      </c>
      <c r="J258" s="7" t="s">
        <v>497</v>
      </c>
    </row>
    <row r="259" spans="1:10" x14ac:dyDescent="0.25" outlineLevel="2" collapsed="1">
      <c r="A259" s="8" t="s">
        <v>15</v>
      </c>
      <c r="B259" s="9" t="s">
        <v>3102</v>
      </c>
      <c r="C259" s="8" t="s">
        <v>17</v>
      </c>
      <c r="D259" s="8"/>
      <c r="E259" s="8" t="s">
        <v>3103</v>
      </c>
      <c r="F259" s="8" t="s">
        <v>19</v>
      </c>
      <c r="G259" s="8" t="s">
        <v>17</v>
      </c>
      <c r="H259" s="8" t="s">
        <v>17</v>
      </c>
      <c r="I259" s="8" t="s">
        <v>17</v>
      </c>
      <c r="J259" s="8" t="s">
        <v>3104</v>
      </c>
    </row>
    <row r="260" spans="1:10" x14ac:dyDescent="0.25" outlineLevel="3" collapsed="1">
      <c r="A260" s="8" t="s">
        <v>15</v>
      </c>
      <c r="B260" s="9" t="s">
        <v>3105</v>
      </c>
      <c r="C260" s="8" t="s">
        <v>17</v>
      </c>
      <c r="D260" s="8"/>
      <c r="E260" s="8" t="s">
        <v>3106</v>
      </c>
      <c r="F260" s="8" t="s">
        <v>19</v>
      </c>
      <c r="G260" s="8" t="s">
        <v>17</v>
      </c>
      <c r="H260" s="8" t="s">
        <v>17</v>
      </c>
      <c r="I260" s="8" t="s">
        <v>17</v>
      </c>
      <c r="J260" s="8" t="s">
        <v>3107</v>
      </c>
    </row>
    <row r="261" spans="1:10" x14ac:dyDescent="0.25" outlineLevel="4" collapsed="1">
      <c r="A261" s="7" t="s">
        <v>15</v>
      </c>
      <c r="B261" s="7" t="s">
        <v>16</v>
      </c>
      <c r="C261" s="7" t="s">
        <v>17</v>
      </c>
      <c r="D261" s="7"/>
      <c r="E261" s="7" t="s">
        <v>3108</v>
      </c>
      <c r="F261" s="7" t="s">
        <v>19</v>
      </c>
      <c r="G261" s="7" t="s">
        <v>31</v>
      </c>
      <c r="H261" s="7" t="s">
        <v>17</v>
      </c>
      <c r="I261" s="7" t="s">
        <v>17</v>
      </c>
      <c r="J261" s="7" t="s">
        <v>494</v>
      </c>
    </row>
    <row r="262" spans="1:10" x14ac:dyDescent="0.25" outlineLevel="3" collapsed="1">
      <c r="A262" s="8" t="s">
        <v>15</v>
      </c>
      <c r="B262" s="9" t="s">
        <v>3109</v>
      </c>
      <c r="C262" s="8" t="s">
        <v>17</v>
      </c>
      <c r="D262" s="8"/>
      <c r="E262" s="8" t="s">
        <v>3110</v>
      </c>
      <c r="F262" s="8" t="s">
        <v>19</v>
      </c>
      <c r="G262" s="8" t="s">
        <v>17</v>
      </c>
      <c r="H262" s="8" t="s">
        <v>17</v>
      </c>
      <c r="I262" s="8" t="s">
        <v>17</v>
      </c>
      <c r="J262" s="8" t="s">
        <v>975</v>
      </c>
    </row>
    <row r="263" spans="1:10" x14ac:dyDescent="0.25" outlineLevel="4" collapsed="1">
      <c r="A263" s="8" t="s">
        <v>19</v>
      </c>
      <c r="B263" s="9" t="s">
        <v>3111</v>
      </c>
      <c r="C263" s="8" t="s">
        <v>17</v>
      </c>
      <c r="D263" s="8"/>
      <c r="E263" s="8" t="s">
        <v>3112</v>
      </c>
      <c r="F263" s="8" t="s">
        <v>15</v>
      </c>
      <c r="G263" s="8" t="s">
        <v>17</v>
      </c>
      <c r="H263" s="8" t="s">
        <v>17</v>
      </c>
      <c r="I263" s="8" t="s">
        <v>17</v>
      </c>
      <c r="J263" s="8" t="s">
        <v>868</v>
      </c>
    </row>
    <row r="264" spans="1:10" x14ac:dyDescent="0.25" outlineLevel="5" collapsed="1">
      <c r="A264" s="7" t="s">
        <v>19</v>
      </c>
      <c r="B264" s="7" t="s">
        <v>16</v>
      </c>
      <c r="C264" s="7" t="s">
        <v>17</v>
      </c>
      <c r="D264" s="7"/>
      <c r="E264" s="7" t="s">
        <v>3113</v>
      </c>
      <c r="F264" s="7" t="s">
        <v>19</v>
      </c>
      <c r="G264" s="7" t="s">
        <v>3114</v>
      </c>
      <c r="H264" s="7" t="s">
        <v>17</v>
      </c>
      <c r="I264" s="7" t="s">
        <v>17</v>
      </c>
      <c r="J264" s="7" t="s">
        <v>3115</v>
      </c>
    </row>
    <row r="265" spans="1:10" x14ac:dyDescent="0.25" outlineLevel="5" collapsed="1">
      <c r="A265" s="7" t="s">
        <v>19</v>
      </c>
      <c r="B265" s="7" t="s">
        <v>16</v>
      </c>
      <c r="C265" s="7" t="s">
        <v>17</v>
      </c>
      <c r="D265" s="7"/>
      <c r="E265" s="7" t="s">
        <v>3116</v>
      </c>
      <c r="F265" s="7" t="s">
        <v>19</v>
      </c>
      <c r="G265" s="7" t="s">
        <v>31</v>
      </c>
      <c r="H265" s="7" t="s">
        <v>17</v>
      </c>
      <c r="I265" s="7" t="s">
        <v>17</v>
      </c>
      <c r="J265" s="7" t="s">
        <v>979</v>
      </c>
    </row>
    <row r="266" spans="1:10" x14ac:dyDescent="0.25" outlineLevel="5" collapsed="1">
      <c r="A266" s="7" t="s">
        <v>19</v>
      </c>
      <c r="B266" s="7" t="s">
        <v>16</v>
      </c>
      <c r="C266" s="7" t="s">
        <v>17</v>
      </c>
      <c r="D266" s="7"/>
      <c r="E266" s="7" t="s">
        <v>3117</v>
      </c>
      <c r="F266" s="7" t="s">
        <v>19</v>
      </c>
      <c r="G266" s="7" t="s">
        <v>31</v>
      </c>
      <c r="H266" s="7" t="s">
        <v>17</v>
      </c>
      <c r="I266" s="7" t="s">
        <v>17</v>
      </c>
      <c r="J266" s="7" t="s">
        <v>497</v>
      </c>
    </row>
    <row r="267" spans="1:10" x14ac:dyDescent="0.25" outlineLevel="5" collapsed="1">
      <c r="A267" s="7" t="s">
        <v>19</v>
      </c>
      <c r="B267" s="7" t="s">
        <v>16</v>
      </c>
      <c r="C267" s="7" t="s">
        <v>17</v>
      </c>
      <c r="D267" s="7"/>
      <c r="E267" s="7" t="s">
        <v>3118</v>
      </c>
      <c r="F267" s="7" t="s">
        <v>19</v>
      </c>
      <c r="G267" s="7" t="s">
        <v>31</v>
      </c>
      <c r="H267" s="7" t="s">
        <v>17</v>
      </c>
      <c r="I267" s="7" t="s">
        <v>17</v>
      </c>
      <c r="J267" s="7" t="s">
        <v>494</v>
      </c>
    </row>
    <row r="268" spans="1:10" x14ac:dyDescent="0.25" outlineLevel="2" collapsed="1">
      <c r="A268" s="8" t="s">
        <v>15</v>
      </c>
      <c r="B268" s="9" t="s">
        <v>3119</v>
      </c>
      <c r="C268" s="8" t="s">
        <v>17</v>
      </c>
      <c r="D268" s="8"/>
      <c r="E268" s="8" t="s">
        <v>3119</v>
      </c>
      <c r="F268" s="8" t="s">
        <v>19</v>
      </c>
      <c r="G268" s="8" t="s">
        <v>17</v>
      </c>
      <c r="H268" s="8" t="s">
        <v>17</v>
      </c>
      <c r="I268" s="8" t="s">
        <v>17</v>
      </c>
      <c r="J268" s="8" t="s">
        <v>2496</v>
      </c>
    </row>
    <row r="269" spans="1:10" x14ac:dyDescent="0.25" outlineLevel="3" collapsed="1">
      <c r="A269" s="7" t="s">
        <v>15</v>
      </c>
      <c r="B269" s="7" t="s">
        <v>16</v>
      </c>
      <c r="C269" s="7" t="s">
        <v>17</v>
      </c>
      <c r="D269" s="7"/>
      <c r="E269" s="7" t="s">
        <v>492</v>
      </c>
      <c r="F269" s="7" t="s">
        <v>19</v>
      </c>
      <c r="G269" s="7" t="s">
        <v>493</v>
      </c>
      <c r="H269" s="7" t="s">
        <v>17</v>
      </c>
      <c r="I269" s="7" t="s">
        <v>17</v>
      </c>
      <c r="J269" s="7" t="s">
        <v>494</v>
      </c>
    </row>
    <row r="270" spans="1:10" x14ac:dyDescent="0.25" outlineLevel="3" collapsed="1">
      <c r="A270" s="7" t="s">
        <v>15</v>
      </c>
      <c r="B270" s="7" t="s">
        <v>16</v>
      </c>
      <c r="C270" s="7" t="s">
        <v>17</v>
      </c>
      <c r="D270" s="7"/>
      <c r="E270" s="7" t="s">
        <v>495</v>
      </c>
      <c r="F270" s="7" t="s">
        <v>19</v>
      </c>
      <c r="G270" s="7" t="s">
        <v>496</v>
      </c>
      <c r="H270" s="7" t="s">
        <v>17</v>
      </c>
      <c r="I270" s="7" t="s">
        <v>17</v>
      </c>
      <c r="J270" s="7" t="s">
        <v>497</v>
      </c>
    </row>
    <row r="271" spans="1:10" x14ac:dyDescent="0.25" outlineLevel="3" collapsed="1">
      <c r="A271" s="8" t="s">
        <v>19</v>
      </c>
      <c r="B271" s="9" t="s">
        <v>3120</v>
      </c>
      <c r="C271" s="8" t="s">
        <v>17</v>
      </c>
      <c r="D271" s="8"/>
      <c r="E271" s="8" t="s">
        <v>3121</v>
      </c>
      <c r="F271" s="8" t="s">
        <v>19</v>
      </c>
      <c r="G271" s="8" t="s">
        <v>17</v>
      </c>
      <c r="H271" s="8" t="s">
        <v>17</v>
      </c>
      <c r="I271" s="8" t="s">
        <v>17</v>
      </c>
      <c r="J271" s="8" t="s">
        <v>3122</v>
      </c>
    </row>
    <row r="272" spans="1:10" x14ac:dyDescent="0.25" outlineLevel="4" collapsed="1">
      <c r="A272" s="7" t="s">
        <v>15</v>
      </c>
      <c r="B272" s="7" t="s">
        <v>16</v>
      </c>
      <c r="C272" s="7" t="s">
        <v>17</v>
      </c>
      <c r="D272" s="7"/>
      <c r="E272" s="7" t="s">
        <v>3123</v>
      </c>
      <c r="F272" s="7" t="s">
        <v>19</v>
      </c>
      <c r="G272" s="7" t="s">
        <v>31</v>
      </c>
      <c r="H272" s="7" t="s">
        <v>17</v>
      </c>
      <c r="I272" s="7" t="s">
        <v>17</v>
      </c>
      <c r="J272" s="7" t="s">
        <v>494</v>
      </c>
    </row>
    <row r="273" spans="1:10" x14ac:dyDescent="0.25" outlineLevel="4" collapsed="1">
      <c r="A273" s="7" t="s">
        <v>15</v>
      </c>
      <c r="B273" s="7" t="s">
        <v>16</v>
      </c>
      <c r="C273" s="7" t="s">
        <v>17</v>
      </c>
      <c r="D273" s="7"/>
      <c r="E273" s="7" t="s">
        <v>3124</v>
      </c>
      <c r="F273" s="7" t="s">
        <v>19</v>
      </c>
      <c r="G273" s="7" t="s">
        <v>31</v>
      </c>
      <c r="H273" s="7" t="s">
        <v>17</v>
      </c>
      <c r="I273" s="7" t="s">
        <v>17</v>
      </c>
      <c r="J273" s="7" t="s">
        <v>497</v>
      </c>
    </row>
    <row r="274" spans="1:10" x14ac:dyDescent="0.25" outlineLevel="3" collapsed="1">
      <c r="A274" s="8" t="s">
        <v>19</v>
      </c>
      <c r="B274" s="9" t="s">
        <v>502</v>
      </c>
      <c r="C274" s="8" t="s">
        <v>17</v>
      </c>
      <c r="D274" s="8"/>
      <c r="E274" s="8" t="s">
        <v>503</v>
      </c>
      <c r="F274" s="8" t="s">
        <v>15</v>
      </c>
      <c r="G274" s="8" t="s">
        <v>17</v>
      </c>
      <c r="H274" s="8" t="s">
        <v>17</v>
      </c>
      <c r="I274" s="8" t="s">
        <v>17</v>
      </c>
      <c r="J274" s="8" t="s">
        <v>504</v>
      </c>
    </row>
    <row r="275" spans="1:10" x14ac:dyDescent="0.25" outlineLevel="4" collapsed="1">
      <c r="A275" s="7" t="s">
        <v>19</v>
      </c>
      <c r="B275" s="7" t="s">
        <v>16</v>
      </c>
      <c r="C275" s="7" t="s">
        <v>17</v>
      </c>
      <c r="D275" s="7"/>
      <c r="E275" s="7" t="s">
        <v>505</v>
      </c>
      <c r="F275" s="7" t="s">
        <v>19</v>
      </c>
      <c r="G275" s="7" t="s">
        <v>31</v>
      </c>
      <c r="H275" s="7" t="s">
        <v>17</v>
      </c>
      <c r="I275" s="7" t="s">
        <v>17</v>
      </c>
      <c r="J275" s="7" t="s">
        <v>506</v>
      </c>
    </row>
    <row r="276" spans="1:10" x14ac:dyDescent="0.25" outlineLevel="4" collapsed="1">
      <c r="A276" s="7" t="s">
        <v>19</v>
      </c>
      <c r="B276" s="7" t="s">
        <v>16</v>
      </c>
      <c r="C276" s="7" t="s">
        <v>17</v>
      </c>
      <c r="D276" s="7"/>
      <c r="E276" s="7" t="s">
        <v>501</v>
      </c>
      <c r="F276" s="7" t="s">
        <v>19</v>
      </c>
      <c r="G276" s="7" t="s">
        <v>31</v>
      </c>
      <c r="H276" s="7" t="s">
        <v>17</v>
      </c>
      <c r="I276" s="7" t="s">
        <v>17</v>
      </c>
      <c r="J276" s="7" t="s">
        <v>497</v>
      </c>
    </row>
    <row r="277" spans="1:10" x14ac:dyDescent="0.25" outlineLevel="2" collapsed="1">
      <c r="A277" s="8" t="s">
        <v>15</v>
      </c>
      <c r="B277" s="9" t="s">
        <v>3125</v>
      </c>
      <c r="C277" s="8" t="s">
        <v>17</v>
      </c>
      <c r="D277" s="8"/>
      <c r="E277" s="8" t="s">
        <v>3125</v>
      </c>
      <c r="F277" s="8" t="s">
        <v>19</v>
      </c>
      <c r="G277" s="8" t="s">
        <v>17</v>
      </c>
      <c r="H277" s="8" t="s">
        <v>17</v>
      </c>
      <c r="I277" s="8" t="s">
        <v>17</v>
      </c>
      <c r="J277" s="8" t="s">
        <v>2403</v>
      </c>
    </row>
    <row r="278" spans="1:10" x14ac:dyDescent="0.25" outlineLevel="3" collapsed="1">
      <c r="A278" s="7" t="s">
        <v>15</v>
      </c>
      <c r="B278" s="7" t="s">
        <v>16</v>
      </c>
      <c r="C278" s="7" t="s">
        <v>17</v>
      </c>
      <c r="D278" s="7"/>
      <c r="E278" s="7" t="s">
        <v>492</v>
      </c>
      <c r="F278" s="7" t="s">
        <v>19</v>
      </c>
      <c r="G278" s="7" t="s">
        <v>493</v>
      </c>
      <c r="H278" s="7" t="s">
        <v>17</v>
      </c>
      <c r="I278" s="7" t="s">
        <v>17</v>
      </c>
      <c r="J278" s="7" t="s">
        <v>494</v>
      </c>
    </row>
    <row r="279" spans="1:10" x14ac:dyDescent="0.25" outlineLevel="3" collapsed="1">
      <c r="A279" s="7" t="s">
        <v>15</v>
      </c>
      <c r="B279" s="7" t="s">
        <v>16</v>
      </c>
      <c r="C279" s="7" t="s">
        <v>17</v>
      </c>
      <c r="D279" s="7"/>
      <c r="E279" s="7" t="s">
        <v>495</v>
      </c>
      <c r="F279" s="7" t="s">
        <v>19</v>
      </c>
      <c r="G279" s="7" t="s">
        <v>496</v>
      </c>
      <c r="H279" s="7" t="s">
        <v>17</v>
      </c>
      <c r="I279" s="7" t="s">
        <v>17</v>
      </c>
      <c r="J279" s="7" t="s">
        <v>497</v>
      </c>
    </row>
    <row r="280" spans="1:10" x14ac:dyDescent="0.25" outlineLevel="3" collapsed="1">
      <c r="A280" s="8" t="s">
        <v>19</v>
      </c>
      <c r="B280" s="9" t="s">
        <v>3126</v>
      </c>
      <c r="C280" s="8" t="s">
        <v>17</v>
      </c>
      <c r="D280" s="8"/>
      <c r="E280" s="8" t="s">
        <v>3126</v>
      </c>
      <c r="F280" s="8" t="s">
        <v>19</v>
      </c>
      <c r="G280" s="8" t="s">
        <v>17</v>
      </c>
      <c r="H280" s="8" t="s">
        <v>17</v>
      </c>
      <c r="I280" s="8" t="s">
        <v>17</v>
      </c>
      <c r="J280" s="8" t="s">
        <v>518</v>
      </c>
    </row>
    <row r="281" spans="1:10" x14ac:dyDescent="0.25" outlineLevel="4" collapsed="1">
      <c r="A281" s="7" t="s">
        <v>15</v>
      </c>
      <c r="B281" s="7" t="s">
        <v>16</v>
      </c>
      <c r="C281" s="7" t="s">
        <v>17</v>
      </c>
      <c r="D281" s="7"/>
      <c r="E281" s="7" t="s">
        <v>3127</v>
      </c>
      <c r="F281" s="7" t="s">
        <v>19</v>
      </c>
      <c r="G281" s="7" t="s">
        <v>31</v>
      </c>
      <c r="H281" s="7" t="s">
        <v>17</v>
      </c>
      <c r="I281" s="7" t="s">
        <v>17</v>
      </c>
      <c r="J281" s="7" t="s">
        <v>494</v>
      </c>
    </row>
    <row r="282" spans="1:10" x14ac:dyDescent="0.25" outlineLevel="4" collapsed="1">
      <c r="A282" s="7" t="s">
        <v>15</v>
      </c>
      <c r="B282" s="7" t="s">
        <v>16</v>
      </c>
      <c r="C282" s="7" t="s">
        <v>17</v>
      </c>
      <c r="D282" s="7"/>
      <c r="E282" s="7" t="s">
        <v>3128</v>
      </c>
      <c r="F282" s="7" t="s">
        <v>19</v>
      </c>
      <c r="G282" s="7" t="s">
        <v>31</v>
      </c>
      <c r="H282" s="7" t="s">
        <v>17</v>
      </c>
      <c r="I282" s="7" t="s">
        <v>17</v>
      </c>
      <c r="J282" s="7" t="s">
        <v>497</v>
      </c>
    </row>
    <row r="283" spans="1:10" x14ac:dyDescent="0.25" outlineLevel="3" collapsed="1">
      <c r="A283" s="8" t="s">
        <v>19</v>
      </c>
      <c r="B283" s="9" t="s">
        <v>502</v>
      </c>
      <c r="C283" s="8" t="s">
        <v>17</v>
      </c>
      <c r="D283" s="8"/>
      <c r="E283" s="8" t="s">
        <v>503</v>
      </c>
      <c r="F283" s="8" t="s">
        <v>15</v>
      </c>
      <c r="G283" s="8" t="s">
        <v>17</v>
      </c>
      <c r="H283" s="8" t="s">
        <v>17</v>
      </c>
      <c r="I283" s="8" t="s">
        <v>17</v>
      </c>
      <c r="J283" s="8" t="s">
        <v>504</v>
      </c>
    </row>
    <row r="284" spans="1:10" x14ac:dyDescent="0.25" outlineLevel="4" collapsed="1">
      <c r="A284" s="7" t="s">
        <v>19</v>
      </c>
      <c r="B284" s="7" t="s">
        <v>16</v>
      </c>
      <c r="C284" s="7" t="s">
        <v>17</v>
      </c>
      <c r="D284" s="7"/>
      <c r="E284" s="7" t="s">
        <v>505</v>
      </c>
      <c r="F284" s="7" t="s">
        <v>19</v>
      </c>
      <c r="G284" s="7" t="s">
        <v>31</v>
      </c>
      <c r="H284" s="7" t="s">
        <v>17</v>
      </c>
      <c r="I284" s="7" t="s">
        <v>17</v>
      </c>
      <c r="J284" s="7" t="s">
        <v>506</v>
      </c>
    </row>
    <row r="285" spans="1:10" x14ac:dyDescent="0.25" outlineLevel="4" collapsed="1">
      <c r="A285" s="7" t="s">
        <v>19</v>
      </c>
      <c r="B285" s="7" t="s">
        <v>16</v>
      </c>
      <c r="C285" s="7" t="s">
        <v>17</v>
      </c>
      <c r="D285" s="7"/>
      <c r="E285" s="7" t="s">
        <v>501</v>
      </c>
      <c r="F285" s="7" t="s">
        <v>19</v>
      </c>
      <c r="G285" s="7" t="s">
        <v>31</v>
      </c>
      <c r="H285" s="7" t="s">
        <v>17</v>
      </c>
      <c r="I285" s="7" t="s">
        <v>17</v>
      </c>
      <c r="J285" s="7" t="s">
        <v>497</v>
      </c>
    </row>
    <row r="286" spans="1:10" x14ac:dyDescent="0.25" outlineLevel="2" collapsed="1">
      <c r="A286" s="8" t="s">
        <v>15</v>
      </c>
      <c r="B286" s="9" t="s">
        <v>3129</v>
      </c>
      <c r="C286" s="8" t="s">
        <v>17</v>
      </c>
      <c r="D286" s="8"/>
      <c r="E286" s="8" t="s">
        <v>3129</v>
      </c>
      <c r="F286" s="8" t="s">
        <v>19</v>
      </c>
      <c r="G286" s="8" t="s">
        <v>17</v>
      </c>
      <c r="H286" s="8" t="s">
        <v>17</v>
      </c>
      <c r="I286" s="8" t="s">
        <v>17</v>
      </c>
      <c r="J286" s="8" t="s">
        <v>2405</v>
      </c>
    </row>
    <row r="287" spans="1:10" x14ac:dyDescent="0.25" outlineLevel="3" collapsed="1">
      <c r="A287" s="8" t="s">
        <v>15</v>
      </c>
      <c r="B287" s="9" t="s">
        <v>3130</v>
      </c>
      <c r="C287" s="8" t="s">
        <v>17</v>
      </c>
      <c r="D287" s="8"/>
      <c r="E287" s="8" t="s">
        <v>3131</v>
      </c>
      <c r="F287" s="8" t="s">
        <v>19</v>
      </c>
      <c r="G287" s="8" t="s">
        <v>17</v>
      </c>
      <c r="H287" s="8" t="s">
        <v>17</v>
      </c>
      <c r="I287" s="8" t="s">
        <v>17</v>
      </c>
      <c r="J287" s="8" t="s">
        <v>2573</v>
      </c>
    </row>
    <row r="288" spans="1:10" x14ac:dyDescent="0.25" outlineLevel="4" collapsed="1">
      <c r="A288" s="7" t="s">
        <v>15</v>
      </c>
      <c r="B288" s="7" t="s">
        <v>16</v>
      </c>
      <c r="C288" s="7" t="s">
        <v>17</v>
      </c>
      <c r="D288" s="7"/>
      <c r="E288" s="7" t="s">
        <v>3132</v>
      </c>
      <c r="F288" s="7" t="s">
        <v>19</v>
      </c>
      <c r="G288" s="7" t="s">
        <v>31</v>
      </c>
      <c r="H288" s="7" t="s">
        <v>17</v>
      </c>
      <c r="I288" s="7" t="s">
        <v>17</v>
      </c>
      <c r="J288" s="7" t="s">
        <v>494</v>
      </c>
    </row>
    <row r="289" spans="1:10" x14ac:dyDescent="0.25" outlineLevel="4" collapsed="1">
      <c r="A289" s="7" t="s">
        <v>15</v>
      </c>
      <c r="B289" s="7" t="s">
        <v>16</v>
      </c>
      <c r="C289" s="7" t="s">
        <v>17</v>
      </c>
      <c r="D289" s="7"/>
      <c r="E289" s="7" t="s">
        <v>3133</v>
      </c>
      <c r="F289" s="7" t="s">
        <v>19</v>
      </c>
      <c r="G289" s="7" t="s">
        <v>31</v>
      </c>
      <c r="H289" s="7" t="s">
        <v>17</v>
      </c>
      <c r="I289" s="7" t="s">
        <v>17</v>
      </c>
      <c r="J289" s="7" t="s">
        <v>497</v>
      </c>
    </row>
    <row r="290" spans="1:10" x14ac:dyDescent="0.25" outlineLevel="3" collapsed="1">
      <c r="A290" s="8" t="s">
        <v>15</v>
      </c>
      <c r="B290" s="9" t="s">
        <v>3134</v>
      </c>
      <c r="C290" s="8" t="s">
        <v>17</v>
      </c>
      <c r="D290" s="8"/>
      <c r="E290" s="8" t="s">
        <v>3134</v>
      </c>
      <c r="F290" s="8" t="s">
        <v>19</v>
      </c>
      <c r="G290" s="8" t="s">
        <v>17</v>
      </c>
      <c r="H290" s="8" t="s">
        <v>17</v>
      </c>
      <c r="I290" s="8" t="s">
        <v>17</v>
      </c>
      <c r="J290" s="8" t="s">
        <v>2576</v>
      </c>
    </row>
    <row r="291" spans="1:10" x14ac:dyDescent="0.25" outlineLevel="4" collapsed="1">
      <c r="A291" s="7" t="s">
        <v>15</v>
      </c>
      <c r="B291" s="7" t="s">
        <v>16</v>
      </c>
      <c r="C291" s="7" t="s">
        <v>17</v>
      </c>
      <c r="D291" s="7"/>
      <c r="E291" s="7" t="s">
        <v>3135</v>
      </c>
      <c r="F291" s="7" t="s">
        <v>19</v>
      </c>
      <c r="G291" s="7" t="s">
        <v>31</v>
      </c>
      <c r="H291" s="7" t="s">
        <v>17</v>
      </c>
      <c r="I291" s="7" t="s">
        <v>17</v>
      </c>
      <c r="J291" s="7" t="s">
        <v>494</v>
      </c>
    </row>
    <row r="292" spans="1:10" x14ac:dyDescent="0.25" outlineLevel="4" collapsed="1">
      <c r="A292" s="7" t="s">
        <v>15</v>
      </c>
      <c r="B292" s="7" t="s">
        <v>16</v>
      </c>
      <c r="C292" s="7" t="s">
        <v>17</v>
      </c>
      <c r="D292" s="7"/>
      <c r="E292" s="7" t="s">
        <v>3136</v>
      </c>
      <c r="F292" s="7" t="s">
        <v>19</v>
      </c>
      <c r="G292" s="7" t="s">
        <v>31</v>
      </c>
      <c r="H292" s="7" t="s">
        <v>17</v>
      </c>
      <c r="I292" s="7" t="s">
        <v>17</v>
      </c>
      <c r="J292" s="7" t="s">
        <v>497</v>
      </c>
    </row>
    <row r="293" spans="1:10" x14ac:dyDescent="0.25" outlineLevel="2" collapsed="1">
      <c r="A293" s="8" t="s">
        <v>15</v>
      </c>
      <c r="B293" s="9" t="s">
        <v>3137</v>
      </c>
      <c r="C293" s="8" t="s">
        <v>17</v>
      </c>
      <c r="D293" s="8"/>
      <c r="E293" s="8" t="s">
        <v>3137</v>
      </c>
      <c r="F293" s="8" t="s">
        <v>19</v>
      </c>
      <c r="G293" s="8" t="s">
        <v>17</v>
      </c>
      <c r="H293" s="8" t="s">
        <v>17</v>
      </c>
      <c r="I293" s="8" t="s">
        <v>17</v>
      </c>
      <c r="J293" s="8" t="s">
        <v>491</v>
      </c>
    </row>
    <row r="294" spans="1:10" x14ac:dyDescent="0.25" outlineLevel="3" collapsed="1">
      <c r="A294" s="7" t="s">
        <v>15</v>
      </c>
      <c r="B294" s="7" t="s">
        <v>16</v>
      </c>
      <c r="C294" s="7" t="s">
        <v>17</v>
      </c>
      <c r="D294" s="7"/>
      <c r="E294" s="7" t="s">
        <v>492</v>
      </c>
      <c r="F294" s="7" t="s">
        <v>19</v>
      </c>
      <c r="G294" s="7" t="s">
        <v>493</v>
      </c>
      <c r="H294" s="7" t="s">
        <v>17</v>
      </c>
      <c r="I294" s="7" t="s">
        <v>17</v>
      </c>
      <c r="J294" s="7" t="s">
        <v>494</v>
      </c>
    </row>
    <row r="295" spans="1:10" x14ac:dyDescent="0.25" outlineLevel="3" collapsed="1">
      <c r="A295" s="7" t="s">
        <v>15</v>
      </c>
      <c r="B295" s="7" t="s">
        <v>16</v>
      </c>
      <c r="C295" s="7" t="s">
        <v>17</v>
      </c>
      <c r="D295" s="7"/>
      <c r="E295" s="7" t="s">
        <v>495</v>
      </c>
      <c r="F295" s="7" t="s">
        <v>19</v>
      </c>
      <c r="G295" s="7" t="s">
        <v>496</v>
      </c>
      <c r="H295" s="7" t="s">
        <v>17</v>
      </c>
      <c r="I295" s="7" t="s">
        <v>17</v>
      </c>
      <c r="J295" s="7" t="s">
        <v>497</v>
      </c>
    </row>
    <row r="296" spans="1:10" x14ac:dyDescent="0.25" outlineLevel="3" collapsed="1">
      <c r="A296" s="8" t="s">
        <v>19</v>
      </c>
      <c r="B296" s="9" t="s">
        <v>502</v>
      </c>
      <c r="C296" s="8" t="s">
        <v>17</v>
      </c>
      <c r="D296" s="8"/>
      <c r="E296" s="8" t="s">
        <v>503</v>
      </c>
      <c r="F296" s="8" t="s">
        <v>15</v>
      </c>
      <c r="G296" s="8" t="s">
        <v>17</v>
      </c>
      <c r="H296" s="8" t="s">
        <v>17</v>
      </c>
      <c r="I296" s="8" t="s">
        <v>17</v>
      </c>
      <c r="J296" s="8" t="s">
        <v>504</v>
      </c>
    </row>
    <row r="297" spans="1:10" x14ac:dyDescent="0.25" outlineLevel="4" collapsed="1">
      <c r="A297" s="7" t="s">
        <v>19</v>
      </c>
      <c r="B297" s="7" t="s">
        <v>16</v>
      </c>
      <c r="C297" s="7" t="s">
        <v>17</v>
      </c>
      <c r="D297" s="7"/>
      <c r="E297" s="7" t="s">
        <v>505</v>
      </c>
      <c r="F297" s="7" t="s">
        <v>19</v>
      </c>
      <c r="G297" s="7" t="s">
        <v>31</v>
      </c>
      <c r="H297" s="7" t="s">
        <v>17</v>
      </c>
      <c r="I297" s="7" t="s">
        <v>17</v>
      </c>
      <c r="J297" s="7" t="s">
        <v>506</v>
      </c>
    </row>
    <row r="298" spans="1:10" x14ac:dyDescent="0.25" outlineLevel="4" collapsed="1">
      <c r="A298" s="7" t="s">
        <v>19</v>
      </c>
      <c r="B298" s="7" t="s">
        <v>16</v>
      </c>
      <c r="C298" s="7" t="s">
        <v>17</v>
      </c>
      <c r="D298" s="7"/>
      <c r="E298" s="7" t="s">
        <v>501</v>
      </c>
      <c r="F298" s="7" t="s">
        <v>19</v>
      </c>
      <c r="G298" s="7" t="s">
        <v>31</v>
      </c>
      <c r="H298" s="7" t="s">
        <v>17</v>
      </c>
      <c r="I298" s="7" t="s">
        <v>17</v>
      </c>
      <c r="J298" s="7" t="s">
        <v>497</v>
      </c>
    </row>
    <row r="299" spans="1:10" x14ac:dyDescent="0.25" outlineLevel="2" collapsed="1">
      <c r="A299" s="8" t="s">
        <v>19</v>
      </c>
      <c r="B299" s="9" t="s">
        <v>3138</v>
      </c>
      <c r="C299" s="8" t="s">
        <v>17</v>
      </c>
      <c r="D299" s="8"/>
      <c r="E299" s="8" t="s">
        <v>1321</v>
      </c>
      <c r="F299" s="8" t="s">
        <v>15</v>
      </c>
      <c r="G299" s="8" t="s">
        <v>17</v>
      </c>
      <c r="H299" s="8" t="s">
        <v>17</v>
      </c>
      <c r="I299" s="8" t="s">
        <v>17</v>
      </c>
      <c r="J299" s="8" t="s">
        <v>3139</v>
      </c>
    </row>
    <row r="300" spans="1:10" x14ac:dyDescent="0.25" outlineLevel="3" collapsed="1">
      <c r="A300" s="7" t="s">
        <v>19</v>
      </c>
      <c r="B300" s="7" t="s">
        <v>16</v>
      </c>
      <c r="C300" s="7" t="s">
        <v>17</v>
      </c>
      <c r="D300" s="7"/>
      <c r="E300" s="7" t="s">
        <v>478</v>
      </c>
      <c r="F300" s="7" t="s">
        <v>19</v>
      </c>
      <c r="G300" s="7" t="s">
        <v>31</v>
      </c>
      <c r="H300" s="7" t="s">
        <v>17</v>
      </c>
      <c r="I300" s="7" t="s">
        <v>17</v>
      </c>
      <c r="J300" s="7" t="s">
        <v>1323</v>
      </c>
    </row>
    <row r="301" spans="1:10" x14ac:dyDescent="0.25" outlineLevel="3" collapsed="1">
      <c r="A301" s="7" t="s">
        <v>19</v>
      </c>
      <c r="B301" s="7" t="s">
        <v>16</v>
      </c>
      <c r="C301" s="7" t="s">
        <v>17</v>
      </c>
      <c r="D301" s="7"/>
      <c r="E301" s="7" t="s">
        <v>1324</v>
      </c>
      <c r="F301" s="7" t="s">
        <v>19</v>
      </c>
      <c r="G301" s="7" t="s">
        <v>31</v>
      </c>
      <c r="H301" s="7" t="s">
        <v>17</v>
      </c>
      <c r="I301" s="7" t="s">
        <v>17</v>
      </c>
      <c r="J301" s="7" t="s">
        <v>1325</v>
      </c>
    </row>
    <row r="302" spans="1:10" x14ac:dyDescent="0.25" outlineLevel="3" collapsed="1">
      <c r="A302" s="7" t="s">
        <v>19</v>
      </c>
      <c r="B302" s="7" t="s">
        <v>16</v>
      </c>
      <c r="C302" s="7" t="s">
        <v>17</v>
      </c>
      <c r="D302" s="7"/>
      <c r="E302" s="7" t="s">
        <v>1326</v>
      </c>
      <c r="F302" s="7" t="s">
        <v>19</v>
      </c>
      <c r="G302" s="7" t="s">
        <v>31</v>
      </c>
      <c r="H302" s="7" t="s">
        <v>17</v>
      </c>
      <c r="I302" s="7" t="s">
        <v>17</v>
      </c>
      <c r="J302" s="7" t="s">
        <v>1327</v>
      </c>
    </row>
    <row r="303" spans="1:10" x14ac:dyDescent="0.25" outlineLevel="3" collapsed="1">
      <c r="A303" s="7" t="s">
        <v>19</v>
      </c>
      <c r="B303" s="7" t="s">
        <v>16</v>
      </c>
      <c r="C303" s="7" t="s">
        <v>17</v>
      </c>
      <c r="D303" s="7"/>
      <c r="E303" s="7" t="s">
        <v>1328</v>
      </c>
      <c r="F303" s="7" t="s">
        <v>19</v>
      </c>
      <c r="G303" s="7" t="s">
        <v>31</v>
      </c>
      <c r="H303" s="7" t="s">
        <v>17</v>
      </c>
      <c r="I303" s="7" t="s">
        <v>17</v>
      </c>
      <c r="J303" s="7" t="s">
        <v>824</v>
      </c>
    </row>
    <row r="304" spans="1:10" x14ac:dyDescent="0.25" outlineLevel="3" collapsed="1">
      <c r="A304" s="7" t="s">
        <v>19</v>
      </c>
      <c r="B304" s="7" t="s">
        <v>16</v>
      </c>
      <c r="C304" s="7" t="s">
        <v>17</v>
      </c>
      <c r="D304" s="7"/>
      <c r="E304" s="7" t="s">
        <v>3140</v>
      </c>
      <c r="F304" s="7" t="s">
        <v>19</v>
      </c>
      <c r="G304" s="7" t="s">
        <v>31</v>
      </c>
      <c r="H304" s="7" t="s">
        <v>17</v>
      </c>
      <c r="I304" s="7" t="s">
        <v>17</v>
      </c>
      <c r="J304" s="7" t="s">
        <v>818</v>
      </c>
    </row>
    <row r="305" spans="1:10" x14ac:dyDescent="0.25" outlineLevel="2" collapsed="1">
      <c r="A305" s="8" t="s">
        <v>19</v>
      </c>
      <c r="B305" s="9" t="s">
        <v>3141</v>
      </c>
      <c r="C305" s="8" t="s">
        <v>17</v>
      </c>
      <c r="D305" s="8"/>
      <c r="E305" s="8" t="s">
        <v>974</v>
      </c>
      <c r="F305" s="8" t="s">
        <v>15</v>
      </c>
      <c r="G305" s="8" t="s">
        <v>17</v>
      </c>
      <c r="H305" s="8" t="s">
        <v>17</v>
      </c>
      <c r="I305" s="8" t="s">
        <v>17</v>
      </c>
      <c r="J305" s="8" t="s">
        <v>975</v>
      </c>
    </row>
    <row r="306" spans="1:10" x14ac:dyDescent="0.25" outlineLevel="3" collapsed="1">
      <c r="A306" s="7" t="s">
        <v>19</v>
      </c>
      <c r="B306" s="7" t="s">
        <v>16</v>
      </c>
      <c r="C306" s="7" t="s">
        <v>17</v>
      </c>
      <c r="D306" s="7"/>
      <c r="E306" s="7" t="s">
        <v>3142</v>
      </c>
      <c r="F306" s="7" t="s">
        <v>19</v>
      </c>
      <c r="G306" s="7" t="s">
        <v>31</v>
      </c>
      <c r="H306" s="7" t="s">
        <v>17</v>
      </c>
      <c r="I306" s="7" t="s">
        <v>17</v>
      </c>
      <c r="J306" s="7" t="s">
        <v>3143</v>
      </c>
    </row>
    <row r="307" spans="1:10" x14ac:dyDescent="0.25" outlineLevel="3" collapsed="1">
      <c r="A307" s="7" t="s">
        <v>19</v>
      </c>
      <c r="B307" s="7" t="s">
        <v>16</v>
      </c>
      <c r="C307" s="7" t="s">
        <v>17</v>
      </c>
      <c r="D307" s="7"/>
      <c r="E307" s="7" t="s">
        <v>978</v>
      </c>
      <c r="F307" s="7" t="s">
        <v>19</v>
      </c>
      <c r="G307" s="7" t="s">
        <v>31</v>
      </c>
      <c r="H307" s="7" t="s">
        <v>17</v>
      </c>
      <c r="I307" s="7" t="s">
        <v>17</v>
      </c>
      <c r="J307" s="7" t="s">
        <v>979</v>
      </c>
    </row>
    <row r="308" spans="1:10" x14ac:dyDescent="0.25" outlineLevel="3" collapsed="1">
      <c r="A308" s="7" t="s">
        <v>19</v>
      </c>
      <c r="B308" s="7" t="s">
        <v>16</v>
      </c>
      <c r="C308" s="7" t="s">
        <v>17</v>
      </c>
      <c r="D308" s="7"/>
      <c r="E308" s="7" t="s">
        <v>501</v>
      </c>
      <c r="F308" s="7" t="s">
        <v>19</v>
      </c>
      <c r="G308" s="7" t="s">
        <v>31</v>
      </c>
      <c r="H308" s="7" t="s">
        <v>17</v>
      </c>
      <c r="I308" s="7" t="s">
        <v>17</v>
      </c>
      <c r="J308" s="7" t="s">
        <v>497</v>
      </c>
    </row>
    <row r="309" spans="1:10" x14ac:dyDescent="0.25" outlineLevel="3" collapsed="1">
      <c r="A309" s="7" t="s">
        <v>19</v>
      </c>
      <c r="B309" s="7" t="s">
        <v>16</v>
      </c>
      <c r="C309" s="7" t="s">
        <v>17</v>
      </c>
      <c r="D309" s="7"/>
      <c r="E309" s="7" t="s">
        <v>500</v>
      </c>
      <c r="F309" s="7" t="s">
        <v>19</v>
      </c>
      <c r="G309" s="7" t="s">
        <v>31</v>
      </c>
      <c r="H309" s="7" t="s">
        <v>17</v>
      </c>
      <c r="I309" s="7" t="s">
        <v>17</v>
      </c>
      <c r="J309" s="7" t="s">
        <v>494</v>
      </c>
    </row>
    <row r="310" spans="1:10" x14ac:dyDescent="0.25" outlineLevel="2" collapsed="1">
      <c r="A310" s="8" t="s">
        <v>19</v>
      </c>
      <c r="B310" s="9" t="s">
        <v>3144</v>
      </c>
      <c r="C310" s="8" t="s">
        <v>17</v>
      </c>
      <c r="D310" s="8"/>
      <c r="E310" s="8" t="s">
        <v>3145</v>
      </c>
      <c r="F310" s="8" t="s">
        <v>15</v>
      </c>
      <c r="G310" s="8" t="s">
        <v>17</v>
      </c>
      <c r="H310" s="8" t="s">
        <v>17</v>
      </c>
      <c r="I310" s="8" t="s">
        <v>17</v>
      </c>
      <c r="J310" s="8" t="s">
        <v>3146</v>
      </c>
    </row>
    <row r="311" spans="1:10" x14ac:dyDescent="0.25" outlineLevel="3" collapsed="1">
      <c r="A311" s="7" t="s">
        <v>19</v>
      </c>
      <c r="B311" s="7" t="s">
        <v>16</v>
      </c>
      <c r="C311" s="7" t="s">
        <v>17</v>
      </c>
      <c r="D311" s="7"/>
      <c r="E311" s="7" t="s">
        <v>2513</v>
      </c>
      <c r="F311" s="7" t="s">
        <v>19</v>
      </c>
      <c r="G311" s="7" t="s">
        <v>31</v>
      </c>
      <c r="H311" s="7" t="s">
        <v>17</v>
      </c>
      <c r="I311" s="7" t="s">
        <v>17</v>
      </c>
      <c r="J311" s="7" t="s">
        <v>2514</v>
      </c>
    </row>
    <row r="312" spans="1:10" x14ac:dyDescent="0.25" outlineLevel="3" collapsed="1">
      <c r="A312" s="7" t="s">
        <v>19</v>
      </c>
      <c r="B312" s="7" t="s">
        <v>16</v>
      </c>
      <c r="C312" s="7" t="s">
        <v>17</v>
      </c>
      <c r="D312" s="7"/>
      <c r="E312" s="7" t="s">
        <v>3147</v>
      </c>
      <c r="F312" s="7" t="s">
        <v>19</v>
      </c>
      <c r="G312" s="7" t="s">
        <v>31</v>
      </c>
      <c r="H312" s="7" t="s">
        <v>17</v>
      </c>
      <c r="I312" s="7" t="s">
        <v>17</v>
      </c>
      <c r="J312" s="7" t="s">
        <v>2510</v>
      </c>
    </row>
    <row r="313" spans="1:10" x14ac:dyDescent="0.25" outlineLevel="3" collapsed="1">
      <c r="A313" s="7" t="s">
        <v>19</v>
      </c>
      <c r="B313" s="7" t="s">
        <v>16</v>
      </c>
      <c r="C313" s="7" t="s">
        <v>17</v>
      </c>
      <c r="D313" s="7"/>
      <c r="E313" s="7" t="s">
        <v>1256</v>
      </c>
      <c r="F313" s="7" t="s">
        <v>19</v>
      </c>
      <c r="G313" s="7" t="s">
        <v>31</v>
      </c>
      <c r="H313" s="7" t="s">
        <v>17</v>
      </c>
      <c r="I313" s="7" t="s">
        <v>17</v>
      </c>
      <c r="J313" s="7" t="s">
        <v>1257</v>
      </c>
    </row>
    <row r="314" spans="1:10" x14ac:dyDescent="0.25" outlineLevel="2" collapsed="1">
      <c r="A314" s="8" t="s">
        <v>19</v>
      </c>
      <c r="B314" s="9" t="s">
        <v>3148</v>
      </c>
      <c r="C314" s="8" t="s">
        <v>17</v>
      </c>
      <c r="D314" s="8"/>
      <c r="E314" s="8" t="s">
        <v>3149</v>
      </c>
      <c r="F314" s="8" t="s">
        <v>15</v>
      </c>
      <c r="G314" s="8" t="s">
        <v>17</v>
      </c>
      <c r="H314" s="8" t="s">
        <v>17</v>
      </c>
      <c r="I314" s="8" t="s">
        <v>17</v>
      </c>
      <c r="J314" s="8" t="s">
        <v>3150</v>
      </c>
    </row>
    <row r="315" spans="1:10" x14ac:dyDescent="0.25" outlineLevel="3" collapsed="1">
      <c r="A315" s="7" t="s">
        <v>19</v>
      </c>
      <c r="B315" s="7" t="s">
        <v>16</v>
      </c>
      <c r="C315" s="7" t="s">
        <v>17</v>
      </c>
      <c r="D315" s="7"/>
      <c r="E315" s="7" t="s">
        <v>2515</v>
      </c>
      <c r="F315" s="7" t="s">
        <v>19</v>
      </c>
      <c r="G315" s="7" t="s">
        <v>31</v>
      </c>
      <c r="H315" s="7" t="s">
        <v>17</v>
      </c>
      <c r="I315" s="7" t="s">
        <v>17</v>
      </c>
      <c r="J315" s="7" t="s">
        <v>2516</v>
      </c>
    </row>
    <row r="316" spans="1:10" x14ac:dyDescent="0.25" outlineLevel="3" collapsed="1">
      <c r="A316" s="7" t="s">
        <v>19</v>
      </c>
      <c r="B316" s="7" t="s">
        <v>16</v>
      </c>
      <c r="C316" s="7" t="s">
        <v>17</v>
      </c>
      <c r="D316" s="7"/>
      <c r="E316" s="7" t="s">
        <v>478</v>
      </c>
      <c r="F316" s="7" t="s">
        <v>19</v>
      </c>
      <c r="G316" s="7" t="s">
        <v>31</v>
      </c>
      <c r="H316" s="7" t="s">
        <v>17</v>
      </c>
      <c r="I316" s="7" t="s">
        <v>17</v>
      </c>
      <c r="J316" s="7" t="s">
        <v>1323</v>
      </c>
    </row>
    <row r="317" spans="1:10" x14ac:dyDescent="0.25" outlineLevel="3" collapsed="1">
      <c r="A317" s="7" t="s">
        <v>19</v>
      </c>
      <c r="B317" s="7" t="s">
        <v>16</v>
      </c>
      <c r="C317" s="7" t="s">
        <v>17</v>
      </c>
      <c r="D317" s="7"/>
      <c r="E317" s="7" t="s">
        <v>3151</v>
      </c>
      <c r="F317" s="7" t="s">
        <v>19</v>
      </c>
      <c r="G317" s="7" t="s">
        <v>31</v>
      </c>
      <c r="H317" s="7" t="s">
        <v>17</v>
      </c>
      <c r="I317" s="7" t="s">
        <v>17</v>
      </c>
      <c r="J317" s="7" t="s">
        <v>2508</v>
      </c>
    </row>
    <row r="318" spans="1:10" x14ac:dyDescent="0.25" outlineLevel="3" collapsed="1">
      <c r="A318" s="7" t="s">
        <v>19</v>
      </c>
      <c r="B318" s="7" t="s">
        <v>16</v>
      </c>
      <c r="C318" s="7" t="s">
        <v>17</v>
      </c>
      <c r="D318" s="7"/>
      <c r="E318" s="7" t="s">
        <v>3147</v>
      </c>
      <c r="F318" s="7" t="s">
        <v>19</v>
      </c>
      <c r="G318" s="7" t="s">
        <v>31</v>
      </c>
      <c r="H318" s="7" t="s">
        <v>17</v>
      </c>
      <c r="I318" s="7" t="s">
        <v>17</v>
      </c>
      <c r="J318" s="7" t="s">
        <v>2510</v>
      </c>
    </row>
    <row r="319" spans="1:10" x14ac:dyDescent="0.25" outlineLevel="3" collapsed="1">
      <c r="A319" s="7" t="s">
        <v>19</v>
      </c>
      <c r="B319" s="7" t="s">
        <v>16</v>
      </c>
      <c r="C319" s="7" t="s">
        <v>17</v>
      </c>
      <c r="D319" s="7"/>
      <c r="E319" s="7" t="s">
        <v>1256</v>
      </c>
      <c r="F319" s="7" t="s">
        <v>19</v>
      </c>
      <c r="G319" s="7" t="s">
        <v>31</v>
      </c>
      <c r="H319" s="7" t="s">
        <v>17</v>
      </c>
      <c r="I319" s="7" t="s">
        <v>17</v>
      </c>
      <c r="J319" s="7" t="s">
        <v>1257</v>
      </c>
    </row>
    <row r="320" spans="1:10" x14ac:dyDescent="0.25" outlineLevel="2" collapsed="1">
      <c r="A320" s="8" t="s">
        <v>19</v>
      </c>
      <c r="B320" s="9" t="s">
        <v>3152</v>
      </c>
      <c r="C320" s="8" t="s">
        <v>17</v>
      </c>
      <c r="D320" s="8"/>
      <c r="E320" s="8" t="s">
        <v>3153</v>
      </c>
      <c r="F320" s="8" t="s">
        <v>19</v>
      </c>
      <c r="G320" s="8" t="s">
        <v>17</v>
      </c>
      <c r="H320" s="8" t="s">
        <v>17</v>
      </c>
      <c r="I320" s="8" t="s">
        <v>17</v>
      </c>
      <c r="J320" s="8" t="s">
        <v>3154</v>
      </c>
    </row>
    <row r="321" spans="1:10" x14ac:dyDescent="0.25" outlineLevel="3" collapsed="1">
      <c r="A321" s="7" t="s">
        <v>19</v>
      </c>
      <c r="B321" s="7" t="s">
        <v>16</v>
      </c>
      <c r="C321" s="7" t="s">
        <v>17</v>
      </c>
      <c r="D321" s="7"/>
      <c r="E321" s="7" t="s">
        <v>500</v>
      </c>
      <c r="F321" s="7" t="s">
        <v>19</v>
      </c>
      <c r="G321" s="7" t="s">
        <v>31</v>
      </c>
      <c r="H321" s="7" t="s">
        <v>17</v>
      </c>
      <c r="I321" s="7" t="s">
        <v>17</v>
      </c>
      <c r="J321" s="7" t="s">
        <v>494</v>
      </c>
    </row>
    <row r="322" spans="1:10" x14ac:dyDescent="0.25" outlineLevel="3" collapsed="1">
      <c r="A322" s="7" t="s">
        <v>19</v>
      </c>
      <c r="B322" s="7" t="s">
        <v>16</v>
      </c>
      <c r="C322" s="7" t="s">
        <v>17</v>
      </c>
      <c r="D322" s="7"/>
      <c r="E322" s="7" t="s">
        <v>501</v>
      </c>
      <c r="F322" s="7" t="s">
        <v>19</v>
      </c>
      <c r="G322" s="7" t="s">
        <v>31</v>
      </c>
      <c r="H322" s="7" t="s">
        <v>17</v>
      </c>
      <c r="I322" s="7" t="s">
        <v>17</v>
      </c>
      <c r="J322" s="7" t="s">
        <v>497</v>
      </c>
    </row>
    <row r="323" spans="1:10" x14ac:dyDescent="0.25" outlineLevel="3" collapsed="1">
      <c r="A323" s="8" t="s">
        <v>19</v>
      </c>
      <c r="B323" s="9" t="s">
        <v>502</v>
      </c>
      <c r="C323" s="8" t="s">
        <v>17</v>
      </c>
      <c r="D323" s="8"/>
      <c r="E323" s="8" t="s">
        <v>503</v>
      </c>
      <c r="F323" s="8" t="s">
        <v>15</v>
      </c>
      <c r="G323" s="8" t="s">
        <v>17</v>
      </c>
      <c r="H323" s="8" t="s">
        <v>17</v>
      </c>
      <c r="I323" s="8" t="s">
        <v>17</v>
      </c>
      <c r="J323" s="8" t="s">
        <v>504</v>
      </c>
    </row>
    <row r="324" spans="1:10" x14ac:dyDescent="0.25" outlineLevel="4" collapsed="1">
      <c r="A324" s="7" t="s">
        <v>19</v>
      </c>
      <c r="B324" s="7" t="s">
        <v>16</v>
      </c>
      <c r="C324" s="7" t="s">
        <v>17</v>
      </c>
      <c r="D324" s="7"/>
      <c r="E324" s="7" t="s">
        <v>505</v>
      </c>
      <c r="F324" s="7" t="s">
        <v>19</v>
      </c>
      <c r="G324" s="7" t="s">
        <v>31</v>
      </c>
      <c r="H324" s="7" t="s">
        <v>17</v>
      </c>
      <c r="I324" s="7" t="s">
        <v>17</v>
      </c>
      <c r="J324" s="7" t="s">
        <v>506</v>
      </c>
    </row>
    <row r="325" spans="1:10" x14ac:dyDescent="0.25" outlineLevel="4" collapsed="1">
      <c r="A325" s="7" t="s">
        <v>19</v>
      </c>
      <c r="B325" s="7" t="s">
        <v>16</v>
      </c>
      <c r="C325" s="7" t="s">
        <v>17</v>
      </c>
      <c r="D325" s="7"/>
      <c r="E325" s="7" t="s">
        <v>501</v>
      </c>
      <c r="F325" s="7" t="s">
        <v>19</v>
      </c>
      <c r="G325" s="7" t="s">
        <v>31</v>
      </c>
      <c r="H325" s="7" t="s">
        <v>17</v>
      </c>
      <c r="I325" s="7" t="s">
        <v>17</v>
      </c>
      <c r="J325" s="7" t="s">
        <v>497</v>
      </c>
    </row>
    <row r="326" spans="1:10" x14ac:dyDescent="0.25" outlineLevel="2" collapsed="1">
      <c r="A326" s="8" t="s">
        <v>19</v>
      </c>
      <c r="B326" s="9" t="s">
        <v>3155</v>
      </c>
      <c r="C326" s="8" t="s">
        <v>17</v>
      </c>
      <c r="D326" s="8"/>
      <c r="E326" s="8" t="s">
        <v>520</v>
      </c>
      <c r="F326" s="8" t="s">
        <v>19</v>
      </c>
      <c r="G326" s="8" t="s">
        <v>17</v>
      </c>
      <c r="H326" s="8" t="s">
        <v>17</v>
      </c>
      <c r="I326" s="8" t="s">
        <v>17</v>
      </c>
      <c r="J326" s="8" t="s">
        <v>518</v>
      </c>
    </row>
    <row r="327" spans="1:10" x14ac:dyDescent="0.25" outlineLevel="3" collapsed="1">
      <c r="A327" s="7" t="s">
        <v>19</v>
      </c>
      <c r="B327" s="7" t="s">
        <v>16</v>
      </c>
      <c r="C327" s="7" t="s">
        <v>17</v>
      </c>
      <c r="D327" s="7"/>
      <c r="E327" s="7" t="s">
        <v>500</v>
      </c>
      <c r="F327" s="7" t="s">
        <v>19</v>
      </c>
      <c r="G327" s="7" t="s">
        <v>31</v>
      </c>
      <c r="H327" s="7" t="s">
        <v>17</v>
      </c>
      <c r="I327" s="7" t="s">
        <v>17</v>
      </c>
      <c r="J327" s="7" t="s">
        <v>494</v>
      </c>
    </row>
    <row r="328" spans="1:10" x14ac:dyDescent="0.25" outlineLevel="3" collapsed="1">
      <c r="A328" s="7" t="s">
        <v>19</v>
      </c>
      <c r="B328" s="7" t="s">
        <v>16</v>
      </c>
      <c r="C328" s="7" t="s">
        <v>17</v>
      </c>
      <c r="D328" s="7"/>
      <c r="E328" s="7" t="s">
        <v>501</v>
      </c>
      <c r="F328" s="7" t="s">
        <v>19</v>
      </c>
      <c r="G328" s="7" t="s">
        <v>31</v>
      </c>
      <c r="H328" s="7" t="s">
        <v>17</v>
      </c>
      <c r="I328" s="7" t="s">
        <v>17</v>
      </c>
      <c r="J328" s="7" t="s">
        <v>497</v>
      </c>
    </row>
    <row r="329" spans="1:10" x14ac:dyDescent="0.25" outlineLevel="3" collapsed="1">
      <c r="A329" s="8" t="s">
        <v>19</v>
      </c>
      <c r="B329" s="9" t="s">
        <v>502</v>
      </c>
      <c r="C329" s="8" t="s">
        <v>17</v>
      </c>
      <c r="D329" s="8"/>
      <c r="E329" s="8" t="s">
        <v>503</v>
      </c>
      <c r="F329" s="8" t="s">
        <v>15</v>
      </c>
      <c r="G329" s="8" t="s">
        <v>17</v>
      </c>
      <c r="H329" s="8" t="s">
        <v>17</v>
      </c>
      <c r="I329" s="8" t="s">
        <v>17</v>
      </c>
      <c r="J329" s="8" t="s">
        <v>504</v>
      </c>
    </row>
    <row r="330" spans="1:10" x14ac:dyDescent="0.25" outlineLevel="4" collapsed="1">
      <c r="A330" s="7" t="s">
        <v>19</v>
      </c>
      <c r="B330" s="7" t="s">
        <v>16</v>
      </c>
      <c r="C330" s="7" t="s">
        <v>17</v>
      </c>
      <c r="D330" s="7"/>
      <c r="E330" s="7" t="s">
        <v>505</v>
      </c>
      <c r="F330" s="7" t="s">
        <v>19</v>
      </c>
      <c r="G330" s="7" t="s">
        <v>31</v>
      </c>
      <c r="H330" s="7" t="s">
        <v>17</v>
      </c>
      <c r="I330" s="7" t="s">
        <v>17</v>
      </c>
      <c r="J330" s="7" t="s">
        <v>506</v>
      </c>
    </row>
    <row r="331" spans="1:10" x14ac:dyDescent="0.25" outlineLevel="4" collapsed="1">
      <c r="A331" s="7" t="s">
        <v>19</v>
      </c>
      <c r="B331" s="7" t="s">
        <v>16</v>
      </c>
      <c r="C331" s="7" t="s">
        <v>17</v>
      </c>
      <c r="D331" s="7"/>
      <c r="E331" s="7" t="s">
        <v>501</v>
      </c>
      <c r="F331" s="7" t="s">
        <v>19</v>
      </c>
      <c r="G331" s="7" t="s">
        <v>31</v>
      </c>
      <c r="H331" s="7" t="s">
        <v>17</v>
      </c>
      <c r="I331" s="7" t="s">
        <v>17</v>
      </c>
      <c r="J331" s="7" t="s">
        <v>497</v>
      </c>
    </row>
    <row r="332" spans="1:10" x14ac:dyDescent="0.25" outlineLevel="2" collapsed="1">
      <c r="A332" s="8" t="s">
        <v>19</v>
      </c>
      <c r="B332" s="9" t="s">
        <v>3156</v>
      </c>
      <c r="C332" s="8" t="s">
        <v>17</v>
      </c>
      <c r="D332" s="8"/>
      <c r="E332" s="8" t="s">
        <v>3157</v>
      </c>
      <c r="F332" s="8" t="s">
        <v>19</v>
      </c>
      <c r="G332" s="8" t="s">
        <v>17</v>
      </c>
      <c r="H332" s="8" t="s">
        <v>17</v>
      </c>
      <c r="I332" s="8" t="s">
        <v>17</v>
      </c>
      <c r="J332" s="8" t="s">
        <v>2573</v>
      </c>
    </row>
    <row r="333" spans="1:10" x14ac:dyDescent="0.25" outlineLevel="3" collapsed="1">
      <c r="A333" s="7" t="s">
        <v>19</v>
      </c>
      <c r="B333" s="7" t="s">
        <v>16</v>
      </c>
      <c r="C333" s="7" t="s">
        <v>17</v>
      </c>
      <c r="D333" s="7"/>
      <c r="E333" s="7" t="s">
        <v>500</v>
      </c>
      <c r="F333" s="7" t="s">
        <v>19</v>
      </c>
      <c r="G333" s="7" t="s">
        <v>31</v>
      </c>
      <c r="H333" s="7" t="s">
        <v>17</v>
      </c>
      <c r="I333" s="7" t="s">
        <v>17</v>
      </c>
      <c r="J333" s="7" t="s">
        <v>494</v>
      </c>
    </row>
    <row r="334" spans="1:10" x14ac:dyDescent="0.25" outlineLevel="3" collapsed="1">
      <c r="A334" s="7" t="s">
        <v>19</v>
      </c>
      <c r="B334" s="7" t="s">
        <v>16</v>
      </c>
      <c r="C334" s="7" t="s">
        <v>17</v>
      </c>
      <c r="D334" s="7"/>
      <c r="E334" s="7" t="s">
        <v>501</v>
      </c>
      <c r="F334" s="7" t="s">
        <v>19</v>
      </c>
      <c r="G334" s="7" t="s">
        <v>31</v>
      </c>
      <c r="H334" s="7" t="s">
        <v>17</v>
      </c>
      <c r="I334" s="7" t="s">
        <v>17</v>
      </c>
      <c r="J334" s="7" t="s">
        <v>497</v>
      </c>
    </row>
    <row r="335" spans="1:10" x14ac:dyDescent="0.25" outlineLevel="3" collapsed="1">
      <c r="A335" s="8" t="s">
        <v>19</v>
      </c>
      <c r="B335" s="9" t="s">
        <v>502</v>
      </c>
      <c r="C335" s="8" t="s">
        <v>17</v>
      </c>
      <c r="D335" s="8"/>
      <c r="E335" s="8" t="s">
        <v>503</v>
      </c>
      <c r="F335" s="8" t="s">
        <v>15</v>
      </c>
      <c r="G335" s="8" t="s">
        <v>17</v>
      </c>
      <c r="H335" s="8" t="s">
        <v>17</v>
      </c>
      <c r="I335" s="8" t="s">
        <v>17</v>
      </c>
      <c r="J335" s="8" t="s">
        <v>504</v>
      </c>
    </row>
    <row r="336" spans="1:10" x14ac:dyDescent="0.25" outlineLevel="4" collapsed="1">
      <c r="A336" s="7" t="s">
        <v>19</v>
      </c>
      <c r="B336" s="7" t="s">
        <v>16</v>
      </c>
      <c r="C336" s="7" t="s">
        <v>17</v>
      </c>
      <c r="D336" s="7"/>
      <c r="E336" s="7" t="s">
        <v>505</v>
      </c>
      <c r="F336" s="7" t="s">
        <v>19</v>
      </c>
      <c r="G336" s="7" t="s">
        <v>31</v>
      </c>
      <c r="H336" s="7" t="s">
        <v>17</v>
      </c>
      <c r="I336" s="7" t="s">
        <v>17</v>
      </c>
      <c r="J336" s="7" t="s">
        <v>506</v>
      </c>
    </row>
    <row r="337" spans="1:10" x14ac:dyDescent="0.25" outlineLevel="4" collapsed="1">
      <c r="A337" s="7" t="s">
        <v>19</v>
      </c>
      <c r="B337" s="7" t="s">
        <v>16</v>
      </c>
      <c r="C337" s="7" t="s">
        <v>17</v>
      </c>
      <c r="D337" s="7"/>
      <c r="E337" s="7" t="s">
        <v>501</v>
      </c>
      <c r="F337" s="7" t="s">
        <v>19</v>
      </c>
      <c r="G337" s="7" t="s">
        <v>31</v>
      </c>
      <c r="H337" s="7" t="s">
        <v>17</v>
      </c>
      <c r="I337" s="7" t="s">
        <v>17</v>
      </c>
      <c r="J337" s="7" t="s">
        <v>497</v>
      </c>
    </row>
    <row r="338" spans="1:10" x14ac:dyDescent="0.25" outlineLevel="2" collapsed="1">
      <c r="A338" s="8" t="s">
        <v>19</v>
      </c>
      <c r="B338" s="9" t="s">
        <v>3158</v>
      </c>
      <c r="C338" s="8" t="s">
        <v>17</v>
      </c>
      <c r="D338" s="8"/>
      <c r="E338" s="8" t="s">
        <v>3159</v>
      </c>
      <c r="F338" s="8" t="s">
        <v>19</v>
      </c>
      <c r="G338" s="8" t="s">
        <v>17</v>
      </c>
      <c r="H338" s="8" t="s">
        <v>17</v>
      </c>
      <c r="I338" s="8" t="s">
        <v>17</v>
      </c>
      <c r="J338" s="8" t="s">
        <v>2576</v>
      </c>
    </row>
    <row r="339" spans="1:10" x14ac:dyDescent="0.25" outlineLevel="3" collapsed="1">
      <c r="A339" s="7" t="s">
        <v>19</v>
      </c>
      <c r="B339" s="7" t="s">
        <v>16</v>
      </c>
      <c r="C339" s="7" t="s">
        <v>17</v>
      </c>
      <c r="D339" s="7"/>
      <c r="E339" s="7" t="s">
        <v>500</v>
      </c>
      <c r="F339" s="7" t="s">
        <v>19</v>
      </c>
      <c r="G339" s="7" t="s">
        <v>31</v>
      </c>
      <c r="H339" s="7" t="s">
        <v>17</v>
      </c>
      <c r="I339" s="7" t="s">
        <v>17</v>
      </c>
      <c r="J339" s="7" t="s">
        <v>494</v>
      </c>
    </row>
    <row r="340" spans="1:10" x14ac:dyDescent="0.25" outlineLevel="3" collapsed="1">
      <c r="A340" s="7" t="s">
        <v>19</v>
      </c>
      <c r="B340" s="7" t="s">
        <v>16</v>
      </c>
      <c r="C340" s="7" t="s">
        <v>17</v>
      </c>
      <c r="D340" s="7"/>
      <c r="E340" s="7" t="s">
        <v>501</v>
      </c>
      <c r="F340" s="7" t="s">
        <v>19</v>
      </c>
      <c r="G340" s="7" t="s">
        <v>31</v>
      </c>
      <c r="H340" s="7" t="s">
        <v>17</v>
      </c>
      <c r="I340" s="7" t="s">
        <v>17</v>
      </c>
      <c r="J340" s="7" t="s">
        <v>497</v>
      </c>
    </row>
    <row r="341" spans="1:10" x14ac:dyDescent="0.25" outlineLevel="3" collapsed="1">
      <c r="A341" s="8" t="s">
        <v>19</v>
      </c>
      <c r="B341" s="9" t="s">
        <v>502</v>
      </c>
      <c r="C341" s="8" t="s">
        <v>17</v>
      </c>
      <c r="D341" s="8"/>
      <c r="E341" s="8" t="s">
        <v>503</v>
      </c>
      <c r="F341" s="8" t="s">
        <v>15</v>
      </c>
      <c r="G341" s="8" t="s">
        <v>17</v>
      </c>
      <c r="H341" s="8" t="s">
        <v>17</v>
      </c>
      <c r="I341" s="8" t="s">
        <v>17</v>
      </c>
      <c r="J341" s="8" t="s">
        <v>504</v>
      </c>
    </row>
    <row r="342" spans="1:10" x14ac:dyDescent="0.25" outlineLevel="4" collapsed="1">
      <c r="A342" s="7" t="s">
        <v>19</v>
      </c>
      <c r="B342" s="7" t="s">
        <v>16</v>
      </c>
      <c r="C342" s="7" t="s">
        <v>17</v>
      </c>
      <c r="D342" s="7"/>
      <c r="E342" s="7" t="s">
        <v>505</v>
      </c>
      <c r="F342" s="7" t="s">
        <v>19</v>
      </c>
      <c r="G342" s="7" t="s">
        <v>31</v>
      </c>
      <c r="H342" s="7" t="s">
        <v>17</v>
      </c>
      <c r="I342" s="7" t="s">
        <v>17</v>
      </c>
      <c r="J342" s="7" t="s">
        <v>506</v>
      </c>
    </row>
    <row r="343" spans="1:10" x14ac:dyDescent="0.25" outlineLevel="4" collapsed="1">
      <c r="A343" s="7" t="s">
        <v>19</v>
      </c>
      <c r="B343" s="7" t="s">
        <v>16</v>
      </c>
      <c r="C343" s="7" t="s">
        <v>17</v>
      </c>
      <c r="D343" s="7"/>
      <c r="E343" s="7" t="s">
        <v>501</v>
      </c>
      <c r="F343" s="7" t="s">
        <v>19</v>
      </c>
      <c r="G343" s="7" t="s">
        <v>31</v>
      </c>
      <c r="H343" s="7" t="s">
        <v>17</v>
      </c>
      <c r="I343" s="7" t="s">
        <v>17</v>
      </c>
      <c r="J343" s="7" t="s">
        <v>497</v>
      </c>
    </row>
    <row r="344" spans="1:10" x14ac:dyDescent="0.25" outlineLevel="1" collapsed="1">
      <c r="A344" s="8" t="s">
        <v>15</v>
      </c>
      <c r="B344" s="9" t="s">
        <v>3160</v>
      </c>
      <c r="C344" s="8" t="s">
        <v>17</v>
      </c>
      <c r="D344" s="8"/>
      <c r="E344" s="8" t="s">
        <v>3161</v>
      </c>
      <c r="F344" s="8" t="s">
        <v>19</v>
      </c>
      <c r="G344" s="8" t="s">
        <v>17</v>
      </c>
      <c r="H344" s="8" t="s">
        <v>17</v>
      </c>
      <c r="I344" s="8" t="s">
        <v>17</v>
      </c>
      <c r="J344" s="8" t="s">
        <v>606</v>
      </c>
    </row>
    <row r="345" spans="1:10" x14ac:dyDescent="0.25" outlineLevel="2" collapsed="1">
      <c r="A345" s="8" t="s">
        <v>15</v>
      </c>
      <c r="B345" s="9" t="s">
        <v>3162</v>
      </c>
      <c r="C345" s="8" t="s">
        <v>17</v>
      </c>
      <c r="D345" s="8"/>
      <c r="E345" s="8" t="s">
        <v>3163</v>
      </c>
      <c r="F345" s="8" t="s">
        <v>19</v>
      </c>
      <c r="G345" s="8" t="s">
        <v>17</v>
      </c>
      <c r="H345" s="8" t="s">
        <v>17</v>
      </c>
      <c r="I345" s="8" t="s">
        <v>17</v>
      </c>
      <c r="J345" s="8" t="s">
        <v>3164</v>
      </c>
    </row>
    <row r="346" spans="1:10" x14ac:dyDescent="0.25" outlineLevel="3" collapsed="1">
      <c r="A346" s="7" t="s">
        <v>15</v>
      </c>
      <c r="B346" s="7" t="s">
        <v>16</v>
      </c>
      <c r="C346" s="7" t="s">
        <v>17</v>
      </c>
      <c r="D346" s="7"/>
      <c r="E346" s="7" t="s">
        <v>492</v>
      </c>
      <c r="F346" s="7" t="s">
        <v>19</v>
      </c>
      <c r="G346" s="7" t="s">
        <v>493</v>
      </c>
      <c r="H346" s="7" t="s">
        <v>17</v>
      </c>
      <c r="I346" s="7" t="s">
        <v>17</v>
      </c>
      <c r="J346" s="7" t="s">
        <v>494</v>
      </c>
    </row>
    <row r="347" spans="1:10" x14ac:dyDescent="0.25" outlineLevel="3" collapsed="1">
      <c r="A347" s="7" t="s">
        <v>15</v>
      </c>
      <c r="B347" s="7" t="s">
        <v>16</v>
      </c>
      <c r="C347" s="7" t="s">
        <v>17</v>
      </c>
      <c r="D347" s="7"/>
      <c r="E347" s="7" t="s">
        <v>495</v>
      </c>
      <c r="F347" s="7" t="s">
        <v>19</v>
      </c>
      <c r="G347" s="7" t="s">
        <v>496</v>
      </c>
      <c r="H347" s="7" t="s">
        <v>17</v>
      </c>
      <c r="I347" s="7" t="s">
        <v>17</v>
      </c>
      <c r="J347" s="7" t="s">
        <v>497</v>
      </c>
    </row>
    <row r="348" spans="1:10" x14ac:dyDescent="0.25" outlineLevel="3" collapsed="1">
      <c r="A348" s="8" t="s">
        <v>19</v>
      </c>
      <c r="B348" s="9" t="s">
        <v>502</v>
      </c>
      <c r="C348" s="8" t="s">
        <v>17</v>
      </c>
      <c r="D348" s="8"/>
      <c r="E348" s="8" t="s">
        <v>503</v>
      </c>
      <c r="F348" s="8" t="s">
        <v>15</v>
      </c>
      <c r="G348" s="8" t="s">
        <v>17</v>
      </c>
      <c r="H348" s="8" t="s">
        <v>17</v>
      </c>
      <c r="I348" s="8" t="s">
        <v>17</v>
      </c>
      <c r="J348" s="8" t="s">
        <v>504</v>
      </c>
    </row>
    <row r="349" spans="1:10" x14ac:dyDescent="0.25" outlineLevel="4" collapsed="1">
      <c r="A349" s="7" t="s">
        <v>19</v>
      </c>
      <c r="B349" s="7" t="s">
        <v>16</v>
      </c>
      <c r="C349" s="7" t="s">
        <v>17</v>
      </c>
      <c r="D349" s="7"/>
      <c r="E349" s="7" t="s">
        <v>505</v>
      </c>
      <c r="F349" s="7" t="s">
        <v>19</v>
      </c>
      <c r="G349" s="7" t="s">
        <v>31</v>
      </c>
      <c r="H349" s="7" t="s">
        <v>17</v>
      </c>
      <c r="I349" s="7" t="s">
        <v>17</v>
      </c>
      <c r="J349" s="7" t="s">
        <v>506</v>
      </c>
    </row>
    <row r="350" spans="1:10" x14ac:dyDescent="0.25" outlineLevel="4" collapsed="1">
      <c r="A350" s="7" t="s">
        <v>19</v>
      </c>
      <c r="B350" s="7" t="s">
        <v>16</v>
      </c>
      <c r="C350" s="7" t="s">
        <v>17</v>
      </c>
      <c r="D350" s="7"/>
      <c r="E350" s="7" t="s">
        <v>501</v>
      </c>
      <c r="F350" s="7" t="s">
        <v>19</v>
      </c>
      <c r="G350" s="7" t="s">
        <v>31</v>
      </c>
      <c r="H350" s="7" t="s">
        <v>17</v>
      </c>
      <c r="I350" s="7" t="s">
        <v>17</v>
      </c>
      <c r="J350" s="7" t="s">
        <v>497</v>
      </c>
    </row>
    <row r="351" spans="1:10" x14ac:dyDescent="0.25" outlineLevel="2" collapsed="1">
      <c r="A351" s="8" t="s">
        <v>15</v>
      </c>
      <c r="B351" s="9" t="s">
        <v>3165</v>
      </c>
      <c r="C351" s="8" t="s">
        <v>17</v>
      </c>
      <c r="D351" s="8"/>
      <c r="E351" s="8" t="s">
        <v>3166</v>
      </c>
      <c r="F351" s="8" t="s">
        <v>19</v>
      </c>
      <c r="G351" s="8" t="s">
        <v>17</v>
      </c>
      <c r="H351" s="8" t="s">
        <v>17</v>
      </c>
      <c r="I351" s="8" t="s">
        <v>17</v>
      </c>
      <c r="J351" s="8" t="s">
        <v>615</v>
      </c>
    </row>
    <row r="352" spans="1:10" x14ac:dyDescent="0.25" outlineLevel="3" collapsed="1">
      <c r="A352" s="8" t="s">
        <v>19</v>
      </c>
      <c r="B352" s="9" t="s">
        <v>3167</v>
      </c>
      <c r="C352" s="8" t="s">
        <v>17</v>
      </c>
      <c r="D352" s="8"/>
      <c r="E352" s="8" t="s">
        <v>3168</v>
      </c>
      <c r="F352" s="8" t="s">
        <v>19</v>
      </c>
      <c r="G352" s="8" t="s">
        <v>17</v>
      </c>
      <c r="H352" s="8" t="s">
        <v>17</v>
      </c>
      <c r="I352" s="8" t="s">
        <v>17</v>
      </c>
      <c r="J352" s="8" t="s">
        <v>618</v>
      </c>
    </row>
    <row r="353" spans="1:10" x14ac:dyDescent="0.25" outlineLevel="4" collapsed="1">
      <c r="A353" s="7" t="s">
        <v>19</v>
      </c>
      <c r="B353" s="7" t="s">
        <v>159</v>
      </c>
      <c r="C353" s="7" t="s">
        <v>17</v>
      </c>
      <c r="D353" s="7"/>
      <c r="E353" s="7" t="s">
        <v>3169</v>
      </c>
      <c r="F353" s="7" t="s">
        <v>19</v>
      </c>
      <c r="G353" s="7" t="b">
        <v>1</v>
      </c>
      <c r="H353" s="7" t="s">
        <v>17</v>
      </c>
      <c r="I353" s="7" t="s">
        <v>17</v>
      </c>
      <c r="J353" s="7" t="s">
        <v>2996</v>
      </c>
    </row>
    <row r="354" spans="1:10" x14ac:dyDescent="0.25" outlineLevel="4" collapsed="1">
      <c r="A354" s="7" t="s">
        <v>15</v>
      </c>
      <c r="B354" s="7" t="s">
        <v>16</v>
      </c>
      <c r="C354" s="7" t="s">
        <v>17</v>
      </c>
      <c r="D354" s="7"/>
      <c r="E354" s="7" t="s">
        <v>3170</v>
      </c>
      <c r="F354" s="7" t="s">
        <v>19</v>
      </c>
      <c r="G354" s="7" t="s">
        <v>31</v>
      </c>
      <c r="H354" s="7" t="s">
        <v>17</v>
      </c>
      <c r="I354" s="7" t="s">
        <v>17</v>
      </c>
      <c r="J354" s="7" t="s">
        <v>494</v>
      </c>
    </row>
    <row r="355" spans="1:10" x14ac:dyDescent="0.25" outlineLevel="3" collapsed="1">
      <c r="A355" s="8" t="s">
        <v>19</v>
      </c>
      <c r="B355" s="9" t="s">
        <v>3171</v>
      </c>
      <c r="C355" s="8" t="s">
        <v>17</v>
      </c>
      <c r="D355" s="8"/>
      <c r="E355" s="8" t="s">
        <v>3172</v>
      </c>
      <c r="F355" s="8" t="s">
        <v>19</v>
      </c>
      <c r="G355" s="8" t="s">
        <v>17</v>
      </c>
      <c r="H355" s="8" t="s">
        <v>17</v>
      </c>
      <c r="I355" s="8" t="s">
        <v>17</v>
      </c>
      <c r="J355" s="8" t="s">
        <v>3173</v>
      </c>
    </row>
    <row r="356" spans="1:10" x14ac:dyDescent="0.25" outlineLevel="4" collapsed="1">
      <c r="A356" s="7" t="s">
        <v>15</v>
      </c>
      <c r="B356" s="7" t="s">
        <v>16</v>
      </c>
      <c r="C356" s="7" t="s">
        <v>17</v>
      </c>
      <c r="D356" s="7"/>
      <c r="E356" s="7" t="s">
        <v>3174</v>
      </c>
      <c r="F356" s="7" t="s">
        <v>19</v>
      </c>
      <c r="G356" s="7" t="s">
        <v>31</v>
      </c>
      <c r="H356" s="7" t="s">
        <v>17</v>
      </c>
      <c r="I356" s="7" t="s">
        <v>17</v>
      </c>
      <c r="J356" s="7" t="s">
        <v>494</v>
      </c>
    </row>
    <row r="357" spans="1:10" x14ac:dyDescent="0.25" outlineLevel="3" collapsed="1">
      <c r="A357" s="8" t="s">
        <v>19</v>
      </c>
      <c r="B357" s="9" t="s">
        <v>3175</v>
      </c>
      <c r="C357" s="8" t="s">
        <v>17</v>
      </c>
      <c r="D357" s="8"/>
      <c r="E357" s="8" t="s">
        <v>3176</v>
      </c>
      <c r="F357" s="8" t="s">
        <v>19</v>
      </c>
      <c r="G357" s="8" t="s">
        <v>17</v>
      </c>
      <c r="H357" s="8" t="s">
        <v>17</v>
      </c>
      <c r="I357" s="8" t="s">
        <v>17</v>
      </c>
      <c r="J357" s="8" t="s">
        <v>623</v>
      </c>
    </row>
    <row r="358" spans="1:10" x14ac:dyDescent="0.25" outlineLevel="4" collapsed="1">
      <c r="A358" s="7" t="s">
        <v>15</v>
      </c>
      <c r="B358" s="7" t="s">
        <v>16</v>
      </c>
      <c r="C358" s="7" t="s">
        <v>17</v>
      </c>
      <c r="D358" s="7"/>
      <c r="E358" s="7" t="s">
        <v>3177</v>
      </c>
      <c r="F358" s="7" t="s">
        <v>19</v>
      </c>
      <c r="G358" s="7" t="s">
        <v>31</v>
      </c>
      <c r="H358" s="7" t="s">
        <v>17</v>
      </c>
      <c r="I358" s="7" t="s">
        <v>17</v>
      </c>
      <c r="J358" s="7" t="s">
        <v>494</v>
      </c>
    </row>
    <row r="359" spans="1:10" x14ac:dyDescent="0.25" outlineLevel="1" collapsed="1">
      <c r="A359" s="8" t="s">
        <v>15</v>
      </c>
      <c r="B359" s="9" t="s">
        <v>3178</v>
      </c>
      <c r="C359" s="8" t="s">
        <v>17</v>
      </c>
      <c r="D359" s="8"/>
      <c r="E359" s="8" t="s">
        <v>3179</v>
      </c>
      <c r="F359" s="8" t="s">
        <v>19</v>
      </c>
      <c r="G359" s="8" t="s">
        <v>17</v>
      </c>
      <c r="H359" s="8" t="s">
        <v>17</v>
      </c>
      <c r="I359" s="8" t="s">
        <v>17</v>
      </c>
      <c r="J359" s="8" t="s">
        <v>631</v>
      </c>
    </row>
    <row r="360" spans="1:10" x14ac:dyDescent="0.25" outlineLevel="2" collapsed="1">
      <c r="A360" s="8" t="s">
        <v>19</v>
      </c>
      <c r="B360" s="9" t="s">
        <v>3180</v>
      </c>
      <c r="C360" s="8" t="s">
        <v>17</v>
      </c>
      <c r="D360" s="8"/>
      <c r="E360" s="8" t="s">
        <v>3181</v>
      </c>
      <c r="F360" s="8" t="s">
        <v>15</v>
      </c>
      <c r="G360" s="8" t="s">
        <v>17</v>
      </c>
      <c r="H360" s="8" t="s">
        <v>17</v>
      </c>
      <c r="I360" s="8" t="s">
        <v>17</v>
      </c>
      <c r="J360" s="8" t="s">
        <v>634</v>
      </c>
    </row>
    <row r="361" spans="1:10" x14ac:dyDescent="0.25" outlineLevel="3" collapsed="1">
      <c r="A361" s="7" t="s">
        <v>15</v>
      </c>
      <c r="B361" s="7" t="s">
        <v>16</v>
      </c>
      <c r="C361" s="7" t="s">
        <v>17</v>
      </c>
      <c r="D361" s="7"/>
      <c r="E361" s="7" t="s">
        <v>3182</v>
      </c>
      <c r="F361" s="7" t="s">
        <v>19</v>
      </c>
      <c r="G361" s="7" t="s">
        <v>636</v>
      </c>
      <c r="H361" s="7" t="s">
        <v>17</v>
      </c>
      <c r="I361" s="7" t="s">
        <v>17</v>
      </c>
      <c r="J361" s="7" t="s">
        <v>637</v>
      </c>
    </row>
    <row r="362" spans="1:10" x14ac:dyDescent="0.25" outlineLevel="3" collapsed="1">
      <c r="A362" s="7" t="s">
        <v>15</v>
      </c>
      <c r="B362" s="7" t="s">
        <v>16</v>
      </c>
      <c r="C362" s="7" t="s">
        <v>17</v>
      </c>
      <c r="D362" s="7"/>
      <c r="E362" s="7" t="s">
        <v>638</v>
      </c>
      <c r="F362" s="7" t="s">
        <v>19</v>
      </c>
      <c r="G362" s="7" t="s">
        <v>639</v>
      </c>
      <c r="H362" s="7" t="s">
        <v>17</v>
      </c>
      <c r="I362" s="7" t="s">
        <v>17</v>
      </c>
      <c r="J362" s="7" t="s">
        <v>640</v>
      </c>
    </row>
    <row r="363" spans="1:10" x14ac:dyDescent="0.25" outlineLevel="3" collapsed="1">
      <c r="A363" s="7" t="s">
        <v>15</v>
      </c>
      <c r="B363" s="7" t="s">
        <v>16</v>
      </c>
      <c r="C363" s="7" t="s">
        <v>17</v>
      </c>
      <c r="D363" s="7"/>
      <c r="E363" s="7" t="s">
        <v>501</v>
      </c>
      <c r="F363" s="7" t="s">
        <v>19</v>
      </c>
      <c r="G363" s="7" t="s">
        <v>31</v>
      </c>
      <c r="H363" s="7" t="s">
        <v>17</v>
      </c>
      <c r="I363" s="7" t="s">
        <v>17</v>
      </c>
      <c r="J363" s="7" t="s">
        <v>497</v>
      </c>
    </row>
    <row r="364" spans="1:10" x14ac:dyDescent="0.25" outlineLevel="3" collapsed="1">
      <c r="A364" s="7" t="s">
        <v>15</v>
      </c>
      <c r="B364" s="7" t="s">
        <v>16</v>
      </c>
      <c r="C364" s="7" t="s">
        <v>17</v>
      </c>
      <c r="D364" s="7"/>
      <c r="E364" s="7" t="s">
        <v>500</v>
      </c>
      <c r="F364" s="7" t="s">
        <v>19</v>
      </c>
      <c r="G364" s="7" t="s">
        <v>31</v>
      </c>
      <c r="H364" s="7" t="s">
        <v>17</v>
      </c>
      <c r="I364" s="7" t="s">
        <v>17</v>
      </c>
      <c r="J364" s="7" t="s">
        <v>494</v>
      </c>
    </row>
    <row r="365" spans="1:10" x14ac:dyDescent="0.25" outlineLevel="2" collapsed="1">
      <c r="A365" s="8" t="s">
        <v>15</v>
      </c>
      <c r="B365" s="9" t="s">
        <v>3183</v>
      </c>
      <c r="C365" s="8" t="s">
        <v>17</v>
      </c>
      <c r="D365" s="8"/>
      <c r="E365" s="8" t="s">
        <v>3183</v>
      </c>
      <c r="F365" s="8" t="s">
        <v>19</v>
      </c>
      <c r="G365" s="8" t="s">
        <v>17</v>
      </c>
      <c r="H365" s="8" t="s">
        <v>17</v>
      </c>
      <c r="I365" s="8" t="s">
        <v>17</v>
      </c>
      <c r="J365" s="8" t="s">
        <v>126</v>
      </c>
    </row>
    <row r="366" spans="1:10" x14ac:dyDescent="0.25" outlineLevel="3" collapsed="1">
      <c r="A366" s="7" t="s">
        <v>15</v>
      </c>
      <c r="B366" s="7" t="s">
        <v>16</v>
      </c>
      <c r="C366" s="7" t="s">
        <v>17</v>
      </c>
      <c r="D366" s="7"/>
      <c r="E366" s="7" t="s">
        <v>492</v>
      </c>
      <c r="F366" s="7" t="s">
        <v>19</v>
      </c>
      <c r="G366" s="7" t="s">
        <v>493</v>
      </c>
      <c r="H366" s="7" t="s">
        <v>17</v>
      </c>
      <c r="I366" s="7" t="s">
        <v>17</v>
      </c>
      <c r="J366" s="7" t="s">
        <v>494</v>
      </c>
    </row>
    <row r="367" spans="1:10" x14ac:dyDescent="0.25" outlineLevel="3" collapsed="1">
      <c r="A367" s="7" t="s">
        <v>15</v>
      </c>
      <c r="B367" s="7" t="s">
        <v>16</v>
      </c>
      <c r="C367" s="7" t="s">
        <v>17</v>
      </c>
      <c r="D367" s="7"/>
      <c r="E367" s="7" t="s">
        <v>495</v>
      </c>
      <c r="F367" s="7" t="s">
        <v>19</v>
      </c>
      <c r="G367" s="7" t="s">
        <v>496</v>
      </c>
      <c r="H367" s="7" t="s">
        <v>17</v>
      </c>
      <c r="I367" s="7" t="s">
        <v>17</v>
      </c>
      <c r="J367" s="7" t="s">
        <v>497</v>
      </c>
    </row>
    <row r="368" spans="1:10" x14ac:dyDescent="0.25" outlineLevel="3" collapsed="1">
      <c r="A368" s="8" t="s">
        <v>19</v>
      </c>
      <c r="B368" s="9" t="s">
        <v>502</v>
      </c>
      <c r="C368" s="8" t="s">
        <v>17</v>
      </c>
      <c r="D368" s="8"/>
      <c r="E368" s="8" t="s">
        <v>503</v>
      </c>
      <c r="F368" s="8" t="s">
        <v>15</v>
      </c>
      <c r="G368" s="8" t="s">
        <v>17</v>
      </c>
      <c r="H368" s="8" t="s">
        <v>17</v>
      </c>
      <c r="I368" s="8" t="s">
        <v>17</v>
      </c>
      <c r="J368" s="8" t="s">
        <v>504</v>
      </c>
    </row>
    <row r="369" spans="1:10" x14ac:dyDescent="0.25" outlineLevel="4" collapsed="1">
      <c r="A369" s="7" t="s">
        <v>19</v>
      </c>
      <c r="B369" s="7" t="s">
        <v>16</v>
      </c>
      <c r="C369" s="7" t="s">
        <v>17</v>
      </c>
      <c r="D369" s="7"/>
      <c r="E369" s="7" t="s">
        <v>505</v>
      </c>
      <c r="F369" s="7" t="s">
        <v>19</v>
      </c>
      <c r="G369" s="7" t="s">
        <v>31</v>
      </c>
      <c r="H369" s="7" t="s">
        <v>17</v>
      </c>
      <c r="I369" s="7" t="s">
        <v>17</v>
      </c>
      <c r="J369" s="7" t="s">
        <v>506</v>
      </c>
    </row>
    <row r="370" spans="1:10" x14ac:dyDescent="0.25" outlineLevel="4" collapsed="1">
      <c r="A370" s="7" t="s">
        <v>19</v>
      </c>
      <c r="B370" s="7" t="s">
        <v>16</v>
      </c>
      <c r="C370" s="7" t="s">
        <v>17</v>
      </c>
      <c r="D370" s="7"/>
      <c r="E370" s="7" t="s">
        <v>501</v>
      </c>
      <c r="F370" s="7" t="s">
        <v>19</v>
      </c>
      <c r="G370" s="7" t="s">
        <v>31</v>
      </c>
      <c r="H370" s="7" t="s">
        <v>17</v>
      </c>
      <c r="I370" s="7" t="s">
        <v>17</v>
      </c>
      <c r="J370" s="7" t="s">
        <v>497</v>
      </c>
    </row>
    <row r="371" spans="1:10" x14ac:dyDescent="0.25">
      <c r="A371" s="5" t="s">
        <v>15</v>
      </c>
      <c r="B371" s="6" t="s">
        <v>3184</v>
      </c>
      <c r="C371" s="5" t="s">
        <v>17</v>
      </c>
      <c r="D371" s="5"/>
      <c r="E371" s="5" t="s">
        <v>3185</v>
      </c>
      <c r="F371" s="5" t="s">
        <v>19</v>
      </c>
      <c r="G371" s="5" t="s">
        <v>17</v>
      </c>
      <c r="H371" s="5" t="s">
        <v>17</v>
      </c>
      <c r="I371" s="5" t="s">
        <v>17</v>
      </c>
      <c r="J371" s="5" t="s">
        <v>3186</v>
      </c>
    </row>
    <row r="372" spans="1:10" x14ac:dyDescent="0.25" outlineLevel="1" collapsed="1">
      <c r="A372" s="8" t="s">
        <v>19</v>
      </c>
      <c r="B372" s="9" t="s">
        <v>649</v>
      </c>
      <c r="C372" s="8" t="s">
        <v>17</v>
      </c>
      <c r="D372" s="8"/>
      <c r="E372" s="8" t="s">
        <v>3187</v>
      </c>
      <c r="F372" s="8" t="s">
        <v>15</v>
      </c>
      <c r="G372" s="8" t="s">
        <v>17</v>
      </c>
      <c r="H372" s="8" t="s">
        <v>17</v>
      </c>
      <c r="I372" s="8" t="s">
        <v>17</v>
      </c>
      <c r="J372" s="8" t="s">
        <v>651</v>
      </c>
    </row>
    <row r="373" spans="1:10" x14ac:dyDescent="0.25" outlineLevel="2" collapsed="1">
      <c r="A373" s="7" t="s">
        <v>15</v>
      </c>
      <c r="B373" s="7" t="s">
        <v>16</v>
      </c>
      <c r="C373" s="7" t="s">
        <v>17</v>
      </c>
      <c r="D373" s="7"/>
      <c r="E373" s="7" t="s">
        <v>652</v>
      </c>
      <c r="F373" s="7" t="s">
        <v>19</v>
      </c>
      <c r="G373" s="7" t="s">
        <v>653</v>
      </c>
      <c r="H373" s="7" t="s">
        <v>17</v>
      </c>
      <c r="I373" s="7" t="s">
        <v>17</v>
      </c>
      <c r="J373" s="7" t="s">
        <v>654</v>
      </c>
    </row>
    <row r="374" spans="1:10" x14ac:dyDescent="0.25" outlineLevel="2" collapsed="1">
      <c r="A374" s="7" t="s">
        <v>15</v>
      </c>
      <c r="B374" s="7" t="s">
        <v>16</v>
      </c>
      <c r="C374" s="7" t="s">
        <v>17</v>
      </c>
      <c r="D374" s="7"/>
      <c r="E374" s="7" t="s">
        <v>655</v>
      </c>
      <c r="F374" s="7" t="s">
        <v>19</v>
      </c>
      <c r="G374" s="7" t="s">
        <v>656</v>
      </c>
      <c r="H374" s="7" t="s">
        <v>17</v>
      </c>
      <c r="I374" s="7" t="s">
        <v>17</v>
      </c>
      <c r="J374" s="7" t="s">
        <v>657</v>
      </c>
    </row>
    <row r="375" spans="1:10" x14ac:dyDescent="0.25" outlineLevel="1" collapsed="1">
      <c r="A375" s="8" t="s">
        <v>19</v>
      </c>
      <c r="B375" s="9" t="s">
        <v>649</v>
      </c>
      <c r="C375" s="8" t="s">
        <v>17</v>
      </c>
      <c r="D375" s="8"/>
      <c r="E375" s="8" t="s">
        <v>3188</v>
      </c>
      <c r="F375" s="8" t="s">
        <v>15</v>
      </c>
      <c r="G375" s="8" t="s">
        <v>17</v>
      </c>
      <c r="H375" s="8" t="s">
        <v>17</v>
      </c>
      <c r="I375" s="8" t="s">
        <v>17</v>
      </c>
      <c r="J375" s="8" t="s">
        <v>659</v>
      </c>
    </row>
    <row r="376" spans="1:10" x14ac:dyDescent="0.25" outlineLevel="2" collapsed="1">
      <c r="A376" s="7" t="s">
        <v>15</v>
      </c>
      <c r="B376" s="7" t="s">
        <v>16</v>
      </c>
      <c r="C376" s="7" t="s">
        <v>17</v>
      </c>
      <c r="D376" s="7"/>
      <c r="E376" s="7" t="s">
        <v>652</v>
      </c>
      <c r="F376" s="7" t="s">
        <v>19</v>
      </c>
      <c r="G376" s="7" t="s">
        <v>653</v>
      </c>
      <c r="H376" s="7" t="s">
        <v>17</v>
      </c>
      <c r="I376" s="7" t="s">
        <v>17</v>
      </c>
      <c r="J376" s="7" t="s">
        <v>654</v>
      </c>
    </row>
    <row r="377" spans="1:10" x14ac:dyDescent="0.25" outlineLevel="2" collapsed="1">
      <c r="A377" s="7" t="s">
        <v>15</v>
      </c>
      <c r="B377" s="7" t="s">
        <v>16</v>
      </c>
      <c r="C377" s="7" t="s">
        <v>17</v>
      </c>
      <c r="D377" s="7"/>
      <c r="E377" s="7" t="s">
        <v>655</v>
      </c>
      <c r="F377" s="7" t="s">
        <v>19</v>
      </c>
      <c r="G377" s="7" t="s">
        <v>656</v>
      </c>
      <c r="H377" s="7" t="s">
        <v>17</v>
      </c>
      <c r="I377" s="7" t="s">
        <v>17</v>
      </c>
      <c r="J377" s="7" t="s">
        <v>657</v>
      </c>
    </row>
    <row r="378" spans="1:10" x14ac:dyDescent="0.25">
      <c r="A378" s="5" t="s">
        <v>15</v>
      </c>
      <c r="B378" s="6" t="s">
        <v>3189</v>
      </c>
      <c r="C378" s="5" t="s">
        <v>17</v>
      </c>
      <c r="D378" s="5"/>
      <c r="E378" s="5" t="s">
        <v>3190</v>
      </c>
      <c r="F378" s="5" t="s">
        <v>19</v>
      </c>
      <c r="G378" s="5" t="s">
        <v>17</v>
      </c>
      <c r="H378" s="5" t="s">
        <v>17</v>
      </c>
      <c r="I378" s="5" t="s">
        <v>17</v>
      </c>
      <c r="J378" s="5" t="s">
        <v>3191</v>
      </c>
    </row>
    <row r="379" spans="1:10" x14ac:dyDescent="0.25" outlineLevel="1" collapsed="1">
      <c r="A379" s="8" t="s">
        <v>19</v>
      </c>
      <c r="B379" s="9" t="s">
        <v>649</v>
      </c>
      <c r="C379" s="8" t="s">
        <v>17</v>
      </c>
      <c r="D379" s="8"/>
      <c r="E379" s="8" t="s">
        <v>3192</v>
      </c>
      <c r="F379" s="8" t="s">
        <v>15</v>
      </c>
      <c r="G379" s="8" t="s">
        <v>17</v>
      </c>
      <c r="H379" s="8" t="s">
        <v>17</v>
      </c>
      <c r="I379" s="8" t="s">
        <v>17</v>
      </c>
      <c r="J379" s="8" t="s">
        <v>664</v>
      </c>
    </row>
    <row r="380" spans="1:10" x14ac:dyDescent="0.25" outlineLevel="2" collapsed="1">
      <c r="A380" s="7" t="s">
        <v>15</v>
      </c>
      <c r="B380" s="7" t="s">
        <v>16</v>
      </c>
      <c r="C380" s="7" t="s">
        <v>17</v>
      </c>
      <c r="D380" s="7"/>
      <c r="E380" s="7" t="s">
        <v>652</v>
      </c>
      <c r="F380" s="7" t="s">
        <v>19</v>
      </c>
      <c r="G380" s="7" t="s">
        <v>653</v>
      </c>
      <c r="H380" s="7" t="s">
        <v>17</v>
      </c>
      <c r="I380" s="7" t="s">
        <v>17</v>
      </c>
      <c r="J380" s="7" t="s">
        <v>654</v>
      </c>
    </row>
    <row r="381" spans="1:10" x14ac:dyDescent="0.25" outlineLevel="2" collapsed="1">
      <c r="A381" s="7" t="s">
        <v>15</v>
      </c>
      <c r="B381" s="7" t="s">
        <v>16</v>
      </c>
      <c r="C381" s="7" t="s">
        <v>17</v>
      </c>
      <c r="D381" s="7"/>
      <c r="E381" s="7" t="s">
        <v>655</v>
      </c>
      <c r="F381" s="7" t="s">
        <v>19</v>
      </c>
      <c r="G381" s="7" t="s">
        <v>656</v>
      </c>
      <c r="H381" s="7" t="s">
        <v>17</v>
      </c>
      <c r="I381" s="7" t="s">
        <v>17</v>
      </c>
      <c r="J381" s="7" t="s">
        <v>657</v>
      </c>
    </row>
    <row r="382" spans="1:10" x14ac:dyDescent="0.25" outlineLevel="1" collapsed="1">
      <c r="A382" s="8" t="s">
        <v>19</v>
      </c>
      <c r="B382" s="9" t="s">
        <v>649</v>
      </c>
      <c r="C382" s="8" t="s">
        <v>17</v>
      </c>
      <c r="D382" s="8"/>
      <c r="E382" s="8" t="s">
        <v>3193</v>
      </c>
      <c r="F382" s="8" t="s">
        <v>15</v>
      </c>
      <c r="G382" s="8" t="s">
        <v>17</v>
      </c>
      <c r="H382" s="8" t="s">
        <v>17</v>
      </c>
      <c r="I382" s="8" t="s">
        <v>17</v>
      </c>
      <c r="J382" s="8" t="s">
        <v>666</v>
      </c>
    </row>
    <row r="383" spans="1:10" x14ac:dyDescent="0.25" outlineLevel="2" collapsed="1">
      <c r="A383" s="7" t="s">
        <v>15</v>
      </c>
      <c r="B383" s="7" t="s">
        <v>16</v>
      </c>
      <c r="C383" s="7" t="s">
        <v>17</v>
      </c>
      <c r="D383" s="7"/>
      <c r="E383" s="7" t="s">
        <v>652</v>
      </c>
      <c r="F383" s="7" t="s">
        <v>19</v>
      </c>
      <c r="G383" s="7" t="s">
        <v>653</v>
      </c>
      <c r="H383" s="7" t="s">
        <v>17</v>
      </c>
      <c r="I383" s="7" t="s">
        <v>17</v>
      </c>
      <c r="J383" s="7" t="s">
        <v>654</v>
      </c>
    </row>
    <row r="384" spans="1:10" x14ac:dyDescent="0.25" outlineLevel="2" collapsed="1">
      <c r="A384" s="7" t="s">
        <v>15</v>
      </c>
      <c r="B384" s="7" t="s">
        <v>16</v>
      </c>
      <c r="C384" s="7" t="s">
        <v>17</v>
      </c>
      <c r="D384" s="7"/>
      <c r="E384" s="7" t="s">
        <v>655</v>
      </c>
      <c r="F384" s="7" t="s">
        <v>19</v>
      </c>
      <c r="G384" s="7" t="s">
        <v>656</v>
      </c>
      <c r="H384" s="7" t="s">
        <v>17</v>
      </c>
      <c r="I384" s="7" t="s">
        <v>17</v>
      </c>
      <c r="J384" s="7" t="s">
        <v>657</v>
      </c>
    </row>
    <row r="385" spans="1:10" x14ac:dyDescent="0.25" outlineLevel="1" collapsed="1">
      <c r="A385" s="8" t="s">
        <v>19</v>
      </c>
      <c r="B385" s="9" t="s">
        <v>649</v>
      </c>
      <c r="C385" s="8" t="s">
        <v>17</v>
      </c>
      <c r="D385" s="8"/>
      <c r="E385" s="8" t="s">
        <v>3194</v>
      </c>
      <c r="F385" s="8" t="s">
        <v>15</v>
      </c>
      <c r="G385" s="8" t="s">
        <v>17</v>
      </c>
      <c r="H385" s="8" t="s">
        <v>17</v>
      </c>
      <c r="I385" s="8" t="s">
        <v>17</v>
      </c>
      <c r="J385" s="8" t="s">
        <v>668</v>
      </c>
    </row>
    <row r="386" spans="1:10" x14ac:dyDescent="0.25" outlineLevel="2" collapsed="1">
      <c r="A386" s="7" t="s">
        <v>15</v>
      </c>
      <c r="B386" s="7" t="s">
        <v>16</v>
      </c>
      <c r="C386" s="7" t="s">
        <v>17</v>
      </c>
      <c r="D386" s="7"/>
      <c r="E386" s="7" t="s">
        <v>652</v>
      </c>
      <c r="F386" s="7" t="s">
        <v>19</v>
      </c>
      <c r="G386" s="7" t="s">
        <v>653</v>
      </c>
      <c r="H386" s="7" t="s">
        <v>17</v>
      </c>
      <c r="I386" s="7" t="s">
        <v>17</v>
      </c>
      <c r="J386" s="7" t="s">
        <v>654</v>
      </c>
    </row>
    <row r="387" spans="1:10" x14ac:dyDescent="0.25" outlineLevel="2" collapsed="1">
      <c r="A387" s="7" t="s">
        <v>15</v>
      </c>
      <c r="B387" s="7" t="s">
        <v>16</v>
      </c>
      <c r="C387" s="7" t="s">
        <v>17</v>
      </c>
      <c r="D387" s="7"/>
      <c r="E387" s="7" t="s">
        <v>655</v>
      </c>
      <c r="F387" s="7" t="s">
        <v>19</v>
      </c>
      <c r="G387" s="7" t="s">
        <v>656</v>
      </c>
      <c r="H387" s="7" t="s">
        <v>17</v>
      </c>
      <c r="I387" s="7" t="s">
        <v>17</v>
      </c>
      <c r="J387" s="7" t="s">
        <v>657</v>
      </c>
    </row>
    <row r="388" spans="1:10" x14ac:dyDescent="0.25" outlineLevel="1" collapsed="1">
      <c r="A388" s="8" t="s">
        <v>19</v>
      </c>
      <c r="B388" s="9" t="s">
        <v>649</v>
      </c>
      <c r="C388" s="8" t="s">
        <v>17</v>
      </c>
      <c r="D388" s="8"/>
      <c r="E388" s="8" t="s">
        <v>3195</v>
      </c>
      <c r="F388" s="8" t="s">
        <v>15</v>
      </c>
      <c r="G388" s="8" t="s">
        <v>17</v>
      </c>
      <c r="H388" s="8" t="s">
        <v>17</v>
      </c>
      <c r="I388" s="8" t="s">
        <v>17</v>
      </c>
      <c r="J388" s="8" t="s">
        <v>670</v>
      </c>
    </row>
    <row r="389" spans="1:10" x14ac:dyDescent="0.25" outlineLevel="2" collapsed="1">
      <c r="A389" s="7" t="s">
        <v>15</v>
      </c>
      <c r="B389" s="7" t="s">
        <v>16</v>
      </c>
      <c r="C389" s="7" t="s">
        <v>17</v>
      </c>
      <c r="D389" s="7"/>
      <c r="E389" s="7" t="s">
        <v>652</v>
      </c>
      <c r="F389" s="7" t="s">
        <v>19</v>
      </c>
      <c r="G389" s="7" t="s">
        <v>653</v>
      </c>
      <c r="H389" s="7" t="s">
        <v>17</v>
      </c>
      <c r="I389" s="7" t="s">
        <v>17</v>
      </c>
      <c r="J389" s="7" t="s">
        <v>654</v>
      </c>
    </row>
    <row r="390" spans="1:10" x14ac:dyDescent="0.25" outlineLevel="2" collapsed="1">
      <c r="A390" s="7" t="s">
        <v>15</v>
      </c>
      <c r="B390" s="7" t="s">
        <v>16</v>
      </c>
      <c r="C390" s="7" t="s">
        <v>17</v>
      </c>
      <c r="D390" s="7"/>
      <c r="E390" s="7" t="s">
        <v>655</v>
      </c>
      <c r="F390" s="7" t="s">
        <v>19</v>
      </c>
      <c r="G390" s="7" t="s">
        <v>656</v>
      </c>
      <c r="H390" s="7" t="s">
        <v>17</v>
      </c>
      <c r="I390" s="7" t="s">
        <v>17</v>
      </c>
      <c r="J390" s="7" t="s">
        <v>657</v>
      </c>
    </row>
    <row r="391" spans="1:10" x14ac:dyDescent="0.25" outlineLevel="1" collapsed="1">
      <c r="A391" s="8" t="s">
        <v>19</v>
      </c>
      <c r="B391" s="9" t="s">
        <v>649</v>
      </c>
      <c r="C391" s="8" t="s">
        <v>17</v>
      </c>
      <c r="D391" s="8"/>
      <c r="E391" s="8" t="s">
        <v>3196</v>
      </c>
      <c r="F391" s="8" t="s">
        <v>15</v>
      </c>
      <c r="G391" s="8" t="s">
        <v>17</v>
      </c>
      <c r="H391" s="8" t="s">
        <v>17</v>
      </c>
      <c r="I391" s="8" t="s">
        <v>17</v>
      </c>
      <c r="J391" s="8" t="s">
        <v>170</v>
      </c>
    </row>
    <row r="392" spans="1:10" x14ac:dyDescent="0.25" outlineLevel="2" collapsed="1">
      <c r="A392" s="7" t="s">
        <v>15</v>
      </c>
      <c r="B392" s="7" t="s">
        <v>16</v>
      </c>
      <c r="C392" s="7" t="s">
        <v>17</v>
      </c>
      <c r="D392" s="7"/>
      <c r="E392" s="7" t="s">
        <v>652</v>
      </c>
      <c r="F392" s="7" t="s">
        <v>19</v>
      </c>
      <c r="G392" s="7" t="s">
        <v>653</v>
      </c>
      <c r="H392" s="7" t="s">
        <v>17</v>
      </c>
      <c r="I392" s="7" t="s">
        <v>17</v>
      </c>
      <c r="J392" s="7" t="s">
        <v>654</v>
      </c>
    </row>
    <row r="393" spans="1:10" x14ac:dyDescent="0.25" outlineLevel="2" collapsed="1">
      <c r="A393" s="7" t="s">
        <v>15</v>
      </c>
      <c r="B393" s="7" t="s">
        <v>16</v>
      </c>
      <c r="C393" s="7" t="s">
        <v>17</v>
      </c>
      <c r="D393" s="7"/>
      <c r="E393" s="7" t="s">
        <v>655</v>
      </c>
      <c r="F393" s="7" t="s">
        <v>19</v>
      </c>
      <c r="G393" s="7" t="s">
        <v>656</v>
      </c>
      <c r="H393" s="7" t="s">
        <v>17</v>
      </c>
      <c r="I393" s="7" t="s">
        <v>17</v>
      </c>
      <c r="J393" s="7" t="s">
        <v>657</v>
      </c>
    </row>
    <row r="394" spans="1:10" x14ac:dyDescent="0.25" outlineLevel="1" collapsed="1">
      <c r="A394" s="8" t="s">
        <v>19</v>
      </c>
      <c r="B394" s="9" t="s">
        <v>649</v>
      </c>
      <c r="C394" s="8" t="s">
        <v>17</v>
      </c>
      <c r="D394" s="8"/>
      <c r="E394" s="8" t="s">
        <v>3197</v>
      </c>
      <c r="F394" s="8" t="s">
        <v>15</v>
      </c>
      <c r="G394" s="8" t="s">
        <v>17</v>
      </c>
      <c r="H394" s="8" t="s">
        <v>17</v>
      </c>
      <c r="I394" s="8" t="s">
        <v>17</v>
      </c>
      <c r="J394" s="8" t="s">
        <v>673</v>
      </c>
    </row>
    <row r="395" spans="1:10" x14ac:dyDescent="0.25" outlineLevel="2" collapsed="1">
      <c r="A395" s="7" t="s">
        <v>15</v>
      </c>
      <c r="B395" s="7" t="s">
        <v>16</v>
      </c>
      <c r="C395" s="7" t="s">
        <v>17</v>
      </c>
      <c r="D395" s="7"/>
      <c r="E395" s="7" t="s">
        <v>652</v>
      </c>
      <c r="F395" s="7" t="s">
        <v>19</v>
      </c>
      <c r="G395" s="7" t="s">
        <v>653</v>
      </c>
      <c r="H395" s="7" t="s">
        <v>17</v>
      </c>
      <c r="I395" s="7" t="s">
        <v>17</v>
      </c>
      <c r="J395" s="7" t="s">
        <v>654</v>
      </c>
    </row>
    <row r="396" spans="1:10" x14ac:dyDescent="0.25" outlineLevel="2" collapsed="1">
      <c r="A396" s="7" t="s">
        <v>15</v>
      </c>
      <c r="B396" s="7" t="s">
        <v>16</v>
      </c>
      <c r="C396" s="7" t="s">
        <v>17</v>
      </c>
      <c r="D396" s="7"/>
      <c r="E396" s="7" t="s">
        <v>655</v>
      </c>
      <c r="F396" s="7" t="s">
        <v>19</v>
      </c>
      <c r="G396" s="7" t="s">
        <v>656</v>
      </c>
      <c r="H396" s="7" t="s">
        <v>17</v>
      </c>
      <c r="I396" s="7" t="s">
        <v>17</v>
      </c>
      <c r="J396" s="7" t="s">
        <v>657</v>
      </c>
    </row>
    <row r="397" spans="1:10" x14ac:dyDescent="0.25" outlineLevel="1" collapsed="1">
      <c r="A397" s="8" t="s">
        <v>19</v>
      </c>
      <c r="B397" s="9" t="s">
        <v>649</v>
      </c>
      <c r="C397" s="8" t="s">
        <v>17</v>
      </c>
      <c r="D397" s="8"/>
      <c r="E397" s="8" t="s">
        <v>3198</v>
      </c>
      <c r="F397" s="8" t="s">
        <v>15</v>
      </c>
      <c r="G397" s="8" t="s">
        <v>17</v>
      </c>
      <c r="H397" s="8" t="s">
        <v>17</v>
      </c>
      <c r="I397" s="8" t="s">
        <v>17</v>
      </c>
      <c r="J397" s="8" t="s">
        <v>217</v>
      </c>
    </row>
    <row r="398" spans="1:10" x14ac:dyDescent="0.25" outlineLevel="2" collapsed="1">
      <c r="A398" s="7" t="s">
        <v>15</v>
      </c>
      <c r="B398" s="7" t="s">
        <v>16</v>
      </c>
      <c r="C398" s="7" t="s">
        <v>17</v>
      </c>
      <c r="D398" s="7"/>
      <c r="E398" s="7" t="s">
        <v>652</v>
      </c>
      <c r="F398" s="7" t="s">
        <v>19</v>
      </c>
      <c r="G398" s="7" t="s">
        <v>653</v>
      </c>
      <c r="H398" s="7" t="s">
        <v>17</v>
      </c>
      <c r="I398" s="7" t="s">
        <v>17</v>
      </c>
      <c r="J398" s="7" t="s">
        <v>654</v>
      </c>
    </row>
    <row r="399" spans="1:10" x14ac:dyDescent="0.25" outlineLevel="2" collapsed="1">
      <c r="A399" s="7" t="s">
        <v>15</v>
      </c>
      <c r="B399" s="7" t="s">
        <v>16</v>
      </c>
      <c r="C399" s="7" t="s">
        <v>17</v>
      </c>
      <c r="D399" s="7"/>
      <c r="E399" s="7" t="s">
        <v>655</v>
      </c>
      <c r="F399" s="7" t="s">
        <v>19</v>
      </c>
      <c r="G399" s="7" t="s">
        <v>656</v>
      </c>
      <c r="H399" s="7" t="s">
        <v>17</v>
      </c>
      <c r="I399" s="7" t="s">
        <v>17</v>
      </c>
      <c r="J399" s="7" t="s">
        <v>657</v>
      </c>
    </row>
    <row r="400" spans="1:10" x14ac:dyDescent="0.25" outlineLevel="1" collapsed="1">
      <c r="A400" s="8" t="s">
        <v>19</v>
      </c>
      <c r="B400" s="9" t="s">
        <v>649</v>
      </c>
      <c r="C400" s="8" t="s">
        <v>17</v>
      </c>
      <c r="D400" s="8"/>
      <c r="E400" s="8" t="s">
        <v>3199</v>
      </c>
      <c r="F400" s="8" t="s">
        <v>15</v>
      </c>
      <c r="G400" s="8" t="s">
        <v>17</v>
      </c>
      <c r="H400" s="8" t="s">
        <v>17</v>
      </c>
      <c r="I400" s="8" t="s">
        <v>17</v>
      </c>
      <c r="J400" s="8" t="s">
        <v>675</v>
      </c>
    </row>
    <row r="401" spans="1:10" x14ac:dyDescent="0.25" outlineLevel="2" collapsed="1">
      <c r="A401" s="7" t="s">
        <v>15</v>
      </c>
      <c r="B401" s="7" t="s">
        <v>16</v>
      </c>
      <c r="C401" s="7" t="s">
        <v>17</v>
      </c>
      <c r="D401" s="7"/>
      <c r="E401" s="7" t="s">
        <v>652</v>
      </c>
      <c r="F401" s="7" t="s">
        <v>19</v>
      </c>
      <c r="G401" s="7" t="s">
        <v>653</v>
      </c>
      <c r="H401" s="7" t="s">
        <v>17</v>
      </c>
      <c r="I401" s="7" t="s">
        <v>17</v>
      </c>
      <c r="J401" s="7" t="s">
        <v>654</v>
      </c>
    </row>
    <row r="402" spans="1:10" x14ac:dyDescent="0.25" outlineLevel="2" collapsed="1">
      <c r="A402" s="7" t="s">
        <v>15</v>
      </c>
      <c r="B402" s="7" t="s">
        <v>16</v>
      </c>
      <c r="C402" s="7" t="s">
        <v>17</v>
      </c>
      <c r="D402" s="7"/>
      <c r="E402" s="7" t="s">
        <v>655</v>
      </c>
      <c r="F402" s="7" t="s">
        <v>19</v>
      </c>
      <c r="G402" s="7" t="s">
        <v>656</v>
      </c>
      <c r="H402" s="7" t="s">
        <v>17</v>
      </c>
      <c r="I402" s="7" t="s">
        <v>17</v>
      </c>
      <c r="J402" s="7" t="s">
        <v>657</v>
      </c>
    </row>
    <row r="403" spans="1:10" x14ac:dyDescent="0.25" outlineLevel="1" collapsed="1">
      <c r="A403" s="8" t="s">
        <v>19</v>
      </c>
      <c r="B403" s="9" t="s">
        <v>649</v>
      </c>
      <c r="C403" s="8" t="s">
        <v>17</v>
      </c>
      <c r="D403" s="8"/>
      <c r="E403" s="8" t="s">
        <v>3200</v>
      </c>
      <c r="F403" s="8" t="s">
        <v>15</v>
      </c>
      <c r="G403" s="8" t="s">
        <v>17</v>
      </c>
      <c r="H403" s="8" t="s">
        <v>17</v>
      </c>
      <c r="I403" s="8" t="s">
        <v>17</v>
      </c>
      <c r="J403" s="8" t="s">
        <v>3201</v>
      </c>
    </row>
    <row r="404" spans="1:10" x14ac:dyDescent="0.25" outlineLevel="2" collapsed="1">
      <c r="A404" s="7" t="s">
        <v>15</v>
      </c>
      <c r="B404" s="7" t="s">
        <v>16</v>
      </c>
      <c r="C404" s="7" t="s">
        <v>17</v>
      </c>
      <c r="D404" s="7"/>
      <c r="E404" s="7" t="s">
        <v>652</v>
      </c>
      <c r="F404" s="7" t="s">
        <v>19</v>
      </c>
      <c r="G404" s="7" t="s">
        <v>653</v>
      </c>
      <c r="H404" s="7" t="s">
        <v>17</v>
      </c>
      <c r="I404" s="7" t="s">
        <v>17</v>
      </c>
      <c r="J404" s="7" t="s">
        <v>654</v>
      </c>
    </row>
    <row r="405" spans="1:10" x14ac:dyDescent="0.25" outlineLevel="2" collapsed="1">
      <c r="A405" s="7" t="s">
        <v>15</v>
      </c>
      <c r="B405" s="7" t="s">
        <v>16</v>
      </c>
      <c r="C405" s="7" t="s">
        <v>17</v>
      </c>
      <c r="D405" s="7"/>
      <c r="E405" s="7" t="s">
        <v>655</v>
      </c>
      <c r="F405" s="7" t="s">
        <v>19</v>
      </c>
      <c r="G405" s="7" t="s">
        <v>656</v>
      </c>
      <c r="H405" s="7" t="s">
        <v>17</v>
      </c>
      <c r="I405" s="7" t="s">
        <v>17</v>
      </c>
      <c r="J405" s="7" t="s">
        <v>657</v>
      </c>
    </row>
    <row r="406" spans="1:10" x14ac:dyDescent="0.25" outlineLevel="1" collapsed="1">
      <c r="A406" s="8" t="s">
        <v>19</v>
      </c>
      <c r="B406" s="9" t="s">
        <v>3202</v>
      </c>
      <c r="C406" s="8" t="s">
        <v>17</v>
      </c>
      <c r="D406" s="8"/>
      <c r="E406" s="8" t="s">
        <v>679</v>
      </c>
      <c r="F406" s="8" t="s">
        <v>19</v>
      </c>
      <c r="G406" s="8" t="s">
        <v>17</v>
      </c>
      <c r="H406" s="8" t="s">
        <v>17</v>
      </c>
      <c r="I406" s="8" t="s">
        <v>17</v>
      </c>
      <c r="J406" s="8" t="s">
        <v>680</v>
      </c>
    </row>
    <row r="407" spans="1:10" x14ac:dyDescent="0.25" outlineLevel="2" collapsed="1">
      <c r="A407" s="7" t="s">
        <v>19</v>
      </c>
      <c r="B407" s="7" t="s">
        <v>16</v>
      </c>
      <c r="C407" s="7" t="s">
        <v>17</v>
      </c>
      <c r="D407" s="7"/>
      <c r="E407" s="7" t="s">
        <v>500</v>
      </c>
      <c r="F407" s="7" t="s">
        <v>19</v>
      </c>
      <c r="G407" s="7" t="s">
        <v>31</v>
      </c>
      <c r="H407" s="7" t="s">
        <v>17</v>
      </c>
      <c r="I407" s="7" t="s">
        <v>17</v>
      </c>
      <c r="J407" s="7" t="s">
        <v>494</v>
      </c>
    </row>
    <row r="408" spans="1:10" x14ac:dyDescent="0.25" outlineLevel="2" collapsed="1">
      <c r="A408" s="7" t="s">
        <v>19</v>
      </c>
      <c r="B408" s="7" t="s">
        <v>16</v>
      </c>
      <c r="C408" s="7" t="s">
        <v>17</v>
      </c>
      <c r="D408" s="7"/>
      <c r="E408" s="7" t="s">
        <v>501</v>
      </c>
      <c r="F408" s="7" t="s">
        <v>19</v>
      </c>
      <c r="G408" s="7" t="s">
        <v>31</v>
      </c>
      <c r="H408" s="7" t="s">
        <v>17</v>
      </c>
      <c r="I408" s="7" t="s">
        <v>17</v>
      </c>
      <c r="J408" s="7" t="s">
        <v>497</v>
      </c>
    </row>
    <row r="409" spans="1:10" x14ac:dyDescent="0.25" outlineLevel="2" collapsed="1">
      <c r="A409" s="8" t="s">
        <v>19</v>
      </c>
      <c r="B409" s="9" t="s">
        <v>502</v>
      </c>
      <c r="C409" s="8" t="s">
        <v>17</v>
      </c>
      <c r="D409" s="8"/>
      <c r="E409" s="8" t="s">
        <v>503</v>
      </c>
      <c r="F409" s="8" t="s">
        <v>15</v>
      </c>
      <c r="G409" s="8" t="s">
        <v>17</v>
      </c>
      <c r="H409" s="8" t="s">
        <v>17</v>
      </c>
      <c r="I409" s="8" t="s">
        <v>17</v>
      </c>
      <c r="J409" s="8" t="s">
        <v>504</v>
      </c>
    </row>
    <row r="410" spans="1:10" x14ac:dyDescent="0.25" outlineLevel="3" collapsed="1">
      <c r="A410" s="7" t="s">
        <v>19</v>
      </c>
      <c r="B410" s="7" t="s">
        <v>16</v>
      </c>
      <c r="C410" s="7" t="s">
        <v>17</v>
      </c>
      <c r="D410" s="7"/>
      <c r="E410" s="7" t="s">
        <v>505</v>
      </c>
      <c r="F410" s="7" t="s">
        <v>19</v>
      </c>
      <c r="G410" s="7" t="s">
        <v>31</v>
      </c>
      <c r="H410" s="7" t="s">
        <v>17</v>
      </c>
      <c r="I410" s="7" t="s">
        <v>17</v>
      </c>
      <c r="J410" s="7" t="s">
        <v>506</v>
      </c>
    </row>
    <row r="411" spans="1:10" x14ac:dyDescent="0.25" outlineLevel="3" collapsed="1">
      <c r="A411" s="7" t="s">
        <v>19</v>
      </c>
      <c r="B411" s="7" t="s">
        <v>16</v>
      </c>
      <c r="C411" s="7" t="s">
        <v>17</v>
      </c>
      <c r="D411" s="7"/>
      <c r="E411" s="7" t="s">
        <v>501</v>
      </c>
      <c r="F411" s="7" t="s">
        <v>19</v>
      </c>
      <c r="G411" s="7" t="s">
        <v>31</v>
      </c>
      <c r="H411" s="7" t="s">
        <v>17</v>
      </c>
      <c r="I411" s="7" t="s">
        <v>17</v>
      </c>
      <c r="J411" s="7" t="s">
        <v>497</v>
      </c>
    </row>
    <row r="412" spans="1:10" x14ac:dyDescent="0.25" outlineLevel="1" collapsed="1">
      <c r="A412" s="8" t="s">
        <v>19</v>
      </c>
      <c r="B412" s="9" t="s">
        <v>3203</v>
      </c>
      <c r="C412" s="8" t="s">
        <v>17</v>
      </c>
      <c r="D412" s="8"/>
      <c r="E412" s="8" t="s">
        <v>682</v>
      </c>
      <c r="F412" s="8" t="s">
        <v>19</v>
      </c>
      <c r="G412" s="8" t="s">
        <v>17</v>
      </c>
      <c r="H412" s="8" t="s">
        <v>17</v>
      </c>
      <c r="I412" s="8" t="s">
        <v>17</v>
      </c>
      <c r="J412" s="8" t="s">
        <v>134</v>
      </c>
    </row>
    <row r="413" spans="1:10" x14ac:dyDescent="0.25" outlineLevel="2" collapsed="1">
      <c r="A413" s="7" t="s">
        <v>19</v>
      </c>
      <c r="B413" s="7" t="s">
        <v>16</v>
      </c>
      <c r="C413" s="7" t="s">
        <v>17</v>
      </c>
      <c r="D413" s="7"/>
      <c r="E413" s="7" t="s">
        <v>500</v>
      </c>
      <c r="F413" s="7" t="s">
        <v>19</v>
      </c>
      <c r="G413" s="7" t="s">
        <v>31</v>
      </c>
      <c r="H413" s="7" t="s">
        <v>17</v>
      </c>
      <c r="I413" s="7" t="s">
        <v>17</v>
      </c>
      <c r="J413" s="7" t="s">
        <v>494</v>
      </c>
    </row>
    <row r="414" spans="1:10" x14ac:dyDescent="0.25" outlineLevel="2" collapsed="1">
      <c r="A414" s="7" t="s">
        <v>19</v>
      </c>
      <c r="B414" s="7" t="s">
        <v>16</v>
      </c>
      <c r="C414" s="7" t="s">
        <v>17</v>
      </c>
      <c r="D414" s="7"/>
      <c r="E414" s="7" t="s">
        <v>501</v>
      </c>
      <c r="F414" s="7" t="s">
        <v>19</v>
      </c>
      <c r="G414" s="7" t="s">
        <v>31</v>
      </c>
      <c r="H414" s="7" t="s">
        <v>17</v>
      </c>
      <c r="I414" s="7" t="s">
        <v>17</v>
      </c>
      <c r="J414" s="7" t="s">
        <v>497</v>
      </c>
    </row>
    <row r="415" spans="1:10" x14ac:dyDescent="0.25" outlineLevel="2" collapsed="1">
      <c r="A415" s="8" t="s">
        <v>19</v>
      </c>
      <c r="B415" s="9" t="s">
        <v>502</v>
      </c>
      <c r="C415" s="8" t="s">
        <v>17</v>
      </c>
      <c r="D415" s="8"/>
      <c r="E415" s="8" t="s">
        <v>503</v>
      </c>
      <c r="F415" s="8" t="s">
        <v>15</v>
      </c>
      <c r="G415" s="8" t="s">
        <v>17</v>
      </c>
      <c r="H415" s="8" t="s">
        <v>17</v>
      </c>
      <c r="I415" s="8" t="s">
        <v>17</v>
      </c>
      <c r="J415" s="8" t="s">
        <v>504</v>
      </c>
    </row>
    <row r="416" spans="1:10" x14ac:dyDescent="0.25" outlineLevel="3" collapsed="1">
      <c r="A416" s="7" t="s">
        <v>19</v>
      </c>
      <c r="B416" s="7" t="s">
        <v>16</v>
      </c>
      <c r="C416" s="7" t="s">
        <v>17</v>
      </c>
      <c r="D416" s="7"/>
      <c r="E416" s="7" t="s">
        <v>505</v>
      </c>
      <c r="F416" s="7" t="s">
        <v>19</v>
      </c>
      <c r="G416" s="7" t="s">
        <v>31</v>
      </c>
      <c r="H416" s="7" t="s">
        <v>17</v>
      </c>
      <c r="I416" s="7" t="s">
        <v>17</v>
      </c>
      <c r="J416" s="7" t="s">
        <v>506</v>
      </c>
    </row>
    <row r="417" spans="1:10" x14ac:dyDescent="0.25" outlineLevel="3" collapsed="1">
      <c r="A417" s="7" t="s">
        <v>19</v>
      </c>
      <c r="B417" s="7" t="s">
        <v>16</v>
      </c>
      <c r="C417" s="7" t="s">
        <v>17</v>
      </c>
      <c r="D417" s="7"/>
      <c r="E417" s="7" t="s">
        <v>501</v>
      </c>
      <c r="F417" s="7" t="s">
        <v>19</v>
      </c>
      <c r="G417" s="7" t="s">
        <v>31</v>
      </c>
      <c r="H417" s="7" t="s">
        <v>17</v>
      </c>
      <c r="I417" s="7" t="s">
        <v>17</v>
      </c>
      <c r="J417" s="7" t="s">
        <v>497</v>
      </c>
    </row>
    <row r="418" spans="1:10" x14ac:dyDescent="0.25" outlineLevel="1" collapsed="1">
      <c r="A418" s="8" t="s">
        <v>19</v>
      </c>
      <c r="B418" s="9" t="s">
        <v>3204</v>
      </c>
      <c r="C418" s="8" t="s">
        <v>17</v>
      </c>
      <c r="D418" s="8"/>
      <c r="E418" s="8" t="s">
        <v>684</v>
      </c>
      <c r="F418" s="8" t="s">
        <v>19</v>
      </c>
      <c r="G418" s="8" t="s">
        <v>17</v>
      </c>
      <c r="H418" s="8" t="s">
        <v>17</v>
      </c>
      <c r="I418" s="8" t="s">
        <v>17</v>
      </c>
      <c r="J418" s="8" t="s">
        <v>685</v>
      </c>
    </row>
    <row r="419" spans="1:10" x14ac:dyDescent="0.25" outlineLevel="2" collapsed="1">
      <c r="A419" s="7" t="s">
        <v>19</v>
      </c>
      <c r="B419" s="7" t="s">
        <v>16</v>
      </c>
      <c r="C419" s="7" t="s">
        <v>17</v>
      </c>
      <c r="D419" s="7"/>
      <c r="E419" s="7" t="s">
        <v>500</v>
      </c>
      <c r="F419" s="7" t="s">
        <v>19</v>
      </c>
      <c r="G419" s="7" t="s">
        <v>31</v>
      </c>
      <c r="H419" s="7" t="s">
        <v>17</v>
      </c>
      <c r="I419" s="7" t="s">
        <v>17</v>
      </c>
      <c r="J419" s="7" t="s">
        <v>494</v>
      </c>
    </row>
    <row r="420" spans="1:10" x14ac:dyDescent="0.25" outlineLevel="2" collapsed="1">
      <c r="A420" s="7" t="s">
        <v>19</v>
      </c>
      <c r="B420" s="7" t="s">
        <v>16</v>
      </c>
      <c r="C420" s="7" t="s">
        <v>17</v>
      </c>
      <c r="D420" s="7"/>
      <c r="E420" s="7" t="s">
        <v>501</v>
      </c>
      <c r="F420" s="7" t="s">
        <v>19</v>
      </c>
      <c r="G420" s="7" t="s">
        <v>31</v>
      </c>
      <c r="H420" s="7" t="s">
        <v>17</v>
      </c>
      <c r="I420" s="7" t="s">
        <v>17</v>
      </c>
      <c r="J420" s="7" t="s">
        <v>497</v>
      </c>
    </row>
    <row r="421" spans="1:10" x14ac:dyDescent="0.25" outlineLevel="2" collapsed="1">
      <c r="A421" s="8" t="s">
        <v>19</v>
      </c>
      <c r="B421" s="9" t="s">
        <v>502</v>
      </c>
      <c r="C421" s="8" t="s">
        <v>17</v>
      </c>
      <c r="D421" s="8"/>
      <c r="E421" s="8" t="s">
        <v>503</v>
      </c>
      <c r="F421" s="8" t="s">
        <v>15</v>
      </c>
      <c r="G421" s="8" t="s">
        <v>17</v>
      </c>
      <c r="H421" s="8" t="s">
        <v>17</v>
      </c>
      <c r="I421" s="8" t="s">
        <v>17</v>
      </c>
      <c r="J421" s="8" t="s">
        <v>504</v>
      </c>
    </row>
    <row r="422" spans="1:10" x14ac:dyDescent="0.25" outlineLevel="3" collapsed="1">
      <c r="A422" s="7" t="s">
        <v>19</v>
      </c>
      <c r="B422" s="7" t="s">
        <v>16</v>
      </c>
      <c r="C422" s="7" t="s">
        <v>17</v>
      </c>
      <c r="D422" s="7"/>
      <c r="E422" s="7" t="s">
        <v>505</v>
      </c>
      <c r="F422" s="7" t="s">
        <v>19</v>
      </c>
      <c r="G422" s="7" t="s">
        <v>31</v>
      </c>
      <c r="H422" s="7" t="s">
        <v>17</v>
      </c>
      <c r="I422" s="7" t="s">
        <v>17</v>
      </c>
      <c r="J422" s="7" t="s">
        <v>506</v>
      </c>
    </row>
    <row r="423" spans="1:10" x14ac:dyDescent="0.25" outlineLevel="3" collapsed="1">
      <c r="A423" s="7" t="s">
        <v>19</v>
      </c>
      <c r="B423" s="7" t="s">
        <v>16</v>
      </c>
      <c r="C423" s="7" t="s">
        <v>17</v>
      </c>
      <c r="D423" s="7"/>
      <c r="E423" s="7" t="s">
        <v>501</v>
      </c>
      <c r="F423" s="7" t="s">
        <v>19</v>
      </c>
      <c r="G423" s="7" t="s">
        <v>31</v>
      </c>
      <c r="H423" s="7" t="s">
        <v>17</v>
      </c>
      <c r="I423" s="7" t="s">
        <v>17</v>
      </c>
      <c r="J423" s="7" t="s">
        <v>497</v>
      </c>
    </row>
    <row r="424" spans="1:10" x14ac:dyDescent="0.25" outlineLevel="1" collapsed="1">
      <c r="A424" s="8" t="s">
        <v>19</v>
      </c>
      <c r="B424" s="9" t="s">
        <v>3205</v>
      </c>
      <c r="C424" s="8" t="s">
        <v>17</v>
      </c>
      <c r="D424" s="8"/>
      <c r="E424" s="8" t="s">
        <v>3206</v>
      </c>
      <c r="F424" s="8" t="s">
        <v>19</v>
      </c>
      <c r="G424" s="8" t="s">
        <v>17</v>
      </c>
      <c r="H424" s="8" t="s">
        <v>17</v>
      </c>
      <c r="I424" s="8" t="s">
        <v>17</v>
      </c>
      <c r="J424" s="8" t="s">
        <v>3207</v>
      </c>
    </row>
    <row r="425" spans="1:10" x14ac:dyDescent="0.25" outlineLevel="2" collapsed="1">
      <c r="A425" s="7" t="s">
        <v>19</v>
      </c>
      <c r="B425" s="7" t="s">
        <v>16</v>
      </c>
      <c r="C425" s="7" t="s">
        <v>17</v>
      </c>
      <c r="D425" s="7"/>
      <c r="E425" s="7" t="s">
        <v>500</v>
      </c>
      <c r="F425" s="7" t="s">
        <v>19</v>
      </c>
      <c r="G425" s="7" t="s">
        <v>31</v>
      </c>
      <c r="H425" s="7" t="s">
        <v>17</v>
      </c>
      <c r="I425" s="7" t="s">
        <v>17</v>
      </c>
      <c r="J425" s="7" t="s">
        <v>494</v>
      </c>
    </row>
    <row r="426" spans="1:10" x14ac:dyDescent="0.25" outlineLevel="2" collapsed="1">
      <c r="A426" s="7" t="s">
        <v>19</v>
      </c>
      <c r="B426" s="7" t="s">
        <v>16</v>
      </c>
      <c r="C426" s="7" t="s">
        <v>17</v>
      </c>
      <c r="D426" s="7"/>
      <c r="E426" s="7" t="s">
        <v>501</v>
      </c>
      <c r="F426" s="7" t="s">
        <v>19</v>
      </c>
      <c r="G426" s="7" t="s">
        <v>31</v>
      </c>
      <c r="H426" s="7" t="s">
        <v>17</v>
      </c>
      <c r="I426" s="7" t="s">
        <v>17</v>
      </c>
      <c r="J426" s="7" t="s">
        <v>497</v>
      </c>
    </row>
    <row r="427" spans="1:10" x14ac:dyDescent="0.25" outlineLevel="2" collapsed="1">
      <c r="A427" s="8" t="s">
        <v>19</v>
      </c>
      <c r="B427" s="9" t="s">
        <v>502</v>
      </c>
      <c r="C427" s="8" t="s">
        <v>17</v>
      </c>
      <c r="D427" s="8"/>
      <c r="E427" s="8" t="s">
        <v>503</v>
      </c>
      <c r="F427" s="8" t="s">
        <v>15</v>
      </c>
      <c r="G427" s="8" t="s">
        <v>17</v>
      </c>
      <c r="H427" s="8" t="s">
        <v>17</v>
      </c>
      <c r="I427" s="8" t="s">
        <v>17</v>
      </c>
      <c r="J427" s="8" t="s">
        <v>504</v>
      </c>
    </row>
    <row r="428" spans="1:10" x14ac:dyDescent="0.25" outlineLevel="3" collapsed="1">
      <c r="A428" s="7" t="s">
        <v>19</v>
      </c>
      <c r="B428" s="7" t="s">
        <v>16</v>
      </c>
      <c r="C428" s="7" t="s">
        <v>17</v>
      </c>
      <c r="D428" s="7"/>
      <c r="E428" s="7" t="s">
        <v>505</v>
      </c>
      <c r="F428" s="7" t="s">
        <v>19</v>
      </c>
      <c r="G428" s="7" t="s">
        <v>31</v>
      </c>
      <c r="H428" s="7" t="s">
        <v>17</v>
      </c>
      <c r="I428" s="7" t="s">
        <v>17</v>
      </c>
      <c r="J428" s="7" t="s">
        <v>506</v>
      </c>
    </row>
    <row r="429" spans="1:10" x14ac:dyDescent="0.25" outlineLevel="3" collapsed="1">
      <c r="A429" s="7" t="s">
        <v>19</v>
      </c>
      <c r="B429" s="7" t="s">
        <v>16</v>
      </c>
      <c r="C429" s="7" t="s">
        <v>17</v>
      </c>
      <c r="D429" s="7"/>
      <c r="E429" s="7" t="s">
        <v>501</v>
      </c>
      <c r="F429" s="7" t="s">
        <v>19</v>
      </c>
      <c r="G429" s="7" t="s">
        <v>31</v>
      </c>
      <c r="H429" s="7" t="s">
        <v>17</v>
      </c>
      <c r="I429" s="7" t="s">
        <v>17</v>
      </c>
      <c r="J429" s="7" t="s">
        <v>497</v>
      </c>
    </row>
    <row r="430" spans="1:10" x14ac:dyDescent="0.25" outlineLevel="1" collapsed="1">
      <c r="A430" s="8" t="s">
        <v>19</v>
      </c>
      <c r="B430" s="9" t="s">
        <v>3208</v>
      </c>
      <c r="C430" s="8" t="s">
        <v>17</v>
      </c>
      <c r="D430" s="8"/>
      <c r="E430" s="8" t="s">
        <v>690</v>
      </c>
      <c r="F430" s="8" t="s">
        <v>19</v>
      </c>
      <c r="G430" s="8" t="s">
        <v>17</v>
      </c>
      <c r="H430" s="8" t="s">
        <v>17</v>
      </c>
      <c r="I430" s="8" t="s">
        <v>17</v>
      </c>
      <c r="J430" s="8" t="s">
        <v>691</v>
      </c>
    </row>
    <row r="431" spans="1:10" x14ac:dyDescent="0.25" outlineLevel="2" collapsed="1">
      <c r="A431" s="7" t="s">
        <v>19</v>
      </c>
      <c r="B431" s="7" t="s">
        <v>16</v>
      </c>
      <c r="C431" s="7" t="s">
        <v>17</v>
      </c>
      <c r="D431" s="7"/>
      <c r="E431" s="7" t="s">
        <v>500</v>
      </c>
      <c r="F431" s="7" t="s">
        <v>19</v>
      </c>
      <c r="G431" s="7" t="s">
        <v>31</v>
      </c>
      <c r="H431" s="7" t="s">
        <v>17</v>
      </c>
      <c r="I431" s="7" t="s">
        <v>17</v>
      </c>
      <c r="J431" s="7" t="s">
        <v>494</v>
      </c>
    </row>
    <row r="432" spans="1:10" x14ac:dyDescent="0.25" outlineLevel="2" collapsed="1">
      <c r="A432" s="7" t="s">
        <v>19</v>
      </c>
      <c r="B432" s="7" t="s">
        <v>16</v>
      </c>
      <c r="C432" s="7" t="s">
        <v>17</v>
      </c>
      <c r="D432" s="7"/>
      <c r="E432" s="7" t="s">
        <v>501</v>
      </c>
      <c r="F432" s="7" t="s">
        <v>19</v>
      </c>
      <c r="G432" s="7" t="s">
        <v>31</v>
      </c>
      <c r="H432" s="7" t="s">
        <v>17</v>
      </c>
      <c r="I432" s="7" t="s">
        <v>17</v>
      </c>
      <c r="J432" s="7" t="s">
        <v>497</v>
      </c>
    </row>
    <row r="433" spans="1:10" x14ac:dyDescent="0.25" outlineLevel="2" collapsed="1">
      <c r="A433" s="8" t="s">
        <v>19</v>
      </c>
      <c r="B433" s="9" t="s">
        <v>502</v>
      </c>
      <c r="C433" s="8" t="s">
        <v>17</v>
      </c>
      <c r="D433" s="8"/>
      <c r="E433" s="8" t="s">
        <v>503</v>
      </c>
      <c r="F433" s="8" t="s">
        <v>15</v>
      </c>
      <c r="G433" s="8" t="s">
        <v>17</v>
      </c>
      <c r="H433" s="8" t="s">
        <v>17</v>
      </c>
      <c r="I433" s="8" t="s">
        <v>17</v>
      </c>
      <c r="J433" s="8" t="s">
        <v>504</v>
      </c>
    </row>
    <row r="434" spans="1:10" x14ac:dyDescent="0.25" outlineLevel="3" collapsed="1">
      <c r="A434" s="7" t="s">
        <v>19</v>
      </c>
      <c r="B434" s="7" t="s">
        <v>16</v>
      </c>
      <c r="C434" s="7" t="s">
        <v>17</v>
      </c>
      <c r="D434" s="7"/>
      <c r="E434" s="7" t="s">
        <v>505</v>
      </c>
      <c r="F434" s="7" t="s">
        <v>19</v>
      </c>
      <c r="G434" s="7" t="s">
        <v>31</v>
      </c>
      <c r="H434" s="7" t="s">
        <v>17</v>
      </c>
      <c r="I434" s="7" t="s">
        <v>17</v>
      </c>
      <c r="J434" s="7" t="s">
        <v>506</v>
      </c>
    </row>
    <row r="435" spans="1:10" x14ac:dyDescent="0.25" outlineLevel="3" collapsed="1">
      <c r="A435" s="7" t="s">
        <v>19</v>
      </c>
      <c r="B435" s="7" t="s">
        <v>16</v>
      </c>
      <c r="C435" s="7" t="s">
        <v>17</v>
      </c>
      <c r="D435" s="7"/>
      <c r="E435" s="7" t="s">
        <v>501</v>
      </c>
      <c r="F435" s="7" t="s">
        <v>19</v>
      </c>
      <c r="G435" s="7" t="s">
        <v>31</v>
      </c>
      <c r="H435" s="7" t="s">
        <v>17</v>
      </c>
      <c r="I435" s="7" t="s">
        <v>17</v>
      </c>
      <c r="J435" s="7" t="s">
        <v>497</v>
      </c>
    </row>
    <row r="436" spans="1:10" x14ac:dyDescent="0.25" outlineLevel="1" collapsed="1">
      <c r="A436" s="8" t="s">
        <v>19</v>
      </c>
      <c r="B436" s="9" t="s">
        <v>3209</v>
      </c>
      <c r="C436" s="8" t="s">
        <v>17</v>
      </c>
      <c r="D436" s="8"/>
      <c r="E436" s="8" t="s">
        <v>693</v>
      </c>
      <c r="F436" s="8" t="s">
        <v>19</v>
      </c>
      <c r="G436" s="8" t="s">
        <v>17</v>
      </c>
      <c r="H436" s="8" t="s">
        <v>17</v>
      </c>
      <c r="I436" s="8" t="s">
        <v>17</v>
      </c>
      <c r="J436" s="8" t="s">
        <v>694</v>
      </c>
    </row>
    <row r="437" spans="1:10" x14ac:dyDescent="0.25" outlineLevel="2" collapsed="1">
      <c r="A437" s="7" t="s">
        <v>19</v>
      </c>
      <c r="B437" s="7" t="s">
        <v>16</v>
      </c>
      <c r="C437" s="7" t="s">
        <v>17</v>
      </c>
      <c r="D437" s="7"/>
      <c r="E437" s="7" t="s">
        <v>500</v>
      </c>
      <c r="F437" s="7" t="s">
        <v>19</v>
      </c>
      <c r="G437" s="7" t="s">
        <v>31</v>
      </c>
      <c r="H437" s="7" t="s">
        <v>17</v>
      </c>
      <c r="I437" s="7" t="s">
        <v>17</v>
      </c>
      <c r="J437" s="7" t="s">
        <v>494</v>
      </c>
    </row>
    <row r="438" spans="1:10" x14ac:dyDescent="0.25" outlineLevel="2" collapsed="1">
      <c r="A438" s="7" t="s">
        <v>19</v>
      </c>
      <c r="B438" s="7" t="s">
        <v>16</v>
      </c>
      <c r="C438" s="7" t="s">
        <v>17</v>
      </c>
      <c r="D438" s="7"/>
      <c r="E438" s="7" t="s">
        <v>501</v>
      </c>
      <c r="F438" s="7" t="s">
        <v>19</v>
      </c>
      <c r="G438" s="7" t="s">
        <v>31</v>
      </c>
      <c r="H438" s="7" t="s">
        <v>17</v>
      </c>
      <c r="I438" s="7" t="s">
        <v>17</v>
      </c>
      <c r="J438" s="7" t="s">
        <v>497</v>
      </c>
    </row>
    <row r="439" spans="1:10" x14ac:dyDescent="0.25" outlineLevel="2" collapsed="1">
      <c r="A439" s="8" t="s">
        <v>19</v>
      </c>
      <c r="B439" s="9" t="s">
        <v>502</v>
      </c>
      <c r="C439" s="8" t="s">
        <v>17</v>
      </c>
      <c r="D439" s="8"/>
      <c r="E439" s="8" t="s">
        <v>503</v>
      </c>
      <c r="F439" s="8" t="s">
        <v>15</v>
      </c>
      <c r="G439" s="8" t="s">
        <v>17</v>
      </c>
      <c r="H439" s="8" t="s">
        <v>17</v>
      </c>
      <c r="I439" s="8" t="s">
        <v>17</v>
      </c>
      <c r="J439" s="8" t="s">
        <v>504</v>
      </c>
    </row>
    <row r="440" spans="1:10" x14ac:dyDescent="0.25" outlineLevel="3" collapsed="1">
      <c r="A440" s="7" t="s">
        <v>19</v>
      </c>
      <c r="B440" s="7" t="s">
        <v>16</v>
      </c>
      <c r="C440" s="7" t="s">
        <v>17</v>
      </c>
      <c r="D440" s="7"/>
      <c r="E440" s="7" t="s">
        <v>505</v>
      </c>
      <c r="F440" s="7" t="s">
        <v>19</v>
      </c>
      <c r="G440" s="7" t="s">
        <v>31</v>
      </c>
      <c r="H440" s="7" t="s">
        <v>17</v>
      </c>
      <c r="I440" s="7" t="s">
        <v>17</v>
      </c>
      <c r="J440" s="7" t="s">
        <v>506</v>
      </c>
    </row>
    <row r="441" spans="1:10" x14ac:dyDescent="0.25" outlineLevel="3" collapsed="1">
      <c r="A441" s="7" t="s">
        <v>19</v>
      </c>
      <c r="B441" s="7" t="s">
        <v>16</v>
      </c>
      <c r="C441" s="7" t="s">
        <v>17</v>
      </c>
      <c r="D441" s="7"/>
      <c r="E441" s="7" t="s">
        <v>501</v>
      </c>
      <c r="F441" s="7" t="s">
        <v>19</v>
      </c>
      <c r="G441" s="7" t="s">
        <v>31</v>
      </c>
      <c r="H441" s="7" t="s">
        <v>17</v>
      </c>
      <c r="I441" s="7" t="s">
        <v>17</v>
      </c>
      <c r="J441" s="7" t="s">
        <v>497</v>
      </c>
    </row>
    <row r="442" spans="1:10" x14ac:dyDescent="0.25" outlineLevel="1" collapsed="1">
      <c r="A442" s="8" t="s">
        <v>19</v>
      </c>
      <c r="B442" s="9" t="s">
        <v>3210</v>
      </c>
      <c r="C442" s="8" t="s">
        <v>17</v>
      </c>
      <c r="D442" s="8"/>
      <c r="E442" s="8" t="s">
        <v>3211</v>
      </c>
      <c r="F442" s="8" t="s">
        <v>19</v>
      </c>
      <c r="G442" s="8" t="s">
        <v>17</v>
      </c>
      <c r="H442" s="8" t="s">
        <v>17</v>
      </c>
      <c r="I442" s="8" t="s">
        <v>17</v>
      </c>
      <c r="J442" s="8" t="s">
        <v>3212</v>
      </c>
    </row>
    <row r="443" spans="1:10" x14ac:dyDescent="0.25" outlineLevel="2" collapsed="1">
      <c r="A443" s="7" t="s">
        <v>19</v>
      </c>
      <c r="B443" s="7" t="s">
        <v>16</v>
      </c>
      <c r="C443" s="7" t="s">
        <v>17</v>
      </c>
      <c r="D443" s="7"/>
      <c r="E443" s="7" t="s">
        <v>500</v>
      </c>
      <c r="F443" s="7" t="s">
        <v>19</v>
      </c>
      <c r="G443" s="7" t="s">
        <v>31</v>
      </c>
      <c r="H443" s="7" t="s">
        <v>17</v>
      </c>
      <c r="I443" s="7" t="s">
        <v>17</v>
      </c>
      <c r="J443" s="7" t="s">
        <v>494</v>
      </c>
    </row>
    <row r="444" spans="1:10" x14ac:dyDescent="0.25" outlineLevel="2" collapsed="1">
      <c r="A444" s="7" t="s">
        <v>19</v>
      </c>
      <c r="B444" s="7" t="s">
        <v>16</v>
      </c>
      <c r="C444" s="7" t="s">
        <v>17</v>
      </c>
      <c r="D444" s="7"/>
      <c r="E444" s="7" t="s">
        <v>501</v>
      </c>
      <c r="F444" s="7" t="s">
        <v>19</v>
      </c>
      <c r="G444" s="7" t="s">
        <v>31</v>
      </c>
      <c r="H444" s="7" t="s">
        <v>17</v>
      </c>
      <c r="I444" s="7" t="s">
        <v>17</v>
      </c>
      <c r="J444" s="7" t="s">
        <v>497</v>
      </c>
    </row>
    <row r="445" spans="1:10" x14ac:dyDescent="0.25" outlineLevel="2" collapsed="1">
      <c r="A445" s="8" t="s">
        <v>19</v>
      </c>
      <c r="B445" s="9" t="s">
        <v>502</v>
      </c>
      <c r="C445" s="8" t="s">
        <v>17</v>
      </c>
      <c r="D445" s="8"/>
      <c r="E445" s="8" t="s">
        <v>503</v>
      </c>
      <c r="F445" s="8" t="s">
        <v>15</v>
      </c>
      <c r="G445" s="8" t="s">
        <v>17</v>
      </c>
      <c r="H445" s="8" t="s">
        <v>17</v>
      </c>
      <c r="I445" s="8" t="s">
        <v>17</v>
      </c>
      <c r="J445" s="8" t="s">
        <v>504</v>
      </c>
    </row>
    <row r="446" spans="1:10" x14ac:dyDescent="0.25" outlineLevel="3" collapsed="1">
      <c r="A446" s="7" t="s">
        <v>19</v>
      </c>
      <c r="B446" s="7" t="s">
        <v>16</v>
      </c>
      <c r="C446" s="7" t="s">
        <v>17</v>
      </c>
      <c r="D446" s="7"/>
      <c r="E446" s="7" t="s">
        <v>505</v>
      </c>
      <c r="F446" s="7" t="s">
        <v>19</v>
      </c>
      <c r="G446" s="7" t="s">
        <v>31</v>
      </c>
      <c r="H446" s="7" t="s">
        <v>17</v>
      </c>
      <c r="I446" s="7" t="s">
        <v>17</v>
      </c>
      <c r="J446" s="7" t="s">
        <v>506</v>
      </c>
    </row>
    <row r="447" spans="1:10" x14ac:dyDescent="0.25" outlineLevel="3" collapsed="1">
      <c r="A447" s="7" t="s">
        <v>19</v>
      </c>
      <c r="B447" s="7" t="s">
        <v>16</v>
      </c>
      <c r="C447" s="7" t="s">
        <v>17</v>
      </c>
      <c r="D447" s="7"/>
      <c r="E447" s="7" t="s">
        <v>501</v>
      </c>
      <c r="F447" s="7" t="s">
        <v>19</v>
      </c>
      <c r="G447" s="7" t="s">
        <v>31</v>
      </c>
      <c r="H447" s="7" t="s">
        <v>17</v>
      </c>
      <c r="I447" s="7" t="s">
        <v>17</v>
      </c>
      <c r="J447" s="7" t="s">
        <v>497</v>
      </c>
    </row>
    <row r="448" spans="1:10" x14ac:dyDescent="0.25" outlineLevel="1" collapsed="1">
      <c r="A448" s="8" t="s">
        <v>19</v>
      </c>
      <c r="B448" s="9" t="s">
        <v>3213</v>
      </c>
      <c r="C448" s="8" t="s">
        <v>17</v>
      </c>
      <c r="D448" s="8"/>
      <c r="E448" s="8" t="s">
        <v>696</v>
      </c>
      <c r="F448" s="8" t="s">
        <v>19</v>
      </c>
      <c r="G448" s="8" t="s">
        <v>17</v>
      </c>
      <c r="H448" s="8" t="s">
        <v>17</v>
      </c>
      <c r="I448" s="8" t="s">
        <v>17</v>
      </c>
      <c r="J448" s="8" t="s">
        <v>697</v>
      </c>
    </row>
    <row r="449" spans="1:10" x14ac:dyDescent="0.25" outlineLevel="2" collapsed="1">
      <c r="A449" s="7" t="s">
        <v>19</v>
      </c>
      <c r="B449" s="7" t="s">
        <v>16</v>
      </c>
      <c r="C449" s="7" t="s">
        <v>17</v>
      </c>
      <c r="D449" s="7"/>
      <c r="E449" s="7" t="s">
        <v>500</v>
      </c>
      <c r="F449" s="7" t="s">
        <v>19</v>
      </c>
      <c r="G449" s="7" t="s">
        <v>31</v>
      </c>
      <c r="H449" s="7" t="s">
        <v>17</v>
      </c>
      <c r="I449" s="7" t="s">
        <v>17</v>
      </c>
      <c r="J449" s="7" t="s">
        <v>494</v>
      </c>
    </row>
    <row r="450" spans="1:10" x14ac:dyDescent="0.25" outlineLevel="2" collapsed="1">
      <c r="A450" s="7" t="s">
        <v>19</v>
      </c>
      <c r="B450" s="7" t="s">
        <v>16</v>
      </c>
      <c r="C450" s="7" t="s">
        <v>17</v>
      </c>
      <c r="D450" s="7"/>
      <c r="E450" s="7" t="s">
        <v>501</v>
      </c>
      <c r="F450" s="7" t="s">
        <v>19</v>
      </c>
      <c r="G450" s="7" t="s">
        <v>31</v>
      </c>
      <c r="H450" s="7" t="s">
        <v>17</v>
      </c>
      <c r="I450" s="7" t="s">
        <v>17</v>
      </c>
      <c r="J450" s="7" t="s">
        <v>497</v>
      </c>
    </row>
    <row r="451" spans="1:10" x14ac:dyDescent="0.25" outlineLevel="2" collapsed="1">
      <c r="A451" s="8" t="s">
        <v>19</v>
      </c>
      <c r="B451" s="9" t="s">
        <v>502</v>
      </c>
      <c r="C451" s="8" t="s">
        <v>17</v>
      </c>
      <c r="D451" s="8"/>
      <c r="E451" s="8" t="s">
        <v>503</v>
      </c>
      <c r="F451" s="8" t="s">
        <v>15</v>
      </c>
      <c r="G451" s="8" t="s">
        <v>17</v>
      </c>
      <c r="H451" s="8" t="s">
        <v>17</v>
      </c>
      <c r="I451" s="8" t="s">
        <v>17</v>
      </c>
      <c r="J451" s="8" t="s">
        <v>504</v>
      </c>
    </row>
    <row r="452" spans="1:10" x14ac:dyDescent="0.25" outlineLevel="3" collapsed="1">
      <c r="A452" s="7" t="s">
        <v>19</v>
      </c>
      <c r="B452" s="7" t="s">
        <v>16</v>
      </c>
      <c r="C452" s="7" t="s">
        <v>17</v>
      </c>
      <c r="D452" s="7"/>
      <c r="E452" s="7" t="s">
        <v>505</v>
      </c>
      <c r="F452" s="7" t="s">
        <v>19</v>
      </c>
      <c r="G452" s="7" t="s">
        <v>31</v>
      </c>
      <c r="H452" s="7" t="s">
        <v>17</v>
      </c>
      <c r="I452" s="7" t="s">
        <v>17</v>
      </c>
      <c r="J452" s="7" t="s">
        <v>506</v>
      </c>
    </row>
    <row r="453" spans="1:10" x14ac:dyDescent="0.25" outlineLevel="3" collapsed="1">
      <c r="A453" s="7" t="s">
        <v>19</v>
      </c>
      <c r="B453" s="7" t="s">
        <v>16</v>
      </c>
      <c r="C453" s="7" t="s">
        <v>17</v>
      </c>
      <c r="D453" s="7"/>
      <c r="E453" s="7" t="s">
        <v>501</v>
      </c>
      <c r="F453" s="7" t="s">
        <v>19</v>
      </c>
      <c r="G453" s="7" t="s">
        <v>31</v>
      </c>
      <c r="H453" s="7" t="s">
        <v>17</v>
      </c>
      <c r="I453" s="7" t="s">
        <v>17</v>
      </c>
      <c r="J453" s="7" t="s">
        <v>497</v>
      </c>
    </row>
    <row r="454" spans="1:10" x14ac:dyDescent="0.25" outlineLevel="1" collapsed="1">
      <c r="A454" s="8" t="s">
        <v>19</v>
      </c>
      <c r="B454" s="9" t="s">
        <v>3214</v>
      </c>
      <c r="C454" s="8" t="s">
        <v>17</v>
      </c>
      <c r="D454" s="8"/>
      <c r="E454" s="8" t="s">
        <v>3215</v>
      </c>
      <c r="F454" s="8" t="s">
        <v>19</v>
      </c>
      <c r="G454" s="8" t="s">
        <v>17</v>
      </c>
      <c r="H454" s="8" t="s">
        <v>17</v>
      </c>
      <c r="I454" s="8" t="s">
        <v>17</v>
      </c>
      <c r="J454" s="8" t="s">
        <v>3216</v>
      </c>
    </row>
    <row r="455" spans="1:10" x14ac:dyDescent="0.25" outlineLevel="2" collapsed="1">
      <c r="A455" s="7" t="s">
        <v>19</v>
      </c>
      <c r="B455" s="7" t="s">
        <v>16</v>
      </c>
      <c r="C455" s="7" t="s">
        <v>17</v>
      </c>
      <c r="D455" s="7"/>
      <c r="E455" s="7" t="s">
        <v>500</v>
      </c>
      <c r="F455" s="7" t="s">
        <v>19</v>
      </c>
      <c r="G455" s="7" t="s">
        <v>31</v>
      </c>
      <c r="H455" s="7" t="s">
        <v>17</v>
      </c>
      <c r="I455" s="7" t="s">
        <v>17</v>
      </c>
      <c r="J455" s="7" t="s">
        <v>494</v>
      </c>
    </row>
    <row r="456" spans="1:10" x14ac:dyDescent="0.25" outlineLevel="2" collapsed="1">
      <c r="A456" s="7" t="s">
        <v>19</v>
      </c>
      <c r="B456" s="7" t="s">
        <v>16</v>
      </c>
      <c r="C456" s="7" t="s">
        <v>17</v>
      </c>
      <c r="D456" s="7"/>
      <c r="E456" s="7" t="s">
        <v>3217</v>
      </c>
      <c r="F456" s="7" t="s">
        <v>19</v>
      </c>
      <c r="G456" s="7" t="s">
        <v>31</v>
      </c>
      <c r="H456" s="7" t="s">
        <v>17</v>
      </c>
      <c r="I456" s="7" t="s">
        <v>17</v>
      </c>
      <c r="J456" s="7" t="s">
        <v>3218</v>
      </c>
    </row>
    <row r="457" spans="1:10" x14ac:dyDescent="0.25" outlineLevel="2" collapsed="1">
      <c r="A457" s="8" t="s">
        <v>19</v>
      </c>
      <c r="B457" s="9" t="s">
        <v>502</v>
      </c>
      <c r="C457" s="8" t="s">
        <v>17</v>
      </c>
      <c r="D457" s="8"/>
      <c r="E457" s="8" t="s">
        <v>503</v>
      </c>
      <c r="F457" s="8" t="s">
        <v>15</v>
      </c>
      <c r="G457" s="8" t="s">
        <v>17</v>
      </c>
      <c r="H457" s="8" t="s">
        <v>17</v>
      </c>
      <c r="I457" s="8" t="s">
        <v>17</v>
      </c>
      <c r="J457" s="8" t="s">
        <v>504</v>
      </c>
    </row>
    <row r="458" spans="1:10" x14ac:dyDescent="0.25" outlineLevel="3" collapsed="1">
      <c r="A458" s="7" t="s">
        <v>19</v>
      </c>
      <c r="B458" s="7" t="s">
        <v>16</v>
      </c>
      <c r="C458" s="7" t="s">
        <v>17</v>
      </c>
      <c r="D458" s="7"/>
      <c r="E458" s="7" t="s">
        <v>505</v>
      </c>
      <c r="F458" s="7" t="s">
        <v>19</v>
      </c>
      <c r="G458" s="7" t="s">
        <v>31</v>
      </c>
      <c r="H458" s="7" t="s">
        <v>17</v>
      </c>
      <c r="I458" s="7" t="s">
        <v>17</v>
      </c>
      <c r="J458" s="7" t="s">
        <v>506</v>
      </c>
    </row>
    <row r="459" spans="1:10" x14ac:dyDescent="0.25" outlineLevel="3" collapsed="1">
      <c r="A459" s="7" t="s">
        <v>19</v>
      </c>
      <c r="B459" s="7" t="s">
        <v>16</v>
      </c>
      <c r="C459" s="7" t="s">
        <v>17</v>
      </c>
      <c r="D459" s="7"/>
      <c r="E459" s="7" t="s">
        <v>501</v>
      </c>
      <c r="F459" s="7" t="s">
        <v>19</v>
      </c>
      <c r="G459" s="7" t="s">
        <v>31</v>
      </c>
      <c r="H459" s="7" t="s">
        <v>17</v>
      </c>
      <c r="I459" s="7" t="s">
        <v>17</v>
      </c>
      <c r="J459" s="7" t="s">
        <v>497</v>
      </c>
    </row>
    <row r="460" spans="1:10" x14ac:dyDescent="0.25">
      <c r="A460" s="5" t="s">
        <v>15</v>
      </c>
      <c r="B460" s="6" t="s">
        <v>3219</v>
      </c>
      <c r="C460" s="5" t="s">
        <v>17</v>
      </c>
      <c r="D460" s="5"/>
      <c r="E460" s="5" t="s">
        <v>3220</v>
      </c>
      <c r="F460" s="5" t="s">
        <v>19</v>
      </c>
      <c r="G460" s="5" t="s">
        <v>17</v>
      </c>
      <c r="H460" s="5" t="s">
        <v>17</v>
      </c>
      <c r="I460" s="5" t="s">
        <v>17</v>
      </c>
      <c r="J460" s="5" t="s">
        <v>3221</v>
      </c>
    </row>
    <row r="461" spans="1:10" x14ac:dyDescent="0.25" outlineLevel="1" collapsed="1">
      <c r="A461" s="8" t="s">
        <v>15</v>
      </c>
      <c r="B461" s="9" t="s">
        <v>3222</v>
      </c>
      <c r="C461" s="8" t="s">
        <v>17</v>
      </c>
      <c r="D461" s="8"/>
      <c r="E461" s="8" t="s">
        <v>3223</v>
      </c>
      <c r="F461" s="8" t="s">
        <v>19</v>
      </c>
      <c r="G461" s="8" t="s">
        <v>17</v>
      </c>
      <c r="H461" s="8" t="s">
        <v>17</v>
      </c>
      <c r="I461" s="8" t="s">
        <v>17</v>
      </c>
      <c r="J461" s="8" t="s">
        <v>706</v>
      </c>
    </row>
    <row r="462" spans="1:10" x14ac:dyDescent="0.25" outlineLevel="2" collapsed="1">
      <c r="A462" s="7" t="s">
        <v>15</v>
      </c>
      <c r="B462" s="7" t="s">
        <v>291</v>
      </c>
      <c r="C462" s="7" t="s">
        <v>17</v>
      </c>
      <c r="D462" s="7"/>
      <c r="E462" s="7" t="s">
        <v>707</v>
      </c>
      <c r="F462" s="7" t="s">
        <v>19</v>
      </c>
      <c r="G462" s="7" t="s">
        <v>293</v>
      </c>
      <c r="H462" s="7" t="s">
        <v>17</v>
      </c>
      <c r="I462" s="7" t="s">
        <v>17</v>
      </c>
      <c r="J462" s="7" t="s">
        <v>708</v>
      </c>
    </row>
    <row r="463" spans="1:10" x14ac:dyDescent="0.25" outlineLevel="2" collapsed="1">
      <c r="A463" s="7" t="s">
        <v>15</v>
      </c>
      <c r="B463" s="7" t="s">
        <v>16</v>
      </c>
      <c r="C463" s="7" t="s">
        <v>17</v>
      </c>
      <c r="D463" s="7"/>
      <c r="E463" s="7" t="s">
        <v>288</v>
      </c>
      <c r="F463" s="7" t="s">
        <v>19</v>
      </c>
      <c r="G463" s="7" t="s">
        <v>289</v>
      </c>
      <c r="H463" s="7" t="s">
        <v>17</v>
      </c>
      <c r="I463" s="7" t="s">
        <v>17</v>
      </c>
      <c r="J463" s="7" t="s">
        <v>290</v>
      </c>
    </row>
    <row r="464" spans="1:10" x14ac:dyDescent="0.25" outlineLevel="2" collapsed="1">
      <c r="A464" s="7" t="s">
        <v>15</v>
      </c>
      <c r="B464" s="7" t="s">
        <v>16</v>
      </c>
      <c r="C464" s="7" t="s">
        <v>17</v>
      </c>
      <c r="D464" s="7"/>
      <c r="E464" s="7" t="s">
        <v>3224</v>
      </c>
      <c r="F464" s="7" t="s">
        <v>19</v>
      </c>
      <c r="G464" s="7" t="s">
        <v>3225</v>
      </c>
      <c r="H464" s="7" t="s">
        <v>17</v>
      </c>
      <c r="I464" s="7" t="s">
        <v>17</v>
      </c>
      <c r="J464" s="7" t="s">
        <v>711</v>
      </c>
    </row>
    <row r="465" spans="1:10" x14ac:dyDescent="0.25" outlineLevel="2" collapsed="1">
      <c r="A465" s="7" t="s">
        <v>15</v>
      </c>
      <c r="B465" s="7" t="s">
        <v>16</v>
      </c>
      <c r="C465" s="7" t="s">
        <v>17</v>
      </c>
      <c r="D465" s="7"/>
      <c r="E465" s="7" t="s">
        <v>3226</v>
      </c>
      <c r="F465" s="7" t="s">
        <v>19</v>
      </c>
      <c r="G465" s="7" t="s">
        <v>31</v>
      </c>
      <c r="H465" s="7" t="s">
        <v>17</v>
      </c>
      <c r="I465" s="7" t="s">
        <v>17</v>
      </c>
      <c r="J465" s="7" t="s">
        <v>713</v>
      </c>
    </row>
    <row r="466" spans="1:10" x14ac:dyDescent="0.25" outlineLevel="2" collapsed="1">
      <c r="A466" s="7" t="s">
        <v>15</v>
      </c>
      <c r="B466" s="7" t="s">
        <v>16</v>
      </c>
      <c r="C466" s="7" t="s">
        <v>17</v>
      </c>
      <c r="D466" s="7"/>
      <c r="E466" s="7" t="s">
        <v>3227</v>
      </c>
      <c r="F466" s="7" t="s">
        <v>19</v>
      </c>
      <c r="G466" s="7" t="s">
        <v>3228</v>
      </c>
      <c r="H466" s="7" t="s">
        <v>17</v>
      </c>
      <c r="I466" s="7" t="s">
        <v>17</v>
      </c>
      <c r="J466" s="7" t="s">
        <v>719</v>
      </c>
    </row>
    <row r="467" spans="1:10" x14ac:dyDescent="0.25" outlineLevel="2" collapsed="1">
      <c r="A467" s="7" t="s">
        <v>19</v>
      </c>
      <c r="B467" s="7" t="s">
        <v>16</v>
      </c>
      <c r="C467" s="7" t="s">
        <v>17</v>
      </c>
      <c r="D467" s="7"/>
      <c r="E467" s="7" t="s">
        <v>3229</v>
      </c>
      <c r="F467" s="7" t="s">
        <v>19</v>
      </c>
      <c r="G467" s="7" t="s">
        <v>31</v>
      </c>
      <c r="H467" s="7" t="s">
        <v>17</v>
      </c>
      <c r="I467" s="7" t="s">
        <v>17</v>
      </c>
      <c r="J467" s="7" t="s">
        <v>3230</v>
      </c>
    </row>
    <row r="468" spans="1:10" x14ac:dyDescent="0.25" outlineLevel="1" collapsed="1">
      <c r="A468" s="8" t="s">
        <v>15</v>
      </c>
      <c r="B468" s="9" t="s">
        <v>3231</v>
      </c>
      <c r="C468" s="8" t="s">
        <v>17</v>
      </c>
      <c r="D468" s="8"/>
      <c r="E468" s="8" t="s">
        <v>3232</v>
      </c>
      <c r="F468" s="8" t="s">
        <v>19</v>
      </c>
      <c r="G468" s="8" t="s">
        <v>17</v>
      </c>
      <c r="H468" s="8" t="s">
        <v>17</v>
      </c>
      <c r="I468" s="8" t="s">
        <v>17</v>
      </c>
      <c r="J468" s="8" t="s">
        <v>3233</v>
      </c>
    </row>
    <row r="469" spans="1:10" x14ac:dyDescent="0.25" outlineLevel="2" collapsed="1">
      <c r="A469" s="7" t="s">
        <v>15</v>
      </c>
      <c r="B469" s="7" t="s">
        <v>16</v>
      </c>
      <c r="C469" s="7" t="s">
        <v>17</v>
      </c>
      <c r="D469" s="7"/>
      <c r="E469" s="7" t="s">
        <v>3234</v>
      </c>
      <c r="F469" s="7" t="s">
        <v>19</v>
      </c>
      <c r="G469" s="7" t="s">
        <v>3235</v>
      </c>
      <c r="H469" s="7" t="s">
        <v>17</v>
      </c>
      <c r="I469" s="7" t="s">
        <v>17</v>
      </c>
      <c r="J469" s="7" t="s">
        <v>3236</v>
      </c>
    </row>
    <row r="470" spans="1:10" x14ac:dyDescent="0.25" outlineLevel="2" collapsed="1">
      <c r="A470" s="8" t="s">
        <v>19</v>
      </c>
      <c r="B470" s="9" t="s">
        <v>3237</v>
      </c>
      <c r="C470" s="8" t="s">
        <v>17</v>
      </c>
      <c r="D470" s="8"/>
      <c r="E470" s="8" t="s">
        <v>3238</v>
      </c>
      <c r="F470" s="8" t="s">
        <v>15</v>
      </c>
      <c r="G470" s="8" t="s">
        <v>17</v>
      </c>
      <c r="H470" s="8" t="s">
        <v>17</v>
      </c>
      <c r="I470" s="8" t="s">
        <v>17</v>
      </c>
      <c r="J470" s="8" t="s">
        <v>3239</v>
      </c>
    </row>
    <row r="471" spans="1:10" x14ac:dyDescent="0.25" outlineLevel="3" collapsed="1">
      <c r="A471" s="7" t="s">
        <v>15</v>
      </c>
      <c r="B471" s="7" t="s">
        <v>16</v>
      </c>
      <c r="C471" s="7" t="s">
        <v>17</v>
      </c>
      <c r="D471" s="7"/>
      <c r="E471" s="7" t="s">
        <v>728</v>
      </c>
      <c r="F471" s="7" t="s">
        <v>19</v>
      </c>
      <c r="G471" s="7" t="s">
        <v>729</v>
      </c>
      <c r="H471" s="7" t="s">
        <v>17</v>
      </c>
      <c r="I471" s="7" t="s">
        <v>17</v>
      </c>
      <c r="J471" s="7" t="s">
        <v>730</v>
      </c>
    </row>
    <row r="472" spans="1:10" x14ac:dyDescent="0.25" outlineLevel="3" collapsed="1">
      <c r="A472" s="7" t="s">
        <v>15</v>
      </c>
      <c r="B472" s="7" t="s">
        <v>16</v>
      </c>
      <c r="C472" s="7" t="s">
        <v>17</v>
      </c>
      <c r="D472" s="7"/>
      <c r="E472" s="7" t="s">
        <v>731</v>
      </c>
      <c r="F472" s="7" t="s">
        <v>19</v>
      </c>
      <c r="G472" s="7" t="s">
        <v>732</v>
      </c>
      <c r="H472" s="7" t="s">
        <v>17</v>
      </c>
      <c r="I472" s="7" t="s">
        <v>17</v>
      </c>
      <c r="J472" s="7" t="s">
        <v>733</v>
      </c>
    </row>
    <row r="473" spans="1:10" x14ac:dyDescent="0.25" outlineLevel="3" collapsed="1">
      <c r="A473" s="7" t="s">
        <v>15</v>
      </c>
      <c r="B473" s="7" t="s">
        <v>291</v>
      </c>
      <c r="C473" s="7" t="s">
        <v>17</v>
      </c>
      <c r="D473" s="7"/>
      <c r="E473" s="7" t="s">
        <v>30</v>
      </c>
      <c r="F473" s="7" t="s">
        <v>19</v>
      </c>
      <c r="G473" s="7" t="s">
        <v>293</v>
      </c>
      <c r="H473" s="7" t="s">
        <v>17</v>
      </c>
      <c r="I473" s="7" t="s">
        <v>17</v>
      </c>
      <c r="J473" s="7" t="s">
        <v>734</v>
      </c>
    </row>
    <row r="474" spans="1:10" x14ac:dyDescent="0.25" outlineLevel="3" collapsed="1">
      <c r="A474" s="7" t="s">
        <v>15</v>
      </c>
      <c r="B474" s="7" t="s">
        <v>291</v>
      </c>
      <c r="C474" s="7" t="s">
        <v>17</v>
      </c>
      <c r="D474" s="7"/>
      <c r="E474" s="7" t="s">
        <v>33</v>
      </c>
      <c r="F474" s="7" t="s">
        <v>19</v>
      </c>
      <c r="G474" s="7" t="s">
        <v>293</v>
      </c>
      <c r="H474" s="7" t="s">
        <v>17</v>
      </c>
      <c r="I474" s="7" t="s">
        <v>17</v>
      </c>
      <c r="J474" s="7" t="s">
        <v>735</v>
      </c>
    </row>
    <row r="475" spans="1:10" x14ac:dyDescent="0.25" outlineLevel="3" collapsed="1">
      <c r="A475" s="7" t="s">
        <v>15</v>
      </c>
      <c r="B475" s="7" t="s">
        <v>63</v>
      </c>
      <c r="C475" s="7" t="s">
        <v>17</v>
      </c>
      <c r="D475" s="7"/>
      <c r="E475" s="7" t="s">
        <v>3240</v>
      </c>
      <c r="F475" s="7" t="s">
        <v>19</v>
      </c>
      <c r="G475" s="7">
        <v>276.0886</v>
      </c>
      <c r="H475" s="7" t="s">
        <v>17</v>
      </c>
      <c r="I475" s="7" t="s">
        <v>17</v>
      </c>
      <c r="J475" s="7" t="s">
        <v>3241</v>
      </c>
    </row>
    <row r="476" spans="1:10" x14ac:dyDescent="0.25" outlineLevel="3" collapsed="1">
      <c r="A476" s="7" t="s">
        <v>15</v>
      </c>
      <c r="B476" s="7" t="s">
        <v>63</v>
      </c>
      <c r="C476" s="7" t="s">
        <v>17</v>
      </c>
      <c r="D476" s="7"/>
      <c r="E476" s="7" t="s">
        <v>3242</v>
      </c>
      <c r="F476" s="7" t="s">
        <v>19</v>
      </c>
      <c r="G476" s="7">
        <v>0.3504</v>
      </c>
      <c r="H476" s="7" t="s">
        <v>17</v>
      </c>
      <c r="I476" s="7" t="s">
        <v>17</v>
      </c>
      <c r="J476" s="7" t="s">
        <v>3243</v>
      </c>
    </row>
    <row r="477" spans="1:10" x14ac:dyDescent="0.25" outlineLevel="3" collapsed="1">
      <c r="A477" s="7" t="s">
        <v>15</v>
      </c>
      <c r="B477" s="7" t="s">
        <v>63</v>
      </c>
      <c r="C477" s="7" t="s">
        <v>17</v>
      </c>
      <c r="D477" s="7"/>
      <c r="E477" s="7" t="s">
        <v>2029</v>
      </c>
      <c r="F477" s="7" t="s">
        <v>19</v>
      </c>
      <c r="G477" s="7">
        <v>0</v>
      </c>
      <c r="H477" s="7" t="s">
        <v>17</v>
      </c>
      <c r="I477" s="7" t="s">
        <v>17</v>
      </c>
      <c r="J477" s="7" t="s">
        <v>3244</v>
      </c>
    </row>
    <row r="478" spans="1:10" x14ac:dyDescent="0.25" outlineLevel="3" collapsed="1">
      <c r="A478" s="7" t="s">
        <v>15</v>
      </c>
      <c r="B478" s="7" t="s">
        <v>63</v>
      </c>
      <c r="C478" s="7" t="s">
        <v>17</v>
      </c>
      <c r="D478" s="7"/>
      <c r="E478" s="7" t="s">
        <v>3245</v>
      </c>
      <c r="F478" s="7" t="s">
        <v>19</v>
      </c>
      <c r="G478" s="7">
        <v>275.738</v>
      </c>
      <c r="H478" s="7" t="s">
        <v>17</v>
      </c>
      <c r="I478" s="7" t="s">
        <v>17</v>
      </c>
      <c r="J478" s="7" t="s">
        <v>3246</v>
      </c>
    </row>
    <row r="479" spans="1:10" x14ac:dyDescent="0.25" outlineLevel="3" collapsed="1">
      <c r="A479" s="7" t="s">
        <v>15</v>
      </c>
      <c r="B479" s="7" t="s">
        <v>63</v>
      </c>
      <c r="C479" s="7" t="s">
        <v>17</v>
      </c>
      <c r="D479" s="7"/>
      <c r="E479" s="7" t="s">
        <v>3247</v>
      </c>
      <c r="F479" s="7" t="s">
        <v>19</v>
      </c>
      <c r="G479" s="7">
        <v>0</v>
      </c>
      <c r="H479" s="7" t="s">
        <v>17</v>
      </c>
      <c r="I479" s="7" t="s">
        <v>17</v>
      </c>
      <c r="J479" s="7" t="s">
        <v>3248</v>
      </c>
    </row>
    <row r="480" spans="1:10" x14ac:dyDescent="0.25" outlineLevel="3" collapsed="1">
      <c r="A480" s="7" t="s">
        <v>15</v>
      </c>
      <c r="B480" s="7" t="s">
        <v>63</v>
      </c>
      <c r="C480" s="7" t="s">
        <v>17</v>
      </c>
      <c r="D480" s="7"/>
      <c r="E480" s="7" t="s">
        <v>3249</v>
      </c>
      <c r="F480" s="7" t="s">
        <v>19</v>
      </c>
      <c r="G480" s="7">
        <v>275.738</v>
      </c>
      <c r="H480" s="7" t="s">
        <v>17</v>
      </c>
      <c r="I480" s="7" t="s">
        <v>17</v>
      </c>
      <c r="J480" s="7" t="s">
        <v>3250</v>
      </c>
    </row>
    <row r="481" spans="1:10" x14ac:dyDescent="0.25" outlineLevel="3" collapsed="1">
      <c r="A481" s="7" t="s">
        <v>19</v>
      </c>
      <c r="B481" s="7" t="s">
        <v>63</v>
      </c>
      <c r="C481" s="7" t="s">
        <v>17</v>
      </c>
      <c r="D481" s="7"/>
      <c r="E481" s="7" t="s">
        <v>3251</v>
      </c>
      <c r="F481" s="7" t="s">
        <v>19</v>
      </c>
      <c r="G481" s="7">
        <v>1</v>
      </c>
      <c r="H481" s="7" t="s">
        <v>17</v>
      </c>
      <c r="I481" s="7" t="s">
        <v>17</v>
      </c>
      <c r="J481" s="7" t="s">
        <v>3252</v>
      </c>
    </row>
    <row r="482" spans="1:10" x14ac:dyDescent="0.25" outlineLevel="3" collapsed="1">
      <c r="A482" s="7" t="s">
        <v>19</v>
      </c>
      <c r="B482" s="7" t="s">
        <v>63</v>
      </c>
      <c r="C482" s="7" t="s">
        <v>17</v>
      </c>
      <c r="D482" s="7"/>
      <c r="E482" s="7" t="s">
        <v>2037</v>
      </c>
      <c r="F482" s="7" t="s">
        <v>19</v>
      </c>
      <c r="G482" s="7">
        <v>1</v>
      </c>
      <c r="H482" s="7" t="s">
        <v>17</v>
      </c>
      <c r="I482" s="7" t="s">
        <v>17</v>
      </c>
      <c r="J482" s="7" t="s">
        <v>2038</v>
      </c>
    </row>
    <row r="483" spans="1:10" x14ac:dyDescent="0.25" outlineLevel="3" collapsed="1">
      <c r="A483" s="7" t="s">
        <v>19</v>
      </c>
      <c r="B483" s="7" t="s">
        <v>63</v>
      </c>
      <c r="C483" s="7" t="s">
        <v>17</v>
      </c>
      <c r="D483" s="7"/>
      <c r="E483" s="7" t="s">
        <v>2039</v>
      </c>
      <c r="F483" s="7" t="s">
        <v>19</v>
      </c>
      <c r="G483" s="7">
        <v>1</v>
      </c>
      <c r="H483" s="7" t="s">
        <v>17</v>
      </c>
      <c r="I483" s="7" t="s">
        <v>17</v>
      </c>
      <c r="J483" s="7" t="s">
        <v>2040</v>
      </c>
    </row>
    <row r="484" spans="1:10" x14ac:dyDescent="0.25" outlineLevel="3" collapsed="1">
      <c r="A484" s="7" t="s">
        <v>19</v>
      </c>
      <c r="B484" s="7" t="s">
        <v>63</v>
      </c>
      <c r="C484" s="7" t="s">
        <v>17</v>
      </c>
      <c r="D484" s="7"/>
      <c r="E484" s="7" t="s">
        <v>2041</v>
      </c>
      <c r="F484" s="7" t="s">
        <v>19</v>
      </c>
      <c r="G484" s="7">
        <v>1</v>
      </c>
      <c r="H484" s="7" t="s">
        <v>17</v>
      </c>
      <c r="I484" s="7" t="s">
        <v>17</v>
      </c>
      <c r="J484" s="7" t="s">
        <v>2042</v>
      </c>
    </row>
    <row r="485" spans="1:10" x14ac:dyDescent="0.25" outlineLevel="2" collapsed="1">
      <c r="A485" s="7" t="s">
        <v>19</v>
      </c>
      <c r="B485" s="7" t="s">
        <v>16</v>
      </c>
      <c r="C485" s="7" t="s">
        <v>17</v>
      </c>
      <c r="D485" s="7"/>
      <c r="E485" s="7" t="s">
        <v>2258</v>
      </c>
      <c r="F485" s="7" t="s">
        <v>19</v>
      </c>
      <c r="G485" s="7" t="s">
        <v>31</v>
      </c>
      <c r="H485" s="7" t="s">
        <v>17</v>
      </c>
      <c r="I485" s="7" t="s">
        <v>17</v>
      </c>
      <c r="J485" s="7" t="s">
        <v>2259</v>
      </c>
    </row>
    <row r="486" spans="1:10" x14ac:dyDescent="0.25" outlineLevel="2" collapsed="1">
      <c r="A486" s="7" t="s">
        <v>19</v>
      </c>
      <c r="B486" s="7" t="s">
        <v>16</v>
      </c>
      <c r="C486" s="7" t="s">
        <v>17</v>
      </c>
      <c r="D486" s="7"/>
      <c r="E486" s="7" t="s">
        <v>2260</v>
      </c>
      <c r="F486" s="7" t="s">
        <v>19</v>
      </c>
      <c r="G486" s="7" t="s">
        <v>31</v>
      </c>
      <c r="H486" s="7" t="s">
        <v>17</v>
      </c>
      <c r="I486" s="7" t="s">
        <v>17</v>
      </c>
      <c r="J486" s="7" t="s">
        <v>2261</v>
      </c>
    </row>
    <row r="487" spans="1:10" x14ac:dyDescent="0.25" outlineLevel="2" collapsed="1">
      <c r="A487" s="7" t="s">
        <v>19</v>
      </c>
      <c r="B487" s="7" t="s">
        <v>16</v>
      </c>
      <c r="C487" s="7" t="s">
        <v>17</v>
      </c>
      <c r="D487" s="7"/>
      <c r="E487" s="7" t="s">
        <v>3253</v>
      </c>
      <c r="F487" s="7" t="s">
        <v>19</v>
      </c>
      <c r="G487" s="7" t="s">
        <v>31</v>
      </c>
      <c r="H487" s="7" t="s">
        <v>17</v>
      </c>
      <c r="I487" s="7" t="s">
        <v>17</v>
      </c>
      <c r="J487" s="7" t="s">
        <v>3254</v>
      </c>
    </row>
    <row r="488" spans="1:10" x14ac:dyDescent="0.25">
      <c r="A488" s="5" t="s">
        <v>15</v>
      </c>
      <c r="B488" s="5" t="s">
        <v>284</v>
      </c>
      <c r="C488" s="10" t="s">
        <v>3255</v>
      </c>
      <c r="D488" s="5"/>
      <c r="E488" s="5" t="s">
        <v>3255</v>
      </c>
      <c r="F488" s="5" t="s">
        <v>19</v>
      </c>
      <c r="G488" s="5" t="s">
        <v>3256</v>
      </c>
      <c r="H488" s="5" t="s">
        <v>17</v>
      </c>
      <c r="I488" s="5" t="s">
        <v>17</v>
      </c>
      <c r="J488" s="5" t="s">
        <v>3257</v>
      </c>
    </row>
    <row r="489" spans="1:10" x14ac:dyDescent="0.25">
      <c r="A489" s="5" t="s">
        <v>19</v>
      </c>
      <c r="B489" s="6" t="s">
        <v>791</v>
      </c>
      <c r="C489" s="5" t="s">
        <v>17</v>
      </c>
      <c r="D489" s="5"/>
      <c r="E489" s="5" t="s">
        <v>792</v>
      </c>
      <c r="F489" s="5" t="s">
        <v>15</v>
      </c>
      <c r="G489" s="5" t="s">
        <v>17</v>
      </c>
      <c r="H489" s="5" t="s">
        <v>17</v>
      </c>
      <c r="I489" s="5" t="s">
        <v>17</v>
      </c>
      <c r="J489" s="5" t="s">
        <v>793</v>
      </c>
    </row>
    <row r="490" spans="1:10" x14ac:dyDescent="0.25" outlineLevel="1" collapsed="1">
      <c r="A490" s="7" t="s">
        <v>19</v>
      </c>
      <c r="B490" s="7" t="s">
        <v>16</v>
      </c>
      <c r="C490" s="7" t="s">
        <v>17</v>
      </c>
      <c r="D490" s="7"/>
      <c r="E490" s="7" t="s">
        <v>794</v>
      </c>
      <c r="F490" s="7" t="s">
        <v>19</v>
      </c>
      <c r="G490" s="7" t="s">
        <v>795</v>
      </c>
      <c r="H490" s="7" t="s">
        <v>17</v>
      </c>
      <c r="I490" s="7" t="s">
        <v>17</v>
      </c>
      <c r="J490" s="7" t="s">
        <v>796</v>
      </c>
    </row>
    <row r="491" spans="1:10" x14ac:dyDescent="0.25" outlineLevel="1" collapsed="1">
      <c r="A491" s="7" t="s">
        <v>19</v>
      </c>
      <c r="B491" s="7" t="s">
        <v>16</v>
      </c>
      <c r="C491" s="7" t="s">
        <v>17</v>
      </c>
      <c r="D491" s="7"/>
      <c r="E491" s="7" t="s">
        <v>797</v>
      </c>
      <c r="F491" s="7" t="s">
        <v>19</v>
      </c>
      <c r="G491" s="7" t="s">
        <v>31</v>
      </c>
      <c r="H491" s="7" t="s">
        <v>17</v>
      </c>
      <c r="I491" s="7" t="s">
        <v>17</v>
      </c>
      <c r="J491" s="7" t="s">
        <v>798</v>
      </c>
    </row>
    <row r="492" spans="1:10" x14ac:dyDescent="0.25" outlineLevel="1" collapsed="1">
      <c r="A492" s="7" t="s">
        <v>19</v>
      </c>
      <c r="B492" s="7" t="s">
        <v>16</v>
      </c>
      <c r="C492" s="7" t="s">
        <v>17</v>
      </c>
      <c r="D492" s="7"/>
      <c r="E492" s="7" t="s">
        <v>799</v>
      </c>
      <c r="F492" s="7" t="s">
        <v>19</v>
      </c>
      <c r="G492" s="7" t="s">
        <v>31</v>
      </c>
      <c r="H492" s="7" t="s">
        <v>17</v>
      </c>
      <c r="I492" s="7" t="s">
        <v>17</v>
      </c>
      <c r="J492" s="7" t="s">
        <v>800</v>
      </c>
    </row>
    <row r="493" spans="1:10" x14ac:dyDescent="0.25">
      <c r="A493" s="5" t="s">
        <v>19</v>
      </c>
      <c r="B493" s="6" t="s">
        <v>801</v>
      </c>
      <c r="C493" s="5" t="s">
        <v>17</v>
      </c>
      <c r="D493" s="5"/>
      <c r="E493" s="5" t="s">
        <v>802</v>
      </c>
      <c r="F493" s="5" t="s">
        <v>15</v>
      </c>
      <c r="G493" s="5" t="s">
        <v>17</v>
      </c>
      <c r="H493" s="5" t="s">
        <v>17</v>
      </c>
      <c r="I493" s="5" t="s">
        <v>17</v>
      </c>
      <c r="J493" s="5" t="s">
        <v>803</v>
      </c>
    </row>
    <row r="494" spans="1:10" x14ac:dyDescent="0.25" outlineLevel="1" collapsed="1">
      <c r="A494" s="7" t="s">
        <v>15</v>
      </c>
      <c r="B494" s="7" t="s">
        <v>16</v>
      </c>
      <c r="C494" s="7" t="s">
        <v>17</v>
      </c>
      <c r="D494" s="7"/>
      <c r="E494" s="7" t="s">
        <v>804</v>
      </c>
      <c r="F494" s="7" t="s">
        <v>19</v>
      </c>
      <c r="G494" s="7" t="s">
        <v>475</v>
      </c>
      <c r="H494" s="7" t="s">
        <v>17</v>
      </c>
      <c r="I494" s="7" t="s">
        <v>17</v>
      </c>
      <c r="J494" s="7" t="s">
        <v>805</v>
      </c>
    </row>
    <row r="495" spans="1:10" x14ac:dyDescent="0.25" outlineLevel="1" collapsed="1">
      <c r="A495" s="7" t="s">
        <v>19</v>
      </c>
      <c r="B495" s="7" t="s">
        <v>291</v>
      </c>
      <c r="C495" s="7" t="s">
        <v>17</v>
      </c>
      <c r="D495" s="7"/>
      <c r="E495" s="7" t="s">
        <v>806</v>
      </c>
      <c r="F495" s="7" t="s">
        <v>19</v>
      </c>
      <c r="G495" s="7" t="s">
        <v>293</v>
      </c>
      <c r="H495" s="7" t="s">
        <v>17</v>
      </c>
      <c r="I495" s="7" t="s">
        <v>17</v>
      </c>
      <c r="J495" s="7" t="s">
        <v>807</v>
      </c>
    </row>
    <row r="496" spans="1:10" x14ac:dyDescent="0.25" outlineLevel="1" collapsed="1">
      <c r="A496" s="7" t="s">
        <v>19</v>
      </c>
      <c r="B496" s="7" t="s">
        <v>16</v>
      </c>
      <c r="C496" s="7" t="s">
        <v>17</v>
      </c>
      <c r="D496" s="7"/>
      <c r="E496" s="7" t="s">
        <v>808</v>
      </c>
      <c r="F496" s="7" t="s">
        <v>19</v>
      </c>
      <c r="G496" s="7" t="s">
        <v>809</v>
      </c>
      <c r="H496" s="7" t="s">
        <v>17</v>
      </c>
      <c r="I496" s="7" t="s">
        <v>17</v>
      </c>
      <c r="J496" s="7" t="s">
        <v>810</v>
      </c>
    </row>
    <row r="497" spans="1:10" x14ac:dyDescent="0.25" outlineLevel="1" collapsed="1">
      <c r="A497" s="7" t="s">
        <v>15</v>
      </c>
      <c r="B497" s="7" t="s">
        <v>284</v>
      </c>
      <c r="C497" s="11" t="s">
        <v>811</v>
      </c>
      <c r="D497" s="7"/>
      <c r="E497" s="7" t="s">
        <v>812</v>
      </c>
      <c r="F497" s="7" t="s">
        <v>19</v>
      </c>
      <c r="G497" s="7" t="s">
        <v>479</v>
      </c>
      <c r="H497" s="7" t="s">
        <v>17</v>
      </c>
      <c r="I497" s="7" t="s">
        <v>17</v>
      </c>
      <c r="J497" s="7" t="s">
        <v>480</v>
      </c>
    </row>
    <row r="498" spans="1:10" x14ac:dyDescent="0.25" outlineLevel="1" collapsed="1">
      <c r="A498" s="7" t="s">
        <v>19</v>
      </c>
      <c r="B498" s="7" t="s">
        <v>16</v>
      </c>
      <c r="C498" s="7" t="s">
        <v>17</v>
      </c>
      <c r="D498" s="7"/>
      <c r="E498" s="7" t="s">
        <v>813</v>
      </c>
      <c r="F498" s="7" t="s">
        <v>19</v>
      </c>
      <c r="G498" s="7" t="s">
        <v>482</v>
      </c>
      <c r="H498" s="7" t="s">
        <v>17</v>
      </c>
      <c r="I498" s="7" t="s">
        <v>17</v>
      </c>
      <c r="J498" s="7" t="s">
        <v>814</v>
      </c>
    </row>
    <row r="499" spans="1:10" x14ac:dyDescent="0.25" outlineLevel="1" collapsed="1">
      <c r="A499" s="7" t="s">
        <v>19</v>
      </c>
      <c r="B499" s="7" t="s">
        <v>16</v>
      </c>
      <c r="C499" s="7" t="s">
        <v>17</v>
      </c>
      <c r="D499" s="7"/>
      <c r="E499" s="7" t="s">
        <v>815</v>
      </c>
      <c r="F499" s="7" t="s">
        <v>19</v>
      </c>
      <c r="G499" s="7" t="s">
        <v>31</v>
      </c>
      <c r="H499" s="7" t="s">
        <v>17</v>
      </c>
      <c r="I499" s="7" t="s">
        <v>17</v>
      </c>
      <c r="J499" s="7" t="s">
        <v>816</v>
      </c>
    </row>
    <row r="500" spans="1:10" x14ac:dyDescent="0.25" outlineLevel="1" collapsed="1">
      <c r="A500" s="7" t="s">
        <v>19</v>
      </c>
      <c r="B500" s="7" t="s">
        <v>16</v>
      </c>
      <c r="C500" s="7" t="s">
        <v>17</v>
      </c>
      <c r="D500" s="7"/>
      <c r="E500" s="7" t="s">
        <v>817</v>
      </c>
      <c r="F500" s="7" t="s">
        <v>19</v>
      </c>
      <c r="G500" s="7" t="s">
        <v>31</v>
      </c>
      <c r="H500" s="7" t="s">
        <v>17</v>
      </c>
      <c r="I500" s="7" t="s">
        <v>17</v>
      </c>
      <c r="J500" s="7" t="s">
        <v>818</v>
      </c>
    </row>
    <row r="501" spans="1:10" x14ac:dyDescent="0.25">
      <c r="A501" s="5" t="s">
        <v>15</v>
      </c>
      <c r="B501" s="6" t="s">
        <v>819</v>
      </c>
      <c r="C501" s="5" t="s">
        <v>17</v>
      </c>
      <c r="D501" s="5"/>
      <c r="E501" s="5" t="s">
        <v>820</v>
      </c>
      <c r="F501" s="5" t="s">
        <v>15</v>
      </c>
      <c r="G501" s="5" t="s">
        <v>17</v>
      </c>
      <c r="H501" s="5" t="s">
        <v>17</v>
      </c>
      <c r="I501" s="5" t="s">
        <v>17</v>
      </c>
      <c r="J501" s="5" t="s">
        <v>821</v>
      </c>
    </row>
    <row r="502" spans="1:10" x14ac:dyDescent="0.25" outlineLevel="1" collapsed="1">
      <c r="A502" s="7" t="s">
        <v>15</v>
      </c>
      <c r="B502" s="7" t="s">
        <v>16</v>
      </c>
      <c r="C502" s="7" t="s">
        <v>17</v>
      </c>
      <c r="D502" s="7"/>
      <c r="E502" s="7" t="s">
        <v>822</v>
      </c>
      <c r="F502" s="7" t="s">
        <v>19</v>
      </c>
      <c r="G502" s="7" t="s">
        <v>823</v>
      </c>
      <c r="H502" s="7" t="s">
        <v>17</v>
      </c>
      <c r="I502" s="7" t="s">
        <v>17</v>
      </c>
      <c r="J502" s="7" t="s">
        <v>824</v>
      </c>
    </row>
    <row r="503" spans="1:10" x14ac:dyDescent="0.25" outlineLevel="1" collapsed="1">
      <c r="A503" s="7" t="s">
        <v>15</v>
      </c>
      <c r="B503" s="7" t="s">
        <v>16</v>
      </c>
      <c r="C503" s="7" t="s">
        <v>17</v>
      </c>
      <c r="D503" s="7"/>
      <c r="E503" s="7" t="s">
        <v>825</v>
      </c>
      <c r="F503" s="7" t="s">
        <v>19</v>
      </c>
      <c r="G503" s="7" t="s">
        <v>826</v>
      </c>
      <c r="H503" s="7" t="s">
        <v>17</v>
      </c>
      <c r="I503" s="7" t="s">
        <v>17</v>
      </c>
      <c r="J503" s="7" t="s">
        <v>827</v>
      </c>
    </row>
    <row r="504" spans="1:10" x14ac:dyDescent="0.25" outlineLevel="1" collapsed="1">
      <c r="A504" s="7" t="s">
        <v>15</v>
      </c>
      <c r="B504" s="7" t="s">
        <v>16</v>
      </c>
      <c r="C504" s="7" t="s">
        <v>17</v>
      </c>
      <c r="D504" s="7"/>
      <c r="E504" s="7" t="s">
        <v>828</v>
      </c>
      <c r="F504" s="7" t="s">
        <v>19</v>
      </c>
      <c r="G504" s="7" t="s">
        <v>829</v>
      </c>
      <c r="H504" s="7" t="s">
        <v>17</v>
      </c>
      <c r="I504" s="7" t="s">
        <v>17</v>
      </c>
      <c r="J504" s="7" t="s">
        <v>830</v>
      </c>
    </row>
    <row r="505" spans="1:10" x14ac:dyDescent="0.25">
      <c r="A505" s="5" t="s">
        <v>19</v>
      </c>
      <c r="B505" s="6" t="s">
        <v>831</v>
      </c>
      <c r="C505" s="5" t="s">
        <v>17</v>
      </c>
      <c r="D505" s="5"/>
      <c r="E505" s="5" t="s">
        <v>832</v>
      </c>
      <c r="F505" s="5" t="s">
        <v>15</v>
      </c>
      <c r="G505" s="5" t="s">
        <v>17</v>
      </c>
      <c r="H505" s="5" t="s">
        <v>17</v>
      </c>
      <c r="I505" s="5" t="s">
        <v>17</v>
      </c>
      <c r="J505" s="5" t="s">
        <v>833</v>
      </c>
    </row>
    <row r="506" spans="1:10" x14ac:dyDescent="0.25" outlineLevel="1" collapsed="1">
      <c r="A506" s="7" t="s">
        <v>19</v>
      </c>
      <c r="B506" s="7" t="s">
        <v>16</v>
      </c>
      <c r="C506" s="7" t="s">
        <v>17</v>
      </c>
      <c r="D506" s="7"/>
      <c r="E506" s="7" t="s">
        <v>834</v>
      </c>
      <c r="F506" s="7" t="s">
        <v>19</v>
      </c>
      <c r="G506" s="7" t="s">
        <v>31</v>
      </c>
      <c r="H506" s="7" t="s">
        <v>17</v>
      </c>
      <c r="I506" s="7" t="s">
        <v>17</v>
      </c>
      <c r="J506" s="7" t="s">
        <v>835</v>
      </c>
    </row>
    <row r="507" spans="1:10" x14ac:dyDescent="0.25" outlineLevel="1" collapsed="1">
      <c r="A507" s="7" t="s">
        <v>19</v>
      </c>
      <c r="B507" s="7" t="s">
        <v>16</v>
      </c>
      <c r="C507" s="7" t="s">
        <v>17</v>
      </c>
      <c r="D507" s="7"/>
      <c r="E507" s="7" t="s">
        <v>836</v>
      </c>
      <c r="F507" s="7" t="s">
        <v>19</v>
      </c>
      <c r="G507" s="7" t="s">
        <v>31</v>
      </c>
      <c r="H507" s="7" t="s">
        <v>17</v>
      </c>
      <c r="I507" s="7" t="s">
        <v>17</v>
      </c>
      <c r="J507" s="7" t="s">
        <v>837</v>
      </c>
    </row>
    <row r="508" spans="1:10" x14ac:dyDescent="0.25">
      <c r="A508" s="5" t="s">
        <v>19</v>
      </c>
      <c r="B508" s="6" t="s">
        <v>3258</v>
      </c>
      <c r="C508" s="5" t="s">
        <v>17</v>
      </c>
      <c r="D508" s="5"/>
      <c r="E508" s="5" t="s">
        <v>839</v>
      </c>
      <c r="F508" s="5" t="s">
        <v>15</v>
      </c>
      <c r="G508" s="5" t="s">
        <v>17</v>
      </c>
      <c r="H508" s="5" t="s">
        <v>17</v>
      </c>
      <c r="I508" s="5" t="s">
        <v>17</v>
      </c>
      <c r="J508" s="5" t="s">
        <v>840</v>
      </c>
    </row>
    <row r="509" spans="1:10" x14ac:dyDescent="0.25" outlineLevel="1" collapsed="1">
      <c r="A509" s="7" t="s">
        <v>19</v>
      </c>
      <c r="B509" s="7" t="s">
        <v>16</v>
      </c>
      <c r="C509" s="7" t="s">
        <v>17</v>
      </c>
      <c r="D509" s="7"/>
      <c r="E509" s="7" t="s">
        <v>841</v>
      </c>
      <c r="F509" s="7" t="s">
        <v>19</v>
      </c>
      <c r="G509" s="7" t="s">
        <v>31</v>
      </c>
      <c r="H509" s="7" t="s">
        <v>17</v>
      </c>
      <c r="I509" s="7" t="s">
        <v>17</v>
      </c>
      <c r="J509" s="7" t="s">
        <v>330</v>
      </c>
    </row>
    <row r="510" spans="1:10" x14ac:dyDescent="0.25" outlineLevel="1" collapsed="1">
      <c r="A510" s="7" t="s">
        <v>19</v>
      </c>
      <c r="B510" s="7" t="s">
        <v>16</v>
      </c>
      <c r="C510" s="7" t="s">
        <v>17</v>
      </c>
      <c r="D510" s="7"/>
      <c r="E510" s="7" t="s">
        <v>842</v>
      </c>
      <c r="F510" s="7" t="s">
        <v>19</v>
      </c>
      <c r="G510" s="7" t="s">
        <v>31</v>
      </c>
      <c r="H510" s="7" t="s">
        <v>17</v>
      </c>
      <c r="I510" s="7" t="s">
        <v>17</v>
      </c>
      <c r="J510" s="7" t="s">
        <v>843</v>
      </c>
    </row>
  </sheetData>
  <mergeCells count="3">
    <mergeCell ref="A1:J1"/>
    <mergeCell ref="B2:J2"/>
    <mergeCell ref="B3:J3"/>
  </mergeCells>
  <dataValidations count="4">
    <dataValidation type="list" allowBlank="1" sqref="G488:I488">
      <formula1>'Enums'!C263:C265</formula1>
    </dataValidation>
    <dataValidation type="list" allowBlank="1" sqref="G497:I497">
      <formula1>'Enums'!C790:C792</formula1>
    </dataValidation>
    <dataValidation type="list" allowBlank="1" sqref="G8:I8">
      <formula1>'Enums'!C259:C259</formula1>
    </dataValidation>
    <dataValidation type="list" allowBlank="1" sqref="G80:I80">
      <formula1>'Enums'!C799:C801</formula1>
    </dataValidation>
  </dataValidations>
  <hyperlinks>
    <hyperlink ref="B22" r:id="rId1" location="#'Report file row (Validation)'!A1"/>
    <hyperlink ref="B26" r:id="rId2" location="#'1. Introduction (VCS Validatio'!A1"/>
    <hyperlink ref="B31" r:id="rId3" location="#'2. Validation Process (VCS Val'!A1"/>
    <hyperlink ref="B32" r:id="rId4" location="#'2.1 Method and Criteria (VC 2'!A1"/>
    <hyperlink ref="B34" r:id="rId5" location="#'Schedule milestone (Validation'!A1"/>
    <hyperlink ref="B37" r:id="rId6" location="#'2.2 Document Review (VCS Valid'!A1"/>
    <hyperlink ref="B38" r:id="rId7" location="#'Document review summary (Valid'!A1"/>
    <hyperlink ref="B44" r:id="rId8" location="#'Document list row (Validation'!A1"/>
    <hyperlink ref="B49" r:id="rId9" location="#'Document review details row (V'!A1"/>
    <hyperlink ref="B55" r:id="rId10" location="#'Interviews (Validation)'!A1"/>
    <hyperlink ref="B59" r:id="rId11" location="#'Interviewee row (Validation an'!A1"/>
    <hyperlink ref="B63" r:id="rId12" location="#'Site visits (Validation and Ve'!A1"/>
    <hyperlink ref="B72" r:id="rId13" location="#'Resolution of CARs CLs and  2'!A1"/>
    <hyperlink ref="B78" r:id="rId14" location="#'CARCLFAR reference row (Valida'!A1"/>
    <hyperlink ref="B82" r:id="rId15" location="#'3. Validation Findings (VCS Va'!A1"/>
    <hyperlink ref="B83" r:id="rId16" location="#'3.1 Project Details (VCS Valid'!A1"/>
    <hyperlink ref="B84" r:id="rId17" location="#'3.1.1 Summary Description of P'!A1"/>
    <hyperlink ref="B87" r:id="rId18" location="#'3.1.2 Audit History'!A1"/>
    <hyperlink ref="B91" r:id="rId19" location="#'3.1.3 Sectoral Scope and Proje'!A1"/>
    <hyperlink ref="B94" r:id="rId20" location="#'3.1.4 Project Eligibility'!A1"/>
    <hyperlink ref="B95" r:id="rId21" location="#'3.1.4.1 Deadlines for Particip'!A1"/>
    <hyperlink ref="B101" r:id="rId22" location="#'3.1.4.2 AFOLU Project Eligibil'!A1"/>
    <hyperlink ref="B104" r:id="rId23" location="#'3.1.4.3 Eligibility of Project'!A1"/>
    <hyperlink ref="B111" r:id="rId24" location="#'3.1.4.4 Capacity Limit Eligibi'!A1"/>
    <hyperlink ref="B114" r:id="rId25" location="#'Deadlines for Participation ro'!A1"/>
    <hyperlink ref="B117" r:id="rId26" location="#'3.1.6 Project Start Date and I'!A1"/>
    <hyperlink ref="B120" r:id="rId27" location="#'Deadlines for Participation ro'!A1"/>
    <hyperlink ref="B123" r:id="rId28" location="#'3.1.7 Project Crediting Period'!A1"/>
    <hyperlink ref="B126" r:id="rId29" location="#'3.1.8 Project Scale'!A1"/>
    <hyperlink ref="B129" r:id="rId30" location="#'3.1.9 Project Design'!A1"/>
    <hyperlink ref="B132" r:id="rId31" location="#'Deadlines for Participation ro'!A1"/>
    <hyperlink ref="B135" r:id="rId32" location="#'3.1.10 Conditions Prior to Pro'!A1"/>
    <hyperlink ref="B138" r:id="rId33" location="#'Deadlines for Participation ro'!A1"/>
    <hyperlink ref="B141" r:id="rId34" location="#'3.1.11 Description of the Proj'!A1"/>
    <hyperlink ref="B144" r:id="rId35" location="#'Deadlines for Participation ro'!A1"/>
    <hyperlink ref="B147" r:id="rId36" location="#'3.1.12 Project Location'!A1"/>
    <hyperlink ref="B150" r:id="rId37" location="#'Deadlines for Participation ro'!A1"/>
    <hyperlink ref="B153" r:id="rId38" location="#'3.1.13 Compliance with Laws an'!A1"/>
    <hyperlink ref="B156" r:id="rId39" location="#'Deadlines for Participation ro'!A1"/>
    <hyperlink ref="B159" r:id="rId40" location="#'3.1.14 Double Counting and Par'!A1"/>
    <hyperlink ref="B160" r:id="rId41" location="#'3.1.14.1 No Double Issuance (V'!A1"/>
    <hyperlink ref="B163" r:id="rId42" location="#'3.1.14.2 Registration with Oth'!A1"/>
    <hyperlink ref="B166" r:id="rId43" location="#'3.1.14.3 Projects Rejected by'!A1"/>
    <hyperlink ref="B169" r:id="rId44" location="#'3.1.15 Double Claiming Other F'!A1"/>
    <hyperlink ref="B170" r:id="rId45" location="#'3.1.15.1 No Double Claiming wi'!A1"/>
    <hyperlink ref="B173" r:id="rId46" location="#'3.1.15.2 No Double Claiming wi'!A1"/>
    <hyperlink ref="B176" r:id="rId47" location="#'3.1.15.3 Supply Chain (Scope 3'!A1"/>
    <hyperlink ref="B179" r:id="rId48" location="#'Deadlines for Participation ro'!A1"/>
    <hyperlink ref="B182" r:id="rId49" location="#'3.1.16 Sustainable Development'!A1"/>
    <hyperlink ref="B185" r:id="rId50" location="#'Deadlines for Participation ro'!A1"/>
    <hyperlink ref="B188" r:id="rId51" location="#'3.1.17 Additional Information'!A1"/>
    <hyperlink ref="B189" r:id="rId52" location="#'3.1.17.1 Leakage Management (V'!A1"/>
    <hyperlink ref="B191" r:id="rId53" location="#'3.1.17.2 Sensitive Information'!A1"/>
    <hyperlink ref="B193" r:id="rId54" location="#'3.1.17.3 Further Information ('!A1"/>
    <hyperlink ref="B195" r:id="rId55" location="#'Leakage Management (VCS Valida'!A1"/>
    <hyperlink ref="B197" r:id="rId56" location="#'Sensitive Information (VCS Val'!A1"/>
    <hyperlink ref="B199" r:id="rId57" location="#'Further Information (VCS Valid'!A1"/>
    <hyperlink ref="B201" r:id="rId58" location="#'Deadlines for Participation (V'!A1"/>
    <hyperlink ref="B204" r:id="rId59" location="#'Deadlines for Participation ro'!A1"/>
    <hyperlink ref="B207" r:id="rId60" location="#'Eligibility of Projects Regist'!A1"/>
    <hyperlink ref="B210" r:id="rId61" location="#'Deadlines for Participation ro'!A1"/>
    <hyperlink ref="B213" r:id="rId62" location="#'Capacity Limit Eligibility (VC'!A1"/>
    <hyperlink ref="B216" r:id="rId63" location="#'Deadlines for Participation ro'!A1"/>
    <hyperlink ref="B219" r:id="rId64" location="#'Right to Operate and Right to'!A1"/>
    <hyperlink ref="B222" r:id="rId65" location="#'Deadlines for Participation ro'!A1"/>
    <hyperlink ref="B225" r:id="rId66" location="#'Land or Resource Rights Analys'!A1"/>
    <hyperlink ref="B228" r:id="rId67" location="#'Deadlines for Participation ro'!A1"/>
    <hyperlink ref="B231" r:id="rId68" location="#'No Double Issuance (VCS Valida'!A1"/>
    <hyperlink ref="B234" r:id="rId69" location="#'Deadlines for Participation ro'!A1"/>
    <hyperlink ref="B237" r:id="rId70" location="#'Registration with Other GHG 2'!A1"/>
    <hyperlink ref="B240" r:id="rId71" location="#'Deadlines for Participation ro'!A1"/>
    <hyperlink ref="B243" r:id="rId72" location="#'No Double Claiming with Emi 2'!A1"/>
    <hyperlink ref="B246" r:id="rId73" location="#'Deadlines for Participation ro'!A1"/>
    <hyperlink ref="B249" r:id="rId74" location="#'Supply Chain (Scope 3) Emissio'!A1"/>
    <hyperlink ref="B252" r:id="rId75" location="#'Deadlines for Participation ro'!A1"/>
    <hyperlink ref="B255" r:id="rId76" location="#'3.3 Application of Methodology'!A1"/>
    <hyperlink ref="B256" r:id="rId77" location="#'3.3.1 Methodology Details'!A1"/>
    <hyperlink ref="B259" r:id="rId78" location="#'3.3.2 Applicability and Eligib'!A1"/>
    <hyperlink ref="B260" r:id="rId79" location="#'3.3.2.1 Eligibility of Methodo'!A1"/>
    <hyperlink ref="B262" r:id="rId80" location="#'3.3.2.2 Applicability of Metho'!A1"/>
    <hyperlink ref="B263" r:id="rId81" location="#'3.3.2.2 Applicability conditio'!A1"/>
    <hyperlink ref="B268" r:id="rId82" location="#'3.3.3 Project Boundary'!A1"/>
    <hyperlink ref="B271" r:id="rId83" location="#'3.3.3.1 De Minimis GHG Sources'!A1"/>
    <hyperlink ref="B274" r:id="rId84" location="#'Deadlines for Participation ro'!A1"/>
    <hyperlink ref="B277" r:id="rId85" location="#'3.3.4 Baseline Scenario'!A1"/>
    <hyperlink ref="B280" r:id="rId86" location="#'3.3.4.1 Baseline Reassessment'!A1"/>
    <hyperlink ref="B283" r:id="rId87" location="#'Deadlines for Participation ro'!A1"/>
    <hyperlink ref="B286" r:id="rId88" location="#'3.3.5 Additionality'!A1"/>
    <hyperlink ref="B287" r:id="rId89" location="#'3.3.5.1 Regulatory Surplus (VC'!A1"/>
    <hyperlink ref="B290" r:id="rId90" location="#'3.3.5.2 Additionality Methods'!A1"/>
    <hyperlink ref="B293" r:id="rId91" location="#'3.3.6 Methodology Deviations'!A1"/>
    <hyperlink ref="B296" r:id="rId92" location="#'Deadlines for Participation ro'!A1"/>
    <hyperlink ref="B299" r:id="rId93" location="#'3.3 Methodology details row (V'!A1"/>
    <hyperlink ref="B305" r:id="rId94" location="#'3.3 Applicability of methodolo'!A1"/>
    <hyperlink ref="B310" r:id="rId95" location="#'Project boundary carbon pools'!A1"/>
    <hyperlink ref="B314" r:id="rId96" location="#'Project boundary GHG sources a'!A1"/>
    <hyperlink ref="B320" r:id="rId97" location="#'De Minimis GHG Sources and Car'!A1"/>
    <hyperlink ref="B323" r:id="rId98" location="#'Deadlines for Participation ro'!A1"/>
    <hyperlink ref="B326" r:id="rId99" location="#'Baseline Reassessment (VCS Val'!A1"/>
    <hyperlink ref="B329" r:id="rId100" location="#'Deadlines for Participation ro'!A1"/>
    <hyperlink ref="B332" r:id="rId101" location="#'Regulatory Surplus (VCS Valida'!A1"/>
    <hyperlink ref="B335" r:id="rId102" location="#'Deadlines for Participation ro'!A1"/>
    <hyperlink ref="B338" r:id="rId103" location="#'Additionality Methods (VCS Val'!A1"/>
    <hyperlink ref="B341" r:id="rId104" location="#'Deadlines for Participation ro'!A1"/>
    <hyperlink ref="B344" r:id="rId105" location="#'3.4 Quantification of Estimate'!A1"/>
    <hyperlink ref="B345" r:id="rId106" location="#'3.4.1 Quantification of Baseli'!A1"/>
    <hyperlink ref="B348" r:id="rId107" location="#'Deadlines for Participation ro'!A1"/>
    <hyperlink ref="B351" r:id="rId108" location="#'3.4.2 Other Relevant Quantific'!A1"/>
    <hyperlink ref="B352" r:id="rId109" location="#'3.4.2.1 Non-Permanence Risk An'!A1"/>
    <hyperlink ref="B355" r:id="rId110" location="#'3.4.2.2 Buffer Pool Allocation'!A1"/>
    <hyperlink ref="B357" r:id="rId111" location="#'3.4.2.3 Long-Term Average (VCS'!A1"/>
    <hyperlink ref="B359" r:id="rId112" location="#'3.5 Monitoring (VCS Validation'!A1"/>
    <hyperlink ref="B360" r:id="rId113" location="#'Data and parameter row (Valida'!A1"/>
    <hyperlink ref="B365" r:id="rId114" location="#'3.5.2 Monitoring Plan'!A1"/>
    <hyperlink ref="B368" r:id="rId115" location="#'Deadlines for Participation ro'!A1"/>
    <hyperlink ref="B371" r:id="rId116" location="#'3.1.5 Right to Operate and Rig'!A1"/>
    <hyperlink ref="B372" r:id="rId117" location="#'Safeguards assessment row item'!A1"/>
    <hyperlink ref="B375" r:id="rId118" location="#'Safeguards assessment row item'!A1"/>
    <hyperlink ref="B378" r:id="rId119" location="#'3.2 Stakeholder Engagement and'!A1"/>
    <hyperlink ref="B379" r:id="rId120" location="#'Safeguards assessment row item'!A1"/>
    <hyperlink ref="B382" r:id="rId121" location="#'Safeguards assessment row item'!A1"/>
    <hyperlink ref="B385" r:id="rId122" location="#'Safeguards assessment row item'!A1"/>
    <hyperlink ref="B388" r:id="rId123" location="#'Safeguards assessment row item'!A1"/>
    <hyperlink ref="B391" r:id="rId124" location="#'Safeguards assessment row item'!A1"/>
    <hyperlink ref="B394" r:id="rId125" location="#'Safeguards assessment row item'!A1"/>
    <hyperlink ref="B397" r:id="rId126" location="#'Safeguards assessment row item'!A1"/>
    <hyperlink ref="B400" r:id="rId127" location="#'Safeguards assessment row item'!A1"/>
    <hyperlink ref="B403" r:id="rId128" location="#'Safeguards assessment row item'!A1"/>
    <hyperlink ref="B406" r:id="rId129" location="#'Stakeholder Identification  2'!A1"/>
    <hyperlink ref="B409" r:id="rId130" location="#'Deadlines for Participation ro'!A1"/>
    <hyperlink ref="B412" r:id="rId131" location="#'Stakeholder Consultation an 2'!A1"/>
    <hyperlink ref="B415" r:id="rId132" location="#'Deadlines for Participation ro'!A1"/>
    <hyperlink ref="B418" r:id="rId133" location="#'Free Prior and Informed Con 3'!A1"/>
    <hyperlink ref="B421" r:id="rId134" location="#'Deadlines for Participation ro'!A1"/>
    <hyperlink ref="B424" r:id="rId135" location="#'Benefit-Sharing Mechanism (Oth'!A1"/>
    <hyperlink ref="B427" r:id="rId136" location="#'Deadlines for Participation ro'!A1"/>
    <hyperlink ref="B430" r:id="rId137" location="#'Stakeholder Input Tracker ( 2'!A1"/>
    <hyperlink ref="B433" r:id="rId138" location="#'Deadlines for Participation ro'!A1"/>
    <hyperlink ref="B436" r:id="rId139" location="#'Grievance Redress Mechanism (V'!A1"/>
    <hyperlink ref="B439" r:id="rId140" location="#'Deadlines for Participation ro'!A1"/>
    <hyperlink ref="B442" r:id="rId141" location="#'Ecosystem Restoration (VCS Val'!A1"/>
    <hyperlink ref="B445" r:id="rId142" location="#'Deadlines for Participation ro'!A1"/>
    <hyperlink ref="B448" r:id="rId143" location="#'Management Expertise (VCS Vali'!A1"/>
    <hyperlink ref="B451" r:id="rId144" location="#'Deadlines for Participation ro'!A1"/>
    <hyperlink ref="B454" r:id="rId145" location="#'Environmental Social and Gover'!A1"/>
    <hyperlink ref="B457" r:id="rId146" location="#'Deadlines for Participation ro'!A1"/>
    <hyperlink ref="B460" r:id="rId147" location="#'4. Validation Opinion (VCS Val'!A1"/>
    <hyperlink ref="B461" r:id="rId148" location="#'4.1 Validation Conclusion Summ'!A1"/>
    <hyperlink ref="B468" r:id="rId149" location="#'4.2 Conclusion on Estimated Re'!A1"/>
    <hyperlink ref="B470" r:id="rId150" location="#'Estimated reductions by vintag'!A1"/>
    <hyperlink ref="B489" r:id="rId151" location="#'Appendix 1 row (Validation and'!A1"/>
    <hyperlink ref="B493" r:id="rId152" location="#'Appendix 2 row (Validation and'!A1"/>
    <hyperlink ref="B501" r:id="rId153" location="#'Appendix 3 row (Validation and'!A1"/>
    <hyperlink ref="B505" r:id="rId154" location="#'Appendix X row (Validation and'!A1"/>
    <hyperlink ref="B508" r:id="rId155" location="#'Document history row (Validati'!A1"/>
  </hyperlinks>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3259</v>
      </c>
      <c r="B1" s="1"/>
      <c r="C1" s="1"/>
      <c r="D1" s="1"/>
      <c r="E1" s="1"/>
      <c r="F1" s="1"/>
      <c r="G1" s="1"/>
      <c r="H1" s="1"/>
      <c r="I1" s="1"/>
      <c r="J1" s="1"/>
    </row>
    <row r="2" spans="1:10" x14ac:dyDescent="0.25">
      <c r="A2" s="2" t="s">
        <v>1</v>
      </c>
      <c r="B2" s="3" t="s">
        <v>3260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1418</v>
      </c>
      <c r="C5" s="5" t="s">
        <v>17</v>
      </c>
      <c r="D5" s="5"/>
      <c r="E5" s="5" t="s">
        <v>1419</v>
      </c>
      <c r="F5" s="5" t="s">
        <v>15</v>
      </c>
      <c r="G5" s="5" t="s">
        <v>17</v>
      </c>
      <c r="H5" s="5" t="s">
        <v>17</v>
      </c>
      <c r="I5" s="5" t="s">
        <v>17</v>
      </c>
      <c r="J5" s="5" t="s">
        <v>1420</v>
      </c>
    </row>
    <row r="6" spans="1:10" x14ac:dyDescent="0.25" outlineLevel="1" collapsed="1">
      <c r="A6" s="7" t="s">
        <v>15</v>
      </c>
      <c r="B6" s="7" t="s">
        <v>16</v>
      </c>
      <c r="C6" s="7" t="s">
        <v>17</v>
      </c>
      <c r="D6" s="7"/>
      <c r="E6" s="7" t="s">
        <v>9</v>
      </c>
      <c r="F6" s="7" t="s">
        <v>19</v>
      </c>
      <c r="G6" s="7" t="s">
        <v>31</v>
      </c>
      <c r="H6" s="7" t="s">
        <v>17</v>
      </c>
      <c r="I6" s="7" t="s">
        <v>17</v>
      </c>
      <c r="J6" s="7" t="s">
        <v>843</v>
      </c>
    </row>
    <row r="7" spans="1:10" x14ac:dyDescent="0.25" outlineLevel="1" collapsed="1">
      <c r="A7" s="7" t="s">
        <v>15</v>
      </c>
      <c r="B7" s="7" t="s">
        <v>16</v>
      </c>
      <c r="C7" s="7" t="s">
        <v>17</v>
      </c>
      <c r="D7" s="7"/>
      <c r="E7" s="7" t="s">
        <v>1421</v>
      </c>
      <c r="F7" s="7" t="s">
        <v>19</v>
      </c>
      <c r="G7" s="7" t="s">
        <v>31</v>
      </c>
      <c r="H7" s="7" t="s">
        <v>17</v>
      </c>
      <c r="I7" s="7" t="s">
        <v>17</v>
      </c>
      <c r="J7" s="7" t="s">
        <v>1422</v>
      </c>
    </row>
    <row r="8" spans="1:10" x14ac:dyDescent="0.25" outlineLevel="1" collapsed="1">
      <c r="A8" s="7" t="s">
        <v>15</v>
      </c>
      <c r="B8" s="7" t="s">
        <v>16</v>
      </c>
      <c r="C8" s="7" t="s">
        <v>17</v>
      </c>
      <c r="D8" s="7"/>
      <c r="E8" s="7" t="s">
        <v>1423</v>
      </c>
      <c r="F8" s="7" t="s">
        <v>19</v>
      </c>
      <c r="G8" s="7" t="s">
        <v>31</v>
      </c>
      <c r="H8" s="7" t="s">
        <v>17</v>
      </c>
      <c r="I8" s="7" t="s">
        <v>17</v>
      </c>
      <c r="J8" s="7" t="s">
        <v>1424</v>
      </c>
    </row>
    <row r="9" spans="1:10" x14ac:dyDescent="0.25" outlineLevel="1" collapsed="1">
      <c r="A9" s="7" t="s">
        <v>15</v>
      </c>
      <c r="B9" s="7" t="s">
        <v>16</v>
      </c>
      <c r="C9" s="7" t="s">
        <v>17</v>
      </c>
      <c r="D9" s="7"/>
      <c r="E9" s="7" t="s">
        <v>1425</v>
      </c>
      <c r="F9" s="7" t="s">
        <v>19</v>
      </c>
      <c r="G9" s="7" t="s">
        <v>31</v>
      </c>
      <c r="H9" s="7" t="s">
        <v>17</v>
      </c>
      <c r="I9" s="7" t="s">
        <v>17</v>
      </c>
      <c r="J9" s="7" t="s">
        <v>1426</v>
      </c>
    </row>
    <row r="10" spans="1:10" x14ac:dyDescent="0.25" outlineLevel="1" collapsed="1">
      <c r="A10" s="7" t="s">
        <v>15</v>
      </c>
      <c r="B10" s="7" t="s">
        <v>284</v>
      </c>
      <c r="C10" s="11" t="s">
        <v>1427</v>
      </c>
      <c r="D10" s="7"/>
      <c r="E10" s="7" t="s">
        <v>1428</v>
      </c>
      <c r="F10" s="7" t="s">
        <v>19</v>
      </c>
      <c r="G10" s="7" t="s">
        <v>1429</v>
      </c>
      <c r="H10" s="7" t="s">
        <v>17</v>
      </c>
      <c r="I10" s="7" t="s">
        <v>17</v>
      </c>
      <c r="J10" s="7" t="s">
        <v>1430</v>
      </c>
    </row>
    <row r="11" spans="1:10" x14ac:dyDescent="0.25" outlineLevel="1" collapsed="1">
      <c r="A11" s="7" t="s">
        <v>19</v>
      </c>
      <c r="B11" s="7" t="s">
        <v>16</v>
      </c>
      <c r="C11" s="7" t="s">
        <v>17</v>
      </c>
      <c r="D11" s="7"/>
      <c r="E11" s="7" t="s">
        <v>1431</v>
      </c>
      <c r="F11" s="7" t="s">
        <v>19</v>
      </c>
      <c r="G11" s="7" t="s">
        <v>31</v>
      </c>
      <c r="H11" s="7" t="s">
        <v>17</v>
      </c>
      <c r="I11" s="7" t="s">
        <v>17</v>
      </c>
      <c r="J11" s="7" t="s">
        <v>1432</v>
      </c>
    </row>
    <row r="12" spans="1:10" x14ac:dyDescent="0.25" outlineLevel="1" collapsed="1">
      <c r="A12" s="7" t="s">
        <v>19</v>
      </c>
      <c r="B12" s="7" t="s">
        <v>16</v>
      </c>
      <c r="C12" s="7" t="s">
        <v>17</v>
      </c>
      <c r="D12" s="7"/>
      <c r="E12" s="7" t="s">
        <v>638</v>
      </c>
      <c r="F12" s="7" t="s">
        <v>19</v>
      </c>
      <c r="G12" s="7" t="s">
        <v>31</v>
      </c>
      <c r="H12" s="7" t="s">
        <v>17</v>
      </c>
      <c r="I12" s="7" t="s">
        <v>17</v>
      </c>
      <c r="J12" s="7" t="s">
        <v>640</v>
      </c>
    </row>
  </sheetData>
  <mergeCells count="3">
    <mergeCell ref="A1:J1"/>
    <mergeCell ref="B2:J2"/>
    <mergeCell ref="B3:J3"/>
  </mergeCells>
  <dataValidations count="1">
    <dataValidation type="list" allowBlank="1" sqref="G10:I10">
      <formula1>'Enums'!C774:C781</formula1>
    </dataValidation>
  </dataValidations>
  <hyperlinks>
    <hyperlink ref="B5" r:id="rId1" location="#'VMR0015 MR 4.1 Summary row (VC'!A1"/>
  </hyperlinks>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3261</v>
      </c>
      <c r="B1" s="1"/>
      <c r="C1" s="1"/>
      <c r="D1" s="1"/>
      <c r="E1" s="1"/>
      <c r="F1" s="1"/>
      <c r="G1" s="1"/>
      <c r="H1" s="1"/>
      <c r="I1" s="1"/>
      <c r="J1" s="1"/>
    </row>
    <row r="2" spans="1:10" x14ac:dyDescent="0.25">
      <c r="A2" s="2" t="s">
        <v>1</v>
      </c>
      <c r="B2" s="3" t="s">
        <v>3262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1312</v>
      </c>
      <c r="F5" s="5" t="s">
        <v>19</v>
      </c>
      <c r="G5" s="5" t="b">
        <v>0</v>
      </c>
      <c r="H5" s="5" t="s">
        <v>17</v>
      </c>
      <c r="I5" s="5" t="s">
        <v>17</v>
      </c>
      <c r="J5" s="5" t="s">
        <v>1313</v>
      </c>
    </row>
    <row r="6" spans="1:10" x14ac:dyDescent="0.25">
      <c r="A6" s="5" t="s">
        <v>15</v>
      </c>
      <c r="B6" s="5" t="s">
        <v>16</v>
      </c>
      <c r="C6" s="5" t="s">
        <v>17</v>
      </c>
      <c r="D6" s="5"/>
      <c r="E6" s="5" t="s">
        <v>1314</v>
      </c>
      <c r="F6" s="5" t="s">
        <v>19</v>
      </c>
      <c r="G6" s="5" t="s">
        <v>1315</v>
      </c>
      <c r="H6" s="5" t="s">
        <v>17</v>
      </c>
      <c r="I6" s="5" t="s">
        <v>17</v>
      </c>
      <c r="J6" s="5" t="s">
        <v>1316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3263</v>
      </c>
      <c r="B1" s="1"/>
      <c r="C1" s="1"/>
      <c r="D1" s="1"/>
      <c r="E1" s="1"/>
      <c r="F1" s="1"/>
      <c r="G1" s="1"/>
      <c r="H1" s="1"/>
      <c r="I1" s="1"/>
      <c r="J1" s="1"/>
    </row>
    <row r="2" spans="1:10" x14ac:dyDescent="0.25">
      <c r="A2" s="2" t="s">
        <v>1</v>
      </c>
      <c r="B2" s="3" t="s">
        <v>3264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2597</v>
      </c>
      <c r="C5" s="5" t="s">
        <v>17</v>
      </c>
      <c r="D5" s="5"/>
      <c r="E5" s="5" t="s">
        <v>2598</v>
      </c>
      <c r="F5" s="5" t="s">
        <v>19</v>
      </c>
      <c r="G5" s="5" t="s">
        <v>17</v>
      </c>
      <c r="H5" s="5" t="s">
        <v>17</v>
      </c>
      <c r="I5" s="5" t="s">
        <v>17</v>
      </c>
      <c r="J5" s="5" t="s">
        <v>1571</v>
      </c>
    </row>
    <row r="6" spans="1:10" x14ac:dyDescent="0.25">
      <c r="A6" s="5" t="s">
        <v>15</v>
      </c>
      <c r="B6" s="6" t="s">
        <v>2599</v>
      </c>
      <c r="C6" s="5" t="s">
        <v>17</v>
      </c>
      <c r="D6" s="5"/>
      <c r="E6" s="5" t="s">
        <v>2600</v>
      </c>
      <c r="F6" s="5" t="s">
        <v>19</v>
      </c>
      <c r="G6" s="5" t="s">
        <v>17</v>
      </c>
      <c r="H6" s="5" t="s">
        <v>17</v>
      </c>
      <c r="I6" s="5" t="s">
        <v>17</v>
      </c>
      <c r="J6" s="5" t="s">
        <v>1573</v>
      </c>
    </row>
    <row r="7" spans="1:10" x14ac:dyDescent="0.25">
      <c r="A7" s="5" t="s">
        <v>15</v>
      </c>
      <c r="B7" s="6" t="s">
        <v>2601</v>
      </c>
      <c r="C7" s="5" t="s">
        <v>17</v>
      </c>
      <c r="D7" s="5"/>
      <c r="E7" s="5" t="s">
        <v>2602</v>
      </c>
      <c r="F7" s="5" t="s">
        <v>19</v>
      </c>
      <c r="G7" s="5" t="s">
        <v>17</v>
      </c>
      <c r="H7" s="5" t="s">
        <v>17</v>
      </c>
      <c r="I7" s="5" t="s">
        <v>17</v>
      </c>
      <c r="J7" s="5" t="s">
        <v>741</v>
      </c>
    </row>
    <row r="8" spans="1:10" x14ac:dyDescent="0.25" outlineLevel="1" collapsed="1">
      <c r="A8" s="7" t="s">
        <v>15</v>
      </c>
      <c r="B8" s="7" t="s">
        <v>16</v>
      </c>
      <c r="C8" s="7" t="s">
        <v>17</v>
      </c>
      <c r="D8" s="7"/>
      <c r="E8" s="7" t="s">
        <v>2603</v>
      </c>
      <c r="F8" s="7" t="s">
        <v>19</v>
      </c>
      <c r="G8" s="7" t="s">
        <v>2604</v>
      </c>
      <c r="H8" s="7" t="s">
        <v>2605</v>
      </c>
      <c r="I8" s="7" t="s">
        <v>17</v>
      </c>
      <c r="J8" s="7" t="s">
        <v>2606</v>
      </c>
    </row>
    <row r="9" spans="1:10" x14ac:dyDescent="0.25">
      <c r="A9" s="5" t="s">
        <v>15</v>
      </c>
      <c r="B9" s="6" t="s">
        <v>2607</v>
      </c>
      <c r="C9" s="5" t="s">
        <v>17</v>
      </c>
      <c r="D9" s="5"/>
      <c r="E9" s="5" t="s">
        <v>2608</v>
      </c>
      <c r="F9" s="5" t="s">
        <v>19</v>
      </c>
      <c r="G9" s="5" t="s">
        <v>17</v>
      </c>
      <c r="H9" s="5" t="s">
        <v>17</v>
      </c>
      <c r="I9" s="5" t="s">
        <v>17</v>
      </c>
      <c r="J9" s="5" t="s">
        <v>1488</v>
      </c>
    </row>
    <row r="10" spans="1:10" x14ac:dyDescent="0.25" outlineLevel="1" collapsed="1">
      <c r="A10" s="8" t="s">
        <v>15</v>
      </c>
      <c r="B10" s="9" t="s">
        <v>2189</v>
      </c>
      <c r="C10" s="8" t="s">
        <v>17</v>
      </c>
      <c r="D10" s="8"/>
      <c r="E10" s="8" t="s">
        <v>2190</v>
      </c>
      <c r="F10" s="8" t="s">
        <v>19</v>
      </c>
      <c r="G10" s="8" t="s">
        <v>17</v>
      </c>
      <c r="H10" s="8" t="s">
        <v>17</v>
      </c>
      <c r="I10" s="8" t="s">
        <v>17</v>
      </c>
      <c r="J10" s="8" t="s">
        <v>1491</v>
      </c>
    </row>
    <row r="11" spans="1:10" x14ac:dyDescent="0.25" outlineLevel="2" collapsed="1">
      <c r="A11" s="7" t="s">
        <v>15</v>
      </c>
      <c r="B11" s="7" t="s">
        <v>159</v>
      </c>
      <c r="C11" s="7" t="s">
        <v>17</v>
      </c>
      <c r="D11" s="7"/>
      <c r="E11" s="7" t="s">
        <v>2191</v>
      </c>
      <c r="F11" s="7" t="s">
        <v>19</v>
      </c>
      <c r="G11" s="7" t="b">
        <v>0</v>
      </c>
      <c r="H11" s="7" t="s">
        <v>17</v>
      </c>
      <c r="I11" s="7" t="s">
        <v>17</v>
      </c>
      <c r="J11" s="7" t="s">
        <v>2192</v>
      </c>
    </row>
    <row r="12" spans="1:10" x14ac:dyDescent="0.25" outlineLevel="2" collapsed="1">
      <c r="A12" s="7" t="s">
        <v>15</v>
      </c>
      <c r="B12" s="7" t="s">
        <v>16</v>
      </c>
      <c r="C12" s="7" t="s">
        <v>17</v>
      </c>
      <c r="D12" s="7"/>
      <c r="E12" s="7" t="s">
        <v>2193</v>
      </c>
      <c r="F12" s="7" t="s">
        <v>19</v>
      </c>
      <c r="G12" s="7" t="s">
        <v>2194</v>
      </c>
      <c r="H12" s="7" t="s">
        <v>2194</v>
      </c>
      <c r="I12" s="7" t="s">
        <v>17</v>
      </c>
      <c r="J12" s="7" t="s">
        <v>2195</v>
      </c>
    </row>
    <row r="13" spans="1:10" x14ac:dyDescent="0.25" outlineLevel="1" collapsed="1">
      <c r="A13" s="8" t="s">
        <v>19</v>
      </c>
      <c r="B13" s="9" t="s">
        <v>2196</v>
      </c>
      <c r="C13" s="8" t="s">
        <v>17</v>
      </c>
      <c r="D13" s="8"/>
      <c r="E13" s="8" t="s">
        <v>2197</v>
      </c>
      <c r="F13" s="8" t="s">
        <v>19</v>
      </c>
      <c r="G13" s="8" t="s">
        <v>17</v>
      </c>
      <c r="H13" s="8" t="s">
        <v>17</v>
      </c>
      <c r="I13" s="8" t="s">
        <v>17</v>
      </c>
      <c r="J13" s="8" t="s">
        <v>621</v>
      </c>
    </row>
    <row r="14" spans="1:10" x14ac:dyDescent="0.25" outlineLevel="2" collapsed="1">
      <c r="A14" s="7" t="s">
        <v>19</v>
      </c>
      <c r="B14" s="7" t="s">
        <v>159</v>
      </c>
      <c r="C14" s="7" t="s">
        <v>17</v>
      </c>
      <c r="D14" s="7"/>
      <c r="E14" s="7" t="s">
        <v>2198</v>
      </c>
      <c r="F14" s="7" t="s">
        <v>19</v>
      </c>
      <c r="G14" s="7" t="b">
        <v>1</v>
      </c>
      <c r="H14" s="7" t="s">
        <v>17</v>
      </c>
      <c r="I14" s="7" t="s">
        <v>17</v>
      </c>
      <c r="J14" s="7" t="s">
        <v>1501</v>
      </c>
    </row>
    <row r="15" spans="1:10" x14ac:dyDescent="0.25" outlineLevel="2" collapsed="1">
      <c r="A15" s="7" t="s">
        <v>19</v>
      </c>
      <c r="B15" s="7" t="s">
        <v>16</v>
      </c>
      <c r="C15" s="7" t="s">
        <v>17</v>
      </c>
      <c r="D15" s="7"/>
      <c r="E15" s="7" t="s">
        <v>2199</v>
      </c>
      <c r="F15" s="7" t="s">
        <v>19</v>
      </c>
      <c r="G15" s="7" t="s">
        <v>31</v>
      </c>
      <c r="H15" s="7" t="s">
        <v>17</v>
      </c>
      <c r="I15" s="7" t="s">
        <v>17</v>
      </c>
      <c r="J15" s="7" t="s">
        <v>1504</v>
      </c>
    </row>
    <row r="16" spans="1:10" x14ac:dyDescent="0.25" outlineLevel="2" collapsed="1">
      <c r="A16" s="8" t="s">
        <v>19</v>
      </c>
      <c r="B16" s="9" t="s">
        <v>2200</v>
      </c>
      <c r="C16" s="8" t="s">
        <v>17</v>
      </c>
      <c r="D16" s="8"/>
      <c r="E16" s="8" t="s">
        <v>2201</v>
      </c>
      <c r="F16" s="8" t="s">
        <v>15</v>
      </c>
      <c r="G16" s="8" t="s">
        <v>17</v>
      </c>
      <c r="H16" s="8" t="s">
        <v>17</v>
      </c>
      <c r="I16" s="8" t="s">
        <v>17</v>
      </c>
      <c r="J16" s="8" t="s">
        <v>2202</v>
      </c>
    </row>
    <row r="17" spans="1:10" x14ac:dyDescent="0.25" outlineLevel="3" collapsed="1">
      <c r="A17" s="7" t="s">
        <v>19</v>
      </c>
      <c r="B17" s="7" t="s">
        <v>16</v>
      </c>
      <c r="C17" s="7" t="s">
        <v>17</v>
      </c>
      <c r="D17" s="7"/>
      <c r="E17" s="7" t="s">
        <v>728</v>
      </c>
      <c r="F17" s="7" t="s">
        <v>19</v>
      </c>
      <c r="G17" s="7" t="s">
        <v>31</v>
      </c>
      <c r="H17" s="7" t="s">
        <v>17</v>
      </c>
      <c r="I17" s="7" t="s">
        <v>17</v>
      </c>
      <c r="J17" s="7" t="s">
        <v>730</v>
      </c>
    </row>
    <row r="18" spans="1:10" x14ac:dyDescent="0.25" outlineLevel="3" collapsed="1">
      <c r="A18" s="7" t="s">
        <v>19</v>
      </c>
      <c r="B18" s="7" t="s">
        <v>16</v>
      </c>
      <c r="C18" s="7" t="s">
        <v>17</v>
      </c>
      <c r="D18" s="7"/>
      <c r="E18" s="7" t="s">
        <v>731</v>
      </c>
      <c r="F18" s="7" t="s">
        <v>19</v>
      </c>
      <c r="G18" s="7" t="s">
        <v>31</v>
      </c>
      <c r="H18" s="7" t="s">
        <v>17</v>
      </c>
      <c r="I18" s="7" t="s">
        <v>17</v>
      </c>
      <c r="J18" s="7" t="s">
        <v>733</v>
      </c>
    </row>
    <row r="19" spans="1:10" x14ac:dyDescent="0.25" outlineLevel="3" collapsed="1">
      <c r="A19" s="7" t="s">
        <v>19</v>
      </c>
      <c r="B19" s="7" t="s">
        <v>16</v>
      </c>
      <c r="C19" s="7" t="s">
        <v>17</v>
      </c>
      <c r="D19" s="7"/>
      <c r="E19" s="7" t="s">
        <v>1529</v>
      </c>
      <c r="F19" s="7" t="s">
        <v>19</v>
      </c>
      <c r="G19" s="7" t="s">
        <v>31</v>
      </c>
      <c r="H19" s="7" t="s">
        <v>17</v>
      </c>
      <c r="I19" s="7" t="s">
        <v>17</v>
      </c>
      <c r="J19" s="7" t="s">
        <v>2203</v>
      </c>
    </row>
    <row r="20" spans="1:10" x14ac:dyDescent="0.25" outlineLevel="3" collapsed="1">
      <c r="A20" s="7" t="s">
        <v>19</v>
      </c>
      <c r="B20" s="7" t="s">
        <v>16</v>
      </c>
      <c r="C20" s="7" t="s">
        <v>17</v>
      </c>
      <c r="D20" s="7"/>
      <c r="E20" s="7" t="s">
        <v>1531</v>
      </c>
      <c r="F20" s="7" t="s">
        <v>19</v>
      </c>
      <c r="G20" s="7" t="s">
        <v>31</v>
      </c>
      <c r="H20" s="7" t="s">
        <v>17</v>
      </c>
      <c r="I20" s="7" t="s">
        <v>17</v>
      </c>
      <c r="J20" s="7" t="s">
        <v>2204</v>
      </c>
    </row>
    <row r="21" spans="1:10" x14ac:dyDescent="0.25" outlineLevel="3" collapsed="1">
      <c r="A21" s="7" t="s">
        <v>19</v>
      </c>
      <c r="B21" s="7" t="s">
        <v>16</v>
      </c>
      <c r="C21" s="7" t="s">
        <v>17</v>
      </c>
      <c r="D21" s="7"/>
      <c r="E21" s="7" t="s">
        <v>1533</v>
      </c>
      <c r="F21" s="7" t="s">
        <v>19</v>
      </c>
      <c r="G21" s="7" t="s">
        <v>31</v>
      </c>
      <c r="H21" s="7" t="s">
        <v>17</v>
      </c>
      <c r="I21" s="7" t="s">
        <v>17</v>
      </c>
      <c r="J21" s="7" t="s">
        <v>2205</v>
      </c>
    </row>
    <row r="22" spans="1:10" x14ac:dyDescent="0.25" outlineLevel="3" collapsed="1">
      <c r="A22" s="7" t="s">
        <v>19</v>
      </c>
      <c r="B22" s="7" t="s">
        <v>16</v>
      </c>
      <c r="C22" s="7" t="s">
        <v>17</v>
      </c>
      <c r="D22" s="7"/>
      <c r="E22" s="7" t="s">
        <v>1535</v>
      </c>
      <c r="F22" s="7" t="s">
        <v>19</v>
      </c>
      <c r="G22" s="7" t="s">
        <v>31</v>
      </c>
      <c r="H22" s="7" t="s">
        <v>17</v>
      </c>
      <c r="I22" s="7" t="s">
        <v>17</v>
      </c>
      <c r="J22" s="7" t="s">
        <v>2206</v>
      </c>
    </row>
    <row r="23" spans="1:10" x14ac:dyDescent="0.25" outlineLevel="3" collapsed="1">
      <c r="A23" s="7" t="s">
        <v>19</v>
      </c>
      <c r="B23" s="7" t="s">
        <v>16</v>
      </c>
      <c r="C23" s="7" t="s">
        <v>17</v>
      </c>
      <c r="D23" s="7"/>
      <c r="E23" s="7" t="s">
        <v>1537</v>
      </c>
      <c r="F23" s="7" t="s">
        <v>19</v>
      </c>
      <c r="G23" s="7" t="s">
        <v>31</v>
      </c>
      <c r="H23" s="7" t="s">
        <v>17</v>
      </c>
      <c r="I23" s="7" t="s">
        <v>17</v>
      </c>
      <c r="J23" s="7" t="s">
        <v>2207</v>
      </c>
    </row>
    <row r="24" spans="1:10" x14ac:dyDescent="0.25" outlineLevel="3" collapsed="1">
      <c r="A24" s="7" t="s">
        <v>19</v>
      </c>
      <c r="B24" s="7" t="s">
        <v>16</v>
      </c>
      <c r="C24" s="7" t="s">
        <v>17</v>
      </c>
      <c r="D24" s="7"/>
      <c r="E24" s="7" t="s">
        <v>1539</v>
      </c>
      <c r="F24" s="7" t="s">
        <v>19</v>
      </c>
      <c r="G24" s="7" t="s">
        <v>31</v>
      </c>
      <c r="H24" s="7" t="s">
        <v>17</v>
      </c>
      <c r="I24" s="7" t="s">
        <v>17</v>
      </c>
      <c r="J24" s="7" t="s">
        <v>752</v>
      </c>
    </row>
    <row r="25" spans="1:10" x14ac:dyDescent="0.25" outlineLevel="2" collapsed="1">
      <c r="A25" s="8" t="s">
        <v>19</v>
      </c>
      <c r="B25" s="9" t="s">
        <v>2208</v>
      </c>
      <c r="C25" s="8" t="s">
        <v>17</v>
      </c>
      <c r="D25" s="8"/>
      <c r="E25" s="8" t="s">
        <v>2209</v>
      </c>
      <c r="F25" s="8" t="s">
        <v>15</v>
      </c>
      <c r="G25" s="8" t="s">
        <v>17</v>
      </c>
      <c r="H25" s="8" t="s">
        <v>17</v>
      </c>
      <c r="I25" s="8" t="s">
        <v>17</v>
      </c>
      <c r="J25" s="8" t="s">
        <v>2210</v>
      </c>
    </row>
    <row r="26" spans="1:10" x14ac:dyDescent="0.25" outlineLevel="3" collapsed="1">
      <c r="A26" s="7" t="s">
        <v>19</v>
      </c>
      <c r="B26" s="7" t="s">
        <v>16</v>
      </c>
      <c r="C26" s="7" t="s">
        <v>17</v>
      </c>
      <c r="D26" s="7"/>
      <c r="E26" s="7" t="s">
        <v>728</v>
      </c>
      <c r="F26" s="7" t="s">
        <v>19</v>
      </c>
      <c r="G26" s="7" t="s">
        <v>31</v>
      </c>
      <c r="H26" s="7" t="s">
        <v>17</v>
      </c>
      <c r="I26" s="7" t="s">
        <v>17</v>
      </c>
      <c r="J26" s="7" t="s">
        <v>730</v>
      </c>
    </row>
    <row r="27" spans="1:10" x14ac:dyDescent="0.25" outlineLevel="3" collapsed="1">
      <c r="A27" s="7" t="s">
        <v>19</v>
      </c>
      <c r="B27" s="7" t="s">
        <v>16</v>
      </c>
      <c r="C27" s="7" t="s">
        <v>17</v>
      </c>
      <c r="D27" s="7"/>
      <c r="E27" s="7" t="s">
        <v>731</v>
      </c>
      <c r="F27" s="7" t="s">
        <v>19</v>
      </c>
      <c r="G27" s="7" t="s">
        <v>31</v>
      </c>
      <c r="H27" s="7" t="s">
        <v>17</v>
      </c>
      <c r="I27" s="7" t="s">
        <v>17</v>
      </c>
      <c r="J27" s="7" t="s">
        <v>733</v>
      </c>
    </row>
    <row r="28" spans="1:10" x14ac:dyDescent="0.25" outlineLevel="3" collapsed="1">
      <c r="A28" s="7" t="s">
        <v>19</v>
      </c>
      <c r="B28" s="7" t="s">
        <v>16</v>
      </c>
      <c r="C28" s="7" t="s">
        <v>17</v>
      </c>
      <c r="D28" s="7"/>
      <c r="E28" s="7" t="s">
        <v>1559</v>
      </c>
      <c r="F28" s="7" t="s">
        <v>19</v>
      </c>
      <c r="G28" s="7" t="s">
        <v>31</v>
      </c>
      <c r="H28" s="7" t="s">
        <v>17</v>
      </c>
      <c r="I28" s="7" t="s">
        <v>17</v>
      </c>
      <c r="J28" s="7" t="s">
        <v>2211</v>
      </c>
    </row>
    <row r="29" spans="1:10" x14ac:dyDescent="0.25" outlineLevel="3" collapsed="1">
      <c r="A29" s="7" t="s">
        <v>19</v>
      </c>
      <c r="B29" s="7" t="s">
        <v>16</v>
      </c>
      <c r="C29" s="7" t="s">
        <v>17</v>
      </c>
      <c r="D29" s="7"/>
      <c r="E29" s="7" t="s">
        <v>1533</v>
      </c>
      <c r="F29" s="7" t="s">
        <v>19</v>
      </c>
      <c r="G29" s="7" t="s">
        <v>31</v>
      </c>
      <c r="H29" s="7" t="s">
        <v>17</v>
      </c>
      <c r="I29" s="7" t="s">
        <v>17</v>
      </c>
      <c r="J29" s="7" t="s">
        <v>2205</v>
      </c>
    </row>
    <row r="30" spans="1:10" x14ac:dyDescent="0.25" outlineLevel="3" collapsed="1">
      <c r="A30" s="7" t="s">
        <v>19</v>
      </c>
      <c r="B30" s="7" t="s">
        <v>16</v>
      </c>
      <c r="C30" s="7" t="s">
        <v>17</v>
      </c>
      <c r="D30" s="7"/>
      <c r="E30" s="7" t="s">
        <v>1539</v>
      </c>
      <c r="F30" s="7" t="s">
        <v>19</v>
      </c>
      <c r="G30" s="7" t="s">
        <v>31</v>
      </c>
      <c r="H30" s="7" t="s">
        <v>17</v>
      </c>
      <c r="I30" s="7" t="s">
        <v>17</v>
      </c>
      <c r="J30" s="7" t="s">
        <v>752</v>
      </c>
    </row>
    <row r="31" spans="1:10" x14ac:dyDescent="0.25" outlineLevel="1" collapsed="1">
      <c r="A31" s="8" t="s">
        <v>15</v>
      </c>
      <c r="B31" s="9" t="s">
        <v>2212</v>
      </c>
      <c r="C31" s="8" t="s">
        <v>17</v>
      </c>
      <c r="D31" s="8"/>
      <c r="E31" s="8" t="s">
        <v>2213</v>
      </c>
      <c r="F31" s="8" t="s">
        <v>19</v>
      </c>
      <c r="G31" s="8" t="s">
        <v>17</v>
      </c>
      <c r="H31" s="8" t="s">
        <v>17</v>
      </c>
      <c r="I31" s="8" t="s">
        <v>17</v>
      </c>
      <c r="J31" s="8" t="s">
        <v>623</v>
      </c>
    </row>
    <row r="32" spans="1:10" x14ac:dyDescent="0.25" outlineLevel="2" collapsed="1">
      <c r="A32" s="7" t="s">
        <v>15</v>
      </c>
      <c r="B32" s="7" t="s">
        <v>159</v>
      </c>
      <c r="C32" s="7" t="s">
        <v>17</v>
      </c>
      <c r="D32" s="7"/>
      <c r="E32" s="7" t="s">
        <v>2214</v>
      </c>
      <c r="F32" s="7" t="s">
        <v>19</v>
      </c>
      <c r="G32" s="7" t="b">
        <v>0</v>
      </c>
      <c r="H32" s="7" t="s">
        <v>17</v>
      </c>
      <c r="I32" s="7" t="s">
        <v>17</v>
      </c>
      <c r="J32" s="7" t="s">
        <v>2215</v>
      </c>
    </row>
    <row r="33" spans="1:10" x14ac:dyDescent="0.25" outlineLevel="2" collapsed="1">
      <c r="A33" s="7" t="s">
        <v>15</v>
      </c>
      <c r="B33" s="7" t="s">
        <v>16</v>
      </c>
      <c r="C33" s="7" t="s">
        <v>17</v>
      </c>
      <c r="D33" s="7"/>
      <c r="E33" s="7" t="s">
        <v>2216</v>
      </c>
      <c r="F33" s="7" t="s">
        <v>19</v>
      </c>
      <c r="G33" s="7" t="s">
        <v>2217</v>
      </c>
      <c r="H33" s="7" t="s">
        <v>2217</v>
      </c>
      <c r="I33" s="7" t="s">
        <v>17</v>
      </c>
      <c r="J33" s="7" t="s">
        <v>2218</v>
      </c>
    </row>
    <row r="34" spans="1:10" x14ac:dyDescent="0.25" outlineLevel="2" collapsed="1">
      <c r="A34" s="7" t="s">
        <v>19</v>
      </c>
      <c r="B34" s="7" t="s">
        <v>63</v>
      </c>
      <c r="C34" s="7" t="s">
        <v>17</v>
      </c>
      <c r="D34" s="7"/>
      <c r="E34" s="7" t="s">
        <v>1512</v>
      </c>
      <c r="F34" s="7" t="s">
        <v>19</v>
      </c>
      <c r="G34" s="7">
        <v>1</v>
      </c>
      <c r="H34" s="7" t="s">
        <v>17</v>
      </c>
      <c r="I34" s="7" t="s">
        <v>17</v>
      </c>
      <c r="J34" s="7" t="s">
        <v>1513</v>
      </c>
    </row>
    <row r="35" spans="1:10" x14ac:dyDescent="0.25" outlineLevel="1" collapsed="1">
      <c r="A35" s="8" t="s">
        <v>19</v>
      </c>
      <c r="B35" s="9" t="s">
        <v>1519</v>
      </c>
      <c r="C35" s="8" t="s">
        <v>17</v>
      </c>
      <c r="D35" s="8"/>
      <c r="E35" s="8" t="s">
        <v>1520</v>
      </c>
      <c r="F35" s="8" t="s">
        <v>15</v>
      </c>
      <c r="G35" s="8" t="s">
        <v>17</v>
      </c>
      <c r="H35" s="8" t="s">
        <v>17</v>
      </c>
      <c r="I35" s="8" t="s">
        <v>17</v>
      </c>
      <c r="J35" s="8" t="s">
        <v>1521</v>
      </c>
    </row>
    <row r="36" spans="1:10" x14ac:dyDescent="0.25" outlineLevel="2" collapsed="1">
      <c r="A36" s="7" t="s">
        <v>19</v>
      </c>
      <c r="B36" s="7" t="s">
        <v>63</v>
      </c>
      <c r="C36" s="7" t="s">
        <v>17</v>
      </c>
      <c r="D36" s="7"/>
      <c r="E36" s="7" t="s">
        <v>1522</v>
      </c>
      <c r="F36" s="7" t="s">
        <v>19</v>
      </c>
      <c r="G36" s="7">
        <v>1</v>
      </c>
      <c r="H36" s="7" t="s">
        <v>17</v>
      </c>
      <c r="I36" s="7" t="s">
        <v>17</v>
      </c>
      <c r="J36" s="7" t="s">
        <v>1523</v>
      </c>
    </row>
    <row r="37" spans="1:10" x14ac:dyDescent="0.25" outlineLevel="2" collapsed="1">
      <c r="A37" s="7" t="s">
        <v>19</v>
      </c>
      <c r="B37" s="7" t="s">
        <v>16</v>
      </c>
      <c r="C37" s="7" t="s">
        <v>17</v>
      </c>
      <c r="D37" s="7"/>
      <c r="E37" s="7" t="s">
        <v>1524</v>
      </c>
      <c r="F37" s="7" t="s">
        <v>19</v>
      </c>
      <c r="G37" s="7" t="s">
        <v>31</v>
      </c>
      <c r="H37" s="7" t="s">
        <v>17</v>
      </c>
      <c r="I37" s="7" t="s">
        <v>17</v>
      </c>
      <c r="J37" s="7" t="s">
        <v>1525</v>
      </c>
    </row>
    <row r="38" spans="1:10" x14ac:dyDescent="0.25" outlineLevel="1" collapsed="1">
      <c r="A38" s="8" t="s">
        <v>19</v>
      </c>
      <c r="B38" s="9" t="s">
        <v>2219</v>
      </c>
      <c r="C38" s="8" t="s">
        <v>17</v>
      </c>
      <c r="D38" s="8"/>
      <c r="E38" s="8" t="s">
        <v>1527</v>
      </c>
      <c r="F38" s="8" t="s">
        <v>15</v>
      </c>
      <c r="G38" s="8" t="s">
        <v>17</v>
      </c>
      <c r="H38" s="8" t="s">
        <v>17</v>
      </c>
      <c r="I38" s="8" t="s">
        <v>17</v>
      </c>
      <c r="J38" s="8" t="s">
        <v>1528</v>
      </c>
    </row>
    <row r="39" spans="1:10" x14ac:dyDescent="0.25" outlineLevel="2" collapsed="1">
      <c r="A39" s="7" t="s">
        <v>19</v>
      </c>
      <c r="B39" s="7" t="s">
        <v>16</v>
      </c>
      <c r="C39" s="7" t="s">
        <v>17</v>
      </c>
      <c r="D39" s="7"/>
      <c r="E39" s="7" t="s">
        <v>728</v>
      </c>
      <c r="F39" s="7" t="s">
        <v>19</v>
      </c>
      <c r="G39" s="7" t="s">
        <v>31</v>
      </c>
      <c r="H39" s="7" t="s">
        <v>17</v>
      </c>
      <c r="I39" s="7" t="s">
        <v>17</v>
      </c>
      <c r="J39" s="7" t="s">
        <v>730</v>
      </c>
    </row>
    <row r="40" spans="1:10" x14ac:dyDescent="0.25" outlineLevel="2" collapsed="1">
      <c r="A40" s="7" t="s">
        <v>19</v>
      </c>
      <c r="B40" s="7" t="s">
        <v>16</v>
      </c>
      <c r="C40" s="7" t="s">
        <v>17</v>
      </c>
      <c r="D40" s="7"/>
      <c r="E40" s="7" t="s">
        <v>731</v>
      </c>
      <c r="F40" s="7" t="s">
        <v>19</v>
      </c>
      <c r="G40" s="7" t="s">
        <v>31</v>
      </c>
      <c r="H40" s="7" t="s">
        <v>17</v>
      </c>
      <c r="I40" s="7" t="s">
        <v>17</v>
      </c>
      <c r="J40" s="7" t="s">
        <v>733</v>
      </c>
    </row>
    <row r="41" spans="1:10" x14ac:dyDescent="0.25" outlineLevel="2" collapsed="1">
      <c r="A41" s="7" t="s">
        <v>19</v>
      </c>
      <c r="B41" s="7" t="s">
        <v>63</v>
      </c>
      <c r="C41" s="7" t="s">
        <v>17</v>
      </c>
      <c r="D41" s="7"/>
      <c r="E41" s="7" t="s">
        <v>1529</v>
      </c>
      <c r="F41" s="7" t="s">
        <v>19</v>
      </c>
      <c r="G41" s="7">
        <v>1</v>
      </c>
      <c r="H41" s="7" t="s">
        <v>17</v>
      </c>
      <c r="I41" s="7" t="s">
        <v>17</v>
      </c>
      <c r="J41" s="7" t="s">
        <v>1530</v>
      </c>
    </row>
    <row r="42" spans="1:10" x14ac:dyDescent="0.25" outlineLevel="2" collapsed="1">
      <c r="A42" s="7" t="s">
        <v>19</v>
      </c>
      <c r="B42" s="7" t="s">
        <v>63</v>
      </c>
      <c r="C42" s="7" t="s">
        <v>17</v>
      </c>
      <c r="D42" s="7"/>
      <c r="E42" s="7" t="s">
        <v>1531</v>
      </c>
      <c r="F42" s="7" t="s">
        <v>19</v>
      </c>
      <c r="G42" s="7">
        <v>1</v>
      </c>
      <c r="H42" s="7" t="s">
        <v>17</v>
      </c>
      <c r="I42" s="7" t="s">
        <v>17</v>
      </c>
      <c r="J42" s="7" t="s">
        <v>1532</v>
      </c>
    </row>
    <row r="43" spans="1:10" x14ac:dyDescent="0.25" outlineLevel="2" collapsed="1">
      <c r="A43" s="7" t="s">
        <v>19</v>
      </c>
      <c r="B43" s="7" t="s">
        <v>63</v>
      </c>
      <c r="C43" s="7" t="s">
        <v>17</v>
      </c>
      <c r="D43" s="7"/>
      <c r="E43" s="7" t="s">
        <v>1533</v>
      </c>
      <c r="F43" s="7" t="s">
        <v>19</v>
      </c>
      <c r="G43" s="7">
        <v>1</v>
      </c>
      <c r="H43" s="7" t="s">
        <v>17</v>
      </c>
      <c r="I43" s="7" t="s">
        <v>17</v>
      </c>
      <c r="J43" s="7" t="s">
        <v>1534</v>
      </c>
    </row>
    <row r="44" spans="1:10" x14ac:dyDescent="0.25" outlineLevel="2" collapsed="1">
      <c r="A44" s="7" t="s">
        <v>19</v>
      </c>
      <c r="B44" s="7" t="s">
        <v>16</v>
      </c>
      <c r="C44" s="7" t="s">
        <v>17</v>
      </c>
      <c r="D44" s="7"/>
      <c r="E44" s="7" t="s">
        <v>1535</v>
      </c>
      <c r="F44" s="7" t="s">
        <v>19</v>
      </c>
      <c r="G44" s="7" t="s">
        <v>31</v>
      </c>
      <c r="H44" s="7" t="s">
        <v>17</v>
      </c>
      <c r="I44" s="7" t="s">
        <v>17</v>
      </c>
      <c r="J44" s="7" t="s">
        <v>1536</v>
      </c>
    </row>
    <row r="45" spans="1:10" x14ac:dyDescent="0.25" outlineLevel="2" collapsed="1">
      <c r="A45" s="7" t="s">
        <v>19</v>
      </c>
      <c r="B45" s="7" t="s">
        <v>16</v>
      </c>
      <c r="C45" s="7" t="s">
        <v>17</v>
      </c>
      <c r="D45" s="7"/>
      <c r="E45" s="7" t="s">
        <v>1537</v>
      </c>
      <c r="F45" s="7" t="s">
        <v>19</v>
      </c>
      <c r="G45" s="7" t="s">
        <v>31</v>
      </c>
      <c r="H45" s="7" t="s">
        <v>17</v>
      </c>
      <c r="I45" s="7" t="s">
        <v>17</v>
      </c>
      <c r="J45" s="7" t="s">
        <v>1538</v>
      </c>
    </row>
    <row r="46" spans="1:10" x14ac:dyDescent="0.25" outlineLevel="2" collapsed="1">
      <c r="A46" s="7" t="s">
        <v>19</v>
      </c>
      <c r="B46" s="7" t="s">
        <v>16</v>
      </c>
      <c r="C46" s="7" t="s">
        <v>17</v>
      </c>
      <c r="D46" s="7"/>
      <c r="E46" s="7" t="s">
        <v>1539</v>
      </c>
      <c r="F46" s="7" t="s">
        <v>19</v>
      </c>
      <c r="G46" s="7" t="s">
        <v>31</v>
      </c>
      <c r="H46" s="7" t="s">
        <v>17</v>
      </c>
      <c r="I46" s="7" t="s">
        <v>17</v>
      </c>
      <c r="J46" s="7" t="s">
        <v>752</v>
      </c>
    </row>
    <row r="47" spans="1:10" x14ac:dyDescent="0.25" outlineLevel="1" collapsed="1">
      <c r="A47" s="7" t="s">
        <v>19</v>
      </c>
      <c r="B47" s="7" t="s">
        <v>16</v>
      </c>
      <c r="C47" s="7" t="s">
        <v>17</v>
      </c>
      <c r="D47" s="7"/>
      <c r="E47" s="7" t="s">
        <v>1540</v>
      </c>
      <c r="F47" s="7" t="s">
        <v>19</v>
      </c>
      <c r="G47" s="7" t="s">
        <v>31</v>
      </c>
      <c r="H47" s="7" t="s">
        <v>17</v>
      </c>
      <c r="I47" s="7" t="s">
        <v>17</v>
      </c>
      <c r="J47" s="7" t="s">
        <v>1541</v>
      </c>
    </row>
    <row r="48" spans="1:10" x14ac:dyDescent="0.25" outlineLevel="1" collapsed="1">
      <c r="A48" s="7" t="s">
        <v>19</v>
      </c>
      <c r="B48" s="7" t="s">
        <v>63</v>
      </c>
      <c r="C48" s="7" t="s">
        <v>17</v>
      </c>
      <c r="D48" s="7"/>
      <c r="E48" s="7" t="s">
        <v>1542</v>
      </c>
      <c r="F48" s="7" t="s">
        <v>19</v>
      </c>
      <c r="G48" s="7">
        <v>1</v>
      </c>
      <c r="H48" s="7" t="s">
        <v>17</v>
      </c>
      <c r="I48" s="7" t="s">
        <v>17</v>
      </c>
      <c r="J48" s="7" t="s">
        <v>1543</v>
      </c>
    </row>
    <row r="49" spans="1:10" x14ac:dyDescent="0.25" outlineLevel="1" collapsed="1">
      <c r="A49" s="7" t="s">
        <v>19</v>
      </c>
      <c r="B49" s="7" t="s">
        <v>16</v>
      </c>
      <c r="C49" s="7" t="s">
        <v>17</v>
      </c>
      <c r="D49" s="7"/>
      <c r="E49" s="7" t="s">
        <v>1544</v>
      </c>
      <c r="F49" s="7" t="s">
        <v>19</v>
      </c>
      <c r="G49" s="7" t="s">
        <v>31</v>
      </c>
      <c r="H49" s="7" t="s">
        <v>17</v>
      </c>
      <c r="I49" s="7" t="s">
        <v>17</v>
      </c>
      <c r="J49" s="7" t="s">
        <v>1545</v>
      </c>
    </row>
    <row r="50" spans="1:10" x14ac:dyDescent="0.25">
      <c r="A50" s="5" t="s">
        <v>15</v>
      </c>
      <c r="B50" s="6" t="s">
        <v>2609</v>
      </c>
      <c r="C50" s="5" t="s">
        <v>17</v>
      </c>
      <c r="D50" s="5"/>
      <c r="E50" s="5" t="s">
        <v>2610</v>
      </c>
      <c r="F50" s="5" t="s">
        <v>19</v>
      </c>
      <c r="G50" s="5" t="s">
        <v>17</v>
      </c>
      <c r="H50" s="5" t="s">
        <v>17</v>
      </c>
      <c r="I50" s="5" t="s">
        <v>17</v>
      </c>
      <c r="J50" s="5" t="s">
        <v>2611</v>
      </c>
    </row>
    <row r="51" spans="1:10" x14ac:dyDescent="0.25" outlineLevel="1" collapsed="1">
      <c r="A51" s="8" t="s">
        <v>15</v>
      </c>
      <c r="B51" s="9" t="s">
        <v>2015</v>
      </c>
      <c r="C51" s="8" t="s">
        <v>17</v>
      </c>
      <c r="D51" s="8"/>
      <c r="E51" s="8" t="s">
        <v>2016</v>
      </c>
      <c r="F51" s="8" t="s">
        <v>19</v>
      </c>
      <c r="G51" s="8" t="s">
        <v>17</v>
      </c>
      <c r="H51" s="8" t="s">
        <v>17</v>
      </c>
      <c r="I51" s="8" t="s">
        <v>17</v>
      </c>
      <c r="J51" s="8" t="s">
        <v>606</v>
      </c>
    </row>
    <row r="52" spans="1:10" x14ac:dyDescent="0.25" outlineLevel="2" collapsed="1">
      <c r="A52" s="7" t="s">
        <v>19</v>
      </c>
      <c r="B52" s="7" t="s">
        <v>16</v>
      </c>
      <c r="C52" s="7" t="s">
        <v>17</v>
      </c>
      <c r="D52" s="7"/>
      <c r="E52" s="7" t="s">
        <v>2017</v>
      </c>
      <c r="F52" s="7" t="s">
        <v>19</v>
      </c>
      <c r="G52" s="7" t="s">
        <v>2018</v>
      </c>
      <c r="H52" s="7" t="s">
        <v>17</v>
      </c>
      <c r="I52" s="7" t="s">
        <v>17</v>
      </c>
      <c r="J52" s="7" t="s">
        <v>2019</v>
      </c>
    </row>
    <row r="53" spans="1:10" x14ac:dyDescent="0.25" outlineLevel="1" collapsed="1">
      <c r="A53" s="7" t="s">
        <v>15</v>
      </c>
      <c r="B53" s="12" t="s">
        <v>2020</v>
      </c>
      <c r="C53" s="7" t="s">
        <v>17</v>
      </c>
      <c r="D53" s="7"/>
      <c r="E53" s="7" t="s">
        <v>2021</v>
      </c>
      <c r="F53" s="7" t="s">
        <v>19</v>
      </c>
      <c r="G53" s="7" t="s">
        <v>17</v>
      </c>
      <c r="H53" s="7" t="s">
        <v>17</v>
      </c>
      <c r="I53" s="7" t="s">
        <v>17</v>
      </c>
      <c r="J53" s="7" t="s">
        <v>336</v>
      </c>
    </row>
    <row r="54" spans="1:10" x14ac:dyDescent="0.25" outlineLevel="1" collapsed="1">
      <c r="A54" s="8" t="s">
        <v>19</v>
      </c>
      <c r="B54" s="9" t="s">
        <v>2022</v>
      </c>
      <c r="C54" s="8" t="s">
        <v>17</v>
      </c>
      <c r="D54" s="8"/>
      <c r="E54" s="8" t="s">
        <v>2023</v>
      </c>
      <c r="F54" s="8" t="s">
        <v>15</v>
      </c>
      <c r="G54" s="8" t="s">
        <v>17</v>
      </c>
      <c r="H54" s="8" t="s">
        <v>17</v>
      </c>
      <c r="I54" s="8" t="s">
        <v>17</v>
      </c>
      <c r="J54" s="8" t="s">
        <v>2024</v>
      </c>
    </row>
    <row r="55" spans="1:10" x14ac:dyDescent="0.25" outlineLevel="2" collapsed="1">
      <c r="A55" s="7" t="s">
        <v>19</v>
      </c>
      <c r="B55" s="7" t="s">
        <v>16</v>
      </c>
      <c r="C55" s="7" t="s">
        <v>17</v>
      </c>
      <c r="D55" s="7"/>
      <c r="E55" s="7" t="s">
        <v>30</v>
      </c>
      <c r="F55" s="7" t="s">
        <v>19</v>
      </c>
      <c r="G55" s="7" t="s">
        <v>31</v>
      </c>
      <c r="H55" s="7" t="s">
        <v>17</v>
      </c>
      <c r="I55" s="7" t="s">
        <v>17</v>
      </c>
      <c r="J55" s="7" t="s">
        <v>32</v>
      </c>
    </row>
    <row r="56" spans="1:10" x14ac:dyDescent="0.25" outlineLevel="2" collapsed="1">
      <c r="A56" s="7" t="s">
        <v>19</v>
      </c>
      <c r="B56" s="7" t="s">
        <v>16</v>
      </c>
      <c r="C56" s="7" t="s">
        <v>17</v>
      </c>
      <c r="D56" s="7"/>
      <c r="E56" s="7" t="s">
        <v>33</v>
      </c>
      <c r="F56" s="7" t="s">
        <v>19</v>
      </c>
      <c r="G56" s="7" t="s">
        <v>31</v>
      </c>
      <c r="H56" s="7" t="s">
        <v>17</v>
      </c>
      <c r="I56" s="7" t="s">
        <v>17</v>
      </c>
      <c r="J56" s="7" t="s">
        <v>34</v>
      </c>
    </row>
    <row r="57" spans="1:10" x14ac:dyDescent="0.25" outlineLevel="2" collapsed="1">
      <c r="A57" s="7" t="s">
        <v>19</v>
      </c>
      <c r="B57" s="7" t="s">
        <v>63</v>
      </c>
      <c r="C57" s="7" t="s">
        <v>17</v>
      </c>
      <c r="D57" s="7"/>
      <c r="E57" s="7" t="s">
        <v>2025</v>
      </c>
      <c r="F57" s="7" t="s">
        <v>19</v>
      </c>
      <c r="G57" s="7">
        <v>1</v>
      </c>
      <c r="H57" s="7" t="s">
        <v>17</v>
      </c>
      <c r="I57" s="7" t="s">
        <v>17</v>
      </c>
      <c r="J57" s="7" t="s">
        <v>2026</v>
      </c>
    </row>
    <row r="58" spans="1:10" x14ac:dyDescent="0.25" outlineLevel="2" collapsed="1">
      <c r="A58" s="7" t="s">
        <v>19</v>
      </c>
      <c r="B58" s="7" t="s">
        <v>63</v>
      </c>
      <c r="C58" s="7" t="s">
        <v>17</v>
      </c>
      <c r="D58" s="7"/>
      <c r="E58" s="7" t="s">
        <v>2027</v>
      </c>
      <c r="F58" s="7" t="s">
        <v>19</v>
      </c>
      <c r="G58" s="7">
        <v>1</v>
      </c>
      <c r="H58" s="7" t="s">
        <v>17</v>
      </c>
      <c r="I58" s="7" t="s">
        <v>17</v>
      </c>
      <c r="J58" s="7" t="s">
        <v>2028</v>
      </c>
    </row>
    <row r="59" spans="1:10" x14ac:dyDescent="0.25" outlineLevel="2" collapsed="1">
      <c r="A59" s="7" t="s">
        <v>19</v>
      </c>
      <c r="B59" s="7" t="s">
        <v>63</v>
      </c>
      <c r="C59" s="7" t="s">
        <v>17</v>
      </c>
      <c r="D59" s="7"/>
      <c r="E59" s="7" t="s">
        <v>2029</v>
      </c>
      <c r="F59" s="7" t="s">
        <v>19</v>
      </c>
      <c r="G59" s="7">
        <v>1</v>
      </c>
      <c r="H59" s="7" t="s">
        <v>17</v>
      </c>
      <c r="I59" s="7" t="s">
        <v>17</v>
      </c>
      <c r="J59" s="7" t="s">
        <v>2030</v>
      </c>
    </row>
    <row r="60" spans="1:10" x14ac:dyDescent="0.25" outlineLevel="2" collapsed="1">
      <c r="A60" s="7" t="s">
        <v>19</v>
      </c>
      <c r="B60" s="7" t="s">
        <v>63</v>
      </c>
      <c r="C60" s="7" t="s">
        <v>17</v>
      </c>
      <c r="D60" s="7"/>
      <c r="E60" s="7" t="s">
        <v>2031</v>
      </c>
      <c r="F60" s="7" t="s">
        <v>19</v>
      </c>
      <c r="G60" s="7">
        <v>1</v>
      </c>
      <c r="H60" s="7" t="s">
        <v>17</v>
      </c>
      <c r="I60" s="7" t="s">
        <v>17</v>
      </c>
      <c r="J60" s="7" t="s">
        <v>2032</v>
      </c>
    </row>
    <row r="61" spans="1:10" x14ac:dyDescent="0.25" outlineLevel="2" collapsed="1">
      <c r="A61" s="7" t="s">
        <v>19</v>
      </c>
      <c r="B61" s="7" t="s">
        <v>63</v>
      </c>
      <c r="C61" s="7" t="s">
        <v>17</v>
      </c>
      <c r="D61" s="7"/>
      <c r="E61" s="7" t="s">
        <v>2033</v>
      </c>
      <c r="F61" s="7" t="s">
        <v>19</v>
      </c>
      <c r="G61" s="7">
        <v>1</v>
      </c>
      <c r="H61" s="7" t="s">
        <v>17</v>
      </c>
      <c r="I61" s="7" t="s">
        <v>17</v>
      </c>
      <c r="J61" s="7" t="s">
        <v>2034</v>
      </c>
    </row>
    <row r="62" spans="1:10" x14ac:dyDescent="0.25" outlineLevel="2" collapsed="1">
      <c r="A62" s="7" t="s">
        <v>19</v>
      </c>
      <c r="B62" s="7" t="s">
        <v>63</v>
      </c>
      <c r="C62" s="7" t="s">
        <v>17</v>
      </c>
      <c r="D62" s="7"/>
      <c r="E62" s="7" t="s">
        <v>2035</v>
      </c>
      <c r="F62" s="7" t="s">
        <v>19</v>
      </c>
      <c r="G62" s="7">
        <v>1</v>
      </c>
      <c r="H62" s="7" t="s">
        <v>17</v>
      </c>
      <c r="I62" s="7" t="s">
        <v>17</v>
      </c>
      <c r="J62" s="7" t="s">
        <v>2036</v>
      </c>
    </row>
    <row r="63" spans="1:10" x14ac:dyDescent="0.25" outlineLevel="2" collapsed="1">
      <c r="A63" s="7" t="s">
        <v>19</v>
      </c>
      <c r="B63" s="7" t="s">
        <v>63</v>
      </c>
      <c r="C63" s="7" t="s">
        <v>17</v>
      </c>
      <c r="D63" s="7"/>
      <c r="E63" s="7" t="s">
        <v>751</v>
      </c>
      <c r="F63" s="7" t="s">
        <v>19</v>
      </c>
      <c r="G63" s="7">
        <v>1</v>
      </c>
      <c r="H63" s="7" t="s">
        <v>17</v>
      </c>
      <c r="I63" s="7" t="s">
        <v>17</v>
      </c>
      <c r="J63" s="7" t="s">
        <v>1579</v>
      </c>
    </row>
    <row r="64" spans="1:10" x14ac:dyDescent="0.25" outlineLevel="2" collapsed="1">
      <c r="A64" s="7" t="s">
        <v>19</v>
      </c>
      <c r="B64" s="7" t="s">
        <v>63</v>
      </c>
      <c r="C64" s="7" t="s">
        <v>17</v>
      </c>
      <c r="D64" s="7"/>
      <c r="E64" s="7" t="s">
        <v>2037</v>
      </c>
      <c r="F64" s="7" t="s">
        <v>19</v>
      </c>
      <c r="G64" s="7">
        <v>1</v>
      </c>
      <c r="H64" s="7" t="s">
        <v>17</v>
      </c>
      <c r="I64" s="7" t="s">
        <v>17</v>
      </c>
      <c r="J64" s="7" t="s">
        <v>2038</v>
      </c>
    </row>
    <row r="65" spans="1:10" x14ac:dyDescent="0.25" outlineLevel="2" collapsed="1">
      <c r="A65" s="7" t="s">
        <v>19</v>
      </c>
      <c r="B65" s="7" t="s">
        <v>63</v>
      </c>
      <c r="C65" s="7" t="s">
        <v>17</v>
      </c>
      <c r="D65" s="7"/>
      <c r="E65" s="7" t="s">
        <v>2039</v>
      </c>
      <c r="F65" s="7" t="s">
        <v>19</v>
      </c>
      <c r="G65" s="7">
        <v>1</v>
      </c>
      <c r="H65" s="7" t="s">
        <v>17</v>
      </c>
      <c r="I65" s="7" t="s">
        <v>17</v>
      </c>
      <c r="J65" s="7" t="s">
        <v>2040</v>
      </c>
    </row>
    <row r="66" spans="1:10" x14ac:dyDescent="0.25" outlineLevel="2" collapsed="1">
      <c r="A66" s="7" t="s">
        <v>19</v>
      </c>
      <c r="B66" s="7" t="s">
        <v>63</v>
      </c>
      <c r="C66" s="7" t="s">
        <v>17</v>
      </c>
      <c r="D66" s="7"/>
      <c r="E66" s="7" t="s">
        <v>2041</v>
      </c>
      <c r="F66" s="7" t="s">
        <v>19</v>
      </c>
      <c r="G66" s="7">
        <v>1</v>
      </c>
      <c r="H66" s="7" t="s">
        <v>17</v>
      </c>
      <c r="I66" s="7" t="s">
        <v>17</v>
      </c>
      <c r="J66" s="7" t="s">
        <v>2042</v>
      </c>
    </row>
  </sheetData>
  <mergeCells count="3">
    <mergeCell ref="A1:J1"/>
    <mergeCell ref="B2:J2"/>
    <mergeCell ref="B3:J3"/>
  </mergeCells>
  <hyperlinks>
    <hyperlink ref="B5" r:id="rId1" location="#'4.1 Baseline Emissions (VCS PD'!A1"/>
    <hyperlink ref="B6" r:id="rId2" location="#'4.2 Project Emissions (VCS PD'!A1"/>
    <hyperlink ref="B7" r:id="rId3" location="#'4.3 Leakage Emissions (VCS PD'!A1"/>
    <hyperlink ref="B9" r:id="rId4" location="#'4.4 Other Relevant Quantificat'!A1"/>
    <hyperlink ref="B10" r:id="rId5" location="#'4.4.1 Non-Permanence Risk Anal'!A1"/>
    <hyperlink ref="B13" r:id="rId6" location="#'4.4.1.1 Buffer Pool Allocation'!A1"/>
    <hyperlink ref="B16" r:id="rId7" location="#'4.4.2 Buffer pool allocation r'!A1"/>
    <hyperlink ref="B25" r:id="rId8" location="#'4.4.2 Buffer pool allocatio 2'!A1"/>
    <hyperlink ref="B31" r:id="rId9" location="#'4.4.2 Long-Term Average (VCS P'!A1"/>
    <hyperlink ref="B35" r:id="rId10" location="#'Non-permanence risk rating row'!A1"/>
    <hyperlink ref="B38" r:id="rId11" location="#'4.4 Buffer pool allocation (re'!A1"/>
    <hyperlink ref="B50" r:id="rId12" location="#'4.5 Estimated GHG Emission Red'!A1"/>
    <hyperlink ref="B51" r:id="rId13" location="#'4.5.1 Quantification of Estima'!A1"/>
    <hyperlink ref="B53" r:id="rId14" location="#'4.5.2 Summary of Estimated Red'!A1"/>
    <hyperlink ref="B54" r:id="rId15" location="#'Estimated reductions and remov'!A1"/>
  </hyperlinks>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3265</v>
      </c>
      <c r="B1" s="1"/>
      <c r="C1" s="1"/>
      <c r="D1" s="1"/>
      <c r="E1" s="1"/>
      <c r="F1" s="1"/>
      <c r="G1" s="1"/>
      <c r="H1" s="1"/>
      <c r="I1" s="1"/>
      <c r="J1" s="1"/>
    </row>
    <row r="2" spans="1:10" x14ac:dyDescent="0.25">
      <c r="A2" s="2" t="s">
        <v>1</v>
      </c>
      <c r="B2" s="3" t="s">
        <v>3266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1335</v>
      </c>
      <c r="F5" s="5" t="s">
        <v>19</v>
      </c>
      <c r="G5" s="5" t="s">
        <v>1336</v>
      </c>
      <c r="H5" s="5" t="s">
        <v>17</v>
      </c>
      <c r="I5" s="5" t="s">
        <v>17</v>
      </c>
      <c r="J5" s="5" t="s">
        <v>526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3267</v>
      </c>
      <c r="B1" s="1"/>
      <c r="C1" s="1"/>
      <c r="D1" s="1"/>
      <c r="E1" s="1"/>
      <c r="F1" s="1"/>
      <c r="G1" s="1"/>
      <c r="H1" s="1"/>
      <c r="I1" s="1"/>
      <c r="J1" s="1"/>
    </row>
    <row r="2" spans="1:10" x14ac:dyDescent="0.25">
      <c r="A2" s="2" t="s">
        <v>1</v>
      </c>
      <c r="B2" s="3" t="s">
        <v>3268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1115</v>
      </c>
      <c r="F5" s="5" t="s">
        <v>19</v>
      </c>
      <c r="G5" s="5" t="s">
        <v>847</v>
      </c>
      <c r="H5" s="5" t="s">
        <v>17</v>
      </c>
      <c r="I5" s="5" t="s">
        <v>17</v>
      </c>
      <c r="J5" s="5" t="s">
        <v>1116</v>
      </c>
    </row>
    <row r="6" spans="1:10" x14ac:dyDescent="0.25">
      <c r="A6" s="5" t="s">
        <v>19</v>
      </c>
      <c r="B6" s="5" t="s">
        <v>16</v>
      </c>
      <c r="C6" s="5" t="s">
        <v>17</v>
      </c>
      <c r="D6" s="5"/>
      <c r="E6" s="5" t="s">
        <v>1117</v>
      </c>
      <c r="F6" s="5" t="s">
        <v>19</v>
      </c>
      <c r="G6" s="5" t="s">
        <v>31</v>
      </c>
      <c r="H6" s="5" t="s">
        <v>17</v>
      </c>
      <c r="I6" s="5" t="s">
        <v>17</v>
      </c>
      <c r="J6" s="5" t="s">
        <v>1118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3269</v>
      </c>
      <c r="B1" s="1"/>
      <c r="C1" s="1"/>
      <c r="D1" s="1"/>
      <c r="E1" s="1"/>
      <c r="F1" s="1"/>
      <c r="G1" s="1"/>
      <c r="H1" s="1"/>
      <c r="I1" s="1"/>
      <c r="J1" s="1"/>
    </row>
    <row r="2" spans="1:10" x14ac:dyDescent="0.25">
      <c r="A2" s="2" t="s">
        <v>1</v>
      </c>
      <c r="B2" s="3" t="s">
        <v>3270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1074</v>
      </c>
      <c r="C5" s="5" t="s">
        <v>17</v>
      </c>
      <c r="D5" s="5"/>
      <c r="E5" s="5" t="s">
        <v>2325</v>
      </c>
      <c r="F5" s="5" t="s">
        <v>15</v>
      </c>
      <c r="G5" s="5" t="s">
        <v>17</v>
      </c>
      <c r="H5" s="5" t="s">
        <v>17</v>
      </c>
      <c r="I5" s="5" t="s">
        <v>17</v>
      </c>
      <c r="J5" s="5" t="s">
        <v>1076</v>
      </c>
    </row>
    <row r="6" spans="1:10" x14ac:dyDescent="0.25" outlineLevel="1" collapsed="1">
      <c r="A6" s="7" t="s">
        <v>15</v>
      </c>
      <c r="B6" s="7" t="s">
        <v>16</v>
      </c>
      <c r="C6" s="7" t="s">
        <v>17</v>
      </c>
      <c r="D6" s="7"/>
      <c r="E6" s="7" t="s">
        <v>1077</v>
      </c>
      <c r="F6" s="7" t="s">
        <v>19</v>
      </c>
      <c r="G6" s="7" t="s">
        <v>1078</v>
      </c>
      <c r="H6" s="7" t="s">
        <v>17</v>
      </c>
      <c r="I6" s="7" t="s">
        <v>17</v>
      </c>
      <c r="J6" s="7" t="s">
        <v>1079</v>
      </c>
    </row>
    <row r="7" spans="1:10" x14ac:dyDescent="0.25" outlineLevel="1" collapsed="1">
      <c r="A7" s="7" t="s">
        <v>15</v>
      </c>
      <c r="B7" s="7" t="s">
        <v>16</v>
      </c>
      <c r="C7" s="7" t="s">
        <v>17</v>
      </c>
      <c r="D7" s="7"/>
      <c r="E7" s="7" t="s">
        <v>1080</v>
      </c>
      <c r="F7" s="7" t="s">
        <v>19</v>
      </c>
      <c r="G7" s="7" t="s">
        <v>1081</v>
      </c>
      <c r="H7" s="7" t="s">
        <v>17</v>
      </c>
      <c r="I7" s="7" t="s">
        <v>17</v>
      </c>
      <c r="J7" s="7" t="s">
        <v>1082</v>
      </c>
    </row>
    <row r="8" spans="1:10" x14ac:dyDescent="0.25" outlineLevel="1" collapsed="1">
      <c r="A8" s="7" t="s">
        <v>19</v>
      </c>
      <c r="B8" s="7" t="s">
        <v>16</v>
      </c>
      <c r="C8" s="7" t="s">
        <v>17</v>
      </c>
      <c r="D8" s="7"/>
      <c r="E8" s="7" t="s">
        <v>1083</v>
      </c>
      <c r="F8" s="7" t="s">
        <v>19</v>
      </c>
      <c r="G8" s="7" t="s">
        <v>1084</v>
      </c>
      <c r="H8" s="7" t="s">
        <v>17</v>
      </c>
      <c r="I8" s="7" t="s">
        <v>17</v>
      </c>
      <c r="J8" s="7" t="s">
        <v>1085</v>
      </c>
    </row>
    <row r="9" spans="1:10" x14ac:dyDescent="0.25" outlineLevel="1" collapsed="1">
      <c r="A9" s="7" t="s">
        <v>19</v>
      </c>
      <c r="B9" s="7" t="s">
        <v>16</v>
      </c>
      <c r="C9" s="7" t="s">
        <v>17</v>
      </c>
      <c r="D9" s="7"/>
      <c r="E9" s="7" t="s">
        <v>1086</v>
      </c>
      <c r="F9" s="7" t="s">
        <v>19</v>
      </c>
      <c r="G9" s="7" t="s">
        <v>1087</v>
      </c>
      <c r="H9" s="7" t="s">
        <v>17</v>
      </c>
      <c r="I9" s="7" t="s">
        <v>17</v>
      </c>
      <c r="J9" s="7" t="s">
        <v>1088</v>
      </c>
    </row>
    <row r="10" spans="1:10" x14ac:dyDescent="0.25" outlineLevel="1" collapsed="1">
      <c r="A10" s="7" t="s">
        <v>19</v>
      </c>
      <c r="B10" s="7" t="s">
        <v>16</v>
      </c>
      <c r="C10" s="7" t="s">
        <v>17</v>
      </c>
      <c r="D10" s="7"/>
      <c r="E10" s="7" t="s">
        <v>1089</v>
      </c>
      <c r="F10" s="7" t="s">
        <v>19</v>
      </c>
      <c r="G10" s="7" t="s">
        <v>1090</v>
      </c>
      <c r="H10" s="7" t="s">
        <v>17</v>
      </c>
      <c r="I10" s="7" t="s">
        <v>17</v>
      </c>
      <c r="J10" s="7" t="s">
        <v>1091</v>
      </c>
    </row>
    <row r="11" spans="1:10" x14ac:dyDescent="0.25" outlineLevel="1" collapsed="1">
      <c r="A11" s="7" t="s">
        <v>15</v>
      </c>
      <c r="B11" s="7" t="s">
        <v>16</v>
      </c>
      <c r="C11" s="7" t="s">
        <v>17</v>
      </c>
      <c r="D11" s="7"/>
      <c r="E11" s="7" t="s">
        <v>1092</v>
      </c>
      <c r="F11" s="7" t="s">
        <v>19</v>
      </c>
      <c r="G11" s="7" t="s">
        <v>1093</v>
      </c>
      <c r="H11" s="7" t="s">
        <v>17</v>
      </c>
      <c r="I11" s="7" t="s">
        <v>17</v>
      </c>
      <c r="J11" s="7" t="s">
        <v>1094</v>
      </c>
    </row>
  </sheetData>
  <mergeCells count="3">
    <mergeCell ref="A1:J1"/>
    <mergeCell ref="B2:J2"/>
    <mergeCell ref="B3:J3"/>
  </mergeCells>
  <hyperlinks>
    <hyperlink ref="B5" r:id="rId1" location="#'Project Proponent Contact (VCS'!A1"/>
  </hyperlinks>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3271</v>
      </c>
      <c r="B1" s="1"/>
      <c r="C1" s="1"/>
      <c r="D1" s="1"/>
      <c r="E1" s="1"/>
      <c r="F1" s="1"/>
      <c r="G1" s="1"/>
      <c r="H1" s="1"/>
      <c r="I1" s="1"/>
      <c r="J1" s="1"/>
    </row>
    <row r="2" spans="1:10" x14ac:dyDescent="0.25">
      <c r="A2" s="2" t="s">
        <v>1</v>
      </c>
      <c r="B2" s="3" t="s">
        <v>3272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1305</v>
      </c>
      <c r="C5" s="5" t="s">
        <v>17</v>
      </c>
      <c r="D5" s="5"/>
      <c r="E5" s="5" t="s">
        <v>1306</v>
      </c>
      <c r="F5" s="5" t="s">
        <v>19</v>
      </c>
      <c r="G5" s="5" t="s">
        <v>17</v>
      </c>
      <c r="H5" s="5" t="s">
        <v>17</v>
      </c>
      <c r="I5" s="5" t="s">
        <v>17</v>
      </c>
      <c r="J5" s="5" t="s">
        <v>225</v>
      </c>
    </row>
    <row r="6" spans="1:10" x14ac:dyDescent="0.25" outlineLevel="1" collapsed="1">
      <c r="A6" s="7" t="s">
        <v>15</v>
      </c>
      <c r="B6" s="7" t="s">
        <v>16</v>
      </c>
      <c r="C6" s="7" t="s">
        <v>17</v>
      </c>
      <c r="D6" s="7"/>
      <c r="E6" s="7" t="s">
        <v>1307</v>
      </c>
      <c r="F6" s="7" t="s">
        <v>19</v>
      </c>
      <c r="G6" s="7" t="s">
        <v>1308</v>
      </c>
      <c r="H6" s="7" t="s">
        <v>17</v>
      </c>
      <c r="I6" s="7" t="s">
        <v>17</v>
      </c>
      <c r="J6" s="7" t="s">
        <v>1309</v>
      </c>
    </row>
    <row r="7" spans="1:10" x14ac:dyDescent="0.25">
      <c r="A7" s="5" t="s">
        <v>15</v>
      </c>
      <c r="B7" s="6" t="s">
        <v>1310</v>
      </c>
      <c r="C7" s="5" t="s">
        <v>17</v>
      </c>
      <c r="D7" s="5"/>
      <c r="E7" s="5" t="s">
        <v>1311</v>
      </c>
      <c r="F7" s="5" t="s">
        <v>19</v>
      </c>
      <c r="G7" s="5" t="s">
        <v>17</v>
      </c>
      <c r="H7" s="5" t="s">
        <v>17</v>
      </c>
      <c r="I7" s="5" t="s">
        <v>17</v>
      </c>
      <c r="J7" s="5" t="s">
        <v>230</v>
      </c>
    </row>
    <row r="8" spans="1:10" x14ac:dyDescent="0.25" outlineLevel="1" collapsed="1">
      <c r="A8" s="7" t="s">
        <v>15</v>
      </c>
      <c r="B8" s="7" t="s">
        <v>159</v>
      </c>
      <c r="C8" s="7" t="s">
        <v>17</v>
      </c>
      <c r="D8" s="7"/>
      <c r="E8" s="7" t="s">
        <v>1312</v>
      </c>
      <c r="F8" s="7" t="s">
        <v>19</v>
      </c>
      <c r="G8" s="7" t="b">
        <v>0</v>
      </c>
      <c r="H8" s="7" t="s">
        <v>17</v>
      </c>
      <c r="I8" s="7" t="s">
        <v>17</v>
      </c>
      <c r="J8" s="7" t="s">
        <v>1313</v>
      </c>
    </row>
    <row r="9" spans="1:10" x14ac:dyDescent="0.25" outlineLevel="1" collapsed="1">
      <c r="A9" s="7" t="s">
        <v>15</v>
      </c>
      <c r="B9" s="7" t="s">
        <v>16</v>
      </c>
      <c r="C9" s="7" t="s">
        <v>17</v>
      </c>
      <c r="D9" s="7"/>
      <c r="E9" s="7" t="s">
        <v>1314</v>
      </c>
      <c r="F9" s="7" t="s">
        <v>19</v>
      </c>
      <c r="G9" s="7" t="s">
        <v>1315</v>
      </c>
      <c r="H9" s="7" t="s">
        <v>17</v>
      </c>
      <c r="I9" s="7" t="s">
        <v>17</v>
      </c>
      <c r="J9" s="7" t="s">
        <v>1316</v>
      </c>
    </row>
  </sheetData>
  <mergeCells count="3">
    <mergeCell ref="A1:J1"/>
    <mergeCell ref="B2:J2"/>
    <mergeCell ref="B3:J3"/>
  </mergeCells>
  <hyperlinks>
    <hyperlink ref="B5" r:id="rId1" location="#'MR 2.6.1 Management Experience'!A1"/>
    <hyperlink ref="B7" r:id="rId2" location="#'MR 2.6.2 Legal Compliance (VCS'!A1"/>
  </hyperlinks>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3273</v>
      </c>
      <c r="B1" s="1"/>
      <c r="C1" s="1"/>
      <c r="D1" s="1"/>
      <c r="E1" s="1"/>
      <c r="F1" s="1"/>
      <c r="G1" s="1"/>
      <c r="H1" s="1"/>
      <c r="I1" s="1"/>
      <c r="J1" s="1"/>
    </row>
    <row r="2" spans="1:10" x14ac:dyDescent="0.25">
      <c r="A2" s="2" t="s">
        <v>1</v>
      </c>
      <c r="B2" s="3" t="s">
        <v>3274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92</v>
      </c>
      <c r="F5" s="5" t="s">
        <v>19</v>
      </c>
      <c r="G5" s="5" t="s">
        <v>93</v>
      </c>
      <c r="H5" s="5" t="s">
        <v>17</v>
      </c>
      <c r="I5" s="5" t="s">
        <v>17</v>
      </c>
      <c r="J5" s="5" t="s">
        <v>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3275</v>
      </c>
      <c r="B1" s="1"/>
      <c r="C1" s="1"/>
      <c r="D1" s="1"/>
      <c r="E1" s="1"/>
      <c r="F1" s="1"/>
      <c r="G1" s="1"/>
      <c r="H1" s="1"/>
      <c r="I1" s="1"/>
      <c r="J1" s="1"/>
    </row>
    <row r="2" spans="1:10" x14ac:dyDescent="0.25">
      <c r="A2" s="2" t="s">
        <v>1</v>
      </c>
      <c r="B2" s="3" t="s">
        <v>3276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1125</v>
      </c>
      <c r="F5" s="5" t="s">
        <v>19</v>
      </c>
      <c r="G5" s="5" t="s">
        <v>1126</v>
      </c>
      <c r="H5" s="5" t="s">
        <v>17</v>
      </c>
      <c r="I5" s="5" t="s">
        <v>17</v>
      </c>
      <c r="J5" s="5" t="s">
        <v>1127</v>
      </c>
    </row>
    <row r="6" spans="1:10" x14ac:dyDescent="0.25">
      <c r="A6" s="5" t="s">
        <v>19</v>
      </c>
      <c r="B6" s="6" t="s">
        <v>1128</v>
      </c>
      <c r="C6" s="5" t="s">
        <v>17</v>
      </c>
      <c r="D6" s="5"/>
      <c r="E6" s="5" t="s">
        <v>1129</v>
      </c>
      <c r="F6" s="5" t="s">
        <v>15</v>
      </c>
      <c r="G6" s="5" t="s">
        <v>17</v>
      </c>
      <c r="H6" s="5" t="s">
        <v>17</v>
      </c>
      <c r="I6" s="5" t="s">
        <v>17</v>
      </c>
      <c r="J6" s="5" t="s">
        <v>1130</v>
      </c>
    </row>
    <row r="7" spans="1:10" x14ac:dyDescent="0.25" outlineLevel="1" collapsed="1">
      <c r="A7" s="7" t="s">
        <v>15</v>
      </c>
      <c r="B7" s="7" t="s">
        <v>16</v>
      </c>
      <c r="C7" s="7" t="s">
        <v>17</v>
      </c>
      <c r="D7" s="7"/>
      <c r="E7" s="7" t="s">
        <v>1131</v>
      </c>
      <c r="F7" s="7" t="s">
        <v>19</v>
      </c>
      <c r="G7" s="7" t="s">
        <v>1132</v>
      </c>
      <c r="H7" s="7" t="s">
        <v>17</v>
      </c>
      <c r="I7" s="7" t="s">
        <v>17</v>
      </c>
      <c r="J7" s="7" t="s">
        <v>1133</v>
      </c>
    </row>
    <row r="8" spans="1:10" x14ac:dyDescent="0.25" outlineLevel="1" collapsed="1">
      <c r="A8" s="7" t="s">
        <v>19</v>
      </c>
      <c r="B8" s="7" t="s">
        <v>16</v>
      </c>
      <c r="C8" s="7" t="s">
        <v>17</v>
      </c>
      <c r="D8" s="7"/>
      <c r="E8" s="7" t="s">
        <v>1134</v>
      </c>
      <c r="F8" s="7" t="s">
        <v>19</v>
      </c>
      <c r="G8" s="7" t="s">
        <v>1135</v>
      </c>
      <c r="H8" s="7" t="s">
        <v>17</v>
      </c>
      <c r="I8" s="7" t="s">
        <v>17</v>
      </c>
      <c r="J8" s="7" t="s">
        <v>1136</v>
      </c>
    </row>
    <row r="9" spans="1:10" x14ac:dyDescent="0.25" outlineLevel="1" collapsed="1">
      <c r="A9" s="7" t="s">
        <v>15</v>
      </c>
      <c r="B9" s="7" t="s">
        <v>63</v>
      </c>
      <c r="C9" s="7" t="s">
        <v>17</v>
      </c>
      <c r="D9" s="7"/>
      <c r="E9" s="7" t="s">
        <v>1137</v>
      </c>
      <c r="F9" s="7" t="s">
        <v>19</v>
      </c>
      <c r="G9" s="7">
        <v>-3.35</v>
      </c>
      <c r="H9" s="7" t="s">
        <v>17</v>
      </c>
      <c r="I9" s="7" t="s">
        <v>17</v>
      </c>
      <c r="J9" s="7" t="s">
        <v>1138</v>
      </c>
    </row>
    <row r="10" spans="1:10" x14ac:dyDescent="0.25" outlineLevel="1" collapsed="1">
      <c r="A10" s="7" t="s">
        <v>15</v>
      </c>
      <c r="B10" s="7" t="s">
        <v>63</v>
      </c>
      <c r="C10" s="7" t="s">
        <v>17</v>
      </c>
      <c r="D10" s="7"/>
      <c r="E10" s="7" t="s">
        <v>1139</v>
      </c>
      <c r="F10" s="7" t="s">
        <v>19</v>
      </c>
      <c r="G10" s="7">
        <v>37.34</v>
      </c>
      <c r="H10" s="7" t="s">
        <v>17</v>
      </c>
      <c r="I10" s="7" t="s">
        <v>17</v>
      </c>
      <c r="J10" s="7" t="s">
        <v>1140</v>
      </c>
    </row>
    <row r="11" spans="1:10" x14ac:dyDescent="0.25" outlineLevel="1" collapsed="1">
      <c r="A11" s="7" t="s">
        <v>19</v>
      </c>
      <c r="B11" s="7" t="s">
        <v>16</v>
      </c>
      <c r="C11" s="7" t="s">
        <v>17</v>
      </c>
      <c r="D11" s="7"/>
      <c r="E11" s="7" t="s">
        <v>1141</v>
      </c>
      <c r="F11" s="7" t="s">
        <v>19</v>
      </c>
      <c r="G11" s="7" t="s">
        <v>1142</v>
      </c>
      <c r="H11" s="7" t="s">
        <v>17</v>
      </c>
      <c r="I11" s="7" t="s">
        <v>17</v>
      </c>
      <c r="J11" s="7" t="s">
        <v>1143</v>
      </c>
    </row>
    <row r="12" spans="1:10" x14ac:dyDescent="0.25" outlineLevel="1" collapsed="1">
      <c r="A12" s="7" t="s">
        <v>19</v>
      </c>
      <c r="B12" s="7" t="s">
        <v>16</v>
      </c>
      <c r="C12" s="7" t="s">
        <v>17</v>
      </c>
      <c r="D12" s="7"/>
      <c r="E12" s="7" t="s">
        <v>1144</v>
      </c>
      <c r="F12" s="7" t="s">
        <v>19</v>
      </c>
      <c r="G12" s="7" t="s">
        <v>1145</v>
      </c>
      <c r="H12" s="7" t="s">
        <v>17</v>
      </c>
      <c r="I12" s="7" t="s">
        <v>17</v>
      </c>
      <c r="J12" s="7" t="s">
        <v>1146</v>
      </c>
    </row>
    <row r="13" spans="1:10" x14ac:dyDescent="0.25">
      <c r="A13" s="5" t="s">
        <v>19</v>
      </c>
      <c r="B13" s="5" t="s">
        <v>16</v>
      </c>
      <c r="C13" s="5" t="s">
        <v>17</v>
      </c>
      <c r="D13" s="5"/>
      <c r="E13" s="5" t="s">
        <v>1147</v>
      </c>
      <c r="F13" s="5" t="s">
        <v>19</v>
      </c>
      <c r="G13" s="5" t="s">
        <v>31</v>
      </c>
      <c r="H13" s="5" t="s">
        <v>17</v>
      </c>
      <c r="I13" s="5" t="s">
        <v>17</v>
      </c>
      <c r="J13" s="5" t="s">
        <v>1148</v>
      </c>
    </row>
    <row r="14" spans="1:10" x14ac:dyDescent="0.25">
      <c r="A14" s="5" t="s">
        <v>19</v>
      </c>
      <c r="B14" s="5" t="s">
        <v>16</v>
      </c>
      <c r="C14" s="5" t="s">
        <v>17</v>
      </c>
      <c r="D14" s="5"/>
      <c r="E14" s="5" t="s">
        <v>1149</v>
      </c>
      <c r="F14" s="5" t="s">
        <v>19</v>
      </c>
      <c r="G14" s="5" t="s">
        <v>31</v>
      </c>
      <c r="H14" s="5" t="s">
        <v>17</v>
      </c>
      <c r="I14" s="5" t="s">
        <v>17</v>
      </c>
      <c r="J14" s="5" t="s">
        <v>1150</v>
      </c>
    </row>
    <row r="15" spans="1:10" x14ac:dyDescent="0.25">
      <c r="A15" s="5" t="s">
        <v>19</v>
      </c>
      <c r="B15" s="5" t="s">
        <v>16</v>
      </c>
      <c r="C15" s="5" t="s">
        <v>17</v>
      </c>
      <c r="D15" s="5"/>
      <c r="E15" s="5" t="s">
        <v>1151</v>
      </c>
      <c r="F15" s="5" t="s">
        <v>19</v>
      </c>
      <c r="G15" s="5" t="s">
        <v>31</v>
      </c>
      <c r="H15" s="5" t="s">
        <v>17</v>
      </c>
      <c r="I15" s="5" t="s">
        <v>17</v>
      </c>
      <c r="J15" s="5" t="s">
        <v>1152</v>
      </c>
    </row>
  </sheetData>
  <mergeCells count="3">
    <mergeCell ref="A1:J1"/>
    <mergeCell ref="B2:J2"/>
    <mergeCell ref="B3:J3"/>
  </mergeCells>
  <hyperlinks>
    <hyperlink ref="B6" r:id="rId1" location="#'Project Location Entry (VCS PD'!A1"/>
  </hyperlinks>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3277</v>
      </c>
      <c r="B1" s="1"/>
      <c r="C1" s="1"/>
      <c r="D1" s="1"/>
      <c r="E1" s="1"/>
      <c r="F1" s="1"/>
      <c r="G1" s="1"/>
      <c r="H1" s="1"/>
      <c r="I1" s="1"/>
      <c r="J1" s="1"/>
    </row>
    <row r="2" spans="1:10" x14ac:dyDescent="0.25">
      <c r="A2" s="2" t="s">
        <v>1</v>
      </c>
      <c r="B2" s="3" t="s">
        <v>3278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1056</v>
      </c>
      <c r="F5" s="5" t="s">
        <v>19</v>
      </c>
      <c r="G5" s="5" t="s">
        <v>1057</v>
      </c>
      <c r="H5" s="5" t="s">
        <v>17</v>
      </c>
      <c r="I5" s="5" t="s">
        <v>17</v>
      </c>
      <c r="J5" s="5" t="s">
        <v>1058</v>
      </c>
    </row>
    <row r="6" spans="1:10" x14ac:dyDescent="0.25">
      <c r="A6" s="5" t="s">
        <v>19</v>
      </c>
      <c r="B6" s="5" t="s">
        <v>16</v>
      </c>
      <c r="C6" s="5" t="s">
        <v>17</v>
      </c>
      <c r="D6" s="5"/>
      <c r="E6" s="5" t="s">
        <v>1059</v>
      </c>
      <c r="F6" s="5" t="s">
        <v>19</v>
      </c>
      <c r="G6" s="5" t="s">
        <v>1060</v>
      </c>
      <c r="H6" s="5" t="s">
        <v>17</v>
      </c>
      <c r="I6" s="5" t="s">
        <v>17</v>
      </c>
      <c r="J6" s="5" t="s">
        <v>1061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3279</v>
      </c>
      <c r="B1" s="1"/>
      <c r="C1" s="1"/>
      <c r="D1" s="1"/>
      <c r="E1" s="1"/>
      <c r="F1" s="1"/>
      <c r="G1" s="1"/>
      <c r="H1" s="1"/>
      <c r="I1" s="1"/>
      <c r="J1" s="1"/>
    </row>
    <row r="2" spans="1:10" x14ac:dyDescent="0.25">
      <c r="A2" s="2" t="s">
        <v>1</v>
      </c>
      <c r="B2" s="3" t="s">
        <v>3280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2464</v>
      </c>
      <c r="F5" s="5" t="s">
        <v>19</v>
      </c>
      <c r="G5" s="5" t="s">
        <v>2465</v>
      </c>
      <c r="H5" s="5" t="s">
        <v>17</v>
      </c>
      <c r="I5" s="5" t="s">
        <v>17</v>
      </c>
      <c r="J5" s="5" t="s">
        <v>2466</v>
      </c>
    </row>
    <row r="6" spans="1:10" x14ac:dyDescent="0.25">
      <c r="A6" s="5" t="s">
        <v>19</v>
      </c>
      <c r="B6" s="5" t="s">
        <v>16</v>
      </c>
      <c r="C6" s="5" t="s">
        <v>17</v>
      </c>
      <c r="D6" s="5"/>
      <c r="E6" s="5" t="s">
        <v>2467</v>
      </c>
      <c r="F6" s="5" t="s">
        <v>19</v>
      </c>
      <c r="G6" s="5" t="s">
        <v>2468</v>
      </c>
      <c r="H6" s="5" t="s">
        <v>17</v>
      </c>
      <c r="I6" s="5" t="s">
        <v>17</v>
      </c>
      <c r="J6" s="5" t="s">
        <v>2469</v>
      </c>
    </row>
    <row r="7" spans="1:10" x14ac:dyDescent="0.25">
      <c r="A7" s="5" t="s">
        <v>19</v>
      </c>
      <c r="B7" s="5" t="s">
        <v>16</v>
      </c>
      <c r="C7" s="5" t="s">
        <v>17</v>
      </c>
      <c r="D7" s="5"/>
      <c r="E7" s="5" t="s">
        <v>2470</v>
      </c>
      <c r="F7" s="5" t="s">
        <v>19</v>
      </c>
      <c r="G7" s="5" t="s">
        <v>2471</v>
      </c>
      <c r="H7" s="5" t="s">
        <v>17</v>
      </c>
      <c r="I7" s="5" t="s">
        <v>17</v>
      </c>
      <c r="J7" s="5" t="s">
        <v>2472</v>
      </c>
    </row>
    <row r="8" spans="1:10" x14ac:dyDescent="0.25">
      <c r="A8" s="5" t="s">
        <v>15</v>
      </c>
      <c r="B8" s="6" t="s">
        <v>2473</v>
      </c>
      <c r="C8" s="5" t="s">
        <v>17</v>
      </c>
      <c r="D8" s="5"/>
      <c r="E8" s="5" t="s">
        <v>2474</v>
      </c>
      <c r="F8" s="5" t="s">
        <v>15</v>
      </c>
      <c r="G8" s="5" t="s">
        <v>17</v>
      </c>
      <c r="H8" s="5" t="s">
        <v>17</v>
      </c>
      <c r="I8" s="5" t="s">
        <v>17</v>
      </c>
      <c r="J8" s="5" t="s">
        <v>2475</v>
      </c>
    </row>
    <row r="9" spans="1:10" x14ac:dyDescent="0.25" outlineLevel="1" collapsed="1">
      <c r="A9" s="7" t="s">
        <v>19</v>
      </c>
      <c r="B9" s="7" t="s">
        <v>16</v>
      </c>
      <c r="C9" s="7" t="s">
        <v>17</v>
      </c>
      <c r="D9" s="7"/>
      <c r="E9" s="7" t="s">
        <v>2476</v>
      </c>
      <c r="F9" s="7" t="s">
        <v>19</v>
      </c>
      <c r="G9" s="7" t="s">
        <v>996</v>
      </c>
      <c r="H9" s="7" t="s">
        <v>17</v>
      </c>
      <c r="I9" s="7" t="s">
        <v>17</v>
      </c>
      <c r="J9" s="7" t="s">
        <v>796</v>
      </c>
    </row>
    <row r="10" spans="1:10" x14ac:dyDescent="0.25" outlineLevel="1" collapsed="1">
      <c r="A10" s="7" t="s">
        <v>19</v>
      </c>
      <c r="B10" s="7" t="s">
        <v>16</v>
      </c>
      <c r="C10" s="7" t="s">
        <v>17</v>
      </c>
      <c r="D10" s="7"/>
      <c r="E10" s="7" t="s">
        <v>2477</v>
      </c>
      <c r="F10" s="7" t="s">
        <v>19</v>
      </c>
      <c r="G10" s="7" t="s">
        <v>2478</v>
      </c>
      <c r="H10" s="7" t="s">
        <v>17</v>
      </c>
      <c r="I10" s="7" t="s">
        <v>17</v>
      </c>
      <c r="J10" s="7" t="s">
        <v>2479</v>
      </c>
    </row>
    <row r="11" spans="1:10" x14ac:dyDescent="0.25" outlineLevel="1" collapsed="1">
      <c r="A11" s="7" t="s">
        <v>19</v>
      </c>
      <c r="B11" s="7" t="s">
        <v>16</v>
      </c>
      <c r="C11" s="7" t="s">
        <v>17</v>
      </c>
      <c r="D11" s="7"/>
      <c r="E11" s="7" t="s">
        <v>2480</v>
      </c>
      <c r="F11" s="7" t="s">
        <v>19</v>
      </c>
      <c r="G11" s="7" t="s">
        <v>2481</v>
      </c>
      <c r="H11" s="7" t="s">
        <v>17</v>
      </c>
      <c r="I11" s="7" t="s">
        <v>17</v>
      </c>
      <c r="J11" s="7" t="s">
        <v>2482</v>
      </c>
    </row>
  </sheetData>
  <mergeCells count="3">
    <mergeCell ref="A1:J1"/>
    <mergeCell ref="B2:J2"/>
    <mergeCell ref="B3:J3"/>
  </mergeCells>
  <hyperlinks>
    <hyperlink ref="B8" r:id="rId1" location="#'Sensitive Information Row (VCS'!A1"/>
  </hyperlinks>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3281</v>
      </c>
      <c r="B1" s="1"/>
      <c r="C1" s="1"/>
      <c r="D1" s="1"/>
      <c r="E1" s="1"/>
      <c r="F1" s="1"/>
      <c r="G1" s="1"/>
      <c r="H1" s="1"/>
      <c r="I1" s="1"/>
      <c r="J1" s="1"/>
    </row>
    <row r="2" spans="1:10" x14ac:dyDescent="0.25">
      <c r="A2" s="2" t="s">
        <v>1</v>
      </c>
      <c r="B2" s="3" t="s">
        <v>3282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2592</v>
      </c>
      <c r="F5" s="5" t="s">
        <v>19</v>
      </c>
      <c r="G5" s="5" t="b">
        <v>0</v>
      </c>
      <c r="H5" s="5" t="s">
        <v>17</v>
      </c>
      <c r="I5" s="5" t="s">
        <v>17</v>
      </c>
      <c r="J5" s="5" t="s">
        <v>2593</v>
      </c>
    </row>
    <row r="6" spans="1:10" x14ac:dyDescent="0.25">
      <c r="A6" s="5" t="s">
        <v>19</v>
      </c>
      <c r="B6" s="6" t="s">
        <v>1384</v>
      </c>
      <c r="C6" s="5" t="s">
        <v>17</v>
      </c>
      <c r="D6" s="5"/>
      <c r="E6" s="5" t="s">
        <v>1385</v>
      </c>
      <c r="F6" s="5" t="s">
        <v>15</v>
      </c>
      <c r="G6" s="5" t="s">
        <v>17</v>
      </c>
      <c r="H6" s="5" t="s">
        <v>17</v>
      </c>
      <c r="I6" s="5" t="s">
        <v>17</v>
      </c>
      <c r="J6" s="5" t="s">
        <v>1386</v>
      </c>
    </row>
    <row r="7" spans="1:10" x14ac:dyDescent="0.25" outlineLevel="1" collapsed="1">
      <c r="A7" s="7" t="s">
        <v>19</v>
      </c>
      <c r="B7" s="7" t="s">
        <v>16</v>
      </c>
      <c r="C7" s="7" t="s">
        <v>17</v>
      </c>
      <c r="D7" s="7"/>
      <c r="E7" s="7" t="s">
        <v>474</v>
      </c>
      <c r="F7" s="7" t="s">
        <v>19</v>
      </c>
      <c r="G7" s="7" t="s">
        <v>31</v>
      </c>
      <c r="H7" s="7" t="s">
        <v>17</v>
      </c>
      <c r="I7" s="7" t="s">
        <v>17</v>
      </c>
      <c r="J7" s="7" t="s">
        <v>476</v>
      </c>
    </row>
    <row r="8" spans="1:10" x14ac:dyDescent="0.25" outlineLevel="1" collapsed="1">
      <c r="A8" s="7" t="s">
        <v>19</v>
      </c>
      <c r="B8" s="7" t="s">
        <v>16</v>
      </c>
      <c r="C8" s="7" t="s">
        <v>17</v>
      </c>
      <c r="D8" s="7"/>
      <c r="E8" s="7" t="s">
        <v>1387</v>
      </c>
      <c r="F8" s="7" t="s">
        <v>19</v>
      </c>
      <c r="G8" s="7" t="s">
        <v>31</v>
      </c>
      <c r="H8" s="7" t="s">
        <v>17</v>
      </c>
      <c r="I8" s="7" t="s">
        <v>17</v>
      </c>
      <c r="J8" s="7" t="s">
        <v>1388</v>
      </c>
    </row>
    <row r="9" spans="1:10" x14ac:dyDescent="0.25" outlineLevel="1" collapsed="1">
      <c r="A9" s="7" t="s">
        <v>19</v>
      </c>
      <c r="B9" s="7" t="s">
        <v>16</v>
      </c>
      <c r="C9" s="7" t="s">
        <v>17</v>
      </c>
      <c r="D9" s="7"/>
      <c r="E9" s="7" t="s">
        <v>1389</v>
      </c>
      <c r="F9" s="7" t="s">
        <v>19</v>
      </c>
      <c r="G9" s="7" t="s">
        <v>31</v>
      </c>
      <c r="H9" s="7" t="s">
        <v>17</v>
      </c>
      <c r="I9" s="7" t="s">
        <v>17</v>
      </c>
      <c r="J9" s="7" t="s">
        <v>1390</v>
      </c>
    </row>
    <row r="10" spans="1:10" x14ac:dyDescent="0.25" outlineLevel="1" collapsed="1">
      <c r="A10" s="7" t="s">
        <v>19</v>
      </c>
      <c r="B10" s="7" t="s">
        <v>16</v>
      </c>
      <c r="C10" s="7" t="s">
        <v>17</v>
      </c>
      <c r="D10" s="7"/>
      <c r="E10" s="7" t="s">
        <v>1391</v>
      </c>
      <c r="F10" s="7" t="s">
        <v>19</v>
      </c>
      <c r="G10" s="7" t="s">
        <v>31</v>
      </c>
      <c r="H10" s="7" t="s">
        <v>17</v>
      </c>
      <c r="I10" s="7" t="s">
        <v>17</v>
      </c>
      <c r="J10" s="7" t="s">
        <v>1392</v>
      </c>
    </row>
    <row r="11" spans="1:10" x14ac:dyDescent="0.25" outlineLevel="1" collapsed="1">
      <c r="A11" s="7" t="s">
        <v>19</v>
      </c>
      <c r="B11" s="7" t="s">
        <v>16</v>
      </c>
      <c r="C11" s="7" t="s">
        <v>17</v>
      </c>
      <c r="D11" s="7"/>
      <c r="E11" s="7" t="s">
        <v>1393</v>
      </c>
      <c r="F11" s="7" t="s">
        <v>19</v>
      </c>
      <c r="G11" s="7" t="s">
        <v>31</v>
      </c>
      <c r="H11" s="7" t="s">
        <v>17</v>
      </c>
      <c r="I11" s="7" t="s">
        <v>17</v>
      </c>
      <c r="J11" s="7" t="s">
        <v>1394</v>
      </c>
    </row>
    <row r="12" spans="1:10" x14ac:dyDescent="0.25" outlineLevel="1" collapsed="1">
      <c r="A12" s="7" t="s">
        <v>19</v>
      </c>
      <c r="B12" s="7" t="s">
        <v>16</v>
      </c>
      <c r="C12" s="7" t="s">
        <v>17</v>
      </c>
      <c r="D12" s="7"/>
      <c r="E12" s="7" t="s">
        <v>1395</v>
      </c>
      <c r="F12" s="7" t="s">
        <v>19</v>
      </c>
      <c r="G12" s="7" t="s">
        <v>31</v>
      </c>
      <c r="H12" s="7" t="s">
        <v>17</v>
      </c>
      <c r="I12" s="7" t="s">
        <v>17</v>
      </c>
      <c r="J12" s="7" t="s">
        <v>1396</v>
      </c>
    </row>
  </sheetData>
  <mergeCells count="3">
    <mergeCell ref="A1:J1"/>
    <mergeCell ref="B2:J2"/>
    <mergeCell ref="B3:J3"/>
  </mergeCells>
  <hyperlinks>
    <hyperlink ref="B6" r:id="rId1" location="#'Methodology deviation row (VCS'!A1"/>
  </hyperlinks>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3283</v>
      </c>
      <c r="B1" s="1"/>
      <c r="C1" s="1"/>
      <c r="D1" s="1"/>
      <c r="E1" s="1"/>
      <c r="F1" s="1"/>
      <c r="G1" s="1"/>
      <c r="H1" s="1"/>
      <c r="I1" s="1"/>
      <c r="J1" s="1"/>
    </row>
    <row r="2" spans="1:10" x14ac:dyDescent="0.25">
      <c r="A2" s="2" t="s">
        <v>1</v>
      </c>
      <c r="B2" s="3" t="s">
        <v>3284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1489</v>
      </c>
      <c r="C5" s="5" t="s">
        <v>17</v>
      </c>
      <c r="D5" s="5"/>
      <c r="E5" s="5" t="s">
        <v>1490</v>
      </c>
      <c r="F5" s="5" t="s">
        <v>19</v>
      </c>
      <c r="G5" s="5" t="s">
        <v>17</v>
      </c>
      <c r="H5" s="5" t="s">
        <v>17</v>
      </c>
      <c r="I5" s="5" t="s">
        <v>17</v>
      </c>
      <c r="J5" s="5" t="s">
        <v>1491</v>
      </c>
    </row>
    <row r="6" spans="1:10" x14ac:dyDescent="0.25" outlineLevel="1" collapsed="1">
      <c r="A6" s="7" t="s">
        <v>15</v>
      </c>
      <c r="B6" s="7" t="s">
        <v>159</v>
      </c>
      <c r="C6" s="7" t="s">
        <v>17</v>
      </c>
      <c r="D6" s="7"/>
      <c r="E6" s="7" t="s">
        <v>1492</v>
      </c>
      <c r="F6" s="7" t="s">
        <v>19</v>
      </c>
      <c r="G6" s="7" t="b">
        <v>0</v>
      </c>
      <c r="H6" s="7" t="s">
        <v>17</v>
      </c>
      <c r="I6" s="7" t="s">
        <v>17</v>
      </c>
      <c r="J6" s="7" t="s">
        <v>1493</v>
      </c>
    </row>
    <row r="7" spans="1:10" x14ac:dyDescent="0.25" outlineLevel="1" collapsed="1">
      <c r="A7" s="7" t="s">
        <v>15</v>
      </c>
      <c r="B7" s="7" t="s">
        <v>16</v>
      </c>
      <c r="C7" s="7" t="s">
        <v>17</v>
      </c>
      <c r="D7" s="7"/>
      <c r="E7" s="7" t="s">
        <v>1494</v>
      </c>
      <c r="F7" s="7" t="s">
        <v>19</v>
      </c>
      <c r="G7" s="7" t="s">
        <v>1495</v>
      </c>
      <c r="H7" s="7" t="s">
        <v>1495</v>
      </c>
      <c r="I7" s="7" t="s">
        <v>17</v>
      </c>
      <c r="J7" s="7" t="s">
        <v>1496</v>
      </c>
    </row>
    <row r="8" spans="1:10" x14ac:dyDescent="0.25">
      <c r="A8" s="5" t="s">
        <v>15</v>
      </c>
      <c r="B8" s="6" t="s">
        <v>1497</v>
      </c>
      <c r="C8" s="5" t="s">
        <v>17</v>
      </c>
      <c r="D8" s="5"/>
      <c r="E8" s="5" t="s">
        <v>1498</v>
      </c>
      <c r="F8" s="5" t="s">
        <v>19</v>
      </c>
      <c r="G8" s="5" t="s">
        <v>17</v>
      </c>
      <c r="H8" s="5" t="s">
        <v>17</v>
      </c>
      <c r="I8" s="5" t="s">
        <v>17</v>
      </c>
      <c r="J8" s="5" t="s">
        <v>1499</v>
      </c>
    </row>
    <row r="9" spans="1:10" x14ac:dyDescent="0.25" outlineLevel="1" collapsed="1">
      <c r="A9" s="7" t="s">
        <v>15</v>
      </c>
      <c r="B9" s="7" t="s">
        <v>159</v>
      </c>
      <c r="C9" s="7" t="s">
        <v>17</v>
      </c>
      <c r="D9" s="7"/>
      <c r="E9" s="7" t="s">
        <v>1500</v>
      </c>
      <c r="F9" s="7" t="s">
        <v>19</v>
      </c>
      <c r="G9" s="7" t="b">
        <v>0</v>
      </c>
      <c r="H9" s="7" t="s">
        <v>17</v>
      </c>
      <c r="I9" s="7" t="s">
        <v>17</v>
      </c>
      <c r="J9" s="7" t="s">
        <v>1501</v>
      </c>
    </row>
    <row r="10" spans="1:10" x14ac:dyDescent="0.25" outlineLevel="1" collapsed="1">
      <c r="A10" s="7" t="s">
        <v>15</v>
      </c>
      <c r="B10" s="7" t="s">
        <v>16</v>
      </c>
      <c r="C10" s="7" t="s">
        <v>17</v>
      </c>
      <c r="D10" s="7"/>
      <c r="E10" s="7" t="s">
        <v>1502</v>
      </c>
      <c r="F10" s="7" t="s">
        <v>19</v>
      </c>
      <c r="G10" s="7" t="s">
        <v>1503</v>
      </c>
      <c r="H10" s="7" t="s">
        <v>1503</v>
      </c>
      <c r="I10" s="7" t="s">
        <v>17</v>
      </c>
      <c r="J10" s="7" t="s">
        <v>1504</v>
      </c>
    </row>
    <row r="11" spans="1:10" x14ac:dyDescent="0.25">
      <c r="A11" s="5" t="s">
        <v>15</v>
      </c>
      <c r="B11" s="6" t="s">
        <v>1505</v>
      </c>
      <c r="C11" s="5" t="s">
        <v>17</v>
      </c>
      <c r="D11" s="5"/>
      <c r="E11" s="5" t="s">
        <v>1506</v>
      </c>
      <c r="F11" s="5" t="s">
        <v>19</v>
      </c>
      <c r="G11" s="5" t="s">
        <v>17</v>
      </c>
      <c r="H11" s="5" t="s">
        <v>17</v>
      </c>
      <c r="I11" s="5" t="s">
        <v>17</v>
      </c>
      <c r="J11" s="5" t="s">
        <v>623</v>
      </c>
    </row>
    <row r="12" spans="1:10" x14ac:dyDescent="0.25" outlineLevel="1" collapsed="1">
      <c r="A12" s="7" t="s">
        <v>15</v>
      </c>
      <c r="B12" s="7" t="s">
        <v>159</v>
      </c>
      <c r="C12" s="7" t="s">
        <v>17</v>
      </c>
      <c r="D12" s="7"/>
      <c r="E12" s="7" t="s">
        <v>1507</v>
      </c>
      <c r="F12" s="7" t="s">
        <v>19</v>
      </c>
      <c r="G12" s="7" t="b">
        <v>0</v>
      </c>
      <c r="H12" s="7" t="s">
        <v>17</v>
      </c>
      <c r="I12" s="7" t="s">
        <v>17</v>
      </c>
      <c r="J12" s="7" t="s">
        <v>1508</v>
      </c>
    </row>
    <row r="13" spans="1:10" x14ac:dyDescent="0.25" outlineLevel="1" collapsed="1">
      <c r="A13" s="7" t="s">
        <v>15</v>
      </c>
      <c r="B13" s="7" t="s">
        <v>16</v>
      </c>
      <c r="C13" s="7" t="s">
        <v>17</v>
      </c>
      <c r="D13" s="7"/>
      <c r="E13" s="7" t="s">
        <v>1509</v>
      </c>
      <c r="F13" s="7" t="s">
        <v>19</v>
      </c>
      <c r="G13" s="7" t="s">
        <v>1510</v>
      </c>
      <c r="H13" s="7" t="s">
        <v>1510</v>
      </c>
      <c r="I13" s="7" t="s">
        <v>17</v>
      </c>
      <c r="J13" s="7" t="s">
        <v>1511</v>
      </c>
    </row>
    <row r="14" spans="1:10" x14ac:dyDescent="0.25" outlineLevel="1" collapsed="1">
      <c r="A14" s="7" t="s">
        <v>19</v>
      </c>
      <c r="B14" s="7" t="s">
        <v>63</v>
      </c>
      <c r="C14" s="7" t="s">
        <v>17</v>
      </c>
      <c r="D14" s="7"/>
      <c r="E14" s="7" t="s">
        <v>1512</v>
      </c>
      <c r="F14" s="7" t="s">
        <v>19</v>
      </c>
      <c r="G14" s="7">
        <v>1</v>
      </c>
      <c r="H14" s="7" t="s">
        <v>17</v>
      </c>
      <c r="I14" s="7" t="s">
        <v>17</v>
      </c>
      <c r="J14" s="7" t="s">
        <v>1513</v>
      </c>
    </row>
    <row r="15" spans="1:10" x14ac:dyDescent="0.25">
      <c r="A15" s="5" t="s">
        <v>15</v>
      </c>
      <c r="B15" s="6" t="s">
        <v>1514</v>
      </c>
      <c r="C15" s="5" t="s">
        <v>17</v>
      </c>
      <c r="D15" s="5"/>
      <c r="E15" s="5" t="s">
        <v>1515</v>
      </c>
      <c r="F15" s="5" t="s">
        <v>19</v>
      </c>
      <c r="G15" s="5" t="s">
        <v>17</v>
      </c>
      <c r="H15" s="5" t="s">
        <v>17</v>
      </c>
      <c r="I15" s="5" t="s">
        <v>17</v>
      </c>
      <c r="J15" s="5" t="s">
        <v>1516</v>
      </c>
    </row>
    <row r="16" spans="1:10" x14ac:dyDescent="0.25" outlineLevel="1" collapsed="1">
      <c r="A16" s="7" t="s">
        <v>15</v>
      </c>
      <c r="B16" s="7" t="s">
        <v>16</v>
      </c>
      <c r="C16" s="7" t="s">
        <v>17</v>
      </c>
      <c r="D16" s="7"/>
      <c r="E16" s="7" t="s">
        <v>1517</v>
      </c>
      <c r="F16" s="7" t="s">
        <v>19</v>
      </c>
      <c r="G16" s="7" t="s">
        <v>1518</v>
      </c>
      <c r="H16" s="7" t="s">
        <v>1518</v>
      </c>
      <c r="I16" s="7" t="s">
        <v>17</v>
      </c>
      <c r="J16" s="7" t="s">
        <v>626</v>
      </c>
    </row>
    <row r="17" spans="1:10" x14ac:dyDescent="0.25">
      <c r="A17" s="5" t="s">
        <v>19</v>
      </c>
      <c r="B17" s="6" t="s">
        <v>1519</v>
      </c>
      <c r="C17" s="5" t="s">
        <v>17</v>
      </c>
      <c r="D17" s="5"/>
      <c r="E17" s="5" t="s">
        <v>1520</v>
      </c>
      <c r="F17" s="5" t="s">
        <v>15</v>
      </c>
      <c r="G17" s="5" t="s">
        <v>17</v>
      </c>
      <c r="H17" s="5" t="s">
        <v>17</v>
      </c>
      <c r="I17" s="5" t="s">
        <v>17</v>
      </c>
      <c r="J17" s="5" t="s">
        <v>1521</v>
      </c>
    </row>
    <row r="18" spans="1:10" x14ac:dyDescent="0.25" outlineLevel="1" collapsed="1">
      <c r="A18" s="7" t="s">
        <v>19</v>
      </c>
      <c r="B18" s="7" t="s">
        <v>63</v>
      </c>
      <c r="C18" s="7" t="s">
        <v>17</v>
      </c>
      <c r="D18" s="7"/>
      <c r="E18" s="7" t="s">
        <v>1522</v>
      </c>
      <c r="F18" s="7" t="s">
        <v>19</v>
      </c>
      <c r="G18" s="7">
        <v>1</v>
      </c>
      <c r="H18" s="7" t="s">
        <v>17</v>
      </c>
      <c r="I18" s="7" t="s">
        <v>17</v>
      </c>
      <c r="J18" s="7" t="s">
        <v>1523</v>
      </c>
    </row>
    <row r="19" spans="1:10" x14ac:dyDescent="0.25" outlineLevel="1" collapsed="1">
      <c r="A19" s="7" t="s">
        <v>19</v>
      </c>
      <c r="B19" s="7" t="s">
        <v>16</v>
      </c>
      <c r="C19" s="7" t="s">
        <v>17</v>
      </c>
      <c r="D19" s="7"/>
      <c r="E19" s="7" t="s">
        <v>1524</v>
      </c>
      <c r="F19" s="7" t="s">
        <v>19</v>
      </c>
      <c r="G19" s="7" t="s">
        <v>31</v>
      </c>
      <c r="H19" s="7" t="s">
        <v>17</v>
      </c>
      <c r="I19" s="7" t="s">
        <v>17</v>
      </c>
      <c r="J19" s="7" t="s">
        <v>1525</v>
      </c>
    </row>
    <row r="20" spans="1:10" x14ac:dyDescent="0.25">
      <c r="A20" s="5" t="s">
        <v>19</v>
      </c>
      <c r="B20" s="6" t="s">
        <v>1526</v>
      </c>
      <c r="C20" s="5" t="s">
        <v>17</v>
      </c>
      <c r="D20" s="5"/>
      <c r="E20" s="5" t="s">
        <v>1527</v>
      </c>
      <c r="F20" s="5" t="s">
        <v>15</v>
      </c>
      <c r="G20" s="5" t="s">
        <v>17</v>
      </c>
      <c r="H20" s="5" t="s">
        <v>17</v>
      </c>
      <c r="I20" s="5" t="s">
        <v>17</v>
      </c>
      <c r="J20" s="5" t="s">
        <v>1528</v>
      </c>
    </row>
    <row r="21" spans="1:10" x14ac:dyDescent="0.25" outlineLevel="1" collapsed="1">
      <c r="A21" s="7" t="s">
        <v>19</v>
      </c>
      <c r="B21" s="7" t="s">
        <v>16</v>
      </c>
      <c r="C21" s="7" t="s">
        <v>17</v>
      </c>
      <c r="D21" s="7"/>
      <c r="E21" s="7" t="s">
        <v>728</v>
      </c>
      <c r="F21" s="7" t="s">
        <v>19</v>
      </c>
      <c r="G21" s="7" t="s">
        <v>31</v>
      </c>
      <c r="H21" s="7" t="s">
        <v>17</v>
      </c>
      <c r="I21" s="7" t="s">
        <v>17</v>
      </c>
      <c r="J21" s="7" t="s">
        <v>730</v>
      </c>
    </row>
    <row r="22" spans="1:10" x14ac:dyDescent="0.25" outlineLevel="1" collapsed="1">
      <c r="A22" s="7" t="s">
        <v>19</v>
      </c>
      <c r="B22" s="7" t="s">
        <v>16</v>
      </c>
      <c r="C22" s="7" t="s">
        <v>17</v>
      </c>
      <c r="D22" s="7"/>
      <c r="E22" s="7" t="s">
        <v>731</v>
      </c>
      <c r="F22" s="7" t="s">
        <v>19</v>
      </c>
      <c r="G22" s="7" t="s">
        <v>31</v>
      </c>
      <c r="H22" s="7" t="s">
        <v>17</v>
      </c>
      <c r="I22" s="7" t="s">
        <v>17</v>
      </c>
      <c r="J22" s="7" t="s">
        <v>733</v>
      </c>
    </row>
    <row r="23" spans="1:10" x14ac:dyDescent="0.25" outlineLevel="1" collapsed="1">
      <c r="A23" s="7" t="s">
        <v>19</v>
      </c>
      <c r="B23" s="7" t="s">
        <v>16</v>
      </c>
      <c r="C23" s="7" t="s">
        <v>17</v>
      </c>
      <c r="D23" s="7"/>
      <c r="E23" s="7" t="s">
        <v>30</v>
      </c>
      <c r="F23" s="7" t="s">
        <v>19</v>
      </c>
      <c r="G23" s="7" t="s">
        <v>31</v>
      </c>
      <c r="H23" s="7" t="s">
        <v>17</v>
      </c>
      <c r="I23" s="7" t="s">
        <v>17</v>
      </c>
      <c r="J23" s="7" t="s">
        <v>32</v>
      </c>
    </row>
    <row r="24" spans="1:10" x14ac:dyDescent="0.25" outlineLevel="1" collapsed="1">
      <c r="A24" s="7" t="s">
        <v>19</v>
      </c>
      <c r="B24" s="7" t="s">
        <v>16</v>
      </c>
      <c r="C24" s="7" t="s">
        <v>17</v>
      </c>
      <c r="D24" s="7"/>
      <c r="E24" s="7" t="s">
        <v>33</v>
      </c>
      <c r="F24" s="7" t="s">
        <v>19</v>
      </c>
      <c r="G24" s="7" t="s">
        <v>31</v>
      </c>
      <c r="H24" s="7" t="s">
        <v>17</v>
      </c>
      <c r="I24" s="7" t="s">
        <v>17</v>
      </c>
      <c r="J24" s="7" t="s">
        <v>34</v>
      </c>
    </row>
    <row r="25" spans="1:10" x14ac:dyDescent="0.25" outlineLevel="1" collapsed="1">
      <c r="A25" s="7" t="s">
        <v>19</v>
      </c>
      <c r="B25" s="7" t="s">
        <v>63</v>
      </c>
      <c r="C25" s="7" t="s">
        <v>17</v>
      </c>
      <c r="D25" s="7"/>
      <c r="E25" s="7" t="s">
        <v>1529</v>
      </c>
      <c r="F25" s="7" t="s">
        <v>19</v>
      </c>
      <c r="G25" s="7">
        <v>1</v>
      </c>
      <c r="H25" s="7" t="s">
        <v>17</v>
      </c>
      <c r="I25" s="7" t="s">
        <v>17</v>
      </c>
      <c r="J25" s="7" t="s">
        <v>1530</v>
      </c>
    </row>
    <row r="26" spans="1:10" x14ac:dyDescent="0.25" outlineLevel="1" collapsed="1">
      <c r="A26" s="7" t="s">
        <v>19</v>
      </c>
      <c r="B26" s="7" t="s">
        <v>63</v>
      </c>
      <c r="C26" s="7" t="s">
        <v>17</v>
      </c>
      <c r="D26" s="7"/>
      <c r="E26" s="7" t="s">
        <v>1531</v>
      </c>
      <c r="F26" s="7" t="s">
        <v>19</v>
      </c>
      <c r="G26" s="7">
        <v>1</v>
      </c>
      <c r="H26" s="7" t="s">
        <v>17</v>
      </c>
      <c r="I26" s="7" t="s">
        <v>17</v>
      </c>
      <c r="J26" s="7" t="s">
        <v>1532</v>
      </c>
    </row>
    <row r="27" spans="1:10" x14ac:dyDescent="0.25" outlineLevel="1" collapsed="1">
      <c r="A27" s="7" t="s">
        <v>19</v>
      </c>
      <c r="B27" s="7" t="s">
        <v>63</v>
      </c>
      <c r="C27" s="7" t="s">
        <v>17</v>
      </c>
      <c r="D27" s="7"/>
      <c r="E27" s="7" t="s">
        <v>1533</v>
      </c>
      <c r="F27" s="7" t="s">
        <v>19</v>
      </c>
      <c r="G27" s="7">
        <v>1</v>
      </c>
      <c r="H27" s="7" t="s">
        <v>17</v>
      </c>
      <c r="I27" s="7" t="s">
        <v>17</v>
      </c>
      <c r="J27" s="7" t="s">
        <v>1534</v>
      </c>
    </row>
    <row r="28" spans="1:10" x14ac:dyDescent="0.25" outlineLevel="1" collapsed="1">
      <c r="A28" s="7" t="s">
        <v>19</v>
      </c>
      <c r="B28" s="7" t="s">
        <v>16</v>
      </c>
      <c r="C28" s="7" t="s">
        <v>17</v>
      </c>
      <c r="D28" s="7"/>
      <c r="E28" s="7" t="s">
        <v>1535</v>
      </c>
      <c r="F28" s="7" t="s">
        <v>19</v>
      </c>
      <c r="G28" s="7" t="s">
        <v>31</v>
      </c>
      <c r="H28" s="7" t="s">
        <v>17</v>
      </c>
      <c r="I28" s="7" t="s">
        <v>17</v>
      </c>
      <c r="J28" s="7" t="s">
        <v>1536</v>
      </c>
    </row>
    <row r="29" spans="1:10" x14ac:dyDescent="0.25" outlineLevel="1" collapsed="1">
      <c r="A29" s="7" t="s">
        <v>19</v>
      </c>
      <c r="B29" s="7" t="s">
        <v>16</v>
      </c>
      <c r="C29" s="7" t="s">
        <v>17</v>
      </c>
      <c r="D29" s="7"/>
      <c r="E29" s="7" t="s">
        <v>1537</v>
      </c>
      <c r="F29" s="7" t="s">
        <v>19</v>
      </c>
      <c r="G29" s="7" t="s">
        <v>31</v>
      </c>
      <c r="H29" s="7" t="s">
        <v>17</v>
      </c>
      <c r="I29" s="7" t="s">
        <v>17</v>
      </c>
      <c r="J29" s="7" t="s">
        <v>1538</v>
      </c>
    </row>
    <row r="30" spans="1:10" x14ac:dyDescent="0.25" outlineLevel="1" collapsed="1">
      <c r="A30" s="7" t="s">
        <v>19</v>
      </c>
      <c r="B30" s="7" t="s">
        <v>16</v>
      </c>
      <c r="C30" s="7" t="s">
        <v>17</v>
      </c>
      <c r="D30" s="7"/>
      <c r="E30" s="7" t="s">
        <v>1539</v>
      </c>
      <c r="F30" s="7" t="s">
        <v>19</v>
      </c>
      <c r="G30" s="7" t="s">
        <v>31</v>
      </c>
      <c r="H30" s="7" t="s">
        <v>17</v>
      </c>
      <c r="I30" s="7" t="s">
        <v>17</v>
      </c>
      <c r="J30" s="7" t="s">
        <v>752</v>
      </c>
    </row>
    <row r="31" spans="1:10" x14ac:dyDescent="0.25">
      <c r="A31" s="5" t="s">
        <v>19</v>
      </c>
      <c r="B31" s="5" t="s">
        <v>16</v>
      </c>
      <c r="C31" s="5" t="s">
        <v>17</v>
      </c>
      <c r="D31" s="5"/>
      <c r="E31" s="5" t="s">
        <v>1540</v>
      </c>
      <c r="F31" s="5" t="s">
        <v>19</v>
      </c>
      <c r="G31" s="5" t="s">
        <v>31</v>
      </c>
      <c r="H31" s="5" t="s">
        <v>17</v>
      </c>
      <c r="I31" s="5" t="s">
        <v>17</v>
      </c>
      <c r="J31" s="5" t="s">
        <v>1541</v>
      </c>
    </row>
    <row r="32" spans="1:10" x14ac:dyDescent="0.25">
      <c r="A32" s="5" t="s">
        <v>19</v>
      </c>
      <c r="B32" s="5" t="s">
        <v>63</v>
      </c>
      <c r="C32" s="5" t="s">
        <v>17</v>
      </c>
      <c r="D32" s="5"/>
      <c r="E32" s="5" t="s">
        <v>1542</v>
      </c>
      <c r="F32" s="5" t="s">
        <v>19</v>
      </c>
      <c r="G32" s="5">
        <v>1</v>
      </c>
      <c r="H32" s="5" t="s">
        <v>17</v>
      </c>
      <c r="I32" s="5" t="s">
        <v>17</v>
      </c>
      <c r="J32" s="5" t="s">
        <v>1543</v>
      </c>
    </row>
    <row r="33" spans="1:10" x14ac:dyDescent="0.25">
      <c r="A33" s="5" t="s">
        <v>19</v>
      </c>
      <c r="B33" s="5" t="s">
        <v>16</v>
      </c>
      <c r="C33" s="5" t="s">
        <v>17</v>
      </c>
      <c r="D33" s="5"/>
      <c r="E33" s="5" t="s">
        <v>1544</v>
      </c>
      <c r="F33" s="5" t="s">
        <v>19</v>
      </c>
      <c r="G33" s="5" t="s">
        <v>31</v>
      </c>
      <c r="H33" s="5" t="s">
        <v>17</v>
      </c>
      <c r="I33" s="5" t="s">
        <v>17</v>
      </c>
      <c r="J33" s="5" t="s">
        <v>1545</v>
      </c>
    </row>
    <row r="34" spans="1:10" x14ac:dyDescent="0.25">
      <c r="A34" s="5" t="s">
        <v>19</v>
      </c>
      <c r="B34" s="5" t="s">
        <v>16</v>
      </c>
      <c r="C34" s="5" t="s">
        <v>17</v>
      </c>
      <c r="D34" s="5"/>
      <c r="E34" s="5" t="s">
        <v>1546</v>
      </c>
      <c r="F34" s="5" t="s">
        <v>19</v>
      </c>
      <c r="G34" s="5" t="s">
        <v>31</v>
      </c>
      <c r="H34" s="5" t="s">
        <v>17</v>
      </c>
      <c r="I34" s="5" t="s">
        <v>17</v>
      </c>
      <c r="J34" s="5" t="s">
        <v>1547</v>
      </c>
    </row>
    <row r="35" spans="1:10" x14ac:dyDescent="0.25">
      <c r="A35" s="5" t="s">
        <v>19</v>
      </c>
      <c r="B35" s="5" t="s">
        <v>16</v>
      </c>
      <c r="C35" s="5" t="s">
        <v>17</v>
      </c>
      <c r="D35" s="5"/>
      <c r="E35" s="5" t="s">
        <v>1548</v>
      </c>
      <c r="F35" s="5" t="s">
        <v>19</v>
      </c>
      <c r="G35" s="5" t="s">
        <v>31</v>
      </c>
      <c r="H35" s="5" t="s">
        <v>17</v>
      </c>
      <c r="I35" s="5" t="s">
        <v>17</v>
      </c>
      <c r="J35" s="5" t="s">
        <v>1549</v>
      </c>
    </row>
    <row r="36" spans="1:10" x14ac:dyDescent="0.25">
      <c r="A36" s="5" t="s">
        <v>19</v>
      </c>
      <c r="B36" s="5" t="s">
        <v>16</v>
      </c>
      <c r="C36" s="5" t="s">
        <v>17</v>
      </c>
      <c r="D36" s="5"/>
      <c r="E36" s="5" t="s">
        <v>1550</v>
      </c>
      <c r="F36" s="5" t="s">
        <v>19</v>
      </c>
      <c r="G36" s="5" t="s">
        <v>31</v>
      </c>
      <c r="H36" s="5" t="s">
        <v>17</v>
      </c>
      <c r="I36" s="5" t="s">
        <v>17</v>
      </c>
      <c r="J36" s="5" t="s">
        <v>1551</v>
      </c>
    </row>
    <row r="37" spans="1:10" x14ac:dyDescent="0.25">
      <c r="A37" s="5" t="s">
        <v>19</v>
      </c>
      <c r="B37" s="5" t="s">
        <v>16</v>
      </c>
      <c r="C37" s="5" t="s">
        <v>17</v>
      </c>
      <c r="D37" s="5"/>
      <c r="E37" s="5" t="s">
        <v>1552</v>
      </c>
      <c r="F37" s="5" t="s">
        <v>19</v>
      </c>
      <c r="G37" s="5" t="s">
        <v>31</v>
      </c>
      <c r="H37" s="5" t="s">
        <v>17</v>
      </c>
      <c r="I37" s="5" t="s">
        <v>17</v>
      </c>
      <c r="J37" s="5" t="s">
        <v>1553</v>
      </c>
    </row>
    <row r="38" spans="1:10" x14ac:dyDescent="0.25">
      <c r="A38" s="5" t="s">
        <v>19</v>
      </c>
      <c r="B38" s="5" t="s">
        <v>16</v>
      </c>
      <c r="C38" s="5" t="s">
        <v>17</v>
      </c>
      <c r="D38" s="5"/>
      <c r="E38" s="5" t="s">
        <v>1554</v>
      </c>
      <c r="F38" s="5" t="s">
        <v>19</v>
      </c>
      <c r="G38" s="5" t="s">
        <v>31</v>
      </c>
      <c r="H38" s="5" t="s">
        <v>17</v>
      </c>
      <c r="I38" s="5" t="s">
        <v>17</v>
      </c>
      <c r="J38" s="5" t="s">
        <v>1555</v>
      </c>
    </row>
    <row r="39" spans="1:10" x14ac:dyDescent="0.25">
      <c r="A39" s="5" t="s">
        <v>19</v>
      </c>
      <c r="B39" s="6" t="s">
        <v>1556</v>
      </c>
      <c r="C39" s="5" t="s">
        <v>17</v>
      </c>
      <c r="D39" s="5"/>
      <c r="E39" s="5" t="s">
        <v>1557</v>
      </c>
      <c r="F39" s="5" t="s">
        <v>15</v>
      </c>
      <c r="G39" s="5" t="s">
        <v>17</v>
      </c>
      <c r="H39" s="5" t="s">
        <v>17</v>
      </c>
      <c r="I39" s="5" t="s">
        <v>17</v>
      </c>
      <c r="J39" s="5" t="s">
        <v>1558</v>
      </c>
    </row>
    <row r="40" spans="1:10" x14ac:dyDescent="0.25" outlineLevel="1" collapsed="1">
      <c r="A40" s="7" t="s">
        <v>19</v>
      </c>
      <c r="B40" s="7" t="s">
        <v>16</v>
      </c>
      <c r="C40" s="7" t="s">
        <v>17</v>
      </c>
      <c r="D40" s="7"/>
      <c r="E40" s="7" t="s">
        <v>728</v>
      </c>
      <c r="F40" s="7" t="s">
        <v>19</v>
      </c>
      <c r="G40" s="7" t="s">
        <v>31</v>
      </c>
      <c r="H40" s="7" t="s">
        <v>17</v>
      </c>
      <c r="I40" s="7" t="s">
        <v>17</v>
      </c>
      <c r="J40" s="7" t="s">
        <v>730</v>
      </c>
    </row>
    <row r="41" spans="1:10" x14ac:dyDescent="0.25" outlineLevel="1" collapsed="1">
      <c r="A41" s="7" t="s">
        <v>19</v>
      </c>
      <c r="B41" s="7" t="s">
        <v>16</v>
      </c>
      <c r="C41" s="7" t="s">
        <v>17</v>
      </c>
      <c r="D41" s="7"/>
      <c r="E41" s="7" t="s">
        <v>731</v>
      </c>
      <c r="F41" s="7" t="s">
        <v>19</v>
      </c>
      <c r="G41" s="7" t="s">
        <v>31</v>
      </c>
      <c r="H41" s="7" t="s">
        <v>17</v>
      </c>
      <c r="I41" s="7" t="s">
        <v>17</v>
      </c>
      <c r="J41" s="7" t="s">
        <v>733</v>
      </c>
    </row>
    <row r="42" spans="1:10" x14ac:dyDescent="0.25" outlineLevel="1" collapsed="1">
      <c r="A42" s="7" t="s">
        <v>19</v>
      </c>
      <c r="B42" s="7" t="s">
        <v>16</v>
      </c>
      <c r="C42" s="7" t="s">
        <v>17</v>
      </c>
      <c r="D42" s="7"/>
      <c r="E42" s="7" t="s">
        <v>30</v>
      </c>
      <c r="F42" s="7" t="s">
        <v>19</v>
      </c>
      <c r="G42" s="7" t="s">
        <v>31</v>
      </c>
      <c r="H42" s="7" t="s">
        <v>17</v>
      </c>
      <c r="I42" s="7" t="s">
        <v>17</v>
      </c>
      <c r="J42" s="7" t="s">
        <v>32</v>
      </c>
    </row>
    <row r="43" spans="1:10" x14ac:dyDescent="0.25" outlineLevel="1" collapsed="1">
      <c r="A43" s="7" t="s">
        <v>19</v>
      </c>
      <c r="B43" s="7" t="s">
        <v>16</v>
      </c>
      <c r="C43" s="7" t="s">
        <v>17</v>
      </c>
      <c r="D43" s="7"/>
      <c r="E43" s="7" t="s">
        <v>33</v>
      </c>
      <c r="F43" s="7" t="s">
        <v>19</v>
      </c>
      <c r="G43" s="7" t="s">
        <v>31</v>
      </c>
      <c r="H43" s="7" t="s">
        <v>17</v>
      </c>
      <c r="I43" s="7" t="s">
        <v>17</v>
      </c>
      <c r="J43" s="7" t="s">
        <v>34</v>
      </c>
    </row>
    <row r="44" spans="1:10" x14ac:dyDescent="0.25" outlineLevel="1" collapsed="1">
      <c r="A44" s="7" t="s">
        <v>19</v>
      </c>
      <c r="B44" s="7" t="s">
        <v>16</v>
      </c>
      <c r="C44" s="7" t="s">
        <v>17</v>
      </c>
      <c r="D44" s="7"/>
      <c r="E44" s="7" t="s">
        <v>1559</v>
      </c>
      <c r="F44" s="7" t="s">
        <v>19</v>
      </c>
      <c r="G44" s="7" t="s">
        <v>31</v>
      </c>
      <c r="H44" s="7" t="s">
        <v>17</v>
      </c>
      <c r="I44" s="7" t="s">
        <v>17</v>
      </c>
      <c r="J44" s="7" t="s">
        <v>1560</v>
      </c>
    </row>
    <row r="45" spans="1:10" x14ac:dyDescent="0.25" outlineLevel="1" collapsed="1">
      <c r="A45" s="7" t="s">
        <v>19</v>
      </c>
      <c r="B45" s="7" t="s">
        <v>16</v>
      </c>
      <c r="C45" s="7" t="s">
        <v>17</v>
      </c>
      <c r="D45" s="7"/>
      <c r="E45" s="7" t="s">
        <v>1533</v>
      </c>
      <c r="F45" s="7" t="s">
        <v>19</v>
      </c>
      <c r="G45" s="7" t="s">
        <v>31</v>
      </c>
      <c r="H45" s="7" t="s">
        <v>17</v>
      </c>
      <c r="I45" s="7" t="s">
        <v>17</v>
      </c>
      <c r="J45" s="7" t="s">
        <v>1534</v>
      </c>
    </row>
    <row r="46" spans="1:10" x14ac:dyDescent="0.25" outlineLevel="1" collapsed="1">
      <c r="A46" s="7" t="s">
        <v>19</v>
      </c>
      <c r="B46" s="7" t="s">
        <v>16</v>
      </c>
      <c r="C46" s="7" t="s">
        <v>17</v>
      </c>
      <c r="D46" s="7"/>
      <c r="E46" s="7" t="s">
        <v>1539</v>
      </c>
      <c r="F46" s="7" t="s">
        <v>19</v>
      </c>
      <c r="G46" s="7" t="s">
        <v>31</v>
      </c>
      <c r="H46" s="7" t="s">
        <v>17</v>
      </c>
      <c r="I46" s="7" t="s">
        <v>17</v>
      </c>
      <c r="J46" s="7" t="s">
        <v>752</v>
      </c>
    </row>
  </sheetData>
  <mergeCells count="3">
    <mergeCell ref="A1:J1"/>
    <mergeCell ref="B2:J2"/>
    <mergeCell ref="B3:J3"/>
  </mergeCells>
  <hyperlinks>
    <hyperlink ref="B5" r:id="rId1" location="#'MR 5.4.1 Non-Permanence Risk A'!A1"/>
    <hyperlink ref="B8" r:id="rId2" location="#'MR 5.4.2 Buffer Pool Allocatio'!A1"/>
    <hyperlink ref="B11" r:id="rId3" location="#'MR 5.4.3 Long-Term Average (VC'!A1"/>
    <hyperlink ref="B15" r:id="rId4" location="#'MR 5.4.4 De Minimis Quantifica'!A1"/>
    <hyperlink ref="B17" r:id="rId5" location="#'Non-permanence risk rating row'!A1"/>
    <hyperlink ref="B20" r:id="rId6" location="#'5.4 Buffer pool allocation (re'!A1"/>
    <hyperlink ref="B39" r:id="rId7" location="#'5.4 Buffer pool allocation (co'!A1"/>
  </hyperlinks>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3285</v>
      </c>
      <c r="B1" s="1"/>
      <c r="C1" s="1"/>
      <c r="D1" s="1"/>
      <c r="E1" s="1"/>
      <c r="F1" s="1"/>
      <c r="G1" s="1"/>
      <c r="H1" s="1"/>
      <c r="I1" s="1"/>
      <c r="J1" s="1"/>
    </row>
    <row r="2" spans="1:10" x14ac:dyDescent="0.25">
      <c r="A2" s="2" t="s">
        <v>1</v>
      </c>
      <c r="B2" s="3" t="s">
        <v>3286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1159</v>
      </c>
      <c r="F5" s="5" t="s">
        <v>19</v>
      </c>
      <c r="G5" s="5" t="s">
        <v>1160</v>
      </c>
      <c r="H5" s="5" t="s">
        <v>17</v>
      </c>
      <c r="I5" s="5" t="s">
        <v>17</v>
      </c>
      <c r="J5" s="5" t="s">
        <v>1161</v>
      </c>
    </row>
    <row r="6" spans="1:10" x14ac:dyDescent="0.25">
      <c r="A6" s="5" t="s">
        <v>15</v>
      </c>
      <c r="B6" s="5" t="s">
        <v>16</v>
      </c>
      <c r="C6" s="5" t="s">
        <v>17</v>
      </c>
      <c r="D6" s="5"/>
      <c r="E6" s="5" t="s">
        <v>1162</v>
      </c>
      <c r="F6" s="5" t="s">
        <v>19</v>
      </c>
      <c r="G6" s="5" t="s">
        <v>1163</v>
      </c>
      <c r="H6" s="5" t="s">
        <v>17</v>
      </c>
      <c r="I6" s="5" t="s">
        <v>17</v>
      </c>
      <c r="J6" s="5" t="s">
        <v>1164</v>
      </c>
    </row>
    <row r="7" spans="1:10" x14ac:dyDescent="0.25">
      <c r="A7" s="5" t="s">
        <v>19</v>
      </c>
      <c r="B7" s="5" t="s">
        <v>16</v>
      </c>
      <c r="C7" s="5" t="s">
        <v>17</v>
      </c>
      <c r="D7" s="5"/>
      <c r="E7" s="5" t="s">
        <v>1165</v>
      </c>
      <c r="F7" s="5" t="s">
        <v>19</v>
      </c>
      <c r="G7" s="5" t="s">
        <v>1166</v>
      </c>
      <c r="H7" s="5" t="s">
        <v>17</v>
      </c>
      <c r="I7" s="5" t="s">
        <v>17</v>
      </c>
      <c r="J7" s="5" t="s">
        <v>1167</v>
      </c>
    </row>
    <row r="8" spans="1:10" x14ac:dyDescent="0.25">
      <c r="A8" s="5" t="s">
        <v>19</v>
      </c>
      <c r="B8" s="5" t="s">
        <v>16</v>
      </c>
      <c r="C8" s="5" t="s">
        <v>17</v>
      </c>
      <c r="D8" s="5"/>
      <c r="E8" s="5" t="s">
        <v>1168</v>
      </c>
      <c r="F8" s="5" t="s">
        <v>19</v>
      </c>
      <c r="G8" s="5" t="s">
        <v>31</v>
      </c>
      <c r="H8" s="5" t="s">
        <v>17</v>
      </c>
      <c r="I8" s="5" t="s">
        <v>17</v>
      </c>
      <c r="J8" s="5" t="s">
        <v>1169</v>
      </c>
    </row>
    <row r="9" spans="1:10" x14ac:dyDescent="0.25">
      <c r="A9" s="5" t="s">
        <v>19</v>
      </c>
      <c r="B9" s="5" t="s">
        <v>16</v>
      </c>
      <c r="C9" s="5" t="s">
        <v>17</v>
      </c>
      <c r="D9" s="5"/>
      <c r="E9" s="5" t="s">
        <v>1170</v>
      </c>
      <c r="F9" s="5" t="s">
        <v>19</v>
      </c>
      <c r="G9" s="5" t="s">
        <v>31</v>
      </c>
      <c r="H9" s="5" t="s">
        <v>17</v>
      </c>
      <c r="I9" s="5" t="s">
        <v>17</v>
      </c>
      <c r="J9" s="5" t="s">
        <v>44</v>
      </c>
    </row>
    <row r="10" spans="1:10" x14ac:dyDescent="0.25">
      <c r="A10" s="5" t="s">
        <v>19</v>
      </c>
      <c r="B10" s="5" t="s">
        <v>16</v>
      </c>
      <c r="C10" s="5" t="s">
        <v>17</v>
      </c>
      <c r="D10" s="5"/>
      <c r="E10" s="5" t="s">
        <v>1171</v>
      </c>
      <c r="F10" s="5" t="s">
        <v>19</v>
      </c>
      <c r="G10" s="5" t="s">
        <v>31</v>
      </c>
      <c r="H10" s="5" t="s">
        <v>17</v>
      </c>
      <c r="I10" s="5" t="s">
        <v>17</v>
      </c>
      <c r="J10" s="5" t="s">
        <v>1172</v>
      </c>
    </row>
    <row r="11" spans="1:10" x14ac:dyDescent="0.25">
      <c r="A11" s="5" t="s">
        <v>19</v>
      </c>
      <c r="B11" s="5" t="s">
        <v>16</v>
      </c>
      <c r="C11" s="5" t="s">
        <v>17</v>
      </c>
      <c r="D11" s="5"/>
      <c r="E11" s="5" t="s">
        <v>1173</v>
      </c>
      <c r="F11" s="5" t="s">
        <v>19</v>
      </c>
      <c r="G11" s="5" t="s">
        <v>31</v>
      </c>
      <c r="H11" s="5" t="s">
        <v>17</v>
      </c>
      <c r="I11" s="5" t="s">
        <v>17</v>
      </c>
      <c r="J11" s="5" t="s">
        <v>1174</v>
      </c>
    </row>
    <row r="12" spans="1:10" x14ac:dyDescent="0.25">
      <c r="A12" s="5" t="s">
        <v>19</v>
      </c>
      <c r="B12" s="5" t="s">
        <v>16</v>
      </c>
      <c r="C12" s="5" t="s">
        <v>17</v>
      </c>
      <c r="D12" s="5"/>
      <c r="E12" s="5" t="s">
        <v>1175</v>
      </c>
      <c r="F12" s="5" t="s">
        <v>19</v>
      </c>
      <c r="G12" s="5" t="s">
        <v>31</v>
      </c>
      <c r="H12" s="5" t="s">
        <v>17</v>
      </c>
      <c r="I12" s="5" t="s">
        <v>17</v>
      </c>
      <c r="J12" s="5" t="s">
        <v>1176</v>
      </c>
    </row>
    <row r="13" spans="1:10" x14ac:dyDescent="0.25">
      <c r="A13" s="5" t="s">
        <v>19</v>
      </c>
      <c r="B13" s="5" t="s">
        <v>16</v>
      </c>
      <c r="C13" s="5" t="s">
        <v>17</v>
      </c>
      <c r="D13" s="5"/>
      <c r="E13" s="5" t="s">
        <v>1177</v>
      </c>
      <c r="F13" s="5" t="s">
        <v>19</v>
      </c>
      <c r="G13" s="5" t="s">
        <v>31</v>
      </c>
      <c r="H13" s="5" t="s">
        <v>17</v>
      </c>
      <c r="I13" s="5" t="s">
        <v>17</v>
      </c>
      <c r="J13" s="5" t="s">
        <v>46</v>
      </c>
    </row>
    <row r="14" spans="1:10" x14ac:dyDescent="0.25">
      <c r="A14" s="5" t="s">
        <v>19</v>
      </c>
      <c r="B14" s="5" t="s">
        <v>16</v>
      </c>
      <c r="C14" s="5" t="s">
        <v>17</v>
      </c>
      <c r="D14" s="5"/>
      <c r="E14" s="5" t="s">
        <v>1178</v>
      </c>
      <c r="F14" s="5" t="s">
        <v>19</v>
      </c>
      <c r="G14" s="5" t="s">
        <v>31</v>
      </c>
      <c r="H14" s="5" t="s">
        <v>17</v>
      </c>
      <c r="I14" s="5" t="s">
        <v>17</v>
      </c>
      <c r="J14" s="5" t="s">
        <v>1179</v>
      </c>
    </row>
    <row r="15" spans="1:10" x14ac:dyDescent="0.25">
      <c r="A15" s="5" t="s">
        <v>19</v>
      </c>
      <c r="B15" s="5" t="s">
        <v>16</v>
      </c>
      <c r="C15" s="5" t="s">
        <v>17</v>
      </c>
      <c r="D15" s="5"/>
      <c r="E15" s="5" t="s">
        <v>1180</v>
      </c>
      <c r="F15" s="5" t="s">
        <v>19</v>
      </c>
      <c r="G15" s="5" t="s">
        <v>31</v>
      </c>
      <c r="H15" s="5" t="s">
        <v>17</v>
      </c>
      <c r="I15" s="5" t="s">
        <v>17</v>
      </c>
      <c r="J15" s="5" t="s">
        <v>1181</v>
      </c>
    </row>
    <row r="16" spans="1:10" x14ac:dyDescent="0.25">
      <c r="A16" s="5" t="s">
        <v>19</v>
      </c>
      <c r="B16" s="5" t="s">
        <v>16</v>
      </c>
      <c r="C16" s="5" t="s">
        <v>17</v>
      </c>
      <c r="D16" s="5"/>
      <c r="E16" s="5" t="s">
        <v>1182</v>
      </c>
      <c r="F16" s="5" t="s">
        <v>19</v>
      </c>
      <c r="G16" s="5" t="s">
        <v>31</v>
      </c>
      <c r="H16" s="5" t="s">
        <v>17</v>
      </c>
      <c r="I16" s="5" t="s">
        <v>17</v>
      </c>
      <c r="J16" s="5" t="s">
        <v>1183</v>
      </c>
    </row>
    <row r="17" spans="1:10" x14ac:dyDescent="0.25">
      <c r="A17" s="5" t="s">
        <v>19</v>
      </c>
      <c r="B17" s="5" t="s">
        <v>16</v>
      </c>
      <c r="C17" s="5" t="s">
        <v>17</v>
      </c>
      <c r="D17" s="5"/>
      <c r="E17" s="5" t="s">
        <v>1184</v>
      </c>
      <c r="F17" s="5" t="s">
        <v>19</v>
      </c>
      <c r="G17" s="5" t="s">
        <v>31</v>
      </c>
      <c r="H17" s="5" t="s">
        <v>17</v>
      </c>
      <c r="I17" s="5" t="s">
        <v>17</v>
      </c>
      <c r="J17" s="5" t="s">
        <v>1185</v>
      </c>
    </row>
    <row r="18" spans="1:10" x14ac:dyDescent="0.25">
      <c r="A18" s="5" t="s">
        <v>19</v>
      </c>
      <c r="B18" s="5" t="s">
        <v>16</v>
      </c>
      <c r="C18" s="5" t="s">
        <v>17</v>
      </c>
      <c r="D18" s="5"/>
      <c r="E18" s="5" t="s">
        <v>1186</v>
      </c>
      <c r="F18" s="5" t="s">
        <v>19</v>
      </c>
      <c r="G18" s="5" t="s">
        <v>31</v>
      </c>
      <c r="H18" s="5" t="s">
        <v>17</v>
      </c>
      <c r="I18" s="5" t="s">
        <v>17</v>
      </c>
      <c r="J18" s="5" t="s">
        <v>1187</v>
      </c>
    </row>
    <row r="19" spans="1:10" x14ac:dyDescent="0.25">
      <c r="A19" s="5" t="s">
        <v>19</v>
      </c>
      <c r="B19" s="5" t="s">
        <v>16</v>
      </c>
      <c r="C19" s="5" t="s">
        <v>17</v>
      </c>
      <c r="D19" s="5"/>
      <c r="E19" s="5" t="s">
        <v>1188</v>
      </c>
      <c r="F19" s="5" t="s">
        <v>19</v>
      </c>
      <c r="G19" s="5" t="s">
        <v>31</v>
      </c>
      <c r="H19" s="5" t="s">
        <v>17</v>
      </c>
      <c r="I19" s="5" t="s">
        <v>17</v>
      </c>
      <c r="J19" s="5" t="s">
        <v>1189</v>
      </c>
    </row>
    <row r="20" spans="1:10" x14ac:dyDescent="0.25">
      <c r="A20" s="5" t="s">
        <v>19</v>
      </c>
      <c r="B20" s="5" t="s">
        <v>16</v>
      </c>
      <c r="C20" s="5" t="s">
        <v>17</v>
      </c>
      <c r="D20" s="5"/>
      <c r="E20" s="5" t="s">
        <v>1190</v>
      </c>
      <c r="F20" s="5" t="s">
        <v>19</v>
      </c>
      <c r="G20" s="5" t="s">
        <v>31</v>
      </c>
      <c r="H20" s="5" t="s">
        <v>17</v>
      </c>
      <c r="I20" s="5" t="s">
        <v>17</v>
      </c>
      <c r="J20" s="5" t="s">
        <v>1191</v>
      </c>
    </row>
    <row r="21" spans="1:10" x14ac:dyDescent="0.25">
      <c r="A21" s="5" t="s">
        <v>19</v>
      </c>
      <c r="B21" s="5" t="s">
        <v>16</v>
      </c>
      <c r="C21" s="5" t="s">
        <v>17</v>
      </c>
      <c r="D21" s="5"/>
      <c r="E21" s="5" t="s">
        <v>1192</v>
      </c>
      <c r="F21" s="5" t="s">
        <v>19</v>
      </c>
      <c r="G21" s="5" t="s">
        <v>31</v>
      </c>
      <c r="H21" s="5" t="s">
        <v>17</v>
      </c>
      <c r="I21" s="5" t="s">
        <v>17</v>
      </c>
      <c r="J21" s="5" t="s">
        <v>1193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3287</v>
      </c>
      <c r="B1" s="1"/>
      <c r="C1" s="1"/>
      <c r="D1" s="1"/>
      <c r="E1" s="1"/>
      <c r="F1" s="1"/>
      <c r="G1" s="1"/>
      <c r="H1" s="1"/>
      <c r="I1" s="1"/>
      <c r="J1" s="1"/>
    </row>
    <row r="2" spans="1:10" x14ac:dyDescent="0.25">
      <c r="A2" s="2" t="s">
        <v>1</v>
      </c>
      <c r="B2" s="3" t="s">
        <v>3288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98</v>
      </c>
      <c r="F5" s="5" t="s">
        <v>19</v>
      </c>
      <c r="G5" s="5" t="s">
        <v>99</v>
      </c>
      <c r="H5" s="5" t="s">
        <v>17</v>
      </c>
      <c r="I5" s="5" t="s">
        <v>17</v>
      </c>
      <c r="J5" s="5" t="s">
        <v>100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3289</v>
      </c>
      <c r="B1" s="1"/>
      <c r="C1" s="1"/>
      <c r="D1" s="1"/>
      <c r="E1" s="1"/>
      <c r="F1" s="1"/>
      <c r="G1" s="1"/>
      <c r="H1" s="1"/>
      <c r="I1" s="1"/>
      <c r="J1" s="1"/>
    </row>
    <row r="2" spans="1:10" x14ac:dyDescent="0.25">
      <c r="A2" s="2" t="s">
        <v>1</v>
      </c>
      <c r="B2" s="3" t="s">
        <v>3290</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3291</v>
      </c>
      <c r="F5" s="5" t="s">
        <v>19</v>
      </c>
      <c r="G5" s="5" t="s">
        <v>312</v>
      </c>
      <c r="H5" s="5" t="s">
        <v>17</v>
      </c>
      <c r="I5" s="5" t="s">
        <v>17</v>
      </c>
      <c r="J5" s="5" t="s">
        <v>313</v>
      </c>
    </row>
    <row r="6" spans="1:10" x14ac:dyDescent="0.25">
      <c r="A6" s="5" t="s">
        <v>19</v>
      </c>
      <c r="B6" s="5" t="s">
        <v>16</v>
      </c>
      <c r="C6" s="5" t="s">
        <v>17</v>
      </c>
      <c r="D6" s="5"/>
      <c r="E6" s="5" t="s">
        <v>3292</v>
      </c>
      <c r="F6" s="5" t="s">
        <v>19</v>
      </c>
      <c r="G6" s="5" t="s">
        <v>1066</v>
      </c>
      <c r="H6" s="5" t="s">
        <v>17</v>
      </c>
      <c r="I6" s="5" t="s">
        <v>17</v>
      </c>
      <c r="J6" s="5" t="s">
        <v>261</v>
      </c>
    </row>
    <row r="7" spans="1:10" x14ac:dyDescent="0.25">
      <c r="A7" s="5" t="s">
        <v>15</v>
      </c>
      <c r="B7" s="5" t="s">
        <v>16</v>
      </c>
      <c r="C7" s="5" t="s">
        <v>17</v>
      </c>
      <c r="D7" s="5"/>
      <c r="E7" s="5" t="s">
        <v>3293</v>
      </c>
      <c r="F7" s="5" t="s">
        <v>19</v>
      </c>
      <c r="G7" s="5" t="s">
        <v>3294</v>
      </c>
      <c r="H7" s="5" t="s">
        <v>17</v>
      </c>
      <c r="I7" s="5" t="s">
        <v>17</v>
      </c>
      <c r="J7" s="5" t="s">
        <v>3295</v>
      </c>
    </row>
    <row r="8" spans="1:10" x14ac:dyDescent="0.25">
      <c r="A8" s="5" t="s">
        <v>15</v>
      </c>
      <c r="B8" s="5" t="s">
        <v>16</v>
      </c>
      <c r="C8" s="5" t="s">
        <v>17</v>
      </c>
      <c r="D8" s="5"/>
      <c r="E8" s="5" t="s">
        <v>3296</v>
      </c>
      <c r="F8" s="5" t="s">
        <v>19</v>
      </c>
      <c r="G8" s="5" t="s">
        <v>3297</v>
      </c>
      <c r="H8" s="5" t="s">
        <v>17</v>
      </c>
      <c r="I8" s="5" t="s">
        <v>17</v>
      </c>
      <c r="J8" s="5" t="s">
        <v>3298</v>
      </c>
    </row>
    <row r="9" spans="1:10" x14ac:dyDescent="0.25">
      <c r="A9" s="5" t="s">
        <v>15</v>
      </c>
      <c r="B9" s="5" t="s">
        <v>16</v>
      </c>
      <c r="C9" s="5" t="s">
        <v>17</v>
      </c>
      <c r="D9" s="5"/>
      <c r="E9" s="5" t="s">
        <v>3299</v>
      </c>
      <c r="F9" s="5" t="s">
        <v>19</v>
      </c>
      <c r="G9" s="5" t="s">
        <v>3300</v>
      </c>
      <c r="H9" s="5" t="s">
        <v>17</v>
      </c>
      <c r="I9" s="5" t="s">
        <v>17</v>
      </c>
      <c r="J9" s="5" t="s">
        <v>3301</v>
      </c>
    </row>
    <row r="10" spans="1:10" x14ac:dyDescent="0.25">
      <c r="A10" s="5" t="s">
        <v>15</v>
      </c>
      <c r="B10" s="5" t="s">
        <v>16</v>
      </c>
      <c r="C10" s="5" t="s">
        <v>17</v>
      </c>
      <c r="D10" s="5"/>
      <c r="E10" s="5" t="s">
        <v>3302</v>
      </c>
      <c r="F10" s="5" t="s">
        <v>19</v>
      </c>
      <c r="G10" s="5" t="s">
        <v>3303</v>
      </c>
      <c r="H10" s="5" t="s">
        <v>17</v>
      </c>
      <c r="I10" s="5" t="s">
        <v>17</v>
      </c>
      <c r="J10" s="5" t="s">
        <v>3304</v>
      </c>
    </row>
    <row r="11" spans="1:10" x14ac:dyDescent="0.25">
      <c r="A11" s="5" t="s">
        <v>15</v>
      </c>
      <c r="B11" s="5" t="s">
        <v>16</v>
      </c>
      <c r="C11" s="5" t="s">
        <v>17</v>
      </c>
      <c r="D11" s="5"/>
      <c r="E11" s="5" t="s">
        <v>3305</v>
      </c>
      <c r="F11" s="5" t="s">
        <v>19</v>
      </c>
      <c r="G11" s="5" t="s">
        <v>3306</v>
      </c>
      <c r="H11" s="5" t="s">
        <v>17</v>
      </c>
      <c r="I11" s="5" t="s">
        <v>17</v>
      </c>
      <c r="J11" s="5" t="s">
        <v>3307</v>
      </c>
    </row>
    <row r="12" spans="1:10" x14ac:dyDescent="0.25">
      <c r="A12" s="5" t="s">
        <v>15</v>
      </c>
      <c r="B12" s="5" t="s">
        <v>16</v>
      </c>
      <c r="C12" s="5" t="s">
        <v>17</v>
      </c>
      <c r="D12" s="5"/>
      <c r="E12" s="5" t="s">
        <v>3308</v>
      </c>
      <c r="F12" s="5" t="s">
        <v>19</v>
      </c>
      <c r="G12" s="5" t="s">
        <v>3309</v>
      </c>
      <c r="H12" s="5" t="s">
        <v>17</v>
      </c>
      <c r="I12" s="5" t="s">
        <v>17</v>
      </c>
      <c r="J12" s="5" t="s">
        <v>3310</v>
      </c>
    </row>
    <row r="13" spans="1:10" x14ac:dyDescent="0.25">
      <c r="A13" s="5" t="s">
        <v>19</v>
      </c>
      <c r="B13" s="5" t="s">
        <v>16</v>
      </c>
      <c r="C13" s="5" t="s">
        <v>17</v>
      </c>
      <c r="D13" s="5"/>
      <c r="E13" s="5" t="s">
        <v>3311</v>
      </c>
      <c r="F13" s="5" t="s">
        <v>19</v>
      </c>
      <c r="G13" s="5" t="s">
        <v>3312</v>
      </c>
      <c r="H13" s="5" t="s">
        <v>17</v>
      </c>
      <c r="I13" s="5" t="s">
        <v>17</v>
      </c>
      <c r="J13" s="5" t="s">
        <v>3313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3314</v>
      </c>
      <c r="B1" s="1"/>
      <c r="C1" s="1"/>
      <c r="D1" s="1"/>
      <c r="E1" s="1"/>
      <c r="F1" s="1"/>
      <c r="G1" s="1"/>
      <c r="H1" s="1"/>
      <c r="I1" s="1"/>
      <c r="J1" s="1"/>
    </row>
    <row r="2" spans="1:10" x14ac:dyDescent="0.25">
      <c r="A2" s="2" t="s">
        <v>1</v>
      </c>
      <c r="B2" s="3" t="s">
        <v>3315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1224</v>
      </c>
      <c r="F5" s="5" t="s">
        <v>19</v>
      </c>
      <c r="G5" s="5" t="s">
        <v>1225</v>
      </c>
      <c r="H5" s="5" t="s">
        <v>17</v>
      </c>
      <c r="I5" s="5" t="s">
        <v>17</v>
      </c>
      <c r="J5" s="5" t="s">
        <v>1226</v>
      </c>
    </row>
    <row r="6" spans="1:10" x14ac:dyDescent="0.25">
      <c r="A6" s="5" t="s">
        <v>15</v>
      </c>
      <c r="B6" s="5" t="s">
        <v>16</v>
      </c>
      <c r="C6" s="5" t="s">
        <v>17</v>
      </c>
      <c r="D6" s="5"/>
      <c r="E6" s="5" t="s">
        <v>1227</v>
      </c>
      <c r="F6" s="5" t="s">
        <v>19</v>
      </c>
      <c r="G6" s="5" t="s">
        <v>1228</v>
      </c>
      <c r="H6" s="5" t="s">
        <v>17</v>
      </c>
      <c r="I6" s="5" t="s">
        <v>17</v>
      </c>
      <c r="J6" s="5" t="s">
        <v>1229</v>
      </c>
    </row>
    <row r="7" spans="1:10" x14ac:dyDescent="0.25">
      <c r="A7" s="5" t="s">
        <v>15</v>
      </c>
      <c r="B7" s="5" t="s">
        <v>159</v>
      </c>
      <c r="C7" s="5" t="s">
        <v>17</v>
      </c>
      <c r="D7" s="5"/>
      <c r="E7" s="5" t="s">
        <v>1230</v>
      </c>
      <c r="F7" s="5" t="s">
        <v>19</v>
      </c>
      <c r="G7" s="5" t="b">
        <v>0</v>
      </c>
      <c r="H7" s="5" t="s">
        <v>17</v>
      </c>
      <c r="I7" s="5" t="s">
        <v>17</v>
      </c>
      <c r="J7" s="5" t="s">
        <v>1231</v>
      </c>
    </row>
    <row r="8" spans="1:10" x14ac:dyDescent="0.25">
      <c r="A8" s="5" t="s">
        <v>15</v>
      </c>
      <c r="B8" s="5" t="s">
        <v>159</v>
      </c>
      <c r="C8" s="5" t="s">
        <v>17</v>
      </c>
      <c r="D8" s="5"/>
      <c r="E8" s="5" t="s">
        <v>1232</v>
      </c>
      <c r="F8" s="5" t="s">
        <v>19</v>
      </c>
      <c r="G8" s="5" t="b">
        <v>0</v>
      </c>
      <c r="H8" s="5" t="s">
        <v>17</v>
      </c>
      <c r="I8" s="5" t="s">
        <v>17</v>
      </c>
      <c r="J8" s="5" t="s">
        <v>1233</v>
      </c>
    </row>
    <row r="9" spans="1:10" x14ac:dyDescent="0.25">
      <c r="A9" s="5" t="s">
        <v>19</v>
      </c>
      <c r="B9" s="5" t="s">
        <v>16</v>
      </c>
      <c r="C9" s="5" t="s">
        <v>17</v>
      </c>
      <c r="D9" s="5"/>
      <c r="E9" s="5" t="s">
        <v>1234</v>
      </c>
      <c r="F9" s="5" t="s">
        <v>19</v>
      </c>
      <c r="G9" s="5" t="s">
        <v>1235</v>
      </c>
      <c r="H9" s="5" t="s">
        <v>17</v>
      </c>
      <c r="I9" s="5" t="s">
        <v>17</v>
      </c>
      <c r="J9" s="5" t="s">
        <v>1236</v>
      </c>
    </row>
    <row r="10" spans="1:10" x14ac:dyDescent="0.25">
      <c r="A10" s="5" t="s">
        <v>19</v>
      </c>
      <c r="B10" s="5" t="s">
        <v>16</v>
      </c>
      <c r="C10" s="5" t="s">
        <v>17</v>
      </c>
      <c r="D10" s="5"/>
      <c r="E10" s="5" t="s">
        <v>1237</v>
      </c>
      <c r="F10" s="5" t="s">
        <v>19</v>
      </c>
      <c r="G10" s="5" t="s">
        <v>31</v>
      </c>
      <c r="H10" s="5" t="s">
        <v>17</v>
      </c>
      <c r="I10" s="5" t="s">
        <v>17</v>
      </c>
      <c r="J10" s="5" t="s">
        <v>1238</v>
      </c>
    </row>
    <row r="11" spans="1:10" x14ac:dyDescent="0.25">
      <c r="A11" s="5" t="s">
        <v>19</v>
      </c>
      <c r="B11" s="6" t="s">
        <v>1239</v>
      </c>
      <c r="C11" s="5" t="s">
        <v>17</v>
      </c>
      <c r="D11" s="5"/>
      <c r="E11" s="5" t="s">
        <v>1240</v>
      </c>
      <c r="F11" s="5" t="s">
        <v>15</v>
      </c>
      <c r="G11" s="5" t="s">
        <v>17</v>
      </c>
      <c r="H11" s="5" t="s">
        <v>17</v>
      </c>
      <c r="I11" s="5" t="s">
        <v>17</v>
      </c>
      <c r="J11" s="5" t="s">
        <v>1241</v>
      </c>
    </row>
    <row r="12" spans="1:10" x14ac:dyDescent="0.25" outlineLevel="1" collapsed="1">
      <c r="A12" s="7" t="s">
        <v>19</v>
      </c>
      <c r="B12" s="7" t="s">
        <v>16</v>
      </c>
      <c r="C12" s="7" t="s">
        <v>17</v>
      </c>
      <c r="D12" s="7"/>
      <c r="E12" s="7" t="s">
        <v>1242</v>
      </c>
      <c r="F12" s="7" t="s">
        <v>19</v>
      </c>
      <c r="G12" s="7" t="s">
        <v>31</v>
      </c>
      <c r="H12" s="7" t="s">
        <v>17</v>
      </c>
      <c r="I12" s="7" t="s">
        <v>17</v>
      </c>
      <c r="J12" s="7" t="s">
        <v>1243</v>
      </c>
    </row>
    <row r="13" spans="1:10" x14ac:dyDescent="0.25" outlineLevel="1" collapsed="1">
      <c r="A13" s="7" t="s">
        <v>19</v>
      </c>
      <c r="B13" s="7" t="s">
        <v>16</v>
      </c>
      <c r="C13" s="7" t="s">
        <v>17</v>
      </c>
      <c r="D13" s="7"/>
      <c r="E13" s="7" t="s">
        <v>1244</v>
      </c>
      <c r="F13" s="7" t="s">
        <v>19</v>
      </c>
      <c r="G13" s="7" t="s">
        <v>31</v>
      </c>
      <c r="H13" s="7" t="s">
        <v>17</v>
      </c>
      <c r="I13" s="7" t="s">
        <v>17</v>
      </c>
      <c r="J13" s="7" t="s">
        <v>1245</v>
      </c>
    </row>
    <row r="14" spans="1:10" x14ac:dyDescent="0.25" outlineLevel="1" collapsed="1">
      <c r="A14" s="7" t="s">
        <v>19</v>
      </c>
      <c r="B14" s="7" t="s">
        <v>16</v>
      </c>
      <c r="C14" s="7" t="s">
        <v>17</v>
      </c>
      <c r="D14" s="7"/>
      <c r="E14" s="7" t="s">
        <v>1246</v>
      </c>
      <c r="F14" s="7" t="s">
        <v>19</v>
      </c>
      <c r="G14" s="7" t="s">
        <v>31</v>
      </c>
      <c r="H14" s="7" t="s">
        <v>17</v>
      </c>
      <c r="I14" s="7" t="s">
        <v>17</v>
      </c>
      <c r="J14" s="7" t="s">
        <v>1247</v>
      </c>
    </row>
    <row r="15" spans="1:10" x14ac:dyDescent="0.25">
      <c r="A15" s="5" t="s">
        <v>19</v>
      </c>
      <c r="B15" s="5" t="s">
        <v>16</v>
      </c>
      <c r="C15" s="5" t="s">
        <v>17</v>
      </c>
      <c r="D15" s="5"/>
      <c r="E15" s="5" t="s">
        <v>1248</v>
      </c>
      <c r="F15" s="5" t="s">
        <v>19</v>
      </c>
      <c r="G15" s="5" t="s">
        <v>31</v>
      </c>
      <c r="H15" s="5" t="s">
        <v>17</v>
      </c>
      <c r="I15" s="5" t="s">
        <v>17</v>
      </c>
      <c r="J15" s="5" t="s">
        <v>1249</v>
      </c>
    </row>
    <row r="16" spans="1:10" x14ac:dyDescent="0.25">
      <c r="A16" s="5" t="s">
        <v>19</v>
      </c>
      <c r="B16" s="5" t="s">
        <v>16</v>
      </c>
      <c r="C16" s="5" t="s">
        <v>17</v>
      </c>
      <c r="D16" s="5"/>
      <c r="E16" s="5" t="s">
        <v>1250</v>
      </c>
      <c r="F16" s="5" t="s">
        <v>19</v>
      </c>
      <c r="G16" s="5" t="s">
        <v>31</v>
      </c>
      <c r="H16" s="5" t="s">
        <v>17</v>
      </c>
      <c r="I16" s="5" t="s">
        <v>17</v>
      </c>
      <c r="J16" s="5" t="s">
        <v>1251</v>
      </c>
    </row>
    <row r="17" spans="1:10" x14ac:dyDescent="0.25">
      <c r="A17" s="5" t="s">
        <v>19</v>
      </c>
      <c r="B17" s="5" t="s">
        <v>16</v>
      </c>
      <c r="C17" s="5" t="s">
        <v>17</v>
      </c>
      <c r="D17" s="5"/>
      <c r="E17" s="5" t="s">
        <v>1252</v>
      </c>
      <c r="F17" s="5" t="s">
        <v>19</v>
      </c>
      <c r="G17" s="5" t="s">
        <v>31</v>
      </c>
      <c r="H17" s="5" t="s">
        <v>17</v>
      </c>
      <c r="I17" s="5" t="s">
        <v>17</v>
      </c>
      <c r="J17" s="5" t="s">
        <v>1253</v>
      </c>
    </row>
    <row r="18" spans="1:10" x14ac:dyDescent="0.25">
      <c r="A18" s="5" t="s">
        <v>19</v>
      </c>
      <c r="B18" s="5" t="s">
        <v>16</v>
      </c>
      <c r="C18" s="5" t="s">
        <v>17</v>
      </c>
      <c r="D18" s="5"/>
      <c r="E18" s="5" t="s">
        <v>1254</v>
      </c>
      <c r="F18" s="5" t="s">
        <v>19</v>
      </c>
      <c r="G18" s="5" t="s">
        <v>31</v>
      </c>
      <c r="H18" s="5" t="s">
        <v>17</v>
      </c>
      <c r="I18" s="5" t="s">
        <v>17</v>
      </c>
      <c r="J18" s="5" t="s">
        <v>1255</v>
      </c>
    </row>
    <row r="19" spans="1:10" x14ac:dyDescent="0.25">
      <c r="A19" s="5" t="s">
        <v>19</v>
      </c>
      <c r="B19" s="5" t="s">
        <v>16</v>
      </c>
      <c r="C19" s="5" t="s">
        <v>17</v>
      </c>
      <c r="D19" s="5"/>
      <c r="E19" s="5" t="s">
        <v>1256</v>
      </c>
      <c r="F19" s="5" t="s">
        <v>19</v>
      </c>
      <c r="G19" s="5" t="s">
        <v>31</v>
      </c>
      <c r="H19" s="5" t="s">
        <v>17</v>
      </c>
      <c r="I19" s="5" t="s">
        <v>17</v>
      </c>
      <c r="J19" s="5" t="s">
        <v>1257</v>
      </c>
    </row>
    <row r="20" spans="1:10" x14ac:dyDescent="0.25">
      <c r="A20" s="5" t="s">
        <v>19</v>
      </c>
      <c r="B20" s="5" t="s">
        <v>16</v>
      </c>
      <c r="C20" s="5" t="s">
        <v>17</v>
      </c>
      <c r="D20" s="5"/>
      <c r="E20" s="5" t="s">
        <v>1258</v>
      </c>
      <c r="F20" s="5" t="s">
        <v>19</v>
      </c>
      <c r="G20" s="5" t="s">
        <v>31</v>
      </c>
      <c r="H20" s="5" t="s">
        <v>17</v>
      </c>
      <c r="I20" s="5" t="s">
        <v>17</v>
      </c>
      <c r="J20" s="5" t="s">
        <v>1259</v>
      </c>
    </row>
    <row r="21" spans="1:10" x14ac:dyDescent="0.25">
      <c r="A21" s="5" t="s">
        <v>19</v>
      </c>
      <c r="B21" s="5" t="s">
        <v>16</v>
      </c>
      <c r="C21" s="5" t="s">
        <v>17</v>
      </c>
      <c r="D21" s="5"/>
      <c r="E21" s="5" t="s">
        <v>1260</v>
      </c>
      <c r="F21" s="5" t="s">
        <v>19</v>
      </c>
      <c r="G21" s="5" t="s">
        <v>31</v>
      </c>
      <c r="H21" s="5" t="s">
        <v>17</v>
      </c>
      <c r="I21" s="5" t="s">
        <v>17</v>
      </c>
      <c r="J21" s="5" t="s">
        <v>1261</v>
      </c>
    </row>
    <row r="22" spans="1:10" x14ac:dyDescent="0.25">
      <c r="A22" s="5" t="s">
        <v>19</v>
      </c>
      <c r="B22" s="5" t="s">
        <v>16</v>
      </c>
      <c r="C22" s="5" t="s">
        <v>17</v>
      </c>
      <c r="D22" s="5"/>
      <c r="E22" s="5" t="s">
        <v>1262</v>
      </c>
      <c r="F22" s="5" t="s">
        <v>19</v>
      </c>
      <c r="G22" s="5" t="s">
        <v>31</v>
      </c>
      <c r="H22" s="5" t="s">
        <v>17</v>
      </c>
      <c r="I22" s="5" t="s">
        <v>17</v>
      </c>
      <c r="J22" s="5" t="s">
        <v>1263</v>
      </c>
    </row>
    <row r="23" spans="1:10" x14ac:dyDescent="0.25">
      <c r="A23" s="5" t="s">
        <v>19</v>
      </c>
      <c r="B23" s="5" t="s">
        <v>16</v>
      </c>
      <c r="C23" s="5" t="s">
        <v>17</v>
      </c>
      <c r="D23" s="5"/>
      <c r="E23" s="5" t="s">
        <v>1264</v>
      </c>
      <c r="F23" s="5" t="s">
        <v>19</v>
      </c>
      <c r="G23" s="5" t="s">
        <v>31</v>
      </c>
      <c r="H23" s="5" t="s">
        <v>17</v>
      </c>
      <c r="I23" s="5" t="s">
        <v>17</v>
      </c>
      <c r="J23" s="5" t="s">
        <v>1265</v>
      </c>
    </row>
  </sheetData>
  <mergeCells count="3">
    <mergeCell ref="A1:J1"/>
    <mergeCell ref="B2:J2"/>
    <mergeCell ref="B3:J3"/>
  </mergeCells>
  <hyperlinks>
    <hyperlink ref="B11" r:id="rId1" location="#'1.13 Evidence of right to oper'!A1"/>
  </hyperlinks>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3316</v>
      </c>
      <c r="B1" s="1"/>
      <c r="C1" s="1"/>
      <c r="D1" s="1"/>
      <c r="E1" s="1"/>
      <c r="F1" s="1"/>
      <c r="G1" s="1"/>
      <c r="H1" s="1"/>
      <c r="I1" s="1"/>
      <c r="J1" s="1"/>
    </row>
    <row r="2" spans="1:10" x14ac:dyDescent="0.25">
      <c r="A2" s="2" t="s">
        <v>1</v>
      </c>
      <c r="B2" s="3" t="s">
        <v>3317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2519</v>
      </c>
      <c r="F5" s="5" t="s">
        <v>19</v>
      </c>
      <c r="G5" s="5" t="b">
        <v>0</v>
      </c>
      <c r="H5" s="5" t="s">
        <v>17</v>
      </c>
      <c r="I5" s="5" t="s">
        <v>17</v>
      </c>
      <c r="J5" s="5" t="s">
        <v>2520</v>
      </c>
    </row>
    <row r="6" spans="1:10" x14ac:dyDescent="0.25">
      <c r="A6" s="5" t="s">
        <v>15</v>
      </c>
      <c r="B6" s="5" t="s">
        <v>16</v>
      </c>
      <c r="C6" s="5" t="s">
        <v>17</v>
      </c>
      <c r="D6" s="5"/>
      <c r="E6" s="5" t="s">
        <v>2521</v>
      </c>
      <c r="F6" s="5" t="s">
        <v>19</v>
      </c>
      <c r="G6" s="5" t="s">
        <v>2522</v>
      </c>
      <c r="H6" s="5" t="s">
        <v>2522</v>
      </c>
      <c r="I6" s="5" t="s">
        <v>17</v>
      </c>
      <c r="J6" s="5" t="s">
        <v>2523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3318</v>
      </c>
      <c r="B1" s="1"/>
      <c r="C1" s="1"/>
      <c r="D1" s="1"/>
      <c r="E1" s="1"/>
      <c r="F1" s="1"/>
      <c r="G1" s="1"/>
      <c r="H1" s="1"/>
      <c r="I1" s="1"/>
      <c r="J1" s="1"/>
    </row>
    <row r="2" spans="1:10" x14ac:dyDescent="0.25">
      <c r="A2" s="2" t="s">
        <v>1</v>
      </c>
      <c r="B2" s="3" t="s">
        <v>3319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1474</v>
      </c>
      <c r="F5" s="5" t="s">
        <v>19</v>
      </c>
      <c r="G5" s="5" t="s">
        <v>1475</v>
      </c>
      <c r="H5" s="5" t="s">
        <v>17</v>
      </c>
      <c r="I5" s="5" t="s">
        <v>17</v>
      </c>
      <c r="J5" s="5" t="s">
        <v>1476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3320</v>
      </c>
      <c r="B1" s="1"/>
      <c r="C1" s="1"/>
      <c r="D1" s="1"/>
      <c r="E1" s="1"/>
      <c r="F1" s="1"/>
      <c r="G1" s="1"/>
      <c r="H1" s="1"/>
      <c r="I1" s="1"/>
      <c r="J1" s="1"/>
    </row>
    <row r="2" spans="1:10" x14ac:dyDescent="0.25">
      <c r="A2" s="2" t="s">
        <v>1</v>
      </c>
      <c r="B2" s="3" t="s">
        <v>3321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3322</v>
      </c>
      <c r="F5" s="5" t="s">
        <v>19</v>
      </c>
      <c r="G5" s="5" t="s">
        <v>1015</v>
      </c>
      <c r="H5" s="5" t="s">
        <v>17</v>
      </c>
      <c r="I5" s="5" t="s">
        <v>17</v>
      </c>
      <c r="J5" s="5" t="s">
        <v>476</v>
      </c>
    </row>
    <row r="6" spans="1:10" x14ac:dyDescent="0.25">
      <c r="A6" s="5" t="s">
        <v>19</v>
      </c>
      <c r="B6" s="5" t="s">
        <v>16</v>
      </c>
      <c r="C6" s="5" t="s">
        <v>17</v>
      </c>
      <c r="D6" s="5"/>
      <c r="E6" s="5" t="s">
        <v>3323</v>
      </c>
      <c r="F6" s="5" t="s">
        <v>19</v>
      </c>
      <c r="G6" s="5" t="s">
        <v>3324</v>
      </c>
      <c r="H6" s="5" t="s">
        <v>17</v>
      </c>
      <c r="I6" s="5" t="s">
        <v>17</v>
      </c>
      <c r="J6" s="5" t="s">
        <v>1388</v>
      </c>
    </row>
    <row r="7" spans="1:10" x14ac:dyDescent="0.25">
      <c r="A7" s="5" t="s">
        <v>19</v>
      </c>
      <c r="B7" s="5" t="s">
        <v>16</v>
      </c>
      <c r="C7" s="5" t="s">
        <v>17</v>
      </c>
      <c r="D7" s="5"/>
      <c r="E7" s="5" t="s">
        <v>3325</v>
      </c>
      <c r="F7" s="5" t="s">
        <v>19</v>
      </c>
      <c r="G7" s="5" t="s">
        <v>1015</v>
      </c>
      <c r="H7" s="5" t="s">
        <v>17</v>
      </c>
      <c r="I7" s="5" t="s">
        <v>17</v>
      </c>
      <c r="J7" s="5" t="s">
        <v>3326</v>
      </c>
    </row>
    <row r="8" spans="1:10" x14ac:dyDescent="0.25">
      <c r="A8" s="5" t="s">
        <v>19</v>
      </c>
      <c r="B8" s="5" t="s">
        <v>16</v>
      </c>
      <c r="C8" s="5" t="s">
        <v>17</v>
      </c>
      <c r="D8" s="5"/>
      <c r="E8" s="5" t="s">
        <v>3327</v>
      </c>
      <c r="F8" s="5" t="s">
        <v>19</v>
      </c>
      <c r="G8" s="5" t="s">
        <v>3328</v>
      </c>
      <c r="H8" s="5" t="s">
        <v>17</v>
      </c>
      <c r="I8" s="5" t="s">
        <v>17</v>
      </c>
      <c r="J8" s="5" t="s">
        <v>3329</v>
      </c>
    </row>
    <row r="9" spans="1:10" x14ac:dyDescent="0.25">
      <c r="A9" s="5" t="s">
        <v>15</v>
      </c>
      <c r="B9" s="5" t="s">
        <v>159</v>
      </c>
      <c r="C9" s="5" t="s">
        <v>17</v>
      </c>
      <c r="D9" s="5"/>
      <c r="E9" s="5" t="s">
        <v>3330</v>
      </c>
      <c r="F9" s="5" t="s">
        <v>19</v>
      </c>
      <c r="G9" s="5" t="b">
        <v>0</v>
      </c>
      <c r="H9" s="5" t="s">
        <v>17</v>
      </c>
      <c r="I9" s="5" t="s">
        <v>17</v>
      </c>
      <c r="J9" s="5" t="s">
        <v>3331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3332</v>
      </c>
      <c r="B1" s="1"/>
      <c r="C1" s="1"/>
      <c r="D1" s="1"/>
      <c r="E1" s="1"/>
      <c r="F1" s="1"/>
      <c r="G1" s="1"/>
      <c r="H1" s="1"/>
      <c r="I1" s="1"/>
      <c r="J1" s="1"/>
    </row>
    <row r="2" spans="1:10" x14ac:dyDescent="0.25">
      <c r="A2" s="2" t="s">
        <v>1</v>
      </c>
      <c r="B2" s="3" t="s">
        <v>3333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3334</v>
      </c>
      <c r="F5" s="5" t="s">
        <v>19</v>
      </c>
      <c r="G5" s="5" t="s">
        <v>1065</v>
      </c>
      <c r="H5" s="5" t="s">
        <v>17</v>
      </c>
      <c r="I5" s="5" t="s">
        <v>17</v>
      </c>
      <c r="J5" s="5" t="s">
        <v>255</v>
      </c>
    </row>
    <row r="6" spans="1:10" x14ac:dyDescent="0.25">
      <c r="A6" s="5" t="s">
        <v>19</v>
      </c>
      <c r="B6" s="5" t="s">
        <v>16</v>
      </c>
      <c r="C6" s="5" t="s">
        <v>17</v>
      </c>
      <c r="D6" s="5"/>
      <c r="E6" s="5" t="s">
        <v>3335</v>
      </c>
      <c r="F6" s="5" t="s">
        <v>19</v>
      </c>
      <c r="G6" s="5" t="s">
        <v>3336</v>
      </c>
      <c r="H6" s="5" t="s">
        <v>17</v>
      </c>
      <c r="I6" s="5" t="s">
        <v>17</v>
      </c>
      <c r="J6" s="5" t="s">
        <v>3337</v>
      </c>
    </row>
    <row r="7" spans="1:10" x14ac:dyDescent="0.25">
      <c r="A7" s="5" t="s">
        <v>19</v>
      </c>
      <c r="B7" s="5" t="s">
        <v>16</v>
      </c>
      <c r="C7" s="5" t="s">
        <v>17</v>
      </c>
      <c r="D7" s="5"/>
      <c r="E7" s="5" t="s">
        <v>3338</v>
      </c>
      <c r="F7" s="5" t="s">
        <v>19</v>
      </c>
      <c r="G7" s="5" t="s">
        <v>257</v>
      </c>
      <c r="H7" s="5" t="s">
        <v>17</v>
      </c>
      <c r="I7" s="5" t="s">
        <v>17</v>
      </c>
      <c r="J7" s="5" t="s">
        <v>258</v>
      </c>
    </row>
    <row r="8" spans="1:10" x14ac:dyDescent="0.25">
      <c r="A8" s="5" t="s">
        <v>19</v>
      </c>
      <c r="B8" s="5" t="s">
        <v>16</v>
      </c>
      <c r="C8" s="5" t="s">
        <v>17</v>
      </c>
      <c r="D8" s="5"/>
      <c r="E8" s="5" t="s">
        <v>3339</v>
      </c>
      <c r="F8" s="5" t="s">
        <v>19</v>
      </c>
      <c r="G8" s="5" t="s">
        <v>1066</v>
      </c>
      <c r="H8" s="5" t="s">
        <v>17</v>
      </c>
      <c r="I8" s="5" t="s">
        <v>17</v>
      </c>
      <c r="J8" s="5" t="s">
        <v>261</v>
      </c>
    </row>
    <row r="9" spans="1:10" x14ac:dyDescent="0.25">
      <c r="A9" s="5" t="s">
        <v>19</v>
      </c>
      <c r="B9" s="5" t="s">
        <v>63</v>
      </c>
      <c r="C9" s="5" t="s">
        <v>17</v>
      </c>
      <c r="D9" s="5"/>
      <c r="E9" s="5" t="s">
        <v>3340</v>
      </c>
      <c r="F9" s="5" t="s">
        <v>19</v>
      </c>
      <c r="G9" s="5">
        <v>1</v>
      </c>
      <c r="H9" s="5" t="s">
        <v>17</v>
      </c>
      <c r="I9" s="5" t="s">
        <v>17</v>
      </c>
      <c r="J9" s="5" t="s">
        <v>3341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3342</v>
      </c>
      <c r="B1" s="1"/>
      <c r="C1" s="1"/>
      <c r="D1" s="1"/>
      <c r="E1" s="1"/>
      <c r="F1" s="1"/>
      <c r="G1" s="1"/>
      <c r="H1" s="1"/>
      <c r="I1" s="1"/>
      <c r="J1" s="1"/>
    </row>
    <row r="2" spans="1:10" x14ac:dyDescent="0.25">
      <c r="A2" s="2" t="s">
        <v>1</v>
      </c>
      <c r="B2" s="3" t="s">
        <v>3343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1271</v>
      </c>
      <c r="C5" s="5" t="s">
        <v>17</v>
      </c>
      <c r="D5" s="5"/>
      <c r="E5" s="5" t="s">
        <v>133</v>
      </c>
      <c r="F5" s="5" t="s">
        <v>15</v>
      </c>
      <c r="G5" s="5" t="s">
        <v>17</v>
      </c>
      <c r="H5" s="5" t="s">
        <v>17</v>
      </c>
      <c r="I5" s="5" t="s">
        <v>17</v>
      </c>
      <c r="J5" s="5" t="s">
        <v>134</v>
      </c>
    </row>
    <row r="6" spans="1:10" x14ac:dyDescent="0.25" outlineLevel="1" collapsed="1">
      <c r="A6" s="7" t="s">
        <v>19</v>
      </c>
      <c r="B6" s="7" t="s">
        <v>16</v>
      </c>
      <c r="C6" s="7" t="s">
        <v>17</v>
      </c>
      <c r="D6" s="7"/>
      <c r="E6" s="7" t="s">
        <v>135</v>
      </c>
      <c r="F6" s="7" t="s">
        <v>19</v>
      </c>
      <c r="G6" s="7" t="s">
        <v>31</v>
      </c>
      <c r="H6" s="7" t="s">
        <v>17</v>
      </c>
      <c r="I6" s="7" t="s">
        <v>17</v>
      </c>
      <c r="J6" s="7" t="s">
        <v>136</v>
      </c>
    </row>
    <row r="7" spans="1:10" x14ac:dyDescent="0.25" outlineLevel="1" collapsed="1">
      <c r="A7" s="7" t="s">
        <v>19</v>
      </c>
      <c r="B7" s="7" t="s">
        <v>16</v>
      </c>
      <c r="C7" s="7" t="s">
        <v>17</v>
      </c>
      <c r="D7" s="7"/>
      <c r="E7" s="7" t="s">
        <v>137</v>
      </c>
      <c r="F7" s="7" t="s">
        <v>19</v>
      </c>
      <c r="G7" s="7" t="s">
        <v>31</v>
      </c>
      <c r="H7" s="7" t="s">
        <v>17</v>
      </c>
      <c r="I7" s="7" t="s">
        <v>17</v>
      </c>
      <c r="J7" s="7" t="s">
        <v>138</v>
      </c>
    </row>
    <row r="8" spans="1:10" x14ac:dyDescent="0.25" outlineLevel="1" collapsed="1">
      <c r="A8" s="7" t="s">
        <v>19</v>
      </c>
      <c r="B8" s="7" t="s">
        <v>16</v>
      </c>
      <c r="C8" s="7" t="s">
        <v>17</v>
      </c>
      <c r="D8" s="7"/>
      <c r="E8" s="7" t="s">
        <v>139</v>
      </c>
      <c r="F8" s="7" t="s">
        <v>19</v>
      </c>
      <c r="G8" s="7" t="s">
        <v>31</v>
      </c>
      <c r="H8" s="7" t="s">
        <v>17</v>
      </c>
      <c r="I8" s="7" t="s">
        <v>17</v>
      </c>
      <c r="J8" s="7" t="s">
        <v>140</v>
      </c>
    </row>
    <row r="9" spans="1:10" x14ac:dyDescent="0.25" outlineLevel="1" collapsed="1">
      <c r="A9" s="7" t="s">
        <v>19</v>
      </c>
      <c r="B9" s="7" t="s">
        <v>16</v>
      </c>
      <c r="C9" s="7" t="s">
        <v>17</v>
      </c>
      <c r="D9" s="7"/>
      <c r="E9" s="7" t="s">
        <v>141</v>
      </c>
      <c r="F9" s="7" t="s">
        <v>19</v>
      </c>
      <c r="G9" s="7" t="s">
        <v>31</v>
      </c>
      <c r="H9" s="7" t="s">
        <v>17</v>
      </c>
      <c r="I9" s="7" t="s">
        <v>17</v>
      </c>
      <c r="J9" s="7" t="s">
        <v>142</v>
      </c>
    </row>
    <row r="10" spans="1:10" x14ac:dyDescent="0.25" outlineLevel="1" collapsed="1">
      <c r="A10" s="7" t="s">
        <v>19</v>
      </c>
      <c r="B10" s="7" t="s">
        <v>16</v>
      </c>
      <c r="C10" s="7" t="s">
        <v>17</v>
      </c>
      <c r="D10" s="7"/>
      <c r="E10" s="7" t="s">
        <v>1272</v>
      </c>
      <c r="F10" s="7" t="s">
        <v>19</v>
      </c>
      <c r="G10" s="7" t="s">
        <v>31</v>
      </c>
      <c r="H10" s="7" t="s">
        <v>17</v>
      </c>
      <c r="I10" s="7" t="s">
        <v>17</v>
      </c>
      <c r="J10" s="7" t="s">
        <v>1273</v>
      </c>
    </row>
    <row r="11" spans="1:10" x14ac:dyDescent="0.25">
      <c r="A11" s="5" t="s">
        <v>19</v>
      </c>
      <c r="B11" s="6" t="s">
        <v>1274</v>
      </c>
      <c r="C11" s="5" t="s">
        <v>17</v>
      </c>
      <c r="D11" s="5"/>
      <c r="E11" s="5" t="s">
        <v>1275</v>
      </c>
      <c r="F11" s="5" t="s">
        <v>15</v>
      </c>
      <c r="G11" s="5" t="s">
        <v>17</v>
      </c>
      <c r="H11" s="5" t="s">
        <v>17</v>
      </c>
      <c r="I11" s="5" t="s">
        <v>17</v>
      </c>
      <c r="J11" s="5" t="s">
        <v>1276</v>
      </c>
    </row>
    <row r="12" spans="1:10" x14ac:dyDescent="0.25" outlineLevel="1" collapsed="1">
      <c r="A12" s="7" t="s">
        <v>19</v>
      </c>
      <c r="B12" s="7" t="s">
        <v>16</v>
      </c>
      <c r="C12" s="7" t="s">
        <v>17</v>
      </c>
      <c r="D12" s="7"/>
      <c r="E12" s="7" t="s">
        <v>135</v>
      </c>
      <c r="F12" s="7" t="s">
        <v>19</v>
      </c>
      <c r="G12" s="7" t="s">
        <v>31</v>
      </c>
      <c r="H12" s="7" t="s">
        <v>17</v>
      </c>
      <c r="I12" s="7" t="s">
        <v>17</v>
      </c>
      <c r="J12" s="7" t="s">
        <v>136</v>
      </c>
    </row>
    <row r="13" spans="1:10" x14ac:dyDescent="0.25" outlineLevel="1" collapsed="1">
      <c r="A13" s="7" t="s">
        <v>19</v>
      </c>
      <c r="B13" s="7" t="s">
        <v>16</v>
      </c>
      <c r="C13" s="7" t="s">
        <v>17</v>
      </c>
      <c r="D13" s="7"/>
      <c r="E13" s="7" t="s">
        <v>1277</v>
      </c>
      <c r="F13" s="7" t="s">
        <v>19</v>
      </c>
      <c r="G13" s="7" t="s">
        <v>31</v>
      </c>
      <c r="H13" s="7" t="s">
        <v>17</v>
      </c>
      <c r="I13" s="7" t="s">
        <v>17</v>
      </c>
      <c r="J13" s="7" t="s">
        <v>1278</v>
      </c>
    </row>
    <row r="14" spans="1:10" x14ac:dyDescent="0.25" outlineLevel="1" collapsed="1">
      <c r="A14" s="7" t="s">
        <v>19</v>
      </c>
      <c r="B14" s="7" t="s">
        <v>16</v>
      </c>
      <c r="C14" s="7" t="s">
        <v>17</v>
      </c>
      <c r="D14" s="7"/>
      <c r="E14" s="7" t="s">
        <v>139</v>
      </c>
      <c r="F14" s="7" t="s">
        <v>19</v>
      </c>
      <c r="G14" s="7" t="s">
        <v>31</v>
      </c>
      <c r="H14" s="7" t="s">
        <v>17</v>
      </c>
      <c r="I14" s="7" t="s">
        <v>17</v>
      </c>
      <c r="J14" s="7" t="s">
        <v>140</v>
      </c>
    </row>
    <row r="15" spans="1:10" x14ac:dyDescent="0.25" outlineLevel="1" collapsed="1">
      <c r="A15" s="7" t="s">
        <v>19</v>
      </c>
      <c r="B15" s="7" t="s">
        <v>16</v>
      </c>
      <c r="C15" s="7" t="s">
        <v>17</v>
      </c>
      <c r="D15" s="7"/>
      <c r="E15" s="7" t="s">
        <v>1279</v>
      </c>
      <c r="F15" s="7" t="s">
        <v>19</v>
      </c>
      <c r="G15" s="7" t="s">
        <v>31</v>
      </c>
      <c r="H15" s="7" t="s">
        <v>17</v>
      </c>
      <c r="I15" s="7" t="s">
        <v>17</v>
      </c>
      <c r="J15" s="7" t="s">
        <v>1280</v>
      </c>
    </row>
    <row r="16" spans="1:10" x14ac:dyDescent="0.25" outlineLevel="1" collapsed="1">
      <c r="A16" s="7" t="s">
        <v>19</v>
      </c>
      <c r="B16" s="7" t="s">
        <v>16</v>
      </c>
      <c r="C16" s="7" t="s">
        <v>17</v>
      </c>
      <c r="D16" s="7"/>
      <c r="E16" s="7" t="s">
        <v>1281</v>
      </c>
      <c r="F16" s="7" t="s">
        <v>19</v>
      </c>
      <c r="G16" s="7" t="s">
        <v>31</v>
      </c>
      <c r="H16" s="7" t="s">
        <v>17</v>
      </c>
      <c r="I16" s="7" t="s">
        <v>17</v>
      </c>
      <c r="J16" s="7" t="s">
        <v>1282</v>
      </c>
    </row>
  </sheetData>
  <mergeCells count="3">
    <mergeCell ref="A1:J1"/>
    <mergeCell ref="B2:J2"/>
    <mergeCell ref="B3:J3"/>
  </mergeCells>
  <hyperlinks>
    <hyperlink ref="B5" r:id="rId1" location="#'2.2 Stakeholder consultation a'!A1"/>
    <hyperlink ref="B11" r:id="rId2" location="#'Free prior and informed con 2'!A1"/>
  </hyperlinks>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3344</v>
      </c>
      <c r="B1" s="1"/>
      <c r="C1" s="1"/>
      <c r="D1" s="1"/>
      <c r="E1" s="1"/>
      <c r="F1" s="1"/>
      <c r="G1" s="1"/>
      <c r="H1" s="1"/>
      <c r="I1" s="1"/>
      <c r="J1" s="1"/>
    </row>
    <row r="2" spans="1:10" x14ac:dyDescent="0.25">
      <c r="A2" s="2" t="s">
        <v>1</v>
      </c>
      <c r="B2" s="3" t="s">
        <v>3345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1250</v>
      </c>
      <c r="F5" s="5" t="s">
        <v>19</v>
      </c>
      <c r="G5" s="5" t="s">
        <v>31</v>
      </c>
      <c r="H5" s="5" t="s">
        <v>17</v>
      </c>
      <c r="I5" s="5" t="s">
        <v>17</v>
      </c>
      <c r="J5" s="5" t="s">
        <v>1251</v>
      </c>
    </row>
    <row r="6" spans="1:10" x14ac:dyDescent="0.25">
      <c r="A6" s="5" t="s">
        <v>19</v>
      </c>
      <c r="B6" s="5" t="s">
        <v>16</v>
      </c>
      <c r="C6" s="5" t="s">
        <v>17</v>
      </c>
      <c r="D6" s="5"/>
      <c r="E6" s="5" t="s">
        <v>1252</v>
      </c>
      <c r="F6" s="5" t="s">
        <v>19</v>
      </c>
      <c r="G6" s="5" t="s">
        <v>31</v>
      </c>
      <c r="H6" s="5" t="s">
        <v>17</v>
      </c>
      <c r="I6" s="5" t="s">
        <v>17</v>
      </c>
      <c r="J6" s="5" t="s">
        <v>1253</v>
      </c>
    </row>
    <row r="7" spans="1:10" x14ac:dyDescent="0.25">
      <c r="A7" s="5" t="s">
        <v>19</v>
      </c>
      <c r="B7" s="5" t="s">
        <v>16</v>
      </c>
      <c r="C7" s="5" t="s">
        <v>17</v>
      </c>
      <c r="D7" s="5"/>
      <c r="E7" s="5" t="s">
        <v>1254</v>
      </c>
      <c r="F7" s="5" t="s">
        <v>19</v>
      </c>
      <c r="G7" s="5" t="s">
        <v>31</v>
      </c>
      <c r="H7" s="5" t="s">
        <v>17</v>
      </c>
      <c r="I7" s="5" t="s">
        <v>17</v>
      </c>
      <c r="J7" s="5" t="s">
        <v>1255</v>
      </c>
    </row>
    <row r="8" spans="1:10" x14ac:dyDescent="0.25">
      <c r="A8" s="5" t="s">
        <v>19</v>
      </c>
      <c r="B8" s="5" t="s">
        <v>16</v>
      </c>
      <c r="C8" s="5" t="s">
        <v>17</v>
      </c>
      <c r="D8" s="5"/>
      <c r="E8" s="5" t="s">
        <v>1256</v>
      </c>
      <c r="F8" s="5" t="s">
        <v>19</v>
      </c>
      <c r="G8" s="5" t="s">
        <v>31</v>
      </c>
      <c r="H8" s="5" t="s">
        <v>17</v>
      </c>
      <c r="I8" s="5" t="s">
        <v>17</v>
      </c>
      <c r="J8" s="5" t="s">
        <v>1257</v>
      </c>
    </row>
    <row r="9" spans="1:10" x14ac:dyDescent="0.25">
      <c r="A9" s="5" t="s">
        <v>19</v>
      </c>
      <c r="B9" s="5" t="s">
        <v>16</v>
      </c>
      <c r="C9" s="5" t="s">
        <v>17</v>
      </c>
      <c r="D9" s="5"/>
      <c r="E9" s="5" t="s">
        <v>1258</v>
      </c>
      <c r="F9" s="5" t="s">
        <v>19</v>
      </c>
      <c r="G9" s="5" t="s">
        <v>31</v>
      </c>
      <c r="H9" s="5" t="s">
        <v>17</v>
      </c>
      <c r="I9" s="5" t="s">
        <v>17</v>
      </c>
      <c r="J9" s="5" t="s">
        <v>1259</v>
      </c>
    </row>
    <row r="10" spans="1:10" x14ac:dyDescent="0.25">
      <c r="A10" s="5" t="s">
        <v>19</v>
      </c>
      <c r="B10" s="5" t="s">
        <v>16</v>
      </c>
      <c r="C10" s="5" t="s">
        <v>17</v>
      </c>
      <c r="D10" s="5"/>
      <c r="E10" s="5" t="s">
        <v>1260</v>
      </c>
      <c r="F10" s="5" t="s">
        <v>19</v>
      </c>
      <c r="G10" s="5" t="s">
        <v>31</v>
      </c>
      <c r="H10" s="5" t="s">
        <v>17</v>
      </c>
      <c r="I10" s="5" t="s">
        <v>17</v>
      </c>
      <c r="J10" s="5" t="s">
        <v>1261</v>
      </c>
    </row>
    <row r="11" spans="1:10" x14ac:dyDescent="0.25">
      <c r="A11" s="5" t="s">
        <v>19</v>
      </c>
      <c r="B11" s="5" t="s">
        <v>16</v>
      </c>
      <c r="C11" s="5" t="s">
        <v>17</v>
      </c>
      <c r="D11" s="5"/>
      <c r="E11" s="5" t="s">
        <v>1262</v>
      </c>
      <c r="F11" s="5" t="s">
        <v>19</v>
      </c>
      <c r="G11" s="5" t="s">
        <v>31</v>
      </c>
      <c r="H11" s="5" t="s">
        <v>17</v>
      </c>
      <c r="I11" s="5" t="s">
        <v>17</v>
      </c>
      <c r="J11" s="5" t="s">
        <v>1263</v>
      </c>
    </row>
    <row r="12" spans="1:10" x14ac:dyDescent="0.25">
      <c r="A12" s="5" t="s">
        <v>19</v>
      </c>
      <c r="B12" s="5" t="s">
        <v>16</v>
      </c>
      <c r="C12" s="5" t="s">
        <v>17</v>
      </c>
      <c r="D12" s="5"/>
      <c r="E12" s="5" t="s">
        <v>1264</v>
      </c>
      <c r="F12" s="5" t="s">
        <v>19</v>
      </c>
      <c r="G12" s="5" t="s">
        <v>31</v>
      </c>
      <c r="H12" s="5" t="s">
        <v>17</v>
      </c>
      <c r="I12" s="5" t="s">
        <v>17</v>
      </c>
      <c r="J12" s="5" t="s">
        <v>1265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3346</v>
      </c>
      <c r="B1" s="1"/>
      <c r="C1" s="1"/>
      <c r="D1" s="1"/>
      <c r="E1" s="1"/>
      <c r="F1" s="1"/>
      <c r="G1" s="1"/>
      <c r="H1" s="1"/>
      <c r="I1" s="1"/>
      <c r="J1" s="1"/>
    </row>
    <row r="2" spans="1:10" x14ac:dyDescent="0.25">
      <c r="A2" s="2" t="s">
        <v>1</v>
      </c>
      <c r="B2" s="3" t="s">
        <v>3347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2423</v>
      </c>
      <c r="C5" s="5" t="s">
        <v>17</v>
      </c>
      <c r="D5" s="5"/>
      <c r="E5" s="5" t="s">
        <v>2424</v>
      </c>
      <c r="F5" s="5" t="s">
        <v>15</v>
      </c>
      <c r="G5" s="5" t="s">
        <v>17</v>
      </c>
      <c r="H5" s="5" t="s">
        <v>17</v>
      </c>
      <c r="I5" s="5" t="s">
        <v>17</v>
      </c>
      <c r="J5" s="5" t="s">
        <v>2425</v>
      </c>
    </row>
    <row r="6" spans="1:10" x14ac:dyDescent="0.25" outlineLevel="1" collapsed="1">
      <c r="A6" s="7" t="s">
        <v>19</v>
      </c>
      <c r="B6" s="7" t="s">
        <v>16</v>
      </c>
      <c r="C6" s="7" t="s">
        <v>17</v>
      </c>
      <c r="D6" s="7"/>
      <c r="E6" s="7" t="s">
        <v>2426</v>
      </c>
      <c r="F6" s="7" t="s">
        <v>19</v>
      </c>
      <c r="G6" s="7" t="s">
        <v>31</v>
      </c>
      <c r="H6" s="7" t="s">
        <v>17</v>
      </c>
      <c r="I6" s="7" t="s">
        <v>17</v>
      </c>
      <c r="J6" s="7" t="s">
        <v>2427</v>
      </c>
    </row>
    <row r="7" spans="1:10" x14ac:dyDescent="0.25" outlineLevel="1" collapsed="1">
      <c r="A7" s="7" t="s">
        <v>19</v>
      </c>
      <c r="B7" s="7" t="s">
        <v>16</v>
      </c>
      <c r="C7" s="7" t="s">
        <v>17</v>
      </c>
      <c r="D7" s="7"/>
      <c r="E7" s="7" t="s">
        <v>2428</v>
      </c>
      <c r="F7" s="7" t="s">
        <v>19</v>
      </c>
      <c r="G7" s="7" t="s">
        <v>31</v>
      </c>
      <c r="H7" s="7" t="s">
        <v>17</v>
      </c>
      <c r="I7" s="7" t="s">
        <v>17</v>
      </c>
      <c r="J7" s="7" t="s">
        <v>2429</v>
      </c>
    </row>
  </sheetData>
  <mergeCells count="3">
    <mergeCell ref="A1:J1"/>
    <mergeCell ref="B2:J2"/>
    <mergeCell ref="B3:J3"/>
  </mergeCells>
  <hyperlinks>
    <hyperlink ref="B5" r:id="rId1" location="#'Laws and other regulatory fram'!A1"/>
  </hyperlinks>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3348</v>
      </c>
      <c r="B1" s="1"/>
      <c r="C1" s="1"/>
      <c r="D1" s="1"/>
      <c r="E1" s="1"/>
      <c r="F1" s="1"/>
      <c r="G1" s="1"/>
      <c r="H1" s="1"/>
      <c r="I1" s="1"/>
      <c r="J1" s="1"/>
    </row>
    <row r="2" spans="1:10" x14ac:dyDescent="0.25">
      <c r="A2" s="2" t="s">
        <v>1</v>
      </c>
      <c r="B2" s="3" t="s">
        <v>3349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2356</v>
      </c>
      <c r="F5" s="5" t="s">
        <v>19</v>
      </c>
      <c r="G5" s="5" t="s">
        <v>847</v>
      </c>
      <c r="H5" s="5" t="s">
        <v>17</v>
      </c>
      <c r="I5" s="5" t="s">
        <v>17</v>
      </c>
      <c r="J5" s="5" t="s">
        <v>2357</v>
      </c>
    </row>
    <row r="6" spans="1:10" x14ac:dyDescent="0.25">
      <c r="A6" s="5" t="s">
        <v>15</v>
      </c>
      <c r="B6" s="5" t="s">
        <v>16</v>
      </c>
      <c r="C6" s="5" t="s">
        <v>17</v>
      </c>
      <c r="D6" s="5"/>
      <c r="E6" s="5" t="s">
        <v>2358</v>
      </c>
      <c r="F6" s="5" t="s">
        <v>19</v>
      </c>
      <c r="G6" s="5" t="s">
        <v>2359</v>
      </c>
      <c r="H6" s="5" t="s">
        <v>17</v>
      </c>
      <c r="I6" s="5" t="s">
        <v>17</v>
      </c>
      <c r="J6" s="5" t="s">
        <v>2360</v>
      </c>
    </row>
    <row r="7" spans="1:10" x14ac:dyDescent="0.25">
      <c r="A7" s="5" t="s">
        <v>15</v>
      </c>
      <c r="B7" s="5" t="s">
        <v>16</v>
      </c>
      <c r="C7" s="5" t="s">
        <v>17</v>
      </c>
      <c r="D7" s="5"/>
      <c r="E7" s="5" t="s">
        <v>2361</v>
      </c>
      <c r="F7" s="5" t="s">
        <v>19</v>
      </c>
      <c r="G7" s="5" t="s">
        <v>847</v>
      </c>
      <c r="H7" s="5" t="s">
        <v>17</v>
      </c>
      <c r="I7" s="5" t="s">
        <v>17</v>
      </c>
      <c r="J7" s="5" t="s">
        <v>2362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3350</v>
      </c>
      <c r="B1" s="1"/>
      <c r="C1" s="1"/>
      <c r="D1" s="1"/>
      <c r="E1" s="1"/>
      <c r="F1" s="1"/>
      <c r="G1" s="1"/>
      <c r="H1" s="1"/>
      <c r="I1" s="1"/>
      <c r="J1" s="1"/>
    </row>
    <row r="2" spans="1:10" x14ac:dyDescent="0.25">
      <c r="A2" s="2" t="s">
        <v>1</v>
      </c>
      <c r="B2" s="3" t="s">
        <v>3351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77</v>
      </c>
      <c r="F5" s="5" t="s">
        <v>19</v>
      </c>
      <c r="G5" s="5" t="s">
        <v>78</v>
      </c>
      <c r="H5" s="5" t="s">
        <v>17</v>
      </c>
      <c r="I5" s="5" t="s">
        <v>17</v>
      </c>
      <c r="J5" s="5" t="s">
        <v>79</v>
      </c>
    </row>
    <row r="6" spans="1:10" x14ac:dyDescent="0.25">
      <c r="A6" s="5" t="s">
        <v>19</v>
      </c>
      <c r="B6" s="5" t="s">
        <v>16</v>
      </c>
      <c r="C6" s="5" t="s">
        <v>17</v>
      </c>
      <c r="D6" s="5"/>
      <c r="E6" s="5" t="s">
        <v>80</v>
      </c>
      <c r="F6" s="5" t="s">
        <v>19</v>
      </c>
      <c r="G6" s="5" t="s">
        <v>81</v>
      </c>
      <c r="H6" s="5" t="s">
        <v>17</v>
      </c>
      <c r="I6" s="5" t="s">
        <v>17</v>
      </c>
      <c r="J6" s="5" t="s">
        <v>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3352</v>
      </c>
      <c r="B1" s="1"/>
      <c r="C1" s="1"/>
      <c r="D1" s="1"/>
      <c r="E1" s="1"/>
      <c r="F1" s="1"/>
      <c r="G1" s="1"/>
      <c r="H1" s="1"/>
      <c r="I1" s="1"/>
      <c r="J1" s="1"/>
    </row>
    <row r="2" spans="1:10" x14ac:dyDescent="0.25">
      <c r="A2" s="2" t="s">
        <v>1</v>
      </c>
      <c r="B2" s="3" t="s">
        <v>3353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1870</v>
      </c>
      <c r="F5" s="5" t="s">
        <v>19</v>
      </c>
      <c r="G5" s="5" t="s">
        <v>293</v>
      </c>
      <c r="H5" s="5" t="s">
        <v>17</v>
      </c>
      <c r="I5" s="5" t="s">
        <v>17</v>
      </c>
      <c r="J5" s="5" t="s">
        <v>934</v>
      </c>
    </row>
    <row r="6" spans="1:10" x14ac:dyDescent="0.25">
      <c r="A6" s="5" t="s">
        <v>15</v>
      </c>
      <c r="B6" s="5" t="s">
        <v>16</v>
      </c>
      <c r="C6" s="5" t="s">
        <v>17</v>
      </c>
      <c r="D6" s="5"/>
      <c r="E6" s="5" t="s">
        <v>1871</v>
      </c>
      <c r="F6" s="5" t="s">
        <v>19</v>
      </c>
      <c r="G6" s="5" t="s">
        <v>1872</v>
      </c>
      <c r="H6" s="5" t="s">
        <v>17</v>
      </c>
      <c r="I6" s="5" t="s">
        <v>17</v>
      </c>
      <c r="J6" s="5" t="s">
        <v>1830</v>
      </c>
    </row>
    <row r="7" spans="1:10" x14ac:dyDescent="0.25">
      <c r="A7" s="5" t="s">
        <v>15</v>
      </c>
      <c r="B7" s="5" t="s">
        <v>159</v>
      </c>
      <c r="C7" s="5" t="s">
        <v>17</v>
      </c>
      <c r="D7" s="5"/>
      <c r="E7" s="5" t="s">
        <v>1873</v>
      </c>
      <c r="F7" s="5" t="s">
        <v>19</v>
      </c>
      <c r="G7" s="5" t="b">
        <v>1</v>
      </c>
      <c r="H7" s="5" t="s">
        <v>17</v>
      </c>
      <c r="I7" s="5" t="s">
        <v>17</v>
      </c>
      <c r="J7" s="5" t="s">
        <v>1874</v>
      </c>
    </row>
    <row r="8" spans="1:10" x14ac:dyDescent="0.25">
      <c r="A8" s="5" t="s">
        <v>15</v>
      </c>
      <c r="B8" s="5" t="s">
        <v>16</v>
      </c>
      <c r="C8" s="5" t="s">
        <v>17</v>
      </c>
      <c r="D8" s="5"/>
      <c r="E8" s="5" t="s">
        <v>1875</v>
      </c>
      <c r="F8" s="5" t="s">
        <v>19</v>
      </c>
      <c r="G8" s="5" t="s">
        <v>1876</v>
      </c>
      <c r="H8" s="5" t="s">
        <v>17</v>
      </c>
      <c r="I8" s="5" t="s">
        <v>17</v>
      </c>
      <c r="J8" s="5" t="s">
        <v>1877</v>
      </c>
    </row>
    <row r="9" spans="1:10" x14ac:dyDescent="0.25">
      <c r="A9" s="5" t="s">
        <v>15</v>
      </c>
      <c r="B9" s="5" t="s">
        <v>16</v>
      </c>
      <c r="C9" s="5" t="s">
        <v>17</v>
      </c>
      <c r="D9" s="5"/>
      <c r="E9" s="5" t="s">
        <v>1878</v>
      </c>
      <c r="F9" s="5" t="s">
        <v>19</v>
      </c>
      <c r="G9" s="5" t="s">
        <v>1879</v>
      </c>
      <c r="H9" s="5" t="s">
        <v>17</v>
      </c>
      <c r="I9" s="5" t="s">
        <v>17</v>
      </c>
      <c r="J9" s="5" t="s">
        <v>1880</v>
      </c>
    </row>
    <row r="10" spans="1:10" x14ac:dyDescent="0.25">
      <c r="A10" s="5" t="s">
        <v>15</v>
      </c>
      <c r="B10" s="5" t="s">
        <v>63</v>
      </c>
      <c r="C10" s="5" t="s">
        <v>17</v>
      </c>
      <c r="D10" s="5"/>
      <c r="E10" s="5" t="s">
        <v>1881</v>
      </c>
      <c r="F10" s="5" t="s">
        <v>19</v>
      </c>
      <c r="G10" s="5">
        <v>0</v>
      </c>
      <c r="H10" s="5" t="s">
        <v>17</v>
      </c>
      <c r="I10" s="5" t="s">
        <v>17</v>
      </c>
      <c r="J10" s="5" t="s">
        <v>1882</v>
      </c>
    </row>
    <row r="11" spans="1:10" x14ac:dyDescent="0.25">
      <c r="A11" s="5" t="s">
        <v>15</v>
      </c>
      <c r="B11" s="5" t="s">
        <v>63</v>
      </c>
      <c r="C11" s="5" t="s">
        <v>17</v>
      </c>
      <c r="D11" s="5"/>
      <c r="E11" s="5" t="s">
        <v>1883</v>
      </c>
      <c r="F11" s="5" t="s">
        <v>19</v>
      </c>
      <c r="G11" s="5">
        <v>0.8</v>
      </c>
      <c r="H11" s="5" t="s">
        <v>17</v>
      </c>
      <c r="I11" s="5" t="s">
        <v>17</v>
      </c>
      <c r="J11" s="5" t="s">
        <v>1884</v>
      </c>
    </row>
    <row r="12" spans="1:10" x14ac:dyDescent="0.25">
      <c r="A12" s="5" t="s">
        <v>19</v>
      </c>
      <c r="B12" s="5" t="s">
        <v>63</v>
      </c>
      <c r="C12" s="5" t="s">
        <v>17</v>
      </c>
      <c r="D12" s="5"/>
      <c r="E12" s="5" t="s">
        <v>1885</v>
      </c>
      <c r="F12" s="5" t="s">
        <v>19</v>
      </c>
      <c r="G12" s="5">
        <v>0</v>
      </c>
      <c r="H12" s="5" t="s">
        <v>17</v>
      </c>
      <c r="I12" s="5" t="s">
        <v>17</v>
      </c>
      <c r="J12" s="5" t="s">
        <v>1886</v>
      </c>
    </row>
    <row r="13" spans="1:10" x14ac:dyDescent="0.25">
      <c r="A13" s="5" t="s">
        <v>19</v>
      </c>
      <c r="B13" s="5" t="s">
        <v>63</v>
      </c>
      <c r="C13" s="5" t="s">
        <v>17</v>
      </c>
      <c r="D13" s="5"/>
      <c r="E13" s="5" t="s">
        <v>1887</v>
      </c>
      <c r="F13" s="5" t="s">
        <v>19</v>
      </c>
      <c r="G13" s="5">
        <v>0.3</v>
      </c>
      <c r="H13" s="5" t="s">
        <v>17</v>
      </c>
      <c r="I13" s="5" t="s">
        <v>17</v>
      </c>
      <c r="J13" s="5" t="s">
        <v>1888</v>
      </c>
    </row>
    <row r="14" spans="1:10" x14ac:dyDescent="0.25">
      <c r="A14" s="5" t="s">
        <v>19</v>
      </c>
      <c r="B14" s="6" t="s">
        <v>952</v>
      </c>
      <c r="C14" s="5" t="s">
        <v>17</v>
      </c>
      <c r="D14" s="5"/>
      <c r="E14" s="5" t="s">
        <v>953</v>
      </c>
      <c r="F14" s="5" t="s">
        <v>15</v>
      </c>
      <c r="G14" s="5" t="s">
        <v>17</v>
      </c>
      <c r="H14" s="5" t="s">
        <v>17</v>
      </c>
      <c r="I14" s="5" t="s">
        <v>17</v>
      </c>
      <c r="J14" s="5" t="s">
        <v>954</v>
      </c>
    </row>
    <row r="15" spans="1:10" x14ac:dyDescent="0.25" outlineLevel="1" collapsed="1">
      <c r="A15" s="7" t="s">
        <v>15</v>
      </c>
      <c r="B15" s="7" t="s">
        <v>16</v>
      </c>
      <c r="C15" s="7" t="s">
        <v>17</v>
      </c>
      <c r="D15" s="7"/>
      <c r="E15" s="7" t="s">
        <v>955</v>
      </c>
      <c r="F15" s="7" t="s">
        <v>19</v>
      </c>
      <c r="G15" s="7" t="s">
        <v>956</v>
      </c>
      <c r="H15" s="7" t="s">
        <v>17</v>
      </c>
      <c r="I15" s="7" t="s">
        <v>17</v>
      </c>
      <c r="J15" s="7" t="s">
        <v>957</v>
      </c>
    </row>
    <row r="16" spans="1:10" x14ac:dyDescent="0.25" outlineLevel="1" collapsed="1">
      <c r="A16" s="7" t="s">
        <v>15</v>
      </c>
      <c r="B16" s="7" t="s">
        <v>284</v>
      </c>
      <c r="C16" s="11" t="s">
        <v>958</v>
      </c>
      <c r="D16" s="7"/>
      <c r="E16" s="7" t="s">
        <v>959</v>
      </c>
      <c r="F16" s="7" t="s">
        <v>19</v>
      </c>
      <c r="G16" s="7" t="s">
        <v>960</v>
      </c>
      <c r="H16" s="7" t="s">
        <v>17</v>
      </c>
      <c r="I16" s="7" t="s">
        <v>17</v>
      </c>
      <c r="J16" s="7" t="s">
        <v>961</v>
      </c>
    </row>
    <row r="17" spans="1:10" x14ac:dyDescent="0.25" outlineLevel="1" collapsed="1">
      <c r="A17" s="7" t="s">
        <v>15</v>
      </c>
      <c r="B17" s="7" t="s">
        <v>16</v>
      </c>
      <c r="C17" s="7" t="s">
        <v>17</v>
      </c>
      <c r="D17" s="7"/>
      <c r="E17" s="7" t="s">
        <v>962</v>
      </c>
      <c r="F17" s="7" t="s">
        <v>19</v>
      </c>
      <c r="G17" s="7" t="s">
        <v>963</v>
      </c>
      <c r="H17" s="7" t="s">
        <v>17</v>
      </c>
      <c r="I17" s="7" t="s">
        <v>17</v>
      </c>
      <c r="J17" s="7" t="s">
        <v>964</v>
      </c>
    </row>
    <row r="18" spans="1:10" x14ac:dyDescent="0.25" outlineLevel="1" collapsed="1">
      <c r="A18" s="7" t="s">
        <v>19</v>
      </c>
      <c r="B18" s="7" t="s">
        <v>291</v>
      </c>
      <c r="C18" s="7" t="s">
        <v>17</v>
      </c>
      <c r="D18" s="7"/>
      <c r="E18" s="7" t="s">
        <v>965</v>
      </c>
      <c r="F18" s="7" t="s">
        <v>19</v>
      </c>
      <c r="G18" s="7" t="s">
        <v>293</v>
      </c>
      <c r="H18" s="7" t="s">
        <v>17</v>
      </c>
      <c r="I18" s="7" t="s">
        <v>17</v>
      </c>
      <c r="J18" s="7" t="s">
        <v>966</v>
      </c>
    </row>
    <row r="19" spans="1:10" x14ac:dyDescent="0.25" outlineLevel="1" collapsed="1">
      <c r="A19" s="7" t="s">
        <v>19</v>
      </c>
      <c r="B19" s="7" t="s">
        <v>16</v>
      </c>
      <c r="C19" s="7" t="s">
        <v>17</v>
      </c>
      <c r="D19" s="7"/>
      <c r="E19" s="7" t="s">
        <v>967</v>
      </c>
      <c r="F19" s="7" t="s">
        <v>19</v>
      </c>
      <c r="G19" s="7" t="s">
        <v>968</v>
      </c>
      <c r="H19" s="7" t="s">
        <v>17</v>
      </c>
      <c r="I19" s="7" t="s">
        <v>17</v>
      </c>
      <c r="J19" s="7" t="s">
        <v>843</v>
      </c>
    </row>
  </sheetData>
  <mergeCells count="3">
    <mergeCell ref="A1:J1"/>
    <mergeCell ref="B2:J2"/>
    <mergeCell ref="B3:J3"/>
  </mergeCells>
  <dataValidations count="1">
    <dataValidation type="list" allowBlank="1" sqref="G16:I16">
      <formula1>'Enums'!C802:C810</formula1>
    </dataValidation>
  </dataValidations>
  <hyperlinks>
    <hyperlink ref="B14" r:id="rId1" location="#'Evidence item'!A1"/>
  </hyperlinks>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3354</v>
      </c>
      <c r="B1" s="1"/>
      <c r="C1" s="1"/>
      <c r="D1" s="1"/>
      <c r="E1" s="1"/>
      <c r="F1" s="1"/>
      <c r="G1" s="1"/>
      <c r="H1" s="1"/>
      <c r="I1" s="1"/>
      <c r="J1" s="1"/>
    </row>
    <row r="2" spans="1:10" x14ac:dyDescent="0.25">
      <c r="A2" s="2" t="s">
        <v>1</v>
      </c>
      <c r="B2" s="3" t="s">
        <v>3355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2291</v>
      </c>
      <c r="F5" s="5" t="s">
        <v>19</v>
      </c>
      <c r="G5" s="5" t="s">
        <v>2292</v>
      </c>
      <c r="H5" s="5" t="s">
        <v>17</v>
      </c>
      <c r="I5" s="5" t="s">
        <v>17</v>
      </c>
      <c r="J5" s="5" t="s">
        <v>2293</v>
      </c>
    </row>
    <row r="6" spans="1:10" x14ac:dyDescent="0.25">
      <c r="A6" s="5" t="s">
        <v>15</v>
      </c>
      <c r="B6" s="5" t="s">
        <v>16</v>
      </c>
      <c r="C6" s="5" t="s">
        <v>17</v>
      </c>
      <c r="D6" s="5"/>
      <c r="E6" s="5" t="s">
        <v>2294</v>
      </c>
      <c r="F6" s="5" t="s">
        <v>19</v>
      </c>
      <c r="G6" s="5" t="s">
        <v>2295</v>
      </c>
      <c r="H6" s="5" t="s">
        <v>2295</v>
      </c>
      <c r="I6" s="5" t="s">
        <v>17</v>
      </c>
      <c r="J6" s="5" t="s">
        <v>2296</v>
      </c>
    </row>
    <row r="7" spans="1:10" x14ac:dyDescent="0.25">
      <c r="A7" s="5" t="s">
        <v>15</v>
      </c>
      <c r="B7" s="5" t="s">
        <v>16</v>
      </c>
      <c r="C7" s="5" t="s">
        <v>17</v>
      </c>
      <c r="D7" s="5"/>
      <c r="E7" s="5" t="s">
        <v>2297</v>
      </c>
      <c r="F7" s="5" t="s">
        <v>19</v>
      </c>
      <c r="G7" s="5" t="s">
        <v>2298</v>
      </c>
      <c r="H7" s="5" t="s">
        <v>17</v>
      </c>
      <c r="I7" s="5" t="s">
        <v>17</v>
      </c>
      <c r="J7" s="5" t="s">
        <v>2299</v>
      </c>
    </row>
    <row r="8" spans="1:10" x14ac:dyDescent="0.25">
      <c r="A8" s="5" t="s">
        <v>15</v>
      </c>
      <c r="B8" s="5" t="s">
        <v>16</v>
      </c>
      <c r="C8" s="5" t="s">
        <v>17</v>
      </c>
      <c r="D8" s="5"/>
      <c r="E8" s="5" t="s">
        <v>2300</v>
      </c>
      <c r="F8" s="5" t="s">
        <v>19</v>
      </c>
      <c r="G8" s="5" t="s">
        <v>2301</v>
      </c>
      <c r="H8" s="5" t="s">
        <v>17</v>
      </c>
      <c r="I8" s="5" t="s">
        <v>17</v>
      </c>
      <c r="J8" s="5" t="s">
        <v>972</v>
      </c>
    </row>
    <row r="9" spans="1:10" x14ac:dyDescent="0.25">
      <c r="A9" s="5" t="s">
        <v>19</v>
      </c>
      <c r="B9" s="5" t="s">
        <v>16</v>
      </c>
      <c r="C9" s="5" t="s">
        <v>17</v>
      </c>
      <c r="D9" s="5"/>
      <c r="E9" s="5" t="s">
        <v>2302</v>
      </c>
      <c r="F9" s="5" t="s">
        <v>19</v>
      </c>
      <c r="G9" s="5" t="s">
        <v>31</v>
      </c>
      <c r="H9" s="5" t="s">
        <v>17</v>
      </c>
      <c r="I9" s="5" t="s">
        <v>17</v>
      </c>
      <c r="J9" s="5" t="s">
        <v>2303</v>
      </c>
    </row>
    <row r="10" spans="1:10" x14ac:dyDescent="0.25">
      <c r="A10" s="5" t="s">
        <v>19</v>
      </c>
      <c r="B10" s="5" t="s">
        <v>16</v>
      </c>
      <c r="C10" s="5" t="s">
        <v>17</v>
      </c>
      <c r="D10" s="5"/>
      <c r="E10" s="5" t="s">
        <v>2304</v>
      </c>
      <c r="F10" s="5" t="s">
        <v>19</v>
      </c>
      <c r="G10" s="5" t="s">
        <v>31</v>
      </c>
      <c r="H10" s="5" t="s">
        <v>17</v>
      </c>
      <c r="I10" s="5" t="s">
        <v>17</v>
      </c>
      <c r="J10" s="5" t="s">
        <v>2305</v>
      </c>
    </row>
    <row r="11" spans="1:10" x14ac:dyDescent="0.25">
      <c r="A11" s="5" t="s">
        <v>19</v>
      </c>
      <c r="B11" s="5" t="s">
        <v>16</v>
      </c>
      <c r="C11" s="5" t="s">
        <v>17</v>
      </c>
      <c r="D11" s="5"/>
      <c r="E11" s="5" t="s">
        <v>2306</v>
      </c>
      <c r="F11" s="5" t="s">
        <v>19</v>
      </c>
      <c r="G11" s="5" t="s">
        <v>31</v>
      </c>
      <c r="H11" s="5" t="s">
        <v>17</v>
      </c>
      <c r="I11" s="5" t="s">
        <v>17</v>
      </c>
      <c r="J11" s="5" t="s">
        <v>2307</v>
      </c>
    </row>
    <row r="12" spans="1:10" x14ac:dyDescent="0.25">
      <c r="A12" s="5" t="s">
        <v>19</v>
      </c>
      <c r="B12" s="5" t="s">
        <v>16</v>
      </c>
      <c r="C12" s="5" t="s">
        <v>17</v>
      </c>
      <c r="D12" s="5"/>
      <c r="E12" s="5" t="s">
        <v>2308</v>
      </c>
      <c r="F12" s="5" t="s">
        <v>19</v>
      </c>
      <c r="G12" s="5" t="s">
        <v>31</v>
      </c>
      <c r="H12" s="5" t="s">
        <v>17</v>
      </c>
      <c r="I12" s="5" t="s">
        <v>17</v>
      </c>
      <c r="J12" s="5" t="s">
        <v>2309</v>
      </c>
    </row>
    <row r="13" spans="1:10" x14ac:dyDescent="0.25">
      <c r="A13" s="5" t="s">
        <v>19</v>
      </c>
      <c r="B13" s="5" t="s">
        <v>16</v>
      </c>
      <c r="C13" s="5" t="s">
        <v>17</v>
      </c>
      <c r="D13" s="5"/>
      <c r="E13" s="5" t="s">
        <v>1117</v>
      </c>
      <c r="F13" s="5" t="s">
        <v>19</v>
      </c>
      <c r="G13" s="5" t="s">
        <v>31</v>
      </c>
      <c r="H13" s="5" t="s">
        <v>17</v>
      </c>
      <c r="I13" s="5" t="s">
        <v>17</v>
      </c>
      <c r="J13" s="5" t="s">
        <v>1118</v>
      </c>
    </row>
    <row r="14" spans="1:10" x14ac:dyDescent="0.25">
      <c r="A14" s="5" t="s">
        <v>19</v>
      </c>
      <c r="B14" s="5" t="s">
        <v>16</v>
      </c>
      <c r="C14" s="5" t="s">
        <v>17</v>
      </c>
      <c r="D14" s="5"/>
      <c r="E14" s="5" t="s">
        <v>2310</v>
      </c>
      <c r="F14" s="5" t="s">
        <v>19</v>
      </c>
      <c r="G14" s="5" t="s">
        <v>31</v>
      </c>
      <c r="H14" s="5" t="s">
        <v>17</v>
      </c>
      <c r="I14" s="5" t="s">
        <v>17</v>
      </c>
      <c r="J14" s="5" t="s">
        <v>2311</v>
      </c>
    </row>
    <row r="15" spans="1:10" x14ac:dyDescent="0.25">
      <c r="A15" s="5" t="s">
        <v>19</v>
      </c>
      <c r="B15" s="5" t="s">
        <v>16</v>
      </c>
      <c r="C15" s="5" t="s">
        <v>17</v>
      </c>
      <c r="D15" s="5"/>
      <c r="E15" s="5" t="s">
        <v>2312</v>
      </c>
      <c r="F15" s="5" t="s">
        <v>19</v>
      </c>
      <c r="G15" s="5" t="s">
        <v>31</v>
      </c>
      <c r="H15" s="5" t="s">
        <v>17</v>
      </c>
      <c r="I15" s="5" t="s">
        <v>17</v>
      </c>
      <c r="J15" s="5" t="s">
        <v>2313</v>
      </c>
    </row>
    <row r="16" spans="1:10" x14ac:dyDescent="0.25">
      <c r="A16" s="5" t="s">
        <v>19</v>
      </c>
      <c r="B16" s="5" t="s">
        <v>16</v>
      </c>
      <c r="C16" s="5" t="s">
        <v>17</v>
      </c>
      <c r="D16" s="5"/>
      <c r="E16" s="5" t="s">
        <v>2314</v>
      </c>
      <c r="F16" s="5" t="s">
        <v>19</v>
      </c>
      <c r="G16" s="5" t="s">
        <v>31</v>
      </c>
      <c r="H16" s="5" t="s">
        <v>17</v>
      </c>
      <c r="I16" s="5" t="s">
        <v>17</v>
      </c>
      <c r="J16" s="5" t="s">
        <v>1191</v>
      </c>
    </row>
    <row r="17" spans="1:10" x14ac:dyDescent="0.25">
      <c r="A17" s="5" t="s">
        <v>19</v>
      </c>
      <c r="B17" s="5" t="s">
        <v>16</v>
      </c>
      <c r="C17" s="5" t="s">
        <v>17</v>
      </c>
      <c r="D17" s="5"/>
      <c r="E17" s="5" t="s">
        <v>2315</v>
      </c>
      <c r="F17" s="5" t="s">
        <v>19</v>
      </c>
      <c r="G17" s="5" t="s">
        <v>31</v>
      </c>
      <c r="H17" s="5" t="s">
        <v>17</v>
      </c>
      <c r="I17" s="5" t="s">
        <v>17</v>
      </c>
      <c r="J17" s="5" t="s">
        <v>1193</v>
      </c>
    </row>
    <row r="18" spans="1:10" x14ac:dyDescent="0.25">
      <c r="A18" s="5" t="s">
        <v>19</v>
      </c>
      <c r="B18" s="5" t="s">
        <v>16</v>
      </c>
      <c r="C18" s="5" t="s">
        <v>17</v>
      </c>
      <c r="D18" s="5"/>
      <c r="E18" s="5" t="s">
        <v>2316</v>
      </c>
      <c r="F18" s="5" t="s">
        <v>19</v>
      </c>
      <c r="G18" s="5" t="s">
        <v>31</v>
      </c>
      <c r="H18" s="5" t="s">
        <v>17</v>
      </c>
      <c r="I18" s="5" t="s">
        <v>17</v>
      </c>
      <c r="J18" s="5" t="s">
        <v>2317</v>
      </c>
    </row>
    <row r="19" spans="1:10" x14ac:dyDescent="0.25">
      <c r="A19" s="5" t="s">
        <v>19</v>
      </c>
      <c r="B19" s="5" t="s">
        <v>16</v>
      </c>
      <c r="C19" s="5" t="s">
        <v>17</v>
      </c>
      <c r="D19" s="5"/>
      <c r="E19" s="5" t="s">
        <v>2318</v>
      </c>
      <c r="F19" s="5" t="s">
        <v>19</v>
      </c>
      <c r="G19" s="5" t="s">
        <v>31</v>
      </c>
      <c r="H19" s="5" t="s">
        <v>17</v>
      </c>
      <c r="I19" s="5" t="s">
        <v>17</v>
      </c>
      <c r="J19" s="5" t="s">
        <v>2319</v>
      </c>
    </row>
    <row r="20" spans="1:10" x14ac:dyDescent="0.25">
      <c r="A20" s="5" t="s">
        <v>19</v>
      </c>
      <c r="B20" s="5" t="s">
        <v>16</v>
      </c>
      <c r="C20" s="5" t="s">
        <v>17</v>
      </c>
      <c r="D20" s="5"/>
      <c r="E20" s="5" t="s">
        <v>2320</v>
      </c>
      <c r="F20" s="5" t="s">
        <v>19</v>
      </c>
      <c r="G20" s="5" t="s">
        <v>31</v>
      </c>
      <c r="H20" s="5" t="s">
        <v>17</v>
      </c>
      <c r="I20" s="5" t="s">
        <v>17</v>
      </c>
      <c r="J20" s="5" t="s">
        <v>2321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1381</v>
      </c>
      <c r="B1" s="1"/>
      <c r="C1" s="1"/>
      <c r="D1" s="1"/>
      <c r="E1" s="1"/>
      <c r="F1" s="1"/>
      <c r="G1" s="1"/>
      <c r="H1" s="1"/>
      <c r="I1" s="1"/>
      <c r="J1" s="1"/>
    </row>
    <row r="2" spans="1:10" x14ac:dyDescent="0.25">
      <c r="A2" s="2" t="s">
        <v>1</v>
      </c>
      <c r="B2" s="3" t="s">
        <v>3356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1384</v>
      </c>
      <c r="C5" s="5" t="s">
        <v>17</v>
      </c>
      <c r="D5" s="5"/>
      <c r="E5" s="5" t="s">
        <v>1385</v>
      </c>
      <c r="F5" s="5" t="s">
        <v>15</v>
      </c>
      <c r="G5" s="5" t="s">
        <v>17</v>
      </c>
      <c r="H5" s="5" t="s">
        <v>17</v>
      </c>
      <c r="I5" s="5" t="s">
        <v>17</v>
      </c>
      <c r="J5" s="5" t="s">
        <v>1386</v>
      </c>
    </row>
    <row r="6" spans="1:10" x14ac:dyDescent="0.25" outlineLevel="1" collapsed="1">
      <c r="A6" s="7" t="s">
        <v>19</v>
      </c>
      <c r="B6" s="7" t="s">
        <v>16</v>
      </c>
      <c r="C6" s="7" t="s">
        <v>17</v>
      </c>
      <c r="D6" s="7"/>
      <c r="E6" s="7" t="s">
        <v>474</v>
      </c>
      <c r="F6" s="7" t="s">
        <v>19</v>
      </c>
      <c r="G6" s="7" t="s">
        <v>31</v>
      </c>
      <c r="H6" s="7" t="s">
        <v>17</v>
      </c>
      <c r="I6" s="7" t="s">
        <v>17</v>
      </c>
      <c r="J6" s="7" t="s">
        <v>476</v>
      </c>
    </row>
    <row r="7" spans="1:10" x14ac:dyDescent="0.25" outlineLevel="1" collapsed="1">
      <c r="A7" s="7" t="s">
        <v>19</v>
      </c>
      <c r="B7" s="7" t="s">
        <v>16</v>
      </c>
      <c r="C7" s="7" t="s">
        <v>17</v>
      </c>
      <c r="D7" s="7"/>
      <c r="E7" s="7" t="s">
        <v>1387</v>
      </c>
      <c r="F7" s="7" t="s">
        <v>19</v>
      </c>
      <c r="G7" s="7" t="s">
        <v>31</v>
      </c>
      <c r="H7" s="7" t="s">
        <v>17</v>
      </c>
      <c r="I7" s="7" t="s">
        <v>17</v>
      </c>
      <c r="J7" s="7" t="s">
        <v>1388</v>
      </c>
    </row>
    <row r="8" spans="1:10" x14ac:dyDescent="0.25" outlineLevel="1" collapsed="1">
      <c r="A8" s="7" t="s">
        <v>19</v>
      </c>
      <c r="B8" s="7" t="s">
        <v>16</v>
      </c>
      <c r="C8" s="7" t="s">
        <v>17</v>
      </c>
      <c r="D8" s="7"/>
      <c r="E8" s="7" t="s">
        <v>1389</v>
      </c>
      <c r="F8" s="7" t="s">
        <v>19</v>
      </c>
      <c r="G8" s="7" t="s">
        <v>31</v>
      </c>
      <c r="H8" s="7" t="s">
        <v>17</v>
      </c>
      <c r="I8" s="7" t="s">
        <v>17</v>
      </c>
      <c r="J8" s="7" t="s">
        <v>1390</v>
      </c>
    </row>
    <row r="9" spans="1:10" x14ac:dyDescent="0.25" outlineLevel="1" collapsed="1">
      <c r="A9" s="7" t="s">
        <v>19</v>
      </c>
      <c r="B9" s="7" t="s">
        <v>16</v>
      </c>
      <c r="C9" s="7" t="s">
        <v>17</v>
      </c>
      <c r="D9" s="7"/>
      <c r="E9" s="7" t="s">
        <v>1391</v>
      </c>
      <c r="F9" s="7" t="s">
        <v>19</v>
      </c>
      <c r="G9" s="7" t="s">
        <v>31</v>
      </c>
      <c r="H9" s="7" t="s">
        <v>17</v>
      </c>
      <c r="I9" s="7" t="s">
        <v>17</v>
      </c>
      <c r="J9" s="7" t="s">
        <v>1392</v>
      </c>
    </row>
    <row r="10" spans="1:10" x14ac:dyDescent="0.25" outlineLevel="1" collapsed="1">
      <c r="A10" s="7" t="s">
        <v>19</v>
      </c>
      <c r="B10" s="7" t="s">
        <v>16</v>
      </c>
      <c r="C10" s="7" t="s">
        <v>17</v>
      </c>
      <c r="D10" s="7"/>
      <c r="E10" s="7" t="s">
        <v>1393</v>
      </c>
      <c r="F10" s="7" t="s">
        <v>19</v>
      </c>
      <c r="G10" s="7" t="s">
        <v>31</v>
      </c>
      <c r="H10" s="7" t="s">
        <v>17</v>
      </c>
      <c r="I10" s="7" t="s">
        <v>17</v>
      </c>
      <c r="J10" s="7" t="s">
        <v>1394</v>
      </c>
    </row>
    <row r="11" spans="1:10" x14ac:dyDescent="0.25" outlineLevel="1" collapsed="1">
      <c r="A11" s="7" t="s">
        <v>19</v>
      </c>
      <c r="B11" s="7" t="s">
        <v>16</v>
      </c>
      <c r="C11" s="7" t="s">
        <v>17</v>
      </c>
      <c r="D11" s="7"/>
      <c r="E11" s="7" t="s">
        <v>1395</v>
      </c>
      <c r="F11" s="7" t="s">
        <v>19</v>
      </c>
      <c r="G11" s="7" t="s">
        <v>31</v>
      </c>
      <c r="H11" s="7" t="s">
        <v>17</v>
      </c>
      <c r="I11" s="7" t="s">
        <v>17</v>
      </c>
      <c r="J11" s="7" t="s">
        <v>1396</v>
      </c>
    </row>
    <row r="12" spans="1:10" x14ac:dyDescent="0.25">
      <c r="A12" s="5" t="s">
        <v>19</v>
      </c>
      <c r="B12" s="6" t="s">
        <v>1397</v>
      </c>
      <c r="C12" s="5" t="s">
        <v>17</v>
      </c>
      <c r="D12" s="5"/>
      <c r="E12" s="5" t="s">
        <v>1397</v>
      </c>
      <c r="F12" s="5" t="s">
        <v>15</v>
      </c>
      <c r="G12" s="5" t="s">
        <v>17</v>
      </c>
      <c r="H12" s="5" t="s">
        <v>17</v>
      </c>
      <c r="I12" s="5" t="s">
        <v>17</v>
      </c>
      <c r="J12" s="5" t="s">
        <v>1398</v>
      </c>
    </row>
    <row r="13" spans="1:10" x14ac:dyDescent="0.25" outlineLevel="1" collapsed="1">
      <c r="A13" s="7" t="s">
        <v>19</v>
      </c>
      <c r="B13" s="7" t="s">
        <v>16</v>
      </c>
      <c r="C13" s="7" t="s">
        <v>17</v>
      </c>
      <c r="D13" s="7"/>
      <c r="E13" s="7" t="s">
        <v>474</v>
      </c>
      <c r="F13" s="7" t="s">
        <v>19</v>
      </c>
      <c r="G13" s="7" t="s">
        <v>31</v>
      </c>
      <c r="H13" s="7" t="s">
        <v>17</v>
      </c>
      <c r="I13" s="7" t="s">
        <v>17</v>
      </c>
      <c r="J13" s="7" t="s">
        <v>476</v>
      </c>
    </row>
    <row r="14" spans="1:10" x14ac:dyDescent="0.25" outlineLevel="1" collapsed="1">
      <c r="A14" s="7" t="s">
        <v>19</v>
      </c>
      <c r="B14" s="7" t="s">
        <v>16</v>
      </c>
      <c r="C14" s="7" t="s">
        <v>17</v>
      </c>
      <c r="D14" s="7"/>
      <c r="E14" s="7" t="s">
        <v>1387</v>
      </c>
      <c r="F14" s="7" t="s">
        <v>19</v>
      </c>
      <c r="G14" s="7" t="s">
        <v>31</v>
      </c>
      <c r="H14" s="7" t="s">
        <v>17</v>
      </c>
      <c r="I14" s="7" t="s">
        <v>17</v>
      </c>
      <c r="J14" s="7" t="s">
        <v>1388</v>
      </c>
    </row>
    <row r="15" spans="1:10" x14ac:dyDescent="0.25" outlineLevel="1" collapsed="1">
      <c r="A15" s="7" t="s">
        <v>19</v>
      </c>
      <c r="B15" s="7" t="s">
        <v>16</v>
      </c>
      <c r="C15" s="7" t="s">
        <v>17</v>
      </c>
      <c r="D15" s="7"/>
      <c r="E15" s="7" t="s">
        <v>264</v>
      </c>
      <c r="F15" s="7" t="s">
        <v>19</v>
      </c>
      <c r="G15" s="7" t="s">
        <v>31</v>
      </c>
      <c r="H15" s="7" t="s">
        <v>17</v>
      </c>
      <c r="I15" s="7" t="s">
        <v>17</v>
      </c>
      <c r="J15" s="7" t="s">
        <v>265</v>
      </c>
    </row>
    <row r="16" spans="1:10" x14ac:dyDescent="0.25" outlineLevel="1" collapsed="1">
      <c r="A16" s="7" t="s">
        <v>19</v>
      </c>
      <c r="B16" s="7" t="s">
        <v>16</v>
      </c>
      <c r="C16" s="7" t="s">
        <v>17</v>
      </c>
      <c r="D16" s="7"/>
      <c r="E16" s="7" t="s">
        <v>266</v>
      </c>
      <c r="F16" s="7" t="s">
        <v>19</v>
      </c>
      <c r="G16" s="7" t="s">
        <v>31</v>
      </c>
      <c r="H16" s="7" t="s">
        <v>17</v>
      </c>
      <c r="I16" s="7" t="s">
        <v>17</v>
      </c>
      <c r="J16" s="7" t="s">
        <v>267</v>
      </c>
    </row>
    <row r="17" spans="1:10" x14ac:dyDescent="0.25" outlineLevel="1" collapsed="1">
      <c r="A17" s="7" t="s">
        <v>19</v>
      </c>
      <c r="B17" s="7" t="s">
        <v>16</v>
      </c>
      <c r="C17" s="7" t="s">
        <v>17</v>
      </c>
      <c r="D17" s="7"/>
      <c r="E17" s="7" t="s">
        <v>1399</v>
      </c>
      <c r="F17" s="7" t="s">
        <v>19</v>
      </c>
      <c r="G17" s="7" t="s">
        <v>31</v>
      </c>
      <c r="H17" s="7" t="s">
        <v>17</v>
      </c>
      <c r="I17" s="7" t="s">
        <v>17</v>
      </c>
      <c r="J17" s="7" t="s">
        <v>1400</v>
      </c>
    </row>
    <row r="18" spans="1:10" x14ac:dyDescent="0.25" outlineLevel="1" collapsed="1">
      <c r="A18" s="7" t="s">
        <v>19</v>
      </c>
      <c r="B18" s="7" t="s">
        <v>16</v>
      </c>
      <c r="C18" s="7" t="s">
        <v>17</v>
      </c>
      <c r="D18" s="7"/>
      <c r="E18" s="7" t="s">
        <v>1401</v>
      </c>
      <c r="F18" s="7" t="s">
        <v>19</v>
      </c>
      <c r="G18" s="7" t="s">
        <v>31</v>
      </c>
      <c r="H18" s="7" t="s">
        <v>17</v>
      </c>
      <c r="I18" s="7" t="s">
        <v>17</v>
      </c>
      <c r="J18" s="7" t="s">
        <v>1402</v>
      </c>
    </row>
    <row r="19" spans="1:10" x14ac:dyDescent="0.25" outlineLevel="1" collapsed="1">
      <c r="A19" s="7" t="s">
        <v>19</v>
      </c>
      <c r="B19" s="7" t="s">
        <v>16</v>
      </c>
      <c r="C19" s="7" t="s">
        <v>17</v>
      </c>
      <c r="D19" s="7"/>
      <c r="E19" s="7" t="s">
        <v>1403</v>
      </c>
      <c r="F19" s="7" t="s">
        <v>19</v>
      </c>
      <c r="G19" s="7" t="s">
        <v>31</v>
      </c>
      <c r="H19" s="7" t="s">
        <v>17</v>
      </c>
      <c r="I19" s="7" t="s">
        <v>17</v>
      </c>
      <c r="J19" s="7" t="s">
        <v>1404</v>
      </c>
    </row>
  </sheetData>
  <mergeCells count="3">
    <mergeCell ref="A1:J1"/>
    <mergeCell ref="B2:J2"/>
    <mergeCell ref="B3:J3"/>
  </mergeCells>
  <hyperlinks>
    <hyperlink ref="B5" r:id="rId1" location="#'Methodology deviation row (VCS'!A1"/>
    <hyperlink ref="B12" r:id="rId2" location="#'Project description deviation'!A1"/>
  </hyperlinks>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3357</v>
      </c>
      <c r="B1" s="1"/>
      <c r="C1" s="1"/>
      <c r="D1" s="1"/>
      <c r="E1" s="1"/>
      <c r="F1" s="1"/>
      <c r="G1" s="1"/>
      <c r="H1" s="1"/>
      <c r="I1" s="1"/>
      <c r="J1" s="1"/>
    </row>
    <row r="2" spans="1:10" x14ac:dyDescent="0.25">
      <c r="A2" s="2" t="s">
        <v>1</v>
      </c>
      <c r="B2" s="3" t="s">
        <v>3358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2366</v>
      </c>
      <c r="F5" s="5" t="s">
        <v>19</v>
      </c>
      <c r="G5" s="5" t="s">
        <v>847</v>
      </c>
      <c r="H5" s="5" t="s">
        <v>17</v>
      </c>
      <c r="I5" s="5" t="s">
        <v>17</v>
      </c>
      <c r="J5" s="5" t="s">
        <v>848</v>
      </c>
    </row>
    <row r="6" spans="1:10" x14ac:dyDescent="0.25">
      <c r="A6" s="5" t="s">
        <v>15</v>
      </c>
      <c r="B6" s="5" t="s">
        <v>16</v>
      </c>
      <c r="C6" s="5" t="s">
        <v>17</v>
      </c>
      <c r="D6" s="5"/>
      <c r="E6" s="5" t="s">
        <v>2367</v>
      </c>
      <c r="F6" s="5" t="s">
        <v>19</v>
      </c>
      <c r="G6" s="5" t="s">
        <v>850</v>
      </c>
      <c r="H6" s="5" t="s">
        <v>17</v>
      </c>
      <c r="I6" s="5" t="s">
        <v>17</v>
      </c>
      <c r="J6" s="5" t="s">
        <v>851</v>
      </c>
    </row>
    <row r="7" spans="1:10" x14ac:dyDescent="0.25">
      <c r="A7" s="5" t="s">
        <v>19</v>
      </c>
      <c r="B7" s="5" t="s">
        <v>16</v>
      </c>
      <c r="C7" s="5" t="s">
        <v>17</v>
      </c>
      <c r="D7" s="5"/>
      <c r="E7" s="5" t="s">
        <v>2368</v>
      </c>
      <c r="F7" s="5" t="s">
        <v>19</v>
      </c>
      <c r="G7" s="5" t="s">
        <v>2369</v>
      </c>
      <c r="H7" s="5" t="s">
        <v>17</v>
      </c>
      <c r="I7" s="5" t="s">
        <v>17</v>
      </c>
      <c r="J7" s="5" t="s">
        <v>2370</v>
      </c>
    </row>
    <row r="8" spans="1:10" x14ac:dyDescent="0.25">
      <c r="A8" s="5" t="s">
        <v>15</v>
      </c>
      <c r="B8" s="5" t="s">
        <v>284</v>
      </c>
      <c r="C8" s="10" t="s">
        <v>2371</v>
      </c>
      <c r="D8" s="5"/>
      <c r="E8" s="5" t="s">
        <v>2372</v>
      </c>
      <c r="F8" s="5" t="s">
        <v>19</v>
      </c>
      <c r="G8" s="5" t="s">
        <v>2373</v>
      </c>
      <c r="H8" s="5" t="s">
        <v>2373</v>
      </c>
      <c r="I8" s="5" t="s">
        <v>17</v>
      </c>
      <c r="J8" s="5" t="s">
        <v>855</v>
      </c>
    </row>
    <row r="9" spans="1:10" x14ac:dyDescent="0.25">
      <c r="A9" s="5" t="s">
        <v>15</v>
      </c>
      <c r="B9" s="5" t="s">
        <v>63</v>
      </c>
      <c r="C9" s="5" t="s">
        <v>17</v>
      </c>
      <c r="D9" s="5"/>
      <c r="E9" s="5" t="s">
        <v>2374</v>
      </c>
      <c r="F9" s="5" t="s">
        <v>19</v>
      </c>
      <c r="G9" s="5">
        <v>0</v>
      </c>
      <c r="H9" s="5" t="s">
        <v>17</v>
      </c>
      <c r="I9" s="5" t="s">
        <v>17</v>
      </c>
      <c r="J9" s="5" t="s">
        <v>853</v>
      </c>
    </row>
    <row r="10" spans="1:10" x14ac:dyDescent="0.25">
      <c r="A10" s="5" t="s">
        <v>15</v>
      </c>
      <c r="B10" s="5" t="s">
        <v>16</v>
      </c>
      <c r="C10" s="5" t="s">
        <v>17</v>
      </c>
      <c r="D10" s="5"/>
      <c r="E10" s="5" t="s">
        <v>2375</v>
      </c>
      <c r="F10" s="5" t="s">
        <v>19</v>
      </c>
      <c r="G10" s="5" t="s">
        <v>2376</v>
      </c>
      <c r="H10" s="5" t="s">
        <v>17</v>
      </c>
      <c r="I10" s="5" t="s">
        <v>17</v>
      </c>
      <c r="J10" s="5" t="s">
        <v>2377</v>
      </c>
    </row>
  </sheetData>
  <mergeCells count="3">
    <mergeCell ref="A1:J1"/>
    <mergeCell ref="B2:J2"/>
    <mergeCell ref="B3:J3"/>
  </mergeCells>
  <dataValidations count="1">
    <dataValidation type="list" allowBlank="1" sqref="G8:I8">
      <formula1>'Enums'!C286:C287</formula1>
    </dataValidation>
  </dataValidations>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3359</v>
      </c>
      <c r="B1" s="1"/>
      <c r="C1" s="1"/>
      <c r="D1" s="1"/>
      <c r="E1" s="1"/>
      <c r="F1" s="1"/>
      <c r="G1" s="1"/>
      <c r="H1" s="1"/>
      <c r="I1" s="1"/>
      <c r="J1" s="1"/>
    </row>
    <row r="2" spans="1:10" x14ac:dyDescent="0.25">
      <c r="A2" s="2" t="s">
        <v>1</v>
      </c>
      <c r="B2" s="3" t="s">
        <v>3360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3361</v>
      </c>
      <c r="F5" s="5" t="s">
        <v>19</v>
      </c>
      <c r="G5" s="5" t="s">
        <v>3362</v>
      </c>
      <c r="H5" s="5" t="s">
        <v>17</v>
      </c>
      <c r="I5" s="5" t="s">
        <v>17</v>
      </c>
      <c r="J5" s="5" t="s">
        <v>3363</v>
      </c>
    </row>
    <row r="6" spans="1:10" x14ac:dyDescent="0.25">
      <c r="A6" s="5" t="s">
        <v>15</v>
      </c>
      <c r="B6" s="5" t="s">
        <v>16</v>
      </c>
      <c r="C6" s="5" t="s">
        <v>17</v>
      </c>
      <c r="D6" s="5"/>
      <c r="E6" s="5" t="s">
        <v>3364</v>
      </c>
      <c r="F6" s="5" t="s">
        <v>19</v>
      </c>
      <c r="G6" s="5" t="s">
        <v>3365</v>
      </c>
      <c r="H6" s="5" t="s">
        <v>17</v>
      </c>
      <c r="I6" s="5" t="s">
        <v>17</v>
      </c>
      <c r="J6" s="5" t="s">
        <v>1203</v>
      </c>
    </row>
    <row r="7" spans="1:10" x14ac:dyDescent="0.25">
      <c r="A7" s="5" t="s">
        <v>15</v>
      </c>
      <c r="B7" s="5" t="s">
        <v>16</v>
      </c>
      <c r="C7" s="5" t="s">
        <v>17</v>
      </c>
      <c r="D7" s="5"/>
      <c r="E7" s="5" t="s">
        <v>3366</v>
      </c>
      <c r="F7" s="5" t="s">
        <v>19</v>
      </c>
      <c r="G7" s="5" t="s">
        <v>3367</v>
      </c>
      <c r="H7" s="5" t="s">
        <v>17</v>
      </c>
      <c r="I7" s="5" t="s">
        <v>17</v>
      </c>
      <c r="J7" s="5" t="s">
        <v>3368</v>
      </c>
    </row>
    <row r="8" spans="1:10" x14ac:dyDescent="0.25">
      <c r="A8" s="5" t="s">
        <v>15</v>
      </c>
      <c r="B8" s="5" t="s">
        <v>16</v>
      </c>
      <c r="C8" s="5" t="s">
        <v>17</v>
      </c>
      <c r="D8" s="5"/>
      <c r="E8" s="5" t="s">
        <v>3369</v>
      </c>
      <c r="F8" s="5" t="s">
        <v>19</v>
      </c>
      <c r="G8" s="5" t="s">
        <v>3370</v>
      </c>
      <c r="H8" s="5" t="s">
        <v>17</v>
      </c>
      <c r="I8" s="5" t="s">
        <v>17</v>
      </c>
      <c r="J8" s="5" t="s">
        <v>3371</v>
      </c>
    </row>
    <row r="9" spans="1:10" x14ac:dyDescent="0.25">
      <c r="A9" s="5" t="s">
        <v>19</v>
      </c>
      <c r="B9" s="5" t="s">
        <v>16</v>
      </c>
      <c r="C9" s="5" t="s">
        <v>17</v>
      </c>
      <c r="D9" s="5"/>
      <c r="E9" s="5" t="s">
        <v>3372</v>
      </c>
      <c r="F9" s="5" t="s">
        <v>19</v>
      </c>
      <c r="G9" s="5" t="s">
        <v>3373</v>
      </c>
      <c r="H9" s="5" t="s">
        <v>17</v>
      </c>
      <c r="I9" s="5" t="s">
        <v>17</v>
      </c>
      <c r="J9" s="5" t="s">
        <v>3374</v>
      </c>
    </row>
    <row r="10" spans="1:10" x14ac:dyDescent="0.25">
      <c r="A10" s="5" t="s">
        <v>19</v>
      </c>
      <c r="B10" s="5" t="s">
        <v>16</v>
      </c>
      <c r="C10" s="5" t="s">
        <v>17</v>
      </c>
      <c r="D10" s="5"/>
      <c r="E10" s="5" t="s">
        <v>3375</v>
      </c>
      <c r="F10" s="5" t="s">
        <v>19</v>
      </c>
      <c r="G10" s="5" t="s">
        <v>3376</v>
      </c>
      <c r="H10" s="5" t="s">
        <v>17</v>
      </c>
      <c r="I10" s="5" t="s">
        <v>17</v>
      </c>
      <c r="J10" s="5" t="s">
        <v>3377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3378</v>
      </c>
      <c r="B1" s="1"/>
      <c r="C1" s="1"/>
      <c r="D1" s="1"/>
      <c r="E1" s="1"/>
      <c r="F1" s="1"/>
      <c r="G1" s="1"/>
      <c r="H1" s="1"/>
      <c r="I1" s="1"/>
      <c r="J1" s="1"/>
    </row>
    <row r="2" spans="1:10" x14ac:dyDescent="0.25">
      <c r="A2" s="2" t="s">
        <v>1</v>
      </c>
      <c r="B2" s="3" t="s">
        <v>3379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2545</v>
      </c>
      <c r="F5" s="5" t="s">
        <v>19</v>
      </c>
      <c r="G5" s="5" t="s">
        <v>2546</v>
      </c>
      <c r="H5" s="5" t="s">
        <v>17</v>
      </c>
      <c r="I5" s="5" t="s">
        <v>17</v>
      </c>
      <c r="J5" s="5" t="s">
        <v>2403</v>
      </c>
    </row>
    <row r="6" spans="1:10" x14ac:dyDescent="0.25">
      <c r="A6" s="5" t="s">
        <v>15</v>
      </c>
      <c r="B6" s="5" t="s">
        <v>16</v>
      </c>
      <c r="C6" s="5" t="s">
        <v>17</v>
      </c>
      <c r="D6" s="5"/>
      <c r="E6" s="5" t="s">
        <v>2547</v>
      </c>
      <c r="F6" s="5" t="s">
        <v>19</v>
      </c>
      <c r="G6" s="5" t="s">
        <v>2548</v>
      </c>
      <c r="H6" s="5" t="s">
        <v>17</v>
      </c>
      <c r="I6" s="5" t="s">
        <v>17</v>
      </c>
      <c r="J6" s="5" t="s">
        <v>2549</v>
      </c>
    </row>
    <row r="7" spans="1:10" x14ac:dyDescent="0.25">
      <c r="A7" s="5" t="s">
        <v>15</v>
      </c>
      <c r="B7" s="5" t="s">
        <v>16</v>
      </c>
      <c r="C7" s="5" t="s">
        <v>17</v>
      </c>
      <c r="D7" s="5"/>
      <c r="E7" s="5" t="s">
        <v>2550</v>
      </c>
      <c r="F7" s="5" t="s">
        <v>19</v>
      </c>
      <c r="G7" s="5" t="s">
        <v>2551</v>
      </c>
      <c r="H7" s="5" t="s">
        <v>17</v>
      </c>
      <c r="I7" s="5" t="s">
        <v>17</v>
      </c>
      <c r="J7" s="5" t="s">
        <v>2552</v>
      </c>
    </row>
    <row r="8" spans="1:10" x14ac:dyDescent="0.25">
      <c r="A8" s="5" t="s">
        <v>15</v>
      </c>
      <c r="B8" s="5" t="s">
        <v>16</v>
      </c>
      <c r="C8" s="5" t="s">
        <v>17</v>
      </c>
      <c r="D8" s="5"/>
      <c r="E8" s="5" t="s">
        <v>2553</v>
      </c>
      <c r="F8" s="5" t="s">
        <v>19</v>
      </c>
      <c r="G8" s="5" t="s">
        <v>2554</v>
      </c>
      <c r="H8" s="5" t="s">
        <v>17</v>
      </c>
      <c r="I8" s="5" t="s">
        <v>17</v>
      </c>
      <c r="J8" s="5" t="s">
        <v>2555</v>
      </c>
    </row>
    <row r="9" spans="1:10" x14ac:dyDescent="0.25">
      <c r="A9" s="5" t="s">
        <v>15</v>
      </c>
      <c r="B9" s="6" t="s">
        <v>2556</v>
      </c>
      <c r="C9" s="5" t="s">
        <v>17</v>
      </c>
      <c r="D9" s="5"/>
      <c r="E9" s="5" t="s">
        <v>2557</v>
      </c>
      <c r="F9" s="5" t="s">
        <v>19</v>
      </c>
      <c r="G9" s="5" t="s">
        <v>17</v>
      </c>
      <c r="H9" s="5" t="s">
        <v>17</v>
      </c>
      <c r="I9" s="5" t="s">
        <v>17</v>
      </c>
      <c r="J9" s="5" t="s">
        <v>518</v>
      </c>
    </row>
    <row r="10" spans="1:10" x14ac:dyDescent="0.25" outlineLevel="1" collapsed="1">
      <c r="A10" s="7" t="s">
        <v>15</v>
      </c>
      <c r="B10" s="7" t="s">
        <v>16</v>
      </c>
      <c r="C10" s="7" t="s">
        <v>17</v>
      </c>
      <c r="D10" s="7"/>
      <c r="E10" s="7" t="s">
        <v>2558</v>
      </c>
      <c r="F10" s="7" t="s">
        <v>19</v>
      </c>
      <c r="G10" s="7" t="s">
        <v>2559</v>
      </c>
      <c r="H10" s="7" t="s">
        <v>17</v>
      </c>
      <c r="I10" s="7" t="s">
        <v>17</v>
      </c>
      <c r="J10" s="7" t="s">
        <v>2560</v>
      </c>
    </row>
    <row r="11" spans="1:10" x14ac:dyDescent="0.25" outlineLevel="1" collapsed="1">
      <c r="A11" s="7" t="s">
        <v>15</v>
      </c>
      <c r="B11" s="7" t="s">
        <v>16</v>
      </c>
      <c r="C11" s="7" t="s">
        <v>17</v>
      </c>
      <c r="D11" s="7"/>
      <c r="E11" s="7" t="s">
        <v>2561</v>
      </c>
      <c r="F11" s="7" t="s">
        <v>19</v>
      </c>
      <c r="G11" s="7" t="s">
        <v>2562</v>
      </c>
      <c r="H11" s="7" t="s">
        <v>17</v>
      </c>
      <c r="I11" s="7" t="s">
        <v>17</v>
      </c>
      <c r="J11" s="7" t="s">
        <v>2563</v>
      </c>
    </row>
    <row r="12" spans="1:10" x14ac:dyDescent="0.25" outlineLevel="1" collapsed="1">
      <c r="A12" s="7" t="s">
        <v>15</v>
      </c>
      <c r="B12" s="7" t="s">
        <v>159</v>
      </c>
      <c r="C12" s="7" t="s">
        <v>17</v>
      </c>
      <c r="D12" s="7"/>
      <c r="E12" s="7" t="s">
        <v>2564</v>
      </c>
      <c r="F12" s="7" t="s">
        <v>19</v>
      </c>
      <c r="G12" s="7" t="b">
        <v>1</v>
      </c>
      <c r="H12" s="7" t="s">
        <v>17</v>
      </c>
      <c r="I12" s="7" t="s">
        <v>17</v>
      </c>
      <c r="J12" s="7" t="s">
        <v>2565</v>
      </c>
    </row>
    <row r="13" spans="1:10" x14ac:dyDescent="0.25">
      <c r="A13" s="5" t="s">
        <v>15</v>
      </c>
      <c r="B13" s="5" t="s">
        <v>16</v>
      </c>
      <c r="C13" s="5" t="s">
        <v>17</v>
      </c>
      <c r="D13" s="5"/>
      <c r="E13" s="5" t="s">
        <v>2566</v>
      </c>
      <c r="F13" s="5" t="s">
        <v>19</v>
      </c>
      <c r="G13" s="5" t="s">
        <v>2567</v>
      </c>
      <c r="H13" s="5" t="s">
        <v>17</v>
      </c>
      <c r="I13" s="5" t="s">
        <v>17</v>
      </c>
      <c r="J13" s="5" t="s">
        <v>2568</v>
      </c>
    </row>
  </sheetData>
  <mergeCells count="3">
    <mergeCell ref="A1:J1"/>
    <mergeCell ref="B2:J2"/>
    <mergeCell ref="B3:J3"/>
  </mergeCells>
  <hyperlinks>
    <hyperlink ref="B9" r:id="rId1" location="#'3.4.1 Baseline Reassessment (V'!A1"/>
  </hyperlinks>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3380</v>
      </c>
      <c r="B1" s="1"/>
      <c r="C1" s="1"/>
      <c r="D1" s="1"/>
      <c r="E1" s="1"/>
      <c r="F1" s="1"/>
      <c r="G1" s="1"/>
      <c r="H1" s="1"/>
      <c r="I1" s="1"/>
      <c r="J1" s="1"/>
    </row>
    <row r="2" spans="1:10" x14ac:dyDescent="0.25">
      <c r="A2" s="2" t="s">
        <v>1</v>
      </c>
      <c r="B2" s="3" t="s">
        <v>3381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1294</v>
      </c>
      <c r="F5" s="5" t="s">
        <v>19</v>
      </c>
      <c r="G5" s="5" t="s">
        <v>1295</v>
      </c>
      <c r="H5" s="5" t="s">
        <v>17</v>
      </c>
      <c r="I5" s="5" t="s">
        <v>17</v>
      </c>
      <c r="J5" s="5" t="s">
        <v>1296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2486</v>
      </c>
      <c r="B1" s="1"/>
      <c r="C1" s="1"/>
      <c r="D1" s="1"/>
      <c r="E1" s="1"/>
      <c r="F1" s="1"/>
      <c r="G1" s="1"/>
      <c r="H1" s="1"/>
      <c r="I1" s="1"/>
      <c r="J1" s="1"/>
    </row>
    <row r="2" spans="1:10" x14ac:dyDescent="0.25">
      <c r="A2" s="2" t="s">
        <v>1</v>
      </c>
      <c r="B2" s="3" t="s">
        <v>3382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2489</v>
      </c>
      <c r="C5" s="5" t="s">
        <v>17</v>
      </c>
      <c r="D5" s="5"/>
      <c r="E5" s="5" t="s">
        <v>2490</v>
      </c>
      <c r="F5" s="5" t="s">
        <v>19</v>
      </c>
      <c r="G5" s="5" t="s">
        <v>17</v>
      </c>
      <c r="H5" s="5" t="s">
        <v>17</v>
      </c>
      <c r="I5" s="5" t="s">
        <v>17</v>
      </c>
      <c r="J5" s="5" t="s">
        <v>1322</v>
      </c>
    </row>
    <row r="6" spans="1:10" x14ac:dyDescent="0.25" outlineLevel="1" collapsed="1">
      <c r="A6" s="8" t="s">
        <v>19</v>
      </c>
      <c r="B6" s="9" t="s">
        <v>1320</v>
      </c>
      <c r="C6" s="8" t="s">
        <v>17</v>
      </c>
      <c r="D6" s="8"/>
      <c r="E6" s="8" t="s">
        <v>1321</v>
      </c>
      <c r="F6" s="8" t="s">
        <v>15</v>
      </c>
      <c r="G6" s="8" t="s">
        <v>17</v>
      </c>
      <c r="H6" s="8" t="s">
        <v>17</v>
      </c>
      <c r="I6" s="8" t="s">
        <v>17</v>
      </c>
      <c r="J6" s="8" t="s">
        <v>1322</v>
      </c>
    </row>
    <row r="7" spans="1:10" x14ac:dyDescent="0.25" outlineLevel="2" collapsed="1">
      <c r="A7" s="7" t="s">
        <v>19</v>
      </c>
      <c r="B7" s="7" t="s">
        <v>16</v>
      </c>
      <c r="C7" s="7" t="s">
        <v>17</v>
      </c>
      <c r="D7" s="7"/>
      <c r="E7" s="7" t="s">
        <v>478</v>
      </c>
      <c r="F7" s="7" t="s">
        <v>19</v>
      </c>
      <c r="G7" s="7" t="s">
        <v>31</v>
      </c>
      <c r="H7" s="7" t="s">
        <v>17</v>
      </c>
      <c r="I7" s="7" t="s">
        <v>17</v>
      </c>
      <c r="J7" s="7" t="s">
        <v>1323</v>
      </c>
    </row>
    <row r="8" spans="1:10" x14ac:dyDescent="0.25" outlineLevel="2" collapsed="1">
      <c r="A8" s="7" t="s">
        <v>19</v>
      </c>
      <c r="B8" s="7" t="s">
        <v>16</v>
      </c>
      <c r="C8" s="7" t="s">
        <v>17</v>
      </c>
      <c r="D8" s="7"/>
      <c r="E8" s="7" t="s">
        <v>1324</v>
      </c>
      <c r="F8" s="7" t="s">
        <v>19</v>
      </c>
      <c r="G8" s="7" t="s">
        <v>31</v>
      </c>
      <c r="H8" s="7" t="s">
        <v>17</v>
      </c>
      <c r="I8" s="7" t="s">
        <v>17</v>
      </c>
      <c r="J8" s="7" t="s">
        <v>1325</v>
      </c>
    </row>
    <row r="9" spans="1:10" x14ac:dyDescent="0.25" outlineLevel="2" collapsed="1">
      <c r="A9" s="7" t="s">
        <v>19</v>
      </c>
      <c r="B9" s="7" t="s">
        <v>16</v>
      </c>
      <c r="C9" s="7" t="s">
        <v>17</v>
      </c>
      <c r="D9" s="7"/>
      <c r="E9" s="7" t="s">
        <v>1326</v>
      </c>
      <c r="F9" s="7" t="s">
        <v>19</v>
      </c>
      <c r="G9" s="7" t="s">
        <v>31</v>
      </c>
      <c r="H9" s="7" t="s">
        <v>17</v>
      </c>
      <c r="I9" s="7" t="s">
        <v>17</v>
      </c>
      <c r="J9" s="7" t="s">
        <v>1327</v>
      </c>
    </row>
    <row r="10" spans="1:10" x14ac:dyDescent="0.25" outlineLevel="2" collapsed="1">
      <c r="A10" s="7" t="s">
        <v>19</v>
      </c>
      <c r="B10" s="7" t="s">
        <v>16</v>
      </c>
      <c r="C10" s="7" t="s">
        <v>17</v>
      </c>
      <c r="D10" s="7"/>
      <c r="E10" s="7" t="s">
        <v>1328</v>
      </c>
      <c r="F10" s="7" t="s">
        <v>19</v>
      </c>
      <c r="G10" s="7" t="s">
        <v>31</v>
      </c>
      <c r="H10" s="7" t="s">
        <v>17</v>
      </c>
      <c r="I10" s="7" t="s">
        <v>17</v>
      </c>
      <c r="J10" s="7" t="s">
        <v>824</v>
      </c>
    </row>
    <row r="11" spans="1:10" x14ac:dyDescent="0.25">
      <c r="A11" s="5" t="s">
        <v>15</v>
      </c>
      <c r="B11" s="6" t="s">
        <v>2491</v>
      </c>
      <c r="C11" s="5" t="s">
        <v>17</v>
      </c>
      <c r="D11" s="5"/>
      <c r="E11" s="5" t="s">
        <v>2492</v>
      </c>
      <c r="F11" s="5" t="s">
        <v>19</v>
      </c>
      <c r="G11" s="5" t="s">
        <v>17</v>
      </c>
      <c r="H11" s="5" t="s">
        <v>17</v>
      </c>
      <c r="I11" s="5" t="s">
        <v>17</v>
      </c>
      <c r="J11" s="5" t="s">
        <v>2493</v>
      </c>
    </row>
    <row r="12" spans="1:10" x14ac:dyDescent="0.25" outlineLevel="1" collapsed="1">
      <c r="A12" s="8" t="s">
        <v>15</v>
      </c>
      <c r="B12" s="9" t="s">
        <v>860</v>
      </c>
      <c r="C12" s="8" t="s">
        <v>17</v>
      </c>
      <c r="D12" s="8"/>
      <c r="E12" s="8" t="s">
        <v>861</v>
      </c>
      <c r="F12" s="8" t="s">
        <v>19</v>
      </c>
      <c r="G12" s="8" t="s">
        <v>17</v>
      </c>
      <c r="H12" s="8" t="s">
        <v>17</v>
      </c>
      <c r="I12" s="8" t="s">
        <v>17</v>
      </c>
      <c r="J12" s="8" t="s">
        <v>862</v>
      </c>
    </row>
    <row r="13" spans="1:10" x14ac:dyDescent="0.25" outlineLevel="2" collapsed="1">
      <c r="A13" s="7" t="s">
        <v>15</v>
      </c>
      <c r="B13" s="7" t="s">
        <v>16</v>
      </c>
      <c r="C13" s="7" t="s">
        <v>17</v>
      </c>
      <c r="D13" s="7"/>
      <c r="E13" s="7" t="s">
        <v>863</v>
      </c>
      <c r="F13" s="7" t="s">
        <v>19</v>
      </c>
      <c r="G13" s="7" t="s">
        <v>864</v>
      </c>
      <c r="H13" s="7" t="s">
        <v>864</v>
      </c>
      <c r="I13" s="7" t="s">
        <v>17</v>
      </c>
      <c r="J13" s="7" t="s">
        <v>865</v>
      </c>
    </row>
    <row r="14" spans="1:10" x14ac:dyDescent="0.25" outlineLevel="1" collapsed="1">
      <c r="A14" s="8" t="s">
        <v>15</v>
      </c>
      <c r="B14" s="9" t="s">
        <v>866</v>
      </c>
      <c r="C14" s="8" t="s">
        <v>17</v>
      </c>
      <c r="D14" s="8"/>
      <c r="E14" s="8" t="s">
        <v>867</v>
      </c>
      <c r="F14" s="8" t="s">
        <v>19</v>
      </c>
      <c r="G14" s="8" t="s">
        <v>17</v>
      </c>
      <c r="H14" s="8" t="s">
        <v>17</v>
      </c>
      <c r="I14" s="8" t="s">
        <v>17</v>
      </c>
      <c r="J14" s="8" t="s">
        <v>868</v>
      </c>
    </row>
    <row r="15" spans="1:10" x14ac:dyDescent="0.25" outlineLevel="2" collapsed="1">
      <c r="A15" s="7" t="s">
        <v>15</v>
      </c>
      <c r="B15" s="7" t="s">
        <v>284</v>
      </c>
      <c r="C15" s="11" t="s">
        <v>869</v>
      </c>
      <c r="D15" s="7"/>
      <c r="E15" s="7" t="s">
        <v>870</v>
      </c>
      <c r="F15" s="7" t="s">
        <v>19</v>
      </c>
      <c r="G15" s="7" t="s">
        <v>871</v>
      </c>
      <c r="H15" s="7" t="s">
        <v>17</v>
      </c>
      <c r="I15" s="7" t="s">
        <v>17</v>
      </c>
      <c r="J15" s="7" t="s">
        <v>872</v>
      </c>
    </row>
    <row r="16" spans="1:10" x14ac:dyDescent="0.25" outlineLevel="2" collapsed="1">
      <c r="A16" s="7" t="s">
        <v>15</v>
      </c>
      <c r="B16" s="7" t="s">
        <v>16</v>
      </c>
      <c r="C16" s="7" t="s">
        <v>17</v>
      </c>
      <c r="D16" s="7"/>
      <c r="E16" s="7" t="s">
        <v>873</v>
      </c>
      <c r="F16" s="7" t="s">
        <v>19</v>
      </c>
      <c r="G16" s="7" t="s">
        <v>31</v>
      </c>
      <c r="H16" s="7" t="s">
        <v>17</v>
      </c>
      <c r="I16" s="7" t="s">
        <v>17</v>
      </c>
      <c r="J16" s="7" t="s">
        <v>874</v>
      </c>
    </row>
    <row r="17" spans="1:10" x14ac:dyDescent="0.25" outlineLevel="2" collapsed="1">
      <c r="A17" s="7" t="s">
        <v>15</v>
      </c>
      <c r="B17" s="7" t="s">
        <v>284</v>
      </c>
      <c r="C17" s="11" t="s">
        <v>875</v>
      </c>
      <c r="D17" s="7"/>
      <c r="E17" s="7" t="s">
        <v>876</v>
      </c>
      <c r="F17" s="7" t="s">
        <v>19</v>
      </c>
      <c r="G17" s="7" t="s">
        <v>877</v>
      </c>
      <c r="H17" s="7" t="s">
        <v>17</v>
      </c>
      <c r="I17" s="7" t="s">
        <v>17</v>
      </c>
      <c r="J17" s="7" t="s">
        <v>878</v>
      </c>
    </row>
    <row r="18" spans="1:10" x14ac:dyDescent="0.25" outlineLevel="2" collapsed="1">
      <c r="A18" s="7" t="s">
        <v>15</v>
      </c>
      <c r="B18" s="7" t="s">
        <v>16</v>
      </c>
      <c r="C18" s="7" t="s">
        <v>17</v>
      </c>
      <c r="D18" s="7"/>
      <c r="E18" s="7" t="s">
        <v>879</v>
      </c>
      <c r="F18" s="7" t="s">
        <v>19</v>
      </c>
      <c r="G18" s="7" t="s">
        <v>31</v>
      </c>
      <c r="H18" s="7" t="s">
        <v>17</v>
      </c>
      <c r="I18" s="7" t="s">
        <v>17</v>
      </c>
      <c r="J18" s="7" t="s">
        <v>880</v>
      </c>
    </row>
    <row r="19" spans="1:10" x14ac:dyDescent="0.25" outlineLevel="2" collapsed="1">
      <c r="A19" s="7" t="s">
        <v>15</v>
      </c>
      <c r="B19" s="7" t="s">
        <v>284</v>
      </c>
      <c r="C19" s="11" t="s">
        <v>881</v>
      </c>
      <c r="D19" s="7"/>
      <c r="E19" s="7" t="s">
        <v>882</v>
      </c>
      <c r="F19" s="7" t="s">
        <v>19</v>
      </c>
      <c r="G19" s="7" t="s">
        <v>883</v>
      </c>
      <c r="H19" s="7" t="s">
        <v>17</v>
      </c>
      <c r="I19" s="7" t="s">
        <v>17</v>
      </c>
      <c r="J19" s="7" t="s">
        <v>884</v>
      </c>
    </row>
    <row r="20" spans="1:10" x14ac:dyDescent="0.25" outlineLevel="2" collapsed="1">
      <c r="A20" s="7" t="s">
        <v>15</v>
      </c>
      <c r="B20" s="7" t="s">
        <v>16</v>
      </c>
      <c r="C20" s="7" t="s">
        <v>17</v>
      </c>
      <c r="D20" s="7"/>
      <c r="E20" s="7" t="s">
        <v>885</v>
      </c>
      <c r="F20" s="7" t="s">
        <v>19</v>
      </c>
      <c r="G20" s="7" t="s">
        <v>31</v>
      </c>
      <c r="H20" s="7" t="s">
        <v>17</v>
      </c>
      <c r="I20" s="7" t="s">
        <v>17</v>
      </c>
      <c r="J20" s="7" t="s">
        <v>886</v>
      </c>
    </row>
    <row r="21" spans="1:10" x14ac:dyDescent="0.25" outlineLevel="2" collapsed="1">
      <c r="A21" s="7" t="s">
        <v>15</v>
      </c>
      <c r="B21" s="7" t="s">
        <v>284</v>
      </c>
      <c r="C21" s="11" t="s">
        <v>887</v>
      </c>
      <c r="D21" s="7"/>
      <c r="E21" s="7" t="s">
        <v>888</v>
      </c>
      <c r="F21" s="7" t="s">
        <v>19</v>
      </c>
      <c r="G21" s="7" t="s">
        <v>889</v>
      </c>
      <c r="H21" s="7" t="s">
        <v>17</v>
      </c>
      <c r="I21" s="7" t="s">
        <v>17</v>
      </c>
      <c r="J21" s="7" t="s">
        <v>890</v>
      </c>
    </row>
    <row r="22" spans="1:10" x14ac:dyDescent="0.25" outlineLevel="2" collapsed="1">
      <c r="A22" s="7" t="s">
        <v>15</v>
      </c>
      <c r="B22" s="7" t="s">
        <v>16</v>
      </c>
      <c r="C22" s="7" t="s">
        <v>17</v>
      </c>
      <c r="D22" s="7"/>
      <c r="E22" s="7" t="s">
        <v>891</v>
      </c>
      <c r="F22" s="7" t="s">
        <v>19</v>
      </c>
      <c r="G22" s="7" t="s">
        <v>31</v>
      </c>
      <c r="H22" s="7" t="s">
        <v>17</v>
      </c>
      <c r="I22" s="7" t="s">
        <v>17</v>
      </c>
      <c r="J22" s="7" t="s">
        <v>892</v>
      </c>
    </row>
    <row r="23" spans="1:10" x14ac:dyDescent="0.25" outlineLevel="2" collapsed="1">
      <c r="A23" s="7" t="s">
        <v>15</v>
      </c>
      <c r="B23" s="7" t="s">
        <v>284</v>
      </c>
      <c r="C23" s="11" t="s">
        <v>893</v>
      </c>
      <c r="D23" s="7"/>
      <c r="E23" s="7" t="s">
        <v>894</v>
      </c>
      <c r="F23" s="7" t="s">
        <v>19</v>
      </c>
      <c r="G23" s="7" t="s">
        <v>895</v>
      </c>
      <c r="H23" s="7" t="s">
        <v>17</v>
      </c>
      <c r="I23" s="7" t="s">
        <v>17</v>
      </c>
      <c r="J23" s="7" t="s">
        <v>896</v>
      </c>
    </row>
    <row r="24" spans="1:10" x14ac:dyDescent="0.25" outlineLevel="2" collapsed="1">
      <c r="A24" s="7" t="s">
        <v>15</v>
      </c>
      <c r="B24" s="7" t="s">
        <v>16</v>
      </c>
      <c r="C24" s="7" t="s">
        <v>17</v>
      </c>
      <c r="D24" s="7"/>
      <c r="E24" s="7" t="s">
        <v>897</v>
      </c>
      <c r="F24" s="7" t="s">
        <v>19</v>
      </c>
      <c r="G24" s="7" t="s">
        <v>31</v>
      </c>
      <c r="H24" s="7" t="s">
        <v>17</v>
      </c>
      <c r="I24" s="7" t="s">
        <v>17</v>
      </c>
      <c r="J24" s="7" t="s">
        <v>898</v>
      </c>
    </row>
    <row r="25" spans="1:10" x14ac:dyDescent="0.25" outlineLevel="2" collapsed="1">
      <c r="A25" s="7" t="s">
        <v>15</v>
      </c>
      <c r="B25" s="7" t="s">
        <v>284</v>
      </c>
      <c r="C25" s="11" t="s">
        <v>899</v>
      </c>
      <c r="D25" s="7"/>
      <c r="E25" s="7" t="s">
        <v>900</v>
      </c>
      <c r="F25" s="7" t="s">
        <v>19</v>
      </c>
      <c r="G25" s="7" t="s">
        <v>889</v>
      </c>
      <c r="H25" s="7" t="s">
        <v>17</v>
      </c>
      <c r="I25" s="7" t="s">
        <v>17</v>
      </c>
      <c r="J25" s="7" t="s">
        <v>901</v>
      </c>
    </row>
    <row r="26" spans="1:10" x14ac:dyDescent="0.25" outlineLevel="2" collapsed="1">
      <c r="A26" s="7" t="s">
        <v>15</v>
      </c>
      <c r="B26" s="7" t="s">
        <v>16</v>
      </c>
      <c r="C26" s="7" t="s">
        <v>17</v>
      </c>
      <c r="D26" s="7"/>
      <c r="E26" s="7" t="s">
        <v>902</v>
      </c>
      <c r="F26" s="7" t="s">
        <v>19</v>
      </c>
      <c r="G26" s="7" t="s">
        <v>31</v>
      </c>
      <c r="H26" s="7" t="s">
        <v>17</v>
      </c>
      <c r="I26" s="7" t="s">
        <v>17</v>
      </c>
      <c r="J26" s="7" t="s">
        <v>903</v>
      </c>
    </row>
    <row r="27" spans="1:10" x14ac:dyDescent="0.25" outlineLevel="2" collapsed="1">
      <c r="A27" s="7" t="s">
        <v>15</v>
      </c>
      <c r="B27" s="7" t="s">
        <v>284</v>
      </c>
      <c r="C27" s="11" t="s">
        <v>904</v>
      </c>
      <c r="D27" s="7"/>
      <c r="E27" s="7" t="s">
        <v>905</v>
      </c>
      <c r="F27" s="7" t="s">
        <v>19</v>
      </c>
      <c r="G27" s="7" t="s">
        <v>906</v>
      </c>
      <c r="H27" s="7" t="s">
        <v>17</v>
      </c>
      <c r="I27" s="7" t="s">
        <v>17</v>
      </c>
      <c r="J27" s="7" t="s">
        <v>907</v>
      </c>
    </row>
    <row r="28" spans="1:10" x14ac:dyDescent="0.25" outlineLevel="2" collapsed="1">
      <c r="A28" s="7" t="s">
        <v>15</v>
      </c>
      <c r="B28" s="7" t="s">
        <v>16</v>
      </c>
      <c r="C28" s="7" t="s">
        <v>17</v>
      </c>
      <c r="D28" s="7"/>
      <c r="E28" s="7" t="s">
        <v>908</v>
      </c>
      <c r="F28" s="7" t="s">
        <v>19</v>
      </c>
      <c r="G28" s="7" t="s">
        <v>31</v>
      </c>
      <c r="H28" s="7" t="s">
        <v>17</v>
      </c>
      <c r="I28" s="7" t="s">
        <v>17</v>
      </c>
      <c r="J28" s="7" t="s">
        <v>909</v>
      </c>
    </row>
    <row r="29" spans="1:10" x14ac:dyDescent="0.25" outlineLevel="2" collapsed="1">
      <c r="A29" s="7" t="s">
        <v>15</v>
      </c>
      <c r="B29" s="7" t="s">
        <v>16</v>
      </c>
      <c r="C29" s="7" t="s">
        <v>17</v>
      </c>
      <c r="D29" s="7"/>
      <c r="E29" s="7" t="s">
        <v>910</v>
      </c>
      <c r="F29" s="7" t="s">
        <v>19</v>
      </c>
      <c r="G29" s="7" t="s">
        <v>911</v>
      </c>
      <c r="H29" s="7" t="s">
        <v>17</v>
      </c>
      <c r="I29" s="7" t="s">
        <v>17</v>
      </c>
      <c r="J29" s="7" t="s">
        <v>912</v>
      </c>
    </row>
    <row r="30" spans="1:10" x14ac:dyDescent="0.25" outlineLevel="2" collapsed="1">
      <c r="A30" s="7" t="s">
        <v>15</v>
      </c>
      <c r="B30" s="7" t="s">
        <v>16</v>
      </c>
      <c r="C30" s="7" t="s">
        <v>17</v>
      </c>
      <c r="D30" s="7"/>
      <c r="E30" s="7" t="s">
        <v>913</v>
      </c>
      <c r="F30" s="7" t="s">
        <v>19</v>
      </c>
      <c r="G30" s="7" t="s">
        <v>914</v>
      </c>
      <c r="H30" s="7" t="s">
        <v>17</v>
      </c>
      <c r="I30" s="7" t="s">
        <v>17</v>
      </c>
      <c r="J30" s="7" t="s">
        <v>915</v>
      </c>
    </row>
    <row r="31" spans="1:10" x14ac:dyDescent="0.25" outlineLevel="2" collapsed="1">
      <c r="A31" s="8" t="s">
        <v>15</v>
      </c>
      <c r="B31" s="9" t="s">
        <v>916</v>
      </c>
      <c r="C31" s="8" t="s">
        <v>17</v>
      </c>
      <c r="D31" s="8"/>
      <c r="E31" s="8" t="s">
        <v>917</v>
      </c>
      <c r="F31" s="8" t="s">
        <v>15</v>
      </c>
      <c r="G31" s="8" t="s">
        <v>17</v>
      </c>
      <c r="H31" s="8" t="s">
        <v>17</v>
      </c>
      <c r="I31" s="8" t="s">
        <v>17</v>
      </c>
      <c r="J31" s="8" t="s">
        <v>918</v>
      </c>
    </row>
    <row r="32" spans="1:10" x14ac:dyDescent="0.25" outlineLevel="3" collapsed="1">
      <c r="A32" s="7" t="s">
        <v>15</v>
      </c>
      <c r="B32" s="7" t="s">
        <v>16</v>
      </c>
      <c r="C32" s="7" t="s">
        <v>17</v>
      </c>
      <c r="D32" s="7"/>
      <c r="E32" s="7" t="s">
        <v>919</v>
      </c>
      <c r="F32" s="7" t="s">
        <v>19</v>
      </c>
      <c r="G32" s="7" t="s">
        <v>920</v>
      </c>
      <c r="H32" s="7" t="s">
        <v>17</v>
      </c>
      <c r="I32" s="7" t="s">
        <v>17</v>
      </c>
      <c r="J32" s="7" t="s">
        <v>921</v>
      </c>
    </row>
    <row r="33" spans="1:10" x14ac:dyDescent="0.25" outlineLevel="3" collapsed="1">
      <c r="A33" s="7" t="s">
        <v>15</v>
      </c>
      <c r="B33" s="7" t="s">
        <v>159</v>
      </c>
      <c r="C33" s="7" t="s">
        <v>17</v>
      </c>
      <c r="D33" s="7"/>
      <c r="E33" s="7" t="s">
        <v>922</v>
      </c>
      <c r="F33" s="7" t="s">
        <v>19</v>
      </c>
      <c r="G33" s="7" t="b">
        <v>0</v>
      </c>
      <c r="H33" s="7" t="s">
        <v>17</v>
      </c>
      <c r="I33" s="7" t="s">
        <v>17</v>
      </c>
      <c r="J33" s="7" t="s">
        <v>923</v>
      </c>
    </row>
    <row r="34" spans="1:10" x14ac:dyDescent="0.25" outlineLevel="3" collapsed="1">
      <c r="A34" s="7" t="s">
        <v>19</v>
      </c>
      <c r="B34" s="7" t="s">
        <v>16</v>
      </c>
      <c r="C34" s="7" t="s">
        <v>17</v>
      </c>
      <c r="D34" s="7"/>
      <c r="E34" s="7" t="s">
        <v>924</v>
      </c>
      <c r="F34" s="7" t="s">
        <v>19</v>
      </c>
      <c r="G34" s="7" t="s">
        <v>925</v>
      </c>
      <c r="H34" s="7" t="s">
        <v>17</v>
      </c>
      <c r="I34" s="7" t="s">
        <v>17</v>
      </c>
      <c r="J34" s="7" t="s">
        <v>926</v>
      </c>
    </row>
    <row r="35" spans="1:10" x14ac:dyDescent="0.25" outlineLevel="3" collapsed="1">
      <c r="A35" s="7" t="s">
        <v>15</v>
      </c>
      <c r="B35" s="7" t="s">
        <v>16</v>
      </c>
      <c r="C35" s="7" t="s">
        <v>17</v>
      </c>
      <c r="D35" s="7"/>
      <c r="E35" s="7" t="s">
        <v>927</v>
      </c>
      <c r="F35" s="7" t="s">
        <v>19</v>
      </c>
      <c r="G35" s="7" t="s">
        <v>928</v>
      </c>
      <c r="H35" s="7" t="s">
        <v>17</v>
      </c>
      <c r="I35" s="7" t="s">
        <v>17</v>
      </c>
      <c r="J35" s="7" t="s">
        <v>929</v>
      </c>
    </row>
    <row r="36" spans="1:10" x14ac:dyDescent="0.25" outlineLevel="2" collapsed="1">
      <c r="A36" s="8" t="s">
        <v>15</v>
      </c>
      <c r="B36" s="9" t="s">
        <v>930</v>
      </c>
      <c r="C36" s="8" t="s">
        <v>17</v>
      </c>
      <c r="D36" s="8"/>
      <c r="E36" s="8" t="s">
        <v>931</v>
      </c>
      <c r="F36" s="8" t="s">
        <v>15</v>
      </c>
      <c r="G36" s="8" t="s">
        <v>17</v>
      </c>
      <c r="H36" s="8" t="s">
        <v>17</v>
      </c>
      <c r="I36" s="8" t="s">
        <v>17</v>
      </c>
      <c r="J36" s="8" t="s">
        <v>932</v>
      </c>
    </row>
    <row r="37" spans="1:10" x14ac:dyDescent="0.25" outlineLevel="3" collapsed="1">
      <c r="A37" s="7" t="s">
        <v>15</v>
      </c>
      <c r="B37" s="7" t="s">
        <v>16</v>
      </c>
      <c r="C37" s="7" t="s">
        <v>17</v>
      </c>
      <c r="D37" s="7"/>
      <c r="E37" s="7" t="s">
        <v>933</v>
      </c>
      <c r="F37" s="7" t="s">
        <v>19</v>
      </c>
      <c r="G37" s="7" t="s">
        <v>920</v>
      </c>
      <c r="H37" s="7" t="s">
        <v>17</v>
      </c>
      <c r="I37" s="7" t="s">
        <v>17</v>
      </c>
      <c r="J37" s="7" t="s">
        <v>934</v>
      </c>
    </row>
    <row r="38" spans="1:10" x14ac:dyDescent="0.25" outlineLevel="3" collapsed="1">
      <c r="A38" s="7" t="s">
        <v>15</v>
      </c>
      <c r="B38" s="7" t="s">
        <v>159</v>
      </c>
      <c r="C38" s="7" t="s">
        <v>17</v>
      </c>
      <c r="D38" s="7"/>
      <c r="E38" s="7" t="s">
        <v>935</v>
      </c>
      <c r="F38" s="7" t="s">
        <v>19</v>
      </c>
      <c r="G38" s="7" t="b">
        <v>0</v>
      </c>
      <c r="H38" s="7" t="s">
        <v>17</v>
      </c>
      <c r="I38" s="7" t="s">
        <v>17</v>
      </c>
      <c r="J38" s="7" t="s">
        <v>936</v>
      </c>
    </row>
    <row r="39" spans="1:10" x14ac:dyDescent="0.25" outlineLevel="3" collapsed="1">
      <c r="A39" s="7" t="s">
        <v>19</v>
      </c>
      <c r="B39" s="7" t="s">
        <v>16</v>
      </c>
      <c r="C39" s="7" t="s">
        <v>17</v>
      </c>
      <c r="D39" s="7"/>
      <c r="E39" s="7" t="s">
        <v>937</v>
      </c>
      <c r="F39" s="7" t="s">
        <v>19</v>
      </c>
      <c r="G39" s="7" t="s">
        <v>938</v>
      </c>
      <c r="H39" s="7" t="s">
        <v>17</v>
      </c>
      <c r="I39" s="7" t="s">
        <v>17</v>
      </c>
      <c r="J39" s="7" t="s">
        <v>939</v>
      </c>
    </row>
    <row r="40" spans="1:10" x14ac:dyDescent="0.25" outlineLevel="3" collapsed="1">
      <c r="A40" s="7" t="s">
        <v>15</v>
      </c>
      <c r="B40" s="7" t="s">
        <v>16</v>
      </c>
      <c r="C40" s="7" t="s">
        <v>17</v>
      </c>
      <c r="D40" s="7"/>
      <c r="E40" s="7" t="s">
        <v>940</v>
      </c>
      <c r="F40" s="7" t="s">
        <v>19</v>
      </c>
      <c r="G40" s="7" t="s">
        <v>941</v>
      </c>
      <c r="H40" s="7" t="s">
        <v>17</v>
      </c>
      <c r="I40" s="7" t="s">
        <v>17</v>
      </c>
      <c r="J40" s="7" t="s">
        <v>942</v>
      </c>
    </row>
    <row r="41" spans="1:10" x14ac:dyDescent="0.25" outlineLevel="3" collapsed="1">
      <c r="A41" s="7" t="s">
        <v>19</v>
      </c>
      <c r="B41" s="7" t="s">
        <v>16</v>
      </c>
      <c r="C41" s="7" t="s">
        <v>17</v>
      </c>
      <c r="D41" s="7"/>
      <c r="E41" s="7" t="s">
        <v>943</v>
      </c>
      <c r="F41" s="7" t="s">
        <v>19</v>
      </c>
      <c r="G41" s="7" t="s">
        <v>31</v>
      </c>
      <c r="H41" s="7" t="s">
        <v>17</v>
      </c>
      <c r="I41" s="7" t="s">
        <v>17</v>
      </c>
      <c r="J41" s="7" t="s">
        <v>944</v>
      </c>
    </row>
    <row r="42" spans="1:10" x14ac:dyDescent="0.25" outlineLevel="3" collapsed="1">
      <c r="A42" s="7" t="s">
        <v>19</v>
      </c>
      <c r="B42" s="7" t="s">
        <v>63</v>
      </c>
      <c r="C42" s="7" t="s">
        <v>17</v>
      </c>
      <c r="D42" s="7">
        <f>EXACT(G38,true)</f>
      </c>
      <c r="E42" s="7" t="s">
        <v>945</v>
      </c>
      <c r="F42" s="7" t="s">
        <v>19</v>
      </c>
      <c r="G42" s="7">
        <v>1</v>
      </c>
      <c r="H42" s="7" t="s">
        <v>17</v>
      </c>
      <c r="I42" s="7" t="s">
        <v>17</v>
      </c>
      <c r="J42" s="7" t="s">
        <v>946</v>
      </c>
    </row>
    <row r="43" spans="1:10" x14ac:dyDescent="0.25" outlineLevel="3" collapsed="1">
      <c r="A43" s="7" t="s">
        <v>19</v>
      </c>
      <c r="B43" s="7" t="s">
        <v>63</v>
      </c>
      <c r="C43" s="7" t="s">
        <v>17</v>
      </c>
      <c r="D43" s="7">
        <f>EXACT(G38,true)</f>
      </c>
      <c r="E43" s="7" t="s">
        <v>947</v>
      </c>
      <c r="F43" s="7" t="s">
        <v>19</v>
      </c>
      <c r="G43" s="7">
        <v>1</v>
      </c>
      <c r="H43" s="7" t="s">
        <v>17</v>
      </c>
      <c r="I43" s="7" t="s">
        <v>17</v>
      </c>
      <c r="J43" s="7" t="s">
        <v>948</v>
      </c>
    </row>
    <row r="44" spans="1:10" x14ac:dyDescent="0.25" outlineLevel="3" collapsed="1">
      <c r="A44" s="7" t="s">
        <v>19</v>
      </c>
      <c r="B44" s="7" t="s">
        <v>291</v>
      </c>
      <c r="C44" s="7" t="s">
        <v>17</v>
      </c>
      <c r="D44" s="7">
        <f>EXACT(G38,true)</f>
      </c>
      <c r="E44" s="7" t="s">
        <v>949</v>
      </c>
      <c r="F44" s="7" t="s">
        <v>19</v>
      </c>
      <c r="G44" s="7" t="s">
        <v>950</v>
      </c>
      <c r="H44" s="7" t="s">
        <v>17</v>
      </c>
      <c r="I44" s="7" t="s">
        <v>17</v>
      </c>
      <c r="J44" s="7" t="s">
        <v>951</v>
      </c>
    </row>
    <row r="45" spans="1:10" x14ac:dyDescent="0.25" outlineLevel="3" collapsed="1">
      <c r="A45" s="8" t="s">
        <v>19</v>
      </c>
      <c r="B45" s="9" t="s">
        <v>952</v>
      </c>
      <c r="C45" s="8" t="s">
        <v>17</v>
      </c>
      <c r="D45" s="8"/>
      <c r="E45" s="8" t="s">
        <v>953</v>
      </c>
      <c r="F45" s="8" t="s">
        <v>15</v>
      </c>
      <c r="G45" s="8" t="s">
        <v>17</v>
      </c>
      <c r="H45" s="8" t="s">
        <v>17</v>
      </c>
      <c r="I45" s="8" t="s">
        <v>17</v>
      </c>
      <c r="J45" s="8" t="s">
        <v>954</v>
      </c>
    </row>
    <row r="46" spans="1:10" x14ac:dyDescent="0.25" outlineLevel="4" collapsed="1">
      <c r="A46" s="7" t="s">
        <v>15</v>
      </c>
      <c r="B46" s="7" t="s">
        <v>16</v>
      </c>
      <c r="C46" s="7" t="s">
        <v>17</v>
      </c>
      <c r="D46" s="7"/>
      <c r="E46" s="7" t="s">
        <v>955</v>
      </c>
      <c r="F46" s="7" t="s">
        <v>19</v>
      </c>
      <c r="G46" s="7" t="s">
        <v>956</v>
      </c>
      <c r="H46" s="7" t="s">
        <v>17</v>
      </c>
      <c r="I46" s="7" t="s">
        <v>17</v>
      </c>
      <c r="J46" s="7" t="s">
        <v>957</v>
      </c>
    </row>
    <row r="47" spans="1:10" x14ac:dyDescent="0.25" outlineLevel="4" collapsed="1">
      <c r="A47" s="7" t="s">
        <v>15</v>
      </c>
      <c r="B47" s="7" t="s">
        <v>284</v>
      </c>
      <c r="C47" s="11" t="s">
        <v>958</v>
      </c>
      <c r="D47" s="7"/>
      <c r="E47" s="7" t="s">
        <v>959</v>
      </c>
      <c r="F47" s="7" t="s">
        <v>19</v>
      </c>
      <c r="G47" s="7" t="s">
        <v>960</v>
      </c>
      <c r="H47" s="7" t="s">
        <v>17</v>
      </c>
      <c r="I47" s="7" t="s">
        <v>17</v>
      </c>
      <c r="J47" s="7" t="s">
        <v>961</v>
      </c>
    </row>
    <row r="48" spans="1:10" x14ac:dyDescent="0.25" outlineLevel="4" collapsed="1">
      <c r="A48" s="7" t="s">
        <v>15</v>
      </c>
      <c r="B48" s="7" t="s">
        <v>16</v>
      </c>
      <c r="C48" s="7" t="s">
        <v>17</v>
      </c>
      <c r="D48" s="7"/>
      <c r="E48" s="7" t="s">
        <v>962</v>
      </c>
      <c r="F48" s="7" t="s">
        <v>19</v>
      </c>
      <c r="G48" s="7" t="s">
        <v>963</v>
      </c>
      <c r="H48" s="7" t="s">
        <v>17</v>
      </c>
      <c r="I48" s="7" t="s">
        <v>17</v>
      </c>
      <c r="J48" s="7" t="s">
        <v>964</v>
      </c>
    </row>
    <row r="49" spans="1:10" x14ac:dyDescent="0.25" outlineLevel="4" collapsed="1">
      <c r="A49" s="7" t="s">
        <v>19</v>
      </c>
      <c r="B49" s="7" t="s">
        <v>291</v>
      </c>
      <c r="C49" s="7" t="s">
        <v>17</v>
      </c>
      <c r="D49" s="7"/>
      <c r="E49" s="7" t="s">
        <v>965</v>
      </c>
      <c r="F49" s="7" t="s">
        <v>19</v>
      </c>
      <c r="G49" s="7" t="s">
        <v>293</v>
      </c>
      <c r="H49" s="7" t="s">
        <v>17</v>
      </c>
      <c r="I49" s="7" t="s">
        <v>17</v>
      </c>
      <c r="J49" s="7" t="s">
        <v>966</v>
      </c>
    </row>
    <row r="50" spans="1:10" x14ac:dyDescent="0.25" outlineLevel="4" collapsed="1">
      <c r="A50" s="7" t="s">
        <v>19</v>
      </c>
      <c r="B50" s="7" t="s">
        <v>16</v>
      </c>
      <c r="C50" s="7" t="s">
        <v>17</v>
      </c>
      <c r="D50" s="7"/>
      <c r="E50" s="7" t="s">
        <v>967</v>
      </c>
      <c r="F50" s="7" t="s">
        <v>19</v>
      </c>
      <c r="G50" s="7" t="s">
        <v>968</v>
      </c>
      <c r="H50" s="7" t="s">
        <v>17</v>
      </c>
      <c r="I50" s="7" t="s">
        <v>17</v>
      </c>
      <c r="J50" s="7" t="s">
        <v>843</v>
      </c>
    </row>
    <row r="51" spans="1:10" x14ac:dyDescent="0.25" outlineLevel="1" collapsed="1">
      <c r="A51" s="7" t="s">
        <v>19</v>
      </c>
      <c r="B51" s="7" t="s">
        <v>16</v>
      </c>
      <c r="C51" s="7" t="s">
        <v>17</v>
      </c>
      <c r="D51" s="7"/>
      <c r="E51" s="7" t="s">
        <v>969</v>
      </c>
      <c r="F51" s="7" t="s">
        <v>19</v>
      </c>
      <c r="G51" s="7" t="s">
        <v>31</v>
      </c>
      <c r="H51" s="7" t="s">
        <v>17</v>
      </c>
      <c r="I51" s="7" t="s">
        <v>17</v>
      </c>
      <c r="J51" s="7" t="s">
        <v>970</v>
      </c>
    </row>
    <row r="52" spans="1:10" x14ac:dyDescent="0.25" outlineLevel="1" collapsed="1">
      <c r="A52" s="7" t="s">
        <v>19</v>
      </c>
      <c r="B52" s="7" t="s">
        <v>16</v>
      </c>
      <c r="C52" s="7" t="s">
        <v>17</v>
      </c>
      <c r="D52" s="7"/>
      <c r="E52" s="7" t="s">
        <v>971</v>
      </c>
      <c r="F52" s="7" t="s">
        <v>19</v>
      </c>
      <c r="G52" s="7" t="s">
        <v>31</v>
      </c>
      <c r="H52" s="7" t="s">
        <v>17</v>
      </c>
      <c r="I52" s="7" t="s">
        <v>17</v>
      </c>
      <c r="J52" s="7" t="s">
        <v>972</v>
      </c>
    </row>
    <row r="53" spans="1:10" x14ac:dyDescent="0.25" outlineLevel="1" collapsed="1">
      <c r="A53" s="8" t="s">
        <v>19</v>
      </c>
      <c r="B53" s="9" t="s">
        <v>973</v>
      </c>
      <c r="C53" s="8" t="s">
        <v>17</v>
      </c>
      <c r="D53" s="8"/>
      <c r="E53" s="8" t="s">
        <v>974</v>
      </c>
      <c r="F53" s="8" t="s">
        <v>15</v>
      </c>
      <c r="G53" s="8" t="s">
        <v>17</v>
      </c>
      <c r="H53" s="8" t="s">
        <v>17</v>
      </c>
      <c r="I53" s="8" t="s">
        <v>17</v>
      </c>
      <c r="J53" s="8" t="s">
        <v>975</v>
      </c>
    </row>
    <row r="54" spans="1:10" x14ac:dyDescent="0.25" outlineLevel="2" collapsed="1">
      <c r="A54" s="7" t="s">
        <v>19</v>
      </c>
      <c r="B54" s="7" t="s">
        <v>16</v>
      </c>
      <c r="C54" s="7" t="s">
        <v>17</v>
      </c>
      <c r="D54" s="7"/>
      <c r="E54" s="7" t="s">
        <v>976</v>
      </c>
      <c r="F54" s="7" t="s">
        <v>19</v>
      </c>
      <c r="G54" s="7" t="s">
        <v>31</v>
      </c>
      <c r="H54" s="7" t="s">
        <v>17</v>
      </c>
      <c r="I54" s="7" t="s">
        <v>17</v>
      </c>
      <c r="J54" s="7" t="s">
        <v>977</v>
      </c>
    </row>
    <row r="55" spans="1:10" x14ac:dyDescent="0.25" outlineLevel="2" collapsed="1">
      <c r="A55" s="7" t="s">
        <v>19</v>
      </c>
      <c r="B55" s="7" t="s">
        <v>16</v>
      </c>
      <c r="C55" s="7" t="s">
        <v>17</v>
      </c>
      <c r="D55" s="7"/>
      <c r="E55" s="7" t="s">
        <v>978</v>
      </c>
      <c r="F55" s="7" t="s">
        <v>19</v>
      </c>
      <c r="G55" s="7" t="s">
        <v>31</v>
      </c>
      <c r="H55" s="7" t="s">
        <v>17</v>
      </c>
      <c r="I55" s="7" t="s">
        <v>17</v>
      </c>
      <c r="J55" s="7" t="s">
        <v>979</v>
      </c>
    </row>
    <row r="56" spans="1:10" x14ac:dyDescent="0.25" outlineLevel="2" collapsed="1">
      <c r="A56" s="7" t="s">
        <v>19</v>
      </c>
      <c r="B56" s="7" t="s">
        <v>16</v>
      </c>
      <c r="C56" s="7" t="s">
        <v>17</v>
      </c>
      <c r="D56" s="7"/>
      <c r="E56" s="7" t="s">
        <v>980</v>
      </c>
      <c r="F56" s="7" t="s">
        <v>19</v>
      </c>
      <c r="G56" s="7" t="s">
        <v>31</v>
      </c>
      <c r="H56" s="7" t="s">
        <v>17</v>
      </c>
      <c r="I56" s="7" t="s">
        <v>17</v>
      </c>
      <c r="J56" s="7" t="s">
        <v>981</v>
      </c>
    </row>
    <row r="57" spans="1:10" x14ac:dyDescent="0.25">
      <c r="A57" s="5" t="s">
        <v>15</v>
      </c>
      <c r="B57" s="6" t="s">
        <v>2494</v>
      </c>
      <c r="C57" s="5" t="s">
        <v>17</v>
      </c>
      <c r="D57" s="5"/>
      <c r="E57" s="5" t="s">
        <v>2495</v>
      </c>
      <c r="F57" s="5" t="s">
        <v>19</v>
      </c>
      <c r="G57" s="5" t="s">
        <v>17</v>
      </c>
      <c r="H57" s="5" t="s">
        <v>17</v>
      </c>
      <c r="I57" s="5" t="s">
        <v>17</v>
      </c>
      <c r="J57" s="5" t="s">
        <v>2496</v>
      </c>
    </row>
    <row r="58" spans="1:10" x14ac:dyDescent="0.25" outlineLevel="1" collapsed="1">
      <c r="A58" s="7" t="s">
        <v>19</v>
      </c>
      <c r="B58" s="7" t="s">
        <v>16</v>
      </c>
      <c r="C58" s="7" t="s">
        <v>17</v>
      </c>
      <c r="D58" s="7"/>
      <c r="E58" s="7" t="s">
        <v>2497</v>
      </c>
      <c r="F58" s="7" t="s">
        <v>19</v>
      </c>
      <c r="G58" s="7" t="s">
        <v>2498</v>
      </c>
      <c r="H58" s="7" t="s">
        <v>17</v>
      </c>
      <c r="I58" s="7" t="s">
        <v>17</v>
      </c>
      <c r="J58" s="7" t="s">
        <v>2499</v>
      </c>
    </row>
    <row r="59" spans="1:10" x14ac:dyDescent="0.25" outlineLevel="1" collapsed="1">
      <c r="A59" s="8" t="s">
        <v>19</v>
      </c>
      <c r="B59" s="9" t="s">
        <v>2500</v>
      </c>
      <c r="C59" s="8" t="s">
        <v>17</v>
      </c>
      <c r="D59" s="8"/>
      <c r="E59" s="8" t="s">
        <v>2501</v>
      </c>
      <c r="F59" s="8" t="s">
        <v>15</v>
      </c>
      <c r="G59" s="8" t="s">
        <v>17</v>
      </c>
      <c r="H59" s="8" t="s">
        <v>17</v>
      </c>
      <c r="I59" s="8" t="s">
        <v>17</v>
      </c>
      <c r="J59" s="8" t="s">
        <v>2502</v>
      </c>
    </row>
    <row r="60" spans="1:10" x14ac:dyDescent="0.25" outlineLevel="2" collapsed="1">
      <c r="A60" s="7" t="s">
        <v>15</v>
      </c>
      <c r="B60" s="7" t="s">
        <v>16</v>
      </c>
      <c r="C60" s="7" t="s">
        <v>17</v>
      </c>
      <c r="D60" s="7"/>
      <c r="E60" s="7" t="s">
        <v>2503</v>
      </c>
      <c r="F60" s="7" t="s">
        <v>19</v>
      </c>
      <c r="G60" s="7" t="s">
        <v>2504</v>
      </c>
      <c r="H60" s="7" t="s">
        <v>17</v>
      </c>
      <c r="I60" s="7" t="s">
        <v>17</v>
      </c>
      <c r="J60" s="7" t="s">
        <v>2505</v>
      </c>
    </row>
    <row r="61" spans="1:10" x14ac:dyDescent="0.25" outlineLevel="2" collapsed="1">
      <c r="A61" s="7" t="s">
        <v>15</v>
      </c>
      <c r="B61" s="7" t="s">
        <v>16</v>
      </c>
      <c r="C61" s="7" t="s">
        <v>17</v>
      </c>
      <c r="D61" s="7"/>
      <c r="E61" s="7" t="s">
        <v>2506</v>
      </c>
      <c r="F61" s="7" t="s">
        <v>19</v>
      </c>
      <c r="G61" s="7" t="s">
        <v>2507</v>
      </c>
      <c r="H61" s="7" t="s">
        <v>17</v>
      </c>
      <c r="I61" s="7" t="s">
        <v>17</v>
      </c>
      <c r="J61" s="7" t="s">
        <v>2508</v>
      </c>
    </row>
    <row r="62" spans="1:10" x14ac:dyDescent="0.25" outlineLevel="2" collapsed="1">
      <c r="A62" s="7" t="s">
        <v>15</v>
      </c>
      <c r="B62" s="7" t="s">
        <v>16</v>
      </c>
      <c r="C62" s="7" t="s">
        <v>17</v>
      </c>
      <c r="D62" s="7"/>
      <c r="E62" s="7" t="s">
        <v>2509</v>
      </c>
      <c r="F62" s="7" t="s">
        <v>19</v>
      </c>
      <c r="G62" s="7" t="s">
        <v>15</v>
      </c>
      <c r="H62" s="7" t="s">
        <v>17</v>
      </c>
      <c r="I62" s="7" t="s">
        <v>17</v>
      </c>
      <c r="J62" s="7" t="s">
        <v>2510</v>
      </c>
    </row>
    <row r="63" spans="1:10" x14ac:dyDescent="0.25" outlineLevel="2" collapsed="1">
      <c r="A63" s="7" t="s">
        <v>15</v>
      </c>
      <c r="B63" s="7" t="s">
        <v>16</v>
      </c>
      <c r="C63" s="7" t="s">
        <v>17</v>
      </c>
      <c r="D63" s="7"/>
      <c r="E63" s="7" t="s">
        <v>2511</v>
      </c>
      <c r="F63" s="7" t="s">
        <v>19</v>
      </c>
      <c r="G63" s="7" t="s">
        <v>2512</v>
      </c>
      <c r="H63" s="7" t="s">
        <v>17</v>
      </c>
      <c r="I63" s="7" t="s">
        <v>17</v>
      </c>
      <c r="J63" s="7" t="s">
        <v>1191</v>
      </c>
    </row>
    <row r="64" spans="1:10" x14ac:dyDescent="0.25" outlineLevel="2" collapsed="1">
      <c r="A64" s="7" t="s">
        <v>19</v>
      </c>
      <c r="B64" s="7" t="s">
        <v>16</v>
      </c>
      <c r="C64" s="7" t="s">
        <v>17</v>
      </c>
      <c r="D64" s="7"/>
      <c r="E64" s="7" t="s">
        <v>2513</v>
      </c>
      <c r="F64" s="7" t="s">
        <v>19</v>
      </c>
      <c r="G64" s="7" t="s">
        <v>31</v>
      </c>
      <c r="H64" s="7" t="s">
        <v>17</v>
      </c>
      <c r="I64" s="7" t="s">
        <v>17</v>
      </c>
      <c r="J64" s="7" t="s">
        <v>2514</v>
      </c>
    </row>
    <row r="65" spans="1:10" x14ac:dyDescent="0.25" outlineLevel="2" collapsed="1">
      <c r="A65" s="7" t="s">
        <v>19</v>
      </c>
      <c r="B65" s="7" t="s">
        <v>16</v>
      </c>
      <c r="C65" s="7" t="s">
        <v>17</v>
      </c>
      <c r="D65" s="7"/>
      <c r="E65" s="7" t="s">
        <v>2515</v>
      </c>
      <c r="F65" s="7" t="s">
        <v>19</v>
      </c>
      <c r="G65" s="7" t="s">
        <v>31</v>
      </c>
      <c r="H65" s="7" t="s">
        <v>17</v>
      </c>
      <c r="I65" s="7" t="s">
        <v>17</v>
      </c>
      <c r="J65" s="7" t="s">
        <v>2516</v>
      </c>
    </row>
    <row r="66" spans="1:10" x14ac:dyDescent="0.25" outlineLevel="2" collapsed="1">
      <c r="A66" s="7" t="s">
        <v>19</v>
      </c>
      <c r="B66" s="7" t="s">
        <v>16</v>
      </c>
      <c r="C66" s="7" t="s">
        <v>17</v>
      </c>
      <c r="D66" s="7"/>
      <c r="E66" s="7" t="s">
        <v>478</v>
      </c>
      <c r="F66" s="7" t="s">
        <v>19</v>
      </c>
      <c r="G66" s="7" t="s">
        <v>31</v>
      </c>
      <c r="H66" s="7" t="s">
        <v>17</v>
      </c>
      <c r="I66" s="7" t="s">
        <v>17</v>
      </c>
      <c r="J66" s="7" t="s">
        <v>1323</v>
      </c>
    </row>
    <row r="67" spans="1:10" x14ac:dyDescent="0.25" outlineLevel="1" collapsed="1">
      <c r="A67" s="8" t="s">
        <v>15</v>
      </c>
      <c r="B67" s="9" t="s">
        <v>2517</v>
      </c>
      <c r="C67" s="8" t="s">
        <v>17</v>
      </c>
      <c r="D67" s="8"/>
      <c r="E67" s="8" t="s">
        <v>2518</v>
      </c>
      <c r="F67" s="8" t="s">
        <v>19</v>
      </c>
      <c r="G67" s="8" t="s">
        <v>17</v>
      </c>
      <c r="H67" s="8" t="s">
        <v>17</v>
      </c>
      <c r="I67" s="8" t="s">
        <v>17</v>
      </c>
      <c r="J67" s="8" t="s">
        <v>1516</v>
      </c>
    </row>
    <row r="68" spans="1:10" x14ac:dyDescent="0.25" outlineLevel="2" collapsed="1">
      <c r="A68" s="7" t="s">
        <v>15</v>
      </c>
      <c r="B68" s="7" t="s">
        <v>159</v>
      </c>
      <c r="C68" s="7" t="s">
        <v>17</v>
      </c>
      <c r="D68" s="7"/>
      <c r="E68" s="7" t="s">
        <v>2519</v>
      </c>
      <c r="F68" s="7" t="s">
        <v>19</v>
      </c>
      <c r="G68" s="7" t="b">
        <v>0</v>
      </c>
      <c r="H68" s="7" t="s">
        <v>17</v>
      </c>
      <c r="I68" s="7" t="s">
        <v>17</v>
      </c>
      <c r="J68" s="7" t="s">
        <v>2520</v>
      </c>
    </row>
    <row r="69" spans="1:10" x14ac:dyDescent="0.25" outlineLevel="2" collapsed="1">
      <c r="A69" s="7" t="s">
        <v>15</v>
      </c>
      <c r="B69" s="7" t="s">
        <v>16</v>
      </c>
      <c r="C69" s="7" t="s">
        <v>17</v>
      </c>
      <c r="D69" s="7"/>
      <c r="E69" s="7" t="s">
        <v>2521</v>
      </c>
      <c r="F69" s="7" t="s">
        <v>19</v>
      </c>
      <c r="G69" s="7" t="s">
        <v>2522</v>
      </c>
      <c r="H69" s="7" t="s">
        <v>2522</v>
      </c>
      <c r="I69" s="7" t="s">
        <v>17</v>
      </c>
      <c r="J69" s="7" t="s">
        <v>2523</v>
      </c>
    </row>
    <row r="70" spans="1:10" x14ac:dyDescent="0.25" outlineLevel="1" collapsed="1">
      <c r="A70" s="7" t="s">
        <v>19</v>
      </c>
      <c r="B70" s="7" t="s">
        <v>16</v>
      </c>
      <c r="C70" s="7" t="s">
        <v>17</v>
      </c>
      <c r="D70" s="7"/>
      <c r="E70" s="7" t="s">
        <v>2524</v>
      </c>
      <c r="F70" s="7" t="s">
        <v>19</v>
      </c>
      <c r="G70" s="7" t="s">
        <v>31</v>
      </c>
      <c r="H70" s="7" t="s">
        <v>17</v>
      </c>
      <c r="I70" s="7" t="s">
        <v>17</v>
      </c>
      <c r="J70" s="7" t="s">
        <v>2525</v>
      </c>
    </row>
    <row r="71" spans="1:10" x14ac:dyDescent="0.25" outlineLevel="1" collapsed="1">
      <c r="A71" s="7" t="s">
        <v>19</v>
      </c>
      <c r="B71" s="7" t="s">
        <v>16</v>
      </c>
      <c r="C71" s="7" t="s">
        <v>17</v>
      </c>
      <c r="D71" s="7"/>
      <c r="E71" s="7" t="s">
        <v>2526</v>
      </c>
      <c r="F71" s="7" t="s">
        <v>19</v>
      </c>
      <c r="G71" s="7" t="s">
        <v>31</v>
      </c>
      <c r="H71" s="7" t="s">
        <v>17</v>
      </c>
      <c r="I71" s="7" t="s">
        <v>17</v>
      </c>
      <c r="J71" s="7" t="s">
        <v>2527</v>
      </c>
    </row>
    <row r="72" spans="1:10" x14ac:dyDescent="0.25" outlineLevel="1" collapsed="1">
      <c r="A72" s="8" t="s">
        <v>19</v>
      </c>
      <c r="B72" s="9" t="s">
        <v>2528</v>
      </c>
      <c r="C72" s="8" t="s">
        <v>17</v>
      </c>
      <c r="D72" s="8"/>
      <c r="E72" s="8" t="s">
        <v>2529</v>
      </c>
      <c r="F72" s="8" t="s">
        <v>15</v>
      </c>
      <c r="G72" s="8" t="s">
        <v>17</v>
      </c>
      <c r="H72" s="8" t="s">
        <v>17</v>
      </c>
      <c r="I72" s="8" t="s">
        <v>17</v>
      </c>
      <c r="J72" s="8" t="s">
        <v>2530</v>
      </c>
    </row>
    <row r="73" spans="1:10" x14ac:dyDescent="0.25" outlineLevel="2" collapsed="1">
      <c r="A73" s="7" t="s">
        <v>19</v>
      </c>
      <c r="B73" s="7" t="s">
        <v>16</v>
      </c>
      <c r="C73" s="7" t="s">
        <v>17</v>
      </c>
      <c r="D73" s="7"/>
      <c r="E73" s="7" t="s">
        <v>2531</v>
      </c>
      <c r="F73" s="7" t="s">
        <v>19</v>
      </c>
      <c r="G73" s="7" t="s">
        <v>31</v>
      </c>
      <c r="H73" s="7" t="s">
        <v>17</v>
      </c>
      <c r="I73" s="7" t="s">
        <v>17</v>
      </c>
      <c r="J73" s="7" t="s">
        <v>2532</v>
      </c>
    </row>
    <row r="74" spans="1:10" x14ac:dyDescent="0.25" outlineLevel="2" collapsed="1">
      <c r="A74" s="7" t="s">
        <v>19</v>
      </c>
      <c r="B74" s="7" t="s">
        <v>16</v>
      </c>
      <c r="C74" s="7" t="s">
        <v>17</v>
      </c>
      <c r="D74" s="7"/>
      <c r="E74" s="7" t="s">
        <v>1345</v>
      </c>
      <c r="F74" s="7" t="s">
        <v>19</v>
      </c>
      <c r="G74" s="7" t="s">
        <v>31</v>
      </c>
      <c r="H74" s="7" t="s">
        <v>17</v>
      </c>
      <c r="I74" s="7" t="s">
        <v>17</v>
      </c>
      <c r="J74" s="7" t="s">
        <v>1346</v>
      </c>
    </row>
    <row r="75" spans="1:10" x14ac:dyDescent="0.25" outlineLevel="2" collapsed="1">
      <c r="A75" s="7" t="s">
        <v>19</v>
      </c>
      <c r="B75" s="7" t="s">
        <v>16</v>
      </c>
      <c r="C75" s="7" t="s">
        <v>17</v>
      </c>
      <c r="D75" s="7"/>
      <c r="E75" s="7" t="s">
        <v>1347</v>
      </c>
      <c r="F75" s="7" t="s">
        <v>19</v>
      </c>
      <c r="G75" s="7" t="s">
        <v>31</v>
      </c>
      <c r="H75" s="7" t="s">
        <v>17</v>
      </c>
      <c r="I75" s="7" t="s">
        <v>17</v>
      </c>
      <c r="J75" s="7" t="s">
        <v>1348</v>
      </c>
    </row>
    <row r="76" spans="1:10" x14ac:dyDescent="0.25" outlineLevel="2" collapsed="1">
      <c r="A76" s="7" t="s">
        <v>19</v>
      </c>
      <c r="B76" s="7" t="s">
        <v>16</v>
      </c>
      <c r="C76" s="7" t="s">
        <v>17</v>
      </c>
      <c r="D76" s="7"/>
      <c r="E76" s="7" t="s">
        <v>2533</v>
      </c>
      <c r="F76" s="7" t="s">
        <v>19</v>
      </c>
      <c r="G76" s="7" t="s">
        <v>31</v>
      </c>
      <c r="H76" s="7" t="s">
        <v>17</v>
      </c>
      <c r="I76" s="7" t="s">
        <v>17</v>
      </c>
      <c r="J76" s="7" t="s">
        <v>2534</v>
      </c>
    </row>
    <row r="77" spans="1:10" x14ac:dyDescent="0.25" outlineLevel="1" collapsed="1">
      <c r="A77" s="8" t="s">
        <v>19</v>
      </c>
      <c r="B77" s="9" t="s">
        <v>2535</v>
      </c>
      <c r="C77" s="8" t="s">
        <v>17</v>
      </c>
      <c r="D77" s="8"/>
      <c r="E77" s="8" t="s">
        <v>2536</v>
      </c>
      <c r="F77" s="8" t="s">
        <v>15</v>
      </c>
      <c r="G77" s="8" t="s">
        <v>17</v>
      </c>
      <c r="H77" s="8" t="s">
        <v>17</v>
      </c>
      <c r="I77" s="8" t="s">
        <v>17</v>
      </c>
      <c r="J77" s="8" t="s">
        <v>2537</v>
      </c>
    </row>
    <row r="78" spans="1:10" x14ac:dyDescent="0.25" outlineLevel="2" collapsed="1">
      <c r="A78" s="7" t="s">
        <v>19</v>
      </c>
      <c r="B78" s="7" t="s">
        <v>16</v>
      </c>
      <c r="C78" s="7" t="s">
        <v>17</v>
      </c>
      <c r="D78" s="7"/>
      <c r="E78" s="7" t="s">
        <v>2538</v>
      </c>
      <c r="F78" s="7" t="s">
        <v>19</v>
      </c>
      <c r="G78" s="7" t="s">
        <v>31</v>
      </c>
      <c r="H78" s="7" t="s">
        <v>17</v>
      </c>
      <c r="I78" s="7" t="s">
        <v>17</v>
      </c>
      <c r="J78" s="7" t="s">
        <v>2539</v>
      </c>
    </row>
    <row r="79" spans="1:10" x14ac:dyDescent="0.25" outlineLevel="2" collapsed="1">
      <c r="A79" s="7" t="s">
        <v>19</v>
      </c>
      <c r="B79" s="7" t="s">
        <v>16</v>
      </c>
      <c r="C79" s="7" t="s">
        <v>17</v>
      </c>
      <c r="D79" s="7"/>
      <c r="E79" s="7" t="s">
        <v>2540</v>
      </c>
      <c r="F79" s="7" t="s">
        <v>19</v>
      </c>
      <c r="G79" s="7" t="s">
        <v>31</v>
      </c>
      <c r="H79" s="7" t="s">
        <v>17</v>
      </c>
      <c r="I79" s="7" t="s">
        <v>17</v>
      </c>
      <c r="J79" s="7" t="s">
        <v>606</v>
      </c>
    </row>
    <row r="80" spans="1:10" x14ac:dyDescent="0.25" outlineLevel="2" collapsed="1">
      <c r="A80" s="7" t="s">
        <v>19</v>
      </c>
      <c r="B80" s="7" t="s">
        <v>16</v>
      </c>
      <c r="C80" s="7" t="s">
        <v>17</v>
      </c>
      <c r="D80" s="7"/>
      <c r="E80" s="7" t="s">
        <v>2541</v>
      </c>
      <c r="F80" s="7" t="s">
        <v>19</v>
      </c>
      <c r="G80" s="7" t="s">
        <v>31</v>
      </c>
      <c r="H80" s="7" t="s">
        <v>17</v>
      </c>
      <c r="I80" s="7" t="s">
        <v>17</v>
      </c>
      <c r="J80" s="7" t="s">
        <v>2542</v>
      </c>
    </row>
    <row r="81" spans="1:10" x14ac:dyDescent="0.25">
      <c r="A81" s="5" t="s">
        <v>15</v>
      </c>
      <c r="B81" s="6" t="s">
        <v>2543</v>
      </c>
      <c r="C81" s="5" t="s">
        <v>17</v>
      </c>
      <c r="D81" s="5"/>
      <c r="E81" s="5" t="s">
        <v>2544</v>
      </c>
      <c r="F81" s="5" t="s">
        <v>19</v>
      </c>
      <c r="G81" s="5" t="s">
        <v>17</v>
      </c>
      <c r="H81" s="5" t="s">
        <v>17</v>
      </c>
      <c r="I81" s="5" t="s">
        <v>17</v>
      </c>
      <c r="J81" s="5" t="s">
        <v>2403</v>
      </c>
    </row>
    <row r="82" spans="1:10" x14ac:dyDescent="0.25" outlineLevel="1" collapsed="1">
      <c r="A82" s="7" t="s">
        <v>15</v>
      </c>
      <c r="B82" s="7" t="s">
        <v>16</v>
      </c>
      <c r="C82" s="7" t="s">
        <v>17</v>
      </c>
      <c r="D82" s="7"/>
      <c r="E82" s="7" t="s">
        <v>2545</v>
      </c>
      <c r="F82" s="7" t="s">
        <v>19</v>
      </c>
      <c r="G82" s="7" t="s">
        <v>2546</v>
      </c>
      <c r="H82" s="7" t="s">
        <v>17</v>
      </c>
      <c r="I82" s="7" t="s">
        <v>17</v>
      </c>
      <c r="J82" s="7" t="s">
        <v>2403</v>
      </c>
    </row>
    <row r="83" spans="1:10" x14ac:dyDescent="0.25" outlineLevel="1" collapsed="1">
      <c r="A83" s="7" t="s">
        <v>15</v>
      </c>
      <c r="B83" s="7" t="s">
        <v>16</v>
      </c>
      <c r="C83" s="7" t="s">
        <v>17</v>
      </c>
      <c r="D83" s="7"/>
      <c r="E83" s="7" t="s">
        <v>2547</v>
      </c>
      <c r="F83" s="7" t="s">
        <v>19</v>
      </c>
      <c r="G83" s="7" t="s">
        <v>2548</v>
      </c>
      <c r="H83" s="7" t="s">
        <v>17</v>
      </c>
      <c r="I83" s="7" t="s">
        <v>17</v>
      </c>
      <c r="J83" s="7" t="s">
        <v>2549</v>
      </c>
    </row>
    <row r="84" spans="1:10" x14ac:dyDescent="0.25" outlineLevel="1" collapsed="1">
      <c r="A84" s="7" t="s">
        <v>15</v>
      </c>
      <c r="B84" s="7" t="s">
        <v>16</v>
      </c>
      <c r="C84" s="7" t="s">
        <v>17</v>
      </c>
      <c r="D84" s="7"/>
      <c r="E84" s="7" t="s">
        <v>2550</v>
      </c>
      <c r="F84" s="7" t="s">
        <v>19</v>
      </c>
      <c r="G84" s="7" t="s">
        <v>2551</v>
      </c>
      <c r="H84" s="7" t="s">
        <v>17</v>
      </c>
      <c r="I84" s="7" t="s">
        <v>17</v>
      </c>
      <c r="J84" s="7" t="s">
        <v>2552</v>
      </c>
    </row>
    <row r="85" spans="1:10" x14ac:dyDescent="0.25" outlineLevel="1" collapsed="1">
      <c r="A85" s="7" t="s">
        <v>15</v>
      </c>
      <c r="B85" s="7" t="s">
        <v>16</v>
      </c>
      <c r="C85" s="7" t="s">
        <v>17</v>
      </c>
      <c r="D85" s="7"/>
      <c r="E85" s="7" t="s">
        <v>2553</v>
      </c>
      <c r="F85" s="7" t="s">
        <v>19</v>
      </c>
      <c r="G85" s="7" t="s">
        <v>2554</v>
      </c>
      <c r="H85" s="7" t="s">
        <v>17</v>
      </c>
      <c r="I85" s="7" t="s">
        <v>17</v>
      </c>
      <c r="J85" s="7" t="s">
        <v>2555</v>
      </c>
    </row>
    <row r="86" spans="1:10" x14ac:dyDescent="0.25" outlineLevel="1" collapsed="1">
      <c r="A86" s="8" t="s">
        <v>15</v>
      </c>
      <c r="B86" s="9" t="s">
        <v>2556</v>
      </c>
      <c r="C86" s="8" t="s">
        <v>17</v>
      </c>
      <c r="D86" s="8"/>
      <c r="E86" s="8" t="s">
        <v>2557</v>
      </c>
      <c r="F86" s="8" t="s">
        <v>19</v>
      </c>
      <c r="G86" s="8" t="s">
        <v>17</v>
      </c>
      <c r="H86" s="8" t="s">
        <v>17</v>
      </c>
      <c r="I86" s="8" t="s">
        <v>17</v>
      </c>
      <c r="J86" s="8" t="s">
        <v>518</v>
      </c>
    </row>
    <row r="87" spans="1:10" x14ac:dyDescent="0.25" outlineLevel="2" collapsed="1">
      <c r="A87" s="7" t="s">
        <v>15</v>
      </c>
      <c r="B87" s="7" t="s">
        <v>16</v>
      </c>
      <c r="C87" s="7" t="s">
        <v>17</v>
      </c>
      <c r="D87" s="7"/>
      <c r="E87" s="7" t="s">
        <v>2558</v>
      </c>
      <c r="F87" s="7" t="s">
        <v>19</v>
      </c>
      <c r="G87" s="7" t="s">
        <v>2559</v>
      </c>
      <c r="H87" s="7" t="s">
        <v>17</v>
      </c>
      <c r="I87" s="7" t="s">
        <v>17</v>
      </c>
      <c r="J87" s="7" t="s">
        <v>2560</v>
      </c>
    </row>
    <row r="88" spans="1:10" x14ac:dyDescent="0.25" outlineLevel="2" collapsed="1">
      <c r="A88" s="7" t="s">
        <v>15</v>
      </c>
      <c r="B88" s="7" t="s">
        <v>16</v>
      </c>
      <c r="C88" s="7" t="s">
        <v>17</v>
      </c>
      <c r="D88" s="7"/>
      <c r="E88" s="7" t="s">
        <v>2561</v>
      </c>
      <c r="F88" s="7" t="s">
        <v>19</v>
      </c>
      <c r="G88" s="7" t="s">
        <v>2562</v>
      </c>
      <c r="H88" s="7" t="s">
        <v>17</v>
      </c>
      <c r="I88" s="7" t="s">
        <v>17</v>
      </c>
      <c r="J88" s="7" t="s">
        <v>2563</v>
      </c>
    </row>
    <row r="89" spans="1:10" x14ac:dyDescent="0.25" outlineLevel="2" collapsed="1">
      <c r="A89" s="7" t="s">
        <v>15</v>
      </c>
      <c r="B89" s="7" t="s">
        <v>159</v>
      </c>
      <c r="C89" s="7" t="s">
        <v>17</v>
      </c>
      <c r="D89" s="7"/>
      <c r="E89" s="7" t="s">
        <v>2564</v>
      </c>
      <c r="F89" s="7" t="s">
        <v>19</v>
      </c>
      <c r="G89" s="7" t="b">
        <v>1</v>
      </c>
      <c r="H89" s="7" t="s">
        <v>17</v>
      </c>
      <c r="I89" s="7" t="s">
        <v>17</v>
      </c>
      <c r="J89" s="7" t="s">
        <v>2565</v>
      </c>
    </row>
    <row r="90" spans="1:10" x14ac:dyDescent="0.25" outlineLevel="1" collapsed="1">
      <c r="A90" s="7" t="s">
        <v>15</v>
      </c>
      <c r="B90" s="7" t="s">
        <v>16</v>
      </c>
      <c r="C90" s="7" t="s">
        <v>17</v>
      </c>
      <c r="D90" s="7"/>
      <c r="E90" s="7" t="s">
        <v>2566</v>
      </c>
      <c r="F90" s="7" t="s">
        <v>19</v>
      </c>
      <c r="G90" s="7" t="s">
        <v>2567</v>
      </c>
      <c r="H90" s="7" t="s">
        <v>17</v>
      </c>
      <c r="I90" s="7" t="s">
        <v>17</v>
      </c>
      <c r="J90" s="7" t="s">
        <v>2568</v>
      </c>
    </row>
    <row r="91" spans="1:10" x14ac:dyDescent="0.25">
      <c r="A91" s="5" t="s">
        <v>15</v>
      </c>
      <c r="B91" s="6" t="s">
        <v>2569</v>
      </c>
      <c r="C91" s="5" t="s">
        <v>17</v>
      </c>
      <c r="D91" s="5"/>
      <c r="E91" s="5" t="s">
        <v>2570</v>
      </c>
      <c r="F91" s="5" t="s">
        <v>19</v>
      </c>
      <c r="G91" s="5" t="s">
        <v>17</v>
      </c>
      <c r="H91" s="5" t="s">
        <v>17</v>
      </c>
      <c r="I91" s="5" t="s">
        <v>17</v>
      </c>
      <c r="J91" s="5" t="s">
        <v>2405</v>
      </c>
    </row>
    <row r="92" spans="1:10" x14ac:dyDescent="0.25" outlineLevel="1" collapsed="1">
      <c r="A92" s="7" t="s">
        <v>15</v>
      </c>
      <c r="B92" s="12" t="s">
        <v>2571</v>
      </c>
      <c r="C92" s="7" t="s">
        <v>17</v>
      </c>
      <c r="D92" s="7"/>
      <c r="E92" s="7" t="s">
        <v>2572</v>
      </c>
      <c r="F92" s="7" t="s">
        <v>19</v>
      </c>
      <c r="G92" s="7" t="s">
        <v>17</v>
      </c>
      <c r="H92" s="7" t="s">
        <v>17</v>
      </c>
      <c r="I92" s="7" t="s">
        <v>17</v>
      </c>
      <c r="J92" s="7" t="s">
        <v>2573</v>
      </c>
    </row>
    <row r="93" spans="1:10" x14ac:dyDescent="0.25" outlineLevel="1" collapsed="1">
      <c r="A93" s="8" t="s">
        <v>15</v>
      </c>
      <c r="B93" s="9" t="s">
        <v>2574</v>
      </c>
      <c r="C93" s="8" t="s">
        <v>17</v>
      </c>
      <c r="D93" s="8"/>
      <c r="E93" s="8" t="s">
        <v>2575</v>
      </c>
      <c r="F93" s="8" t="s">
        <v>19</v>
      </c>
      <c r="G93" s="8" t="s">
        <v>17</v>
      </c>
      <c r="H93" s="8" t="s">
        <v>17</v>
      </c>
      <c r="I93" s="8" t="s">
        <v>17</v>
      </c>
      <c r="J93" s="8" t="s">
        <v>2576</v>
      </c>
    </row>
    <row r="94" spans="1:10" x14ac:dyDescent="0.25" outlineLevel="2" collapsed="1">
      <c r="A94" s="7" t="s">
        <v>15</v>
      </c>
      <c r="B94" s="7" t="s">
        <v>16</v>
      </c>
      <c r="C94" s="7" t="s">
        <v>17</v>
      </c>
      <c r="D94" s="7"/>
      <c r="E94" s="7" t="s">
        <v>2577</v>
      </c>
      <c r="F94" s="7" t="s">
        <v>19</v>
      </c>
      <c r="G94" s="7" t="s">
        <v>2578</v>
      </c>
      <c r="H94" s="7" t="s">
        <v>17</v>
      </c>
      <c r="I94" s="7" t="s">
        <v>17</v>
      </c>
      <c r="J94" s="7" t="s">
        <v>2579</v>
      </c>
    </row>
    <row r="95" spans="1:10" x14ac:dyDescent="0.25" outlineLevel="2" collapsed="1">
      <c r="A95" s="7" t="s">
        <v>19</v>
      </c>
      <c r="B95" s="7" t="s">
        <v>16</v>
      </c>
      <c r="C95" s="7" t="s">
        <v>17</v>
      </c>
      <c r="D95" s="7"/>
      <c r="E95" s="7" t="s">
        <v>2580</v>
      </c>
      <c r="F95" s="7" t="s">
        <v>19</v>
      </c>
      <c r="G95" s="7" t="s">
        <v>2581</v>
      </c>
      <c r="H95" s="7" t="s">
        <v>17</v>
      </c>
      <c r="I95" s="7" t="s">
        <v>17</v>
      </c>
      <c r="J95" s="7" t="s">
        <v>2582</v>
      </c>
    </row>
    <row r="96" spans="1:10" x14ac:dyDescent="0.25" outlineLevel="1" collapsed="1">
      <c r="A96" s="8" t="s">
        <v>19</v>
      </c>
      <c r="B96" s="9" t="s">
        <v>2583</v>
      </c>
      <c r="C96" s="8" t="s">
        <v>17</v>
      </c>
      <c r="D96" s="8"/>
      <c r="E96" s="8" t="s">
        <v>2584</v>
      </c>
      <c r="F96" s="8" t="s">
        <v>15</v>
      </c>
      <c r="G96" s="8" t="s">
        <v>17</v>
      </c>
      <c r="H96" s="8" t="s">
        <v>17</v>
      </c>
      <c r="I96" s="8" t="s">
        <v>17</v>
      </c>
      <c r="J96" s="8" t="s">
        <v>2585</v>
      </c>
    </row>
    <row r="97" spans="1:10" x14ac:dyDescent="0.25" outlineLevel="2" collapsed="1">
      <c r="A97" s="7" t="s">
        <v>19</v>
      </c>
      <c r="B97" s="7" t="s">
        <v>16</v>
      </c>
      <c r="C97" s="7" t="s">
        <v>17</v>
      </c>
      <c r="D97" s="7"/>
      <c r="E97" s="7" t="s">
        <v>2426</v>
      </c>
      <c r="F97" s="7" t="s">
        <v>19</v>
      </c>
      <c r="G97" s="7" t="s">
        <v>31</v>
      </c>
      <c r="H97" s="7" t="s">
        <v>17</v>
      </c>
      <c r="I97" s="7" t="s">
        <v>17</v>
      </c>
      <c r="J97" s="7" t="s">
        <v>2427</v>
      </c>
    </row>
    <row r="98" spans="1:10" x14ac:dyDescent="0.25" outlineLevel="2" collapsed="1">
      <c r="A98" s="7" t="s">
        <v>19</v>
      </c>
      <c r="B98" s="7" t="s">
        <v>16</v>
      </c>
      <c r="C98" s="7" t="s">
        <v>17</v>
      </c>
      <c r="D98" s="7"/>
      <c r="E98" s="7" t="s">
        <v>2586</v>
      </c>
      <c r="F98" s="7" t="s">
        <v>19</v>
      </c>
      <c r="G98" s="7" t="s">
        <v>31</v>
      </c>
      <c r="H98" s="7" t="s">
        <v>17</v>
      </c>
      <c r="I98" s="7" t="s">
        <v>17</v>
      </c>
      <c r="J98" s="7" t="s">
        <v>2587</v>
      </c>
    </row>
    <row r="99" spans="1:10" x14ac:dyDescent="0.25" outlineLevel="1" collapsed="1">
      <c r="A99" s="7" t="s">
        <v>19</v>
      </c>
      <c r="B99" s="7" t="s">
        <v>16</v>
      </c>
      <c r="C99" s="7" t="s">
        <v>17</v>
      </c>
      <c r="D99" s="7"/>
      <c r="E99" s="7" t="s">
        <v>2588</v>
      </c>
      <c r="F99" s="7" t="s">
        <v>19</v>
      </c>
      <c r="G99" s="7" t="s">
        <v>31</v>
      </c>
      <c r="H99" s="7" t="s">
        <v>17</v>
      </c>
      <c r="I99" s="7" t="s">
        <v>17</v>
      </c>
      <c r="J99" s="7" t="s">
        <v>2589</v>
      </c>
    </row>
    <row r="100" spans="1:10" x14ac:dyDescent="0.25">
      <c r="A100" s="5" t="s">
        <v>15</v>
      </c>
      <c r="B100" s="6" t="s">
        <v>2590</v>
      </c>
      <c r="C100" s="5" t="s">
        <v>17</v>
      </c>
      <c r="D100" s="5"/>
      <c r="E100" s="5" t="s">
        <v>2591</v>
      </c>
      <c r="F100" s="5" t="s">
        <v>19</v>
      </c>
      <c r="G100" s="5" t="s">
        <v>17</v>
      </c>
      <c r="H100" s="5" t="s">
        <v>17</v>
      </c>
      <c r="I100" s="5" t="s">
        <v>17</v>
      </c>
      <c r="J100" s="5" t="s">
        <v>491</v>
      </c>
    </row>
    <row r="101" spans="1:10" x14ac:dyDescent="0.25" outlineLevel="1" collapsed="1">
      <c r="A101" s="7" t="s">
        <v>15</v>
      </c>
      <c r="B101" s="7" t="s">
        <v>159</v>
      </c>
      <c r="C101" s="7" t="s">
        <v>17</v>
      </c>
      <c r="D101" s="7"/>
      <c r="E101" s="7" t="s">
        <v>2592</v>
      </c>
      <c r="F101" s="7" t="s">
        <v>19</v>
      </c>
      <c r="G101" s="7" t="b">
        <v>0</v>
      </c>
      <c r="H101" s="7" t="s">
        <v>17</v>
      </c>
      <c r="I101" s="7" t="s">
        <v>17</v>
      </c>
      <c r="J101" s="7" t="s">
        <v>2593</v>
      </c>
    </row>
    <row r="102" spans="1:10" x14ac:dyDescent="0.25" outlineLevel="1" collapsed="1">
      <c r="A102" s="8" t="s">
        <v>19</v>
      </c>
      <c r="B102" s="9" t="s">
        <v>1384</v>
      </c>
      <c r="C102" s="8" t="s">
        <v>17</v>
      </c>
      <c r="D102" s="8"/>
      <c r="E102" s="8" t="s">
        <v>1385</v>
      </c>
      <c r="F102" s="8" t="s">
        <v>15</v>
      </c>
      <c r="G102" s="8" t="s">
        <v>17</v>
      </c>
      <c r="H102" s="8" t="s">
        <v>17</v>
      </c>
      <c r="I102" s="8" t="s">
        <v>17</v>
      </c>
      <c r="J102" s="8" t="s">
        <v>1386</v>
      </c>
    </row>
    <row r="103" spans="1:10" x14ac:dyDescent="0.25" outlineLevel="2" collapsed="1">
      <c r="A103" s="7" t="s">
        <v>19</v>
      </c>
      <c r="B103" s="7" t="s">
        <v>16</v>
      </c>
      <c r="C103" s="7" t="s">
        <v>17</v>
      </c>
      <c r="D103" s="7"/>
      <c r="E103" s="7" t="s">
        <v>474</v>
      </c>
      <c r="F103" s="7" t="s">
        <v>19</v>
      </c>
      <c r="G103" s="7" t="s">
        <v>31</v>
      </c>
      <c r="H103" s="7" t="s">
        <v>17</v>
      </c>
      <c r="I103" s="7" t="s">
        <v>17</v>
      </c>
      <c r="J103" s="7" t="s">
        <v>476</v>
      </c>
    </row>
    <row r="104" spans="1:10" x14ac:dyDescent="0.25" outlineLevel="2" collapsed="1">
      <c r="A104" s="7" t="s">
        <v>19</v>
      </c>
      <c r="B104" s="7" t="s">
        <v>16</v>
      </c>
      <c r="C104" s="7" t="s">
        <v>17</v>
      </c>
      <c r="D104" s="7"/>
      <c r="E104" s="7" t="s">
        <v>1387</v>
      </c>
      <c r="F104" s="7" t="s">
        <v>19</v>
      </c>
      <c r="G104" s="7" t="s">
        <v>31</v>
      </c>
      <c r="H104" s="7" t="s">
        <v>17</v>
      </c>
      <c r="I104" s="7" t="s">
        <v>17</v>
      </c>
      <c r="J104" s="7" t="s">
        <v>1388</v>
      </c>
    </row>
    <row r="105" spans="1:10" x14ac:dyDescent="0.25" outlineLevel="2" collapsed="1">
      <c r="A105" s="7" t="s">
        <v>19</v>
      </c>
      <c r="B105" s="7" t="s">
        <v>16</v>
      </c>
      <c r="C105" s="7" t="s">
        <v>17</v>
      </c>
      <c r="D105" s="7"/>
      <c r="E105" s="7" t="s">
        <v>1389</v>
      </c>
      <c r="F105" s="7" t="s">
        <v>19</v>
      </c>
      <c r="G105" s="7" t="s">
        <v>31</v>
      </c>
      <c r="H105" s="7" t="s">
        <v>17</v>
      </c>
      <c r="I105" s="7" t="s">
        <v>17</v>
      </c>
      <c r="J105" s="7" t="s">
        <v>1390</v>
      </c>
    </row>
    <row r="106" spans="1:10" x14ac:dyDescent="0.25" outlineLevel="2" collapsed="1">
      <c r="A106" s="7" t="s">
        <v>19</v>
      </c>
      <c r="B106" s="7" t="s">
        <v>16</v>
      </c>
      <c r="C106" s="7" t="s">
        <v>17</v>
      </c>
      <c r="D106" s="7"/>
      <c r="E106" s="7" t="s">
        <v>1391</v>
      </c>
      <c r="F106" s="7" t="s">
        <v>19</v>
      </c>
      <c r="G106" s="7" t="s">
        <v>31</v>
      </c>
      <c r="H106" s="7" t="s">
        <v>17</v>
      </c>
      <c r="I106" s="7" t="s">
        <v>17</v>
      </c>
      <c r="J106" s="7" t="s">
        <v>1392</v>
      </c>
    </row>
    <row r="107" spans="1:10" x14ac:dyDescent="0.25" outlineLevel="2" collapsed="1">
      <c r="A107" s="7" t="s">
        <v>19</v>
      </c>
      <c r="B107" s="7" t="s">
        <v>16</v>
      </c>
      <c r="C107" s="7" t="s">
        <v>17</v>
      </c>
      <c r="D107" s="7"/>
      <c r="E107" s="7" t="s">
        <v>1393</v>
      </c>
      <c r="F107" s="7" t="s">
        <v>19</v>
      </c>
      <c r="G107" s="7" t="s">
        <v>31</v>
      </c>
      <c r="H107" s="7" t="s">
        <v>17</v>
      </c>
      <c r="I107" s="7" t="s">
        <v>17</v>
      </c>
      <c r="J107" s="7" t="s">
        <v>1394</v>
      </c>
    </row>
    <row r="108" spans="1:10" x14ac:dyDescent="0.25" outlineLevel="2" collapsed="1">
      <c r="A108" s="7" t="s">
        <v>19</v>
      </c>
      <c r="B108" s="7" t="s">
        <v>16</v>
      </c>
      <c r="C108" s="7" t="s">
        <v>17</v>
      </c>
      <c r="D108" s="7"/>
      <c r="E108" s="7" t="s">
        <v>1395</v>
      </c>
      <c r="F108" s="7" t="s">
        <v>19</v>
      </c>
      <c r="G108" s="7" t="s">
        <v>31</v>
      </c>
      <c r="H108" s="7" t="s">
        <v>17</v>
      </c>
      <c r="I108" s="7" t="s">
        <v>17</v>
      </c>
      <c r="J108" s="7" t="s">
        <v>1396</v>
      </c>
    </row>
  </sheetData>
  <mergeCells count="3">
    <mergeCell ref="A1:J1"/>
    <mergeCell ref="B2:J2"/>
    <mergeCell ref="B3:J3"/>
  </mergeCells>
  <dataValidations count="8">
    <dataValidation type="list" allowBlank="1" sqref="G15:I15">
      <formula1>'Enums'!C288:C290</formula1>
    </dataValidation>
    <dataValidation type="list" allowBlank="1" sqref="G17:I17">
      <formula1>'Enums'!C291:C293</formula1>
    </dataValidation>
    <dataValidation type="list" allowBlank="1" sqref="G19:I19">
      <formula1>'Enums'!C294:C296</formula1>
    </dataValidation>
    <dataValidation type="list" allowBlank="1" sqref="G21:I21">
      <formula1>'Enums'!C297:C298</formula1>
    </dataValidation>
    <dataValidation type="list" allowBlank="1" sqref="G23:I23">
      <formula1>'Enums'!C299:C301</formula1>
    </dataValidation>
    <dataValidation type="list" allowBlank="1" sqref="G25:I25">
      <formula1>'Enums'!C302:C303</formula1>
    </dataValidation>
    <dataValidation type="list" allowBlank="1" sqref="G27:I27">
      <formula1>'Enums'!C304:C305</formula1>
    </dataValidation>
    <dataValidation type="list" allowBlank="1" sqref="G47:I47">
      <formula1>'Enums'!C802:C810</formula1>
    </dataValidation>
  </dataValidations>
  <hyperlinks>
    <hyperlink ref="B5" r:id="rId1" location="#'3.1 Methodology Details (VCS P'!A1"/>
    <hyperlink ref="B6" r:id="rId2" location="#'Methodology details row (VCS P'!A1"/>
    <hyperlink ref="B11" r:id="rId3" location="#'3.2 Applicability and Eligibil'!A1"/>
    <hyperlink ref="B12" r:id="rId4" location="#'3.2.1 Eligibility of Methodolo'!A1"/>
    <hyperlink ref="B14" r:id="rId5" location="#'3.2.2 Applicability of Methodo'!A1"/>
    <hyperlink ref="B31" r:id="rId6" location="#'REDD+ Double Counting Assessme'!A1"/>
    <hyperlink ref="B36" r:id="rId7" location="#'SDW Public Distribution Networ'!A1"/>
    <hyperlink ref="B45" r:id="rId8" location="#'Evidence item'!A1"/>
    <hyperlink ref="B53" r:id="rId9" location="#'3.2 Applicability of methodolo'!A1"/>
    <hyperlink ref="B57" r:id="rId10" location="#'3.3 Project Boundary (VCS PD 3'!A1"/>
    <hyperlink ref="B59" r:id="rId11" location="#'GHG Source Row (VCS PD 3.3)'!A1"/>
    <hyperlink ref="B67" r:id="rId12" location="#'3.3.1 De Minimis GHG Sources a'!A1"/>
    <hyperlink ref="B72" r:id="rId13" location="#'De minimis comparison period r'!A1"/>
    <hyperlink ref="B77" r:id="rId14" location="#'De minimis quantification per'!A1"/>
    <hyperlink ref="B81" r:id="rId15" location="#'3.4 Baseline Scenario (VCS PD'!A1"/>
    <hyperlink ref="B86" r:id="rId16" location="#'3.4.1 Baseline Reassessment (V'!A1"/>
    <hyperlink ref="B91" r:id="rId17" location="#'3.5 Additionality (VCS PD 3.5)'!A1"/>
    <hyperlink ref="B92" r:id="rId18" location="#'3.5.1 Regulatory Surplus (VCS'!A1"/>
    <hyperlink ref="B93" r:id="rId19" location="#'3.5.2 Additionality Methods (V'!A1"/>
    <hyperlink ref="B96" r:id="rId20" location="#'Laws reviewed for regulatory s'!A1"/>
    <hyperlink ref="B100" r:id="rId21" location="#'3.6 Methodology Deviations (VC'!A1"/>
    <hyperlink ref="B102" r:id="rId22" location="#'Methodology deviation row (VCS'!A1"/>
  </hyperlinks>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3383</v>
      </c>
      <c r="B1" s="1"/>
      <c r="C1" s="1"/>
      <c r="D1" s="1"/>
      <c r="E1" s="1"/>
      <c r="F1" s="1"/>
      <c r="G1" s="1"/>
      <c r="H1" s="1"/>
      <c r="I1" s="1"/>
      <c r="J1" s="1"/>
    </row>
    <row r="2" spans="1:10" x14ac:dyDescent="0.25">
      <c r="A2" s="2" t="s">
        <v>1</v>
      </c>
      <c r="B2" s="3" t="s">
        <v>3384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1500</v>
      </c>
      <c r="F5" s="5" t="s">
        <v>19</v>
      </c>
      <c r="G5" s="5" t="b">
        <v>0</v>
      </c>
      <c r="H5" s="5" t="s">
        <v>17</v>
      </c>
      <c r="I5" s="5" t="s">
        <v>17</v>
      </c>
      <c r="J5" s="5" t="s">
        <v>1501</v>
      </c>
    </row>
    <row r="6" spans="1:10" x14ac:dyDescent="0.25">
      <c r="A6" s="5" t="s">
        <v>15</v>
      </c>
      <c r="B6" s="5" t="s">
        <v>16</v>
      </c>
      <c r="C6" s="5" t="s">
        <v>17</v>
      </c>
      <c r="D6" s="5"/>
      <c r="E6" s="5" t="s">
        <v>1502</v>
      </c>
      <c r="F6" s="5" t="s">
        <v>19</v>
      </c>
      <c r="G6" s="5" t="s">
        <v>1503</v>
      </c>
      <c r="H6" s="5" t="s">
        <v>1503</v>
      </c>
      <c r="I6" s="5" t="s">
        <v>17</v>
      </c>
      <c r="J6" s="5" t="s">
        <v>1504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3385</v>
      </c>
      <c r="B1" s="1"/>
      <c r="C1" s="1"/>
      <c r="D1" s="1"/>
      <c r="E1" s="1"/>
      <c r="F1" s="1"/>
      <c r="G1" s="1"/>
      <c r="H1" s="1"/>
      <c r="I1" s="1"/>
      <c r="J1" s="1"/>
    </row>
    <row r="2" spans="1:10" x14ac:dyDescent="0.25">
      <c r="A2" s="2" t="s">
        <v>1</v>
      </c>
      <c r="B2" s="3" t="s">
        <v>3386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1366</v>
      </c>
      <c r="C5" s="5" t="s">
        <v>17</v>
      </c>
      <c r="D5" s="5"/>
      <c r="E5" s="5" t="s">
        <v>1367</v>
      </c>
      <c r="F5" s="5" t="s">
        <v>19</v>
      </c>
      <c r="G5" s="5" t="s">
        <v>17</v>
      </c>
      <c r="H5" s="5" t="s">
        <v>17</v>
      </c>
      <c r="I5" s="5" t="s">
        <v>17</v>
      </c>
      <c r="J5" s="5" t="s">
        <v>1368</v>
      </c>
    </row>
    <row r="6" spans="1:10" x14ac:dyDescent="0.25" outlineLevel="1" collapsed="1">
      <c r="A6" s="7" t="s">
        <v>15</v>
      </c>
      <c r="B6" s="7" t="s">
        <v>16</v>
      </c>
      <c r="C6" s="7" t="s">
        <v>17</v>
      </c>
      <c r="D6" s="7"/>
      <c r="E6" s="7" t="s">
        <v>248</v>
      </c>
      <c r="F6" s="7" t="s">
        <v>19</v>
      </c>
      <c r="G6" s="7" t="s">
        <v>249</v>
      </c>
      <c r="H6" s="7" t="s">
        <v>17</v>
      </c>
      <c r="I6" s="7" t="s">
        <v>17</v>
      </c>
      <c r="J6" s="7" t="s">
        <v>250</v>
      </c>
    </row>
    <row r="7" spans="1:10" x14ac:dyDescent="0.25">
      <c r="A7" s="5" t="s">
        <v>15</v>
      </c>
      <c r="B7" s="6" t="s">
        <v>1369</v>
      </c>
      <c r="C7" s="5" t="s">
        <v>17</v>
      </c>
      <c r="D7" s="5"/>
      <c r="E7" s="5" t="s">
        <v>1370</v>
      </c>
      <c r="F7" s="5" t="s">
        <v>19</v>
      </c>
      <c r="G7" s="5" t="s">
        <v>17</v>
      </c>
      <c r="H7" s="5" t="s">
        <v>17</v>
      </c>
      <c r="I7" s="5" t="s">
        <v>17</v>
      </c>
      <c r="J7" s="5" t="s">
        <v>1371</v>
      </c>
    </row>
    <row r="8" spans="1:10" x14ac:dyDescent="0.25" outlineLevel="1" collapsed="1">
      <c r="A8" s="7" t="s">
        <v>19</v>
      </c>
      <c r="B8" s="7" t="s">
        <v>159</v>
      </c>
      <c r="C8" s="7" t="s">
        <v>17</v>
      </c>
      <c r="D8" s="7"/>
      <c r="E8" s="7" t="s">
        <v>241</v>
      </c>
      <c r="F8" s="7" t="s">
        <v>19</v>
      </c>
      <c r="G8" s="7" t="b">
        <v>0</v>
      </c>
      <c r="H8" s="7" t="s">
        <v>17</v>
      </c>
      <c r="I8" s="7" t="s">
        <v>17</v>
      </c>
      <c r="J8" s="7" t="s">
        <v>242</v>
      </c>
    </row>
    <row r="9" spans="1:10" x14ac:dyDescent="0.25" outlineLevel="1" collapsed="1">
      <c r="A9" s="7" t="s">
        <v>19</v>
      </c>
      <c r="B9" s="7" t="s">
        <v>16</v>
      </c>
      <c r="C9" s="7" t="s">
        <v>17</v>
      </c>
      <c r="D9" s="7"/>
      <c r="E9" s="7" t="s">
        <v>243</v>
      </c>
      <c r="F9" s="7" t="s">
        <v>19</v>
      </c>
      <c r="G9" s="7" t="s">
        <v>244</v>
      </c>
      <c r="H9" s="7" t="s">
        <v>17</v>
      </c>
      <c r="I9" s="7" t="s">
        <v>17</v>
      </c>
      <c r="J9" s="7" t="s">
        <v>245</v>
      </c>
    </row>
    <row r="10" spans="1:10" x14ac:dyDescent="0.25">
      <c r="A10" s="5" t="s">
        <v>19</v>
      </c>
      <c r="B10" s="6" t="s">
        <v>1372</v>
      </c>
      <c r="C10" s="5" t="s">
        <v>17</v>
      </c>
      <c r="D10" s="5"/>
      <c r="E10" s="5" t="s">
        <v>1373</v>
      </c>
      <c r="F10" s="5" t="s">
        <v>15</v>
      </c>
      <c r="G10" s="5" t="s">
        <v>17</v>
      </c>
      <c r="H10" s="5" t="s">
        <v>17</v>
      </c>
      <c r="I10" s="5" t="s">
        <v>17</v>
      </c>
      <c r="J10" s="5" t="s">
        <v>1374</v>
      </c>
    </row>
    <row r="11" spans="1:10" x14ac:dyDescent="0.25" outlineLevel="1" collapsed="1">
      <c r="A11" s="7" t="s">
        <v>19</v>
      </c>
      <c r="B11" s="7" t="s">
        <v>16</v>
      </c>
      <c r="C11" s="7" t="s">
        <v>17</v>
      </c>
      <c r="D11" s="7"/>
      <c r="E11" s="7" t="s">
        <v>1375</v>
      </c>
      <c r="F11" s="7" t="s">
        <v>19</v>
      </c>
      <c r="G11" s="7" t="s">
        <v>31</v>
      </c>
      <c r="H11" s="7" t="s">
        <v>17</v>
      </c>
      <c r="I11" s="7" t="s">
        <v>17</v>
      </c>
      <c r="J11" s="7" t="s">
        <v>1376</v>
      </c>
    </row>
    <row r="12" spans="1:10" x14ac:dyDescent="0.25" outlineLevel="1" collapsed="1">
      <c r="A12" s="7" t="s">
        <v>19</v>
      </c>
      <c r="B12" s="7" t="s">
        <v>16</v>
      </c>
      <c r="C12" s="7" t="s">
        <v>17</v>
      </c>
      <c r="D12" s="7"/>
      <c r="E12" s="7" t="s">
        <v>1377</v>
      </c>
      <c r="F12" s="7" t="s">
        <v>19</v>
      </c>
      <c r="G12" s="7" t="s">
        <v>31</v>
      </c>
      <c r="H12" s="7" t="s">
        <v>17</v>
      </c>
      <c r="I12" s="7" t="s">
        <v>17</v>
      </c>
      <c r="J12" s="7" t="s">
        <v>1378</v>
      </c>
    </row>
    <row r="13" spans="1:10" x14ac:dyDescent="0.25" outlineLevel="1" collapsed="1">
      <c r="A13" s="7" t="s">
        <v>19</v>
      </c>
      <c r="B13" s="7" t="s">
        <v>16</v>
      </c>
      <c r="C13" s="7" t="s">
        <v>17</v>
      </c>
      <c r="D13" s="7"/>
      <c r="E13" s="7" t="s">
        <v>1379</v>
      </c>
      <c r="F13" s="7" t="s">
        <v>19</v>
      </c>
      <c r="G13" s="7" t="s">
        <v>31</v>
      </c>
      <c r="H13" s="7" t="s">
        <v>17</v>
      </c>
      <c r="I13" s="7" t="s">
        <v>17</v>
      </c>
      <c r="J13" s="7" t="s">
        <v>1380</v>
      </c>
    </row>
  </sheetData>
  <mergeCells count="3">
    <mergeCell ref="A1:J1"/>
    <mergeCell ref="B2:J2"/>
    <mergeCell ref="B3:J3"/>
  </mergeCells>
  <hyperlinks>
    <hyperlink ref="B5" r:id="rId1" location="#'MR 3.3.1 Grouped Project Desig'!A1"/>
    <hyperlink ref="B7" r:id="rId2" location="#'MR 3.3.2 New Project Activity'!A1"/>
    <hyperlink ref="B10" r:id="rId3" location="#'Grouped project eligibility ar'!A1"/>
  </hyperlinks>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3387</v>
      </c>
      <c r="B1" s="1"/>
      <c r="C1" s="1"/>
      <c r="D1" s="1"/>
      <c r="E1" s="1"/>
      <c r="F1" s="1"/>
      <c r="G1" s="1"/>
      <c r="H1" s="1"/>
      <c r="I1" s="1"/>
      <c r="J1" s="1"/>
    </row>
    <row r="2" spans="1:10" x14ac:dyDescent="0.25">
      <c r="A2" s="2" t="s">
        <v>1</v>
      </c>
      <c r="B2" s="3" t="s">
        <v>3388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2275</v>
      </c>
      <c r="F5" s="5" t="s">
        <v>19</v>
      </c>
      <c r="G5" s="5" t="s">
        <v>2276</v>
      </c>
      <c r="H5" s="5" t="s">
        <v>17</v>
      </c>
      <c r="I5" s="5" t="s">
        <v>17</v>
      </c>
      <c r="J5" s="5" t="s">
        <v>2277</v>
      </c>
    </row>
    <row r="6" spans="1:10" x14ac:dyDescent="0.25">
      <c r="A6" s="5" t="s">
        <v>19</v>
      </c>
      <c r="B6" s="5" t="s">
        <v>16</v>
      </c>
      <c r="C6" s="5" t="s">
        <v>17</v>
      </c>
      <c r="D6" s="5"/>
      <c r="E6" s="5" t="s">
        <v>2278</v>
      </c>
      <c r="F6" s="5" t="s">
        <v>19</v>
      </c>
      <c r="G6" s="5" t="s">
        <v>2279</v>
      </c>
      <c r="H6" s="5" t="s">
        <v>17</v>
      </c>
      <c r="I6" s="5" t="s">
        <v>17</v>
      </c>
      <c r="J6" s="5" t="s">
        <v>2280</v>
      </c>
    </row>
    <row r="7" spans="1:10" x14ac:dyDescent="0.25">
      <c r="A7" s="5" t="s">
        <v>19</v>
      </c>
      <c r="B7" s="5" t="s">
        <v>63</v>
      </c>
      <c r="C7" s="5" t="s">
        <v>17</v>
      </c>
      <c r="D7" s="5"/>
      <c r="E7" s="5" t="s">
        <v>2281</v>
      </c>
      <c r="F7" s="5" t="s">
        <v>19</v>
      </c>
      <c r="G7" s="5">
        <v>0</v>
      </c>
      <c r="H7" s="5" t="s">
        <v>17</v>
      </c>
      <c r="I7" s="5" t="s">
        <v>17</v>
      </c>
      <c r="J7" s="5" t="s">
        <v>2282</v>
      </c>
    </row>
    <row r="8" spans="1:10" x14ac:dyDescent="0.25">
      <c r="A8" s="5" t="s">
        <v>19</v>
      </c>
      <c r="B8" s="5" t="s">
        <v>63</v>
      </c>
      <c r="C8" s="5" t="s">
        <v>17</v>
      </c>
      <c r="D8" s="5"/>
      <c r="E8" s="5" t="s">
        <v>2283</v>
      </c>
      <c r="F8" s="5" t="s">
        <v>19</v>
      </c>
      <c r="G8" s="5">
        <v>0</v>
      </c>
      <c r="H8" s="5" t="s">
        <v>17</v>
      </c>
      <c r="I8" s="5" t="s">
        <v>17</v>
      </c>
      <c r="J8" s="5" t="s">
        <v>2284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3389</v>
      </c>
      <c r="B1" s="1"/>
      <c r="C1" s="1"/>
      <c r="D1" s="1"/>
      <c r="E1" s="1"/>
      <c r="F1" s="1"/>
      <c r="G1" s="1"/>
      <c r="H1" s="1"/>
      <c r="I1" s="1"/>
      <c r="J1" s="1"/>
    </row>
    <row r="2" spans="1:10" x14ac:dyDescent="0.25">
      <c r="A2" s="2" t="s">
        <v>1</v>
      </c>
      <c r="B2" s="3" t="s">
        <v>3390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154</v>
      </c>
      <c r="F5" s="5" t="s">
        <v>19</v>
      </c>
      <c r="G5" s="5" t="s">
        <v>155</v>
      </c>
      <c r="H5" s="5" t="s">
        <v>17</v>
      </c>
      <c r="I5" s="5" t="s">
        <v>17</v>
      </c>
      <c r="J5" s="5" t="s">
        <v>136</v>
      </c>
    </row>
    <row r="6" spans="1:10" x14ac:dyDescent="0.25">
      <c r="A6" s="5" t="s">
        <v>15</v>
      </c>
      <c r="B6" s="5" t="s">
        <v>16</v>
      </c>
      <c r="C6" s="5" t="s">
        <v>17</v>
      </c>
      <c r="D6" s="5"/>
      <c r="E6" s="5" t="s">
        <v>156</v>
      </c>
      <c r="F6" s="5" t="s">
        <v>19</v>
      </c>
      <c r="G6" s="5" t="s">
        <v>157</v>
      </c>
      <c r="H6" s="5" t="s">
        <v>17</v>
      </c>
      <c r="I6" s="5" t="s">
        <v>17</v>
      </c>
      <c r="J6" s="5" t="s">
        <v>158</v>
      </c>
    </row>
    <row r="7" spans="1:10" x14ac:dyDescent="0.25">
      <c r="A7" s="5" t="s">
        <v>15</v>
      </c>
      <c r="B7" s="5" t="s">
        <v>159</v>
      </c>
      <c r="C7" s="5" t="s">
        <v>17</v>
      </c>
      <c r="D7" s="5"/>
      <c r="E7" s="5" t="s">
        <v>160</v>
      </c>
      <c r="F7" s="5" t="s">
        <v>19</v>
      </c>
      <c r="G7" s="5" t="b">
        <v>0</v>
      </c>
      <c r="H7" s="5" t="s">
        <v>17</v>
      </c>
      <c r="I7" s="5" t="s">
        <v>17</v>
      </c>
      <c r="J7" s="5" t="s">
        <v>161</v>
      </c>
    </row>
    <row r="8" spans="1:10" x14ac:dyDescent="0.25">
      <c r="A8" s="5" t="s">
        <v>19</v>
      </c>
      <c r="B8" s="5" t="s">
        <v>16</v>
      </c>
      <c r="C8" s="5" t="s">
        <v>17</v>
      </c>
      <c r="D8" s="5"/>
      <c r="E8" s="5" t="s">
        <v>162</v>
      </c>
      <c r="F8" s="5" t="s">
        <v>19</v>
      </c>
      <c r="G8" s="5" t="s">
        <v>31</v>
      </c>
      <c r="H8" s="5" t="s">
        <v>17</v>
      </c>
      <c r="I8" s="5" t="s">
        <v>17</v>
      </c>
      <c r="J8" s="5" t="s">
        <v>163</v>
      </c>
    </row>
    <row r="9" spans="1:10" x14ac:dyDescent="0.25">
      <c r="A9" s="5" t="s">
        <v>19</v>
      </c>
      <c r="B9" s="5" t="s">
        <v>16</v>
      </c>
      <c r="C9" s="5" t="s">
        <v>17</v>
      </c>
      <c r="D9" s="5"/>
      <c r="E9" s="5" t="s">
        <v>164</v>
      </c>
      <c r="F9" s="5" t="s">
        <v>19</v>
      </c>
      <c r="G9" s="5" t="s">
        <v>31</v>
      </c>
      <c r="H9" s="5" t="s">
        <v>17</v>
      </c>
      <c r="I9" s="5" t="s">
        <v>17</v>
      </c>
      <c r="J9" s="5" t="s">
        <v>165</v>
      </c>
    </row>
    <row r="10" spans="1:10" x14ac:dyDescent="0.25">
      <c r="A10" s="5" t="s">
        <v>19</v>
      </c>
      <c r="B10" s="5" t="s">
        <v>16</v>
      </c>
      <c r="C10" s="5" t="s">
        <v>17</v>
      </c>
      <c r="D10" s="5"/>
      <c r="E10" s="5" t="s">
        <v>166</v>
      </c>
      <c r="F10" s="5" t="s">
        <v>19</v>
      </c>
      <c r="G10" s="5" t="s">
        <v>31</v>
      </c>
      <c r="H10" s="5" t="s">
        <v>17</v>
      </c>
      <c r="I10" s="5" t="s">
        <v>17</v>
      </c>
      <c r="J10" s="5" t="s">
        <v>167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3391</v>
      </c>
      <c r="B1" s="1"/>
      <c r="C1" s="1"/>
      <c r="D1" s="1"/>
      <c r="E1" s="1"/>
      <c r="F1" s="1"/>
      <c r="G1" s="1"/>
      <c r="H1" s="1"/>
      <c r="I1" s="1"/>
      <c r="J1" s="1"/>
    </row>
    <row r="2" spans="1:10" x14ac:dyDescent="0.25">
      <c r="A2" s="2" t="s">
        <v>1</v>
      </c>
      <c r="B2" s="3" t="s">
        <v>3392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2384</v>
      </c>
      <c r="F5" s="5" t="s">
        <v>19</v>
      </c>
      <c r="G5" s="5" t="s">
        <v>2385</v>
      </c>
      <c r="H5" s="5" t="s">
        <v>17</v>
      </c>
      <c r="I5" s="5" t="s">
        <v>17</v>
      </c>
      <c r="J5" s="5" t="s">
        <v>2386</v>
      </c>
    </row>
    <row r="6" spans="1:10" x14ac:dyDescent="0.25">
      <c r="A6" s="5" t="s">
        <v>19</v>
      </c>
      <c r="B6" s="5" t="s">
        <v>16</v>
      </c>
      <c r="C6" s="5" t="s">
        <v>17</v>
      </c>
      <c r="D6" s="5"/>
      <c r="E6" s="5" t="s">
        <v>2387</v>
      </c>
      <c r="F6" s="5" t="s">
        <v>19</v>
      </c>
      <c r="G6" s="5" t="s">
        <v>2388</v>
      </c>
      <c r="H6" s="5" t="s">
        <v>17</v>
      </c>
      <c r="I6" s="5" t="s">
        <v>17</v>
      </c>
      <c r="J6" s="5" t="s">
        <v>2389</v>
      </c>
    </row>
    <row r="7" spans="1:10" x14ac:dyDescent="0.25">
      <c r="A7" s="5" t="s">
        <v>19</v>
      </c>
      <c r="B7" s="6" t="s">
        <v>2390</v>
      </c>
      <c r="C7" s="5" t="s">
        <v>17</v>
      </c>
      <c r="D7" s="5"/>
      <c r="E7" s="5" t="s">
        <v>2391</v>
      </c>
      <c r="F7" s="5" t="s">
        <v>15</v>
      </c>
      <c r="G7" s="5" t="s">
        <v>17</v>
      </c>
      <c r="H7" s="5" t="s">
        <v>17</v>
      </c>
      <c r="I7" s="5" t="s">
        <v>17</v>
      </c>
      <c r="J7" s="5" t="s">
        <v>2392</v>
      </c>
    </row>
    <row r="8" spans="1:10" x14ac:dyDescent="0.25" outlineLevel="1" collapsed="1">
      <c r="A8" s="7" t="s">
        <v>19</v>
      </c>
      <c r="B8" s="7" t="s">
        <v>16</v>
      </c>
      <c r="C8" s="7" t="s">
        <v>17</v>
      </c>
      <c r="D8" s="7"/>
      <c r="E8" s="7" t="s">
        <v>2393</v>
      </c>
      <c r="F8" s="7" t="s">
        <v>19</v>
      </c>
      <c r="G8" s="7" t="s">
        <v>31</v>
      </c>
      <c r="H8" s="7" t="s">
        <v>17</v>
      </c>
      <c r="I8" s="7" t="s">
        <v>17</v>
      </c>
      <c r="J8" s="7" t="s">
        <v>2394</v>
      </c>
    </row>
    <row r="9" spans="1:10" x14ac:dyDescent="0.25" outlineLevel="1" collapsed="1">
      <c r="A9" s="7" t="s">
        <v>19</v>
      </c>
      <c r="B9" s="7" t="s">
        <v>16</v>
      </c>
      <c r="C9" s="7" t="s">
        <v>17</v>
      </c>
      <c r="D9" s="7"/>
      <c r="E9" s="7" t="s">
        <v>2395</v>
      </c>
      <c r="F9" s="7" t="s">
        <v>19</v>
      </c>
      <c r="G9" s="7" t="s">
        <v>31</v>
      </c>
      <c r="H9" s="7" t="s">
        <v>17</v>
      </c>
      <c r="I9" s="7" t="s">
        <v>17</v>
      </c>
      <c r="J9" s="7" t="s">
        <v>2396</v>
      </c>
    </row>
    <row r="10" spans="1:10" x14ac:dyDescent="0.25">
      <c r="A10" s="5" t="s">
        <v>19</v>
      </c>
      <c r="B10" s="6" t="s">
        <v>1372</v>
      </c>
      <c r="C10" s="5" t="s">
        <v>17</v>
      </c>
      <c r="D10" s="5"/>
      <c r="E10" s="5" t="s">
        <v>1373</v>
      </c>
      <c r="F10" s="5" t="s">
        <v>15</v>
      </c>
      <c r="G10" s="5" t="s">
        <v>17</v>
      </c>
      <c r="H10" s="5" t="s">
        <v>17</v>
      </c>
      <c r="I10" s="5" t="s">
        <v>17</v>
      </c>
      <c r="J10" s="5" t="s">
        <v>1374</v>
      </c>
    </row>
    <row r="11" spans="1:10" x14ac:dyDescent="0.25" outlineLevel="1" collapsed="1">
      <c r="A11" s="7" t="s">
        <v>19</v>
      </c>
      <c r="B11" s="7" t="s">
        <v>16</v>
      </c>
      <c r="C11" s="7" t="s">
        <v>17</v>
      </c>
      <c r="D11" s="7"/>
      <c r="E11" s="7" t="s">
        <v>1375</v>
      </c>
      <c r="F11" s="7" t="s">
        <v>19</v>
      </c>
      <c r="G11" s="7" t="s">
        <v>31</v>
      </c>
      <c r="H11" s="7" t="s">
        <v>17</v>
      </c>
      <c r="I11" s="7" t="s">
        <v>17</v>
      </c>
      <c r="J11" s="7" t="s">
        <v>1376</v>
      </c>
    </row>
    <row r="12" spans="1:10" x14ac:dyDescent="0.25" outlineLevel="1" collapsed="1">
      <c r="A12" s="7" t="s">
        <v>19</v>
      </c>
      <c r="B12" s="7" t="s">
        <v>16</v>
      </c>
      <c r="C12" s="7" t="s">
        <v>17</v>
      </c>
      <c r="D12" s="7"/>
      <c r="E12" s="7" t="s">
        <v>1377</v>
      </c>
      <c r="F12" s="7" t="s">
        <v>19</v>
      </c>
      <c r="G12" s="7" t="s">
        <v>31</v>
      </c>
      <c r="H12" s="7" t="s">
        <v>17</v>
      </c>
      <c r="I12" s="7" t="s">
        <v>17</v>
      </c>
      <c r="J12" s="7" t="s">
        <v>1378</v>
      </c>
    </row>
    <row r="13" spans="1:10" x14ac:dyDescent="0.25" outlineLevel="1" collapsed="1">
      <c r="A13" s="7" t="s">
        <v>19</v>
      </c>
      <c r="B13" s="7" t="s">
        <v>16</v>
      </c>
      <c r="C13" s="7" t="s">
        <v>17</v>
      </c>
      <c r="D13" s="7"/>
      <c r="E13" s="7" t="s">
        <v>1379</v>
      </c>
      <c r="F13" s="7" t="s">
        <v>19</v>
      </c>
      <c r="G13" s="7" t="s">
        <v>31</v>
      </c>
      <c r="H13" s="7" t="s">
        <v>17</v>
      </c>
      <c r="I13" s="7" t="s">
        <v>17</v>
      </c>
      <c r="J13" s="7" t="s">
        <v>1380</v>
      </c>
    </row>
    <row r="14" spans="1:10" x14ac:dyDescent="0.25">
      <c r="A14" s="5" t="s">
        <v>19</v>
      </c>
      <c r="B14" s="6" t="s">
        <v>2397</v>
      </c>
      <c r="C14" s="5" t="s">
        <v>17</v>
      </c>
      <c r="D14" s="5"/>
      <c r="E14" s="5" t="s">
        <v>2398</v>
      </c>
      <c r="F14" s="5" t="s">
        <v>15</v>
      </c>
      <c r="G14" s="5" t="s">
        <v>17</v>
      </c>
      <c r="H14" s="5" t="s">
        <v>17</v>
      </c>
      <c r="I14" s="5" t="s">
        <v>17</v>
      </c>
      <c r="J14" s="5" t="s">
        <v>2399</v>
      </c>
    </row>
    <row r="15" spans="1:10" x14ac:dyDescent="0.25" outlineLevel="1" collapsed="1">
      <c r="A15" s="7" t="s">
        <v>19</v>
      </c>
      <c r="B15" s="7" t="s">
        <v>16</v>
      </c>
      <c r="C15" s="7" t="s">
        <v>17</v>
      </c>
      <c r="D15" s="7"/>
      <c r="E15" s="7" t="s">
        <v>1375</v>
      </c>
      <c r="F15" s="7" t="s">
        <v>19</v>
      </c>
      <c r="G15" s="7" t="s">
        <v>31</v>
      </c>
      <c r="H15" s="7" t="s">
        <v>17</v>
      </c>
      <c r="I15" s="7" t="s">
        <v>17</v>
      </c>
      <c r="J15" s="7" t="s">
        <v>1376</v>
      </c>
    </row>
    <row r="16" spans="1:10" x14ac:dyDescent="0.25" outlineLevel="1" collapsed="1">
      <c r="A16" s="7" t="s">
        <v>19</v>
      </c>
      <c r="B16" s="7" t="s">
        <v>16</v>
      </c>
      <c r="C16" s="7" t="s">
        <v>17</v>
      </c>
      <c r="D16" s="7"/>
      <c r="E16" s="7" t="s">
        <v>2400</v>
      </c>
      <c r="F16" s="7" t="s">
        <v>19</v>
      </c>
      <c r="G16" s="7" t="s">
        <v>31</v>
      </c>
      <c r="H16" s="7" t="s">
        <v>17</v>
      </c>
      <c r="I16" s="7" t="s">
        <v>17</v>
      </c>
      <c r="J16" s="7" t="s">
        <v>2401</v>
      </c>
    </row>
    <row r="17" spans="1:10" x14ac:dyDescent="0.25" outlineLevel="1" collapsed="1">
      <c r="A17" s="7" t="s">
        <v>19</v>
      </c>
      <c r="B17" s="7" t="s">
        <v>16</v>
      </c>
      <c r="C17" s="7" t="s">
        <v>17</v>
      </c>
      <c r="D17" s="7"/>
      <c r="E17" s="7" t="s">
        <v>2402</v>
      </c>
      <c r="F17" s="7" t="s">
        <v>19</v>
      </c>
      <c r="G17" s="7" t="s">
        <v>31</v>
      </c>
      <c r="H17" s="7" t="s">
        <v>17</v>
      </c>
      <c r="I17" s="7" t="s">
        <v>17</v>
      </c>
      <c r="J17" s="7" t="s">
        <v>2403</v>
      </c>
    </row>
    <row r="18" spans="1:10" x14ac:dyDescent="0.25" outlineLevel="1" collapsed="1">
      <c r="A18" s="7" t="s">
        <v>19</v>
      </c>
      <c r="B18" s="7" t="s">
        <v>16</v>
      </c>
      <c r="C18" s="7" t="s">
        <v>17</v>
      </c>
      <c r="D18" s="7"/>
      <c r="E18" s="7" t="s">
        <v>2404</v>
      </c>
      <c r="F18" s="7" t="s">
        <v>19</v>
      </c>
      <c r="G18" s="7" t="s">
        <v>31</v>
      </c>
      <c r="H18" s="7" t="s">
        <v>17</v>
      </c>
      <c r="I18" s="7" t="s">
        <v>17</v>
      </c>
      <c r="J18" s="7" t="s">
        <v>2405</v>
      </c>
    </row>
    <row r="19" spans="1:10" x14ac:dyDescent="0.25" outlineLevel="1" collapsed="1">
      <c r="A19" s="7" t="s">
        <v>19</v>
      </c>
      <c r="B19" s="7" t="s">
        <v>16</v>
      </c>
      <c r="C19" s="7" t="s">
        <v>17</v>
      </c>
      <c r="D19" s="7"/>
      <c r="E19" s="7" t="s">
        <v>2406</v>
      </c>
      <c r="F19" s="7" t="s">
        <v>19</v>
      </c>
      <c r="G19" s="7" t="s">
        <v>31</v>
      </c>
      <c r="H19" s="7" t="s">
        <v>17</v>
      </c>
      <c r="I19" s="7" t="s">
        <v>17</v>
      </c>
      <c r="J19" s="7" t="s">
        <v>2407</v>
      </c>
    </row>
    <row r="20" spans="1:10" x14ac:dyDescent="0.25" outlineLevel="1" collapsed="1">
      <c r="A20" s="7" t="s">
        <v>19</v>
      </c>
      <c r="B20" s="7" t="s">
        <v>16</v>
      </c>
      <c r="C20" s="7" t="s">
        <v>17</v>
      </c>
      <c r="D20" s="7"/>
      <c r="E20" s="7" t="s">
        <v>2408</v>
      </c>
      <c r="F20" s="7" t="s">
        <v>19</v>
      </c>
      <c r="G20" s="7" t="s">
        <v>31</v>
      </c>
      <c r="H20" s="7" t="s">
        <v>17</v>
      </c>
      <c r="I20" s="7" t="s">
        <v>17</v>
      </c>
      <c r="J20" s="7" t="s">
        <v>2409</v>
      </c>
    </row>
  </sheetData>
  <mergeCells count="3">
    <mergeCell ref="A1:J1"/>
    <mergeCell ref="B2:J2"/>
    <mergeCell ref="B3:J3"/>
  </mergeCells>
  <hyperlinks>
    <hyperlink ref="B7" r:id="rId1" location="#'Project activity instances row'!A1"/>
    <hyperlink ref="B10" r:id="rId2" location="#'Grouped project eligibility ar'!A1"/>
    <hyperlink ref="B14" r:id="rId3" location="#'Eligibility criteria per eligi'!A1"/>
  </hyperlinks>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3393</v>
      </c>
      <c r="B1" s="1"/>
      <c r="C1" s="1"/>
      <c r="D1" s="1"/>
      <c r="E1" s="1"/>
      <c r="F1" s="1"/>
      <c r="G1" s="1"/>
      <c r="H1" s="1"/>
      <c r="I1" s="1"/>
      <c r="J1" s="1"/>
    </row>
    <row r="2" spans="1:10" x14ac:dyDescent="0.25">
      <c r="A2" s="2" t="s">
        <v>1</v>
      </c>
      <c r="B2" s="3" t="s">
        <v>3394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1098</v>
      </c>
      <c r="F5" s="5" t="s">
        <v>19</v>
      </c>
      <c r="G5" s="5" t="s">
        <v>1099</v>
      </c>
      <c r="H5" s="5" t="s">
        <v>17</v>
      </c>
      <c r="I5" s="5" t="s">
        <v>17</v>
      </c>
      <c r="J5" s="5" t="s">
        <v>1100</v>
      </c>
    </row>
    <row r="6" spans="1:10" x14ac:dyDescent="0.25">
      <c r="A6" s="5" t="s">
        <v>19</v>
      </c>
      <c r="B6" s="5" t="s">
        <v>16</v>
      </c>
      <c r="C6" s="5" t="s">
        <v>17</v>
      </c>
      <c r="D6" s="5"/>
      <c r="E6" s="5" t="s">
        <v>1101</v>
      </c>
      <c r="F6" s="5" t="s">
        <v>19</v>
      </c>
      <c r="G6" s="5" t="s">
        <v>31</v>
      </c>
      <c r="H6" s="5" t="s">
        <v>17</v>
      </c>
      <c r="I6" s="5" t="s">
        <v>17</v>
      </c>
      <c r="J6" s="5" t="s">
        <v>1102</v>
      </c>
    </row>
    <row r="7" spans="1:10" x14ac:dyDescent="0.25">
      <c r="A7" s="5" t="s">
        <v>19</v>
      </c>
      <c r="B7" s="5" t="s">
        <v>16</v>
      </c>
      <c r="C7" s="5" t="s">
        <v>17</v>
      </c>
      <c r="D7" s="5"/>
      <c r="E7" s="5" t="s">
        <v>1103</v>
      </c>
      <c r="F7" s="5" t="s">
        <v>19</v>
      </c>
      <c r="G7" s="5" t="s">
        <v>31</v>
      </c>
      <c r="H7" s="5" t="s">
        <v>17</v>
      </c>
      <c r="I7" s="5" t="s">
        <v>17</v>
      </c>
      <c r="J7" s="5" t="s">
        <v>1104</v>
      </c>
    </row>
    <row r="8" spans="1:10" x14ac:dyDescent="0.25">
      <c r="A8" s="5" t="s">
        <v>19</v>
      </c>
      <c r="B8" s="5" t="s">
        <v>16</v>
      </c>
      <c r="C8" s="5" t="s">
        <v>17</v>
      </c>
      <c r="D8" s="5"/>
      <c r="E8" s="5" t="s">
        <v>1105</v>
      </c>
      <c r="F8" s="5" t="s">
        <v>19</v>
      </c>
      <c r="G8" s="5" t="s">
        <v>31</v>
      </c>
      <c r="H8" s="5" t="s">
        <v>17</v>
      </c>
      <c r="I8" s="5" t="s">
        <v>17</v>
      </c>
      <c r="J8" s="5" t="s">
        <v>1082</v>
      </c>
    </row>
    <row r="9" spans="1:10" x14ac:dyDescent="0.25">
      <c r="A9" s="5" t="s">
        <v>19</v>
      </c>
      <c r="B9" s="5" t="s">
        <v>16</v>
      </c>
      <c r="C9" s="5" t="s">
        <v>17</v>
      </c>
      <c r="D9" s="5"/>
      <c r="E9" s="5" t="s">
        <v>1106</v>
      </c>
      <c r="F9" s="5" t="s">
        <v>19</v>
      </c>
      <c r="G9" s="5" t="s">
        <v>31</v>
      </c>
      <c r="H9" s="5" t="s">
        <v>17</v>
      </c>
      <c r="I9" s="5" t="s">
        <v>17</v>
      </c>
      <c r="J9" s="5" t="s">
        <v>1085</v>
      </c>
    </row>
    <row r="10" spans="1:10" x14ac:dyDescent="0.25">
      <c r="A10" s="5" t="s">
        <v>19</v>
      </c>
      <c r="B10" s="5" t="s">
        <v>16</v>
      </c>
      <c r="C10" s="5" t="s">
        <v>17</v>
      </c>
      <c r="D10" s="5"/>
      <c r="E10" s="5" t="s">
        <v>1107</v>
      </c>
      <c r="F10" s="5" t="s">
        <v>19</v>
      </c>
      <c r="G10" s="5" t="s">
        <v>31</v>
      </c>
      <c r="H10" s="5" t="s">
        <v>17</v>
      </c>
      <c r="I10" s="5" t="s">
        <v>17</v>
      </c>
      <c r="J10" s="5" t="s">
        <v>1088</v>
      </c>
    </row>
    <row r="11" spans="1:10" x14ac:dyDescent="0.25">
      <c r="A11" s="5" t="s">
        <v>19</v>
      </c>
      <c r="B11" s="5" t="s">
        <v>16</v>
      </c>
      <c r="C11" s="5" t="s">
        <v>17</v>
      </c>
      <c r="D11" s="5"/>
      <c r="E11" s="5" t="s">
        <v>1108</v>
      </c>
      <c r="F11" s="5" t="s">
        <v>19</v>
      </c>
      <c r="G11" s="5" t="s">
        <v>31</v>
      </c>
      <c r="H11" s="5" t="s">
        <v>17</v>
      </c>
      <c r="I11" s="5" t="s">
        <v>17</v>
      </c>
      <c r="J11" s="5" t="s">
        <v>1091</v>
      </c>
    </row>
    <row r="12" spans="1:10" x14ac:dyDescent="0.25">
      <c r="A12" s="5" t="s">
        <v>19</v>
      </c>
      <c r="B12" s="5" t="s">
        <v>16</v>
      </c>
      <c r="C12" s="5" t="s">
        <v>17</v>
      </c>
      <c r="D12" s="5"/>
      <c r="E12" s="5" t="s">
        <v>1109</v>
      </c>
      <c r="F12" s="5" t="s">
        <v>19</v>
      </c>
      <c r="G12" s="5" t="s">
        <v>31</v>
      </c>
      <c r="H12" s="5" t="s">
        <v>17</v>
      </c>
      <c r="I12" s="5" t="s">
        <v>17</v>
      </c>
      <c r="J12" s="5" t="s">
        <v>1094</v>
      </c>
    </row>
    <row r="13" spans="1:10" x14ac:dyDescent="0.25">
      <c r="A13" s="5" t="s">
        <v>19</v>
      </c>
      <c r="B13" s="5" t="s">
        <v>16</v>
      </c>
      <c r="C13" s="5" t="s">
        <v>17</v>
      </c>
      <c r="D13" s="5"/>
      <c r="E13" s="5" t="s">
        <v>1110</v>
      </c>
      <c r="F13" s="5" t="s">
        <v>19</v>
      </c>
      <c r="G13" s="5" t="s">
        <v>31</v>
      </c>
      <c r="H13" s="5" t="s">
        <v>17</v>
      </c>
      <c r="I13" s="5" t="s">
        <v>17</v>
      </c>
      <c r="J13" s="5" t="s">
        <v>1111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3395</v>
      </c>
      <c r="B1" s="1"/>
      <c r="C1" s="1"/>
      <c r="D1" s="1"/>
      <c r="E1" s="1"/>
      <c r="F1" s="1"/>
      <c r="G1" s="1"/>
      <c r="H1" s="1"/>
      <c r="I1" s="1"/>
      <c r="J1" s="1"/>
    </row>
    <row r="2" spans="1:10" x14ac:dyDescent="0.25">
      <c r="A2" s="2" t="s">
        <v>1</v>
      </c>
      <c r="B2" s="3" t="s">
        <v>3396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2658</v>
      </c>
      <c r="F5" s="5" t="s">
        <v>19</v>
      </c>
      <c r="G5" s="5" t="s">
        <v>2659</v>
      </c>
      <c r="H5" s="5" t="s">
        <v>17</v>
      </c>
      <c r="I5" s="5" t="s">
        <v>17</v>
      </c>
      <c r="J5" s="5" t="s">
        <v>2660</v>
      </c>
    </row>
    <row r="6" spans="1:10" x14ac:dyDescent="0.25">
      <c r="A6" s="5" t="s">
        <v>15</v>
      </c>
      <c r="B6" s="5" t="s">
        <v>284</v>
      </c>
      <c r="C6" s="10" t="s">
        <v>2661</v>
      </c>
      <c r="D6" s="5"/>
      <c r="E6" s="5" t="s">
        <v>2662</v>
      </c>
      <c r="F6" s="5" t="s">
        <v>19</v>
      </c>
      <c r="G6" s="5" t="s">
        <v>2663</v>
      </c>
      <c r="H6" s="5" t="s">
        <v>17</v>
      </c>
      <c r="I6" s="5" t="s">
        <v>17</v>
      </c>
      <c r="J6" s="5" t="s">
        <v>2664</v>
      </c>
    </row>
    <row r="7" spans="1:10" x14ac:dyDescent="0.25">
      <c r="A7" s="5" t="s">
        <v>15</v>
      </c>
      <c r="B7" s="5" t="s">
        <v>284</v>
      </c>
      <c r="C7" s="10" t="s">
        <v>2665</v>
      </c>
      <c r="D7" s="5"/>
      <c r="E7" s="5" t="s">
        <v>2666</v>
      </c>
      <c r="F7" s="5" t="s">
        <v>19</v>
      </c>
      <c r="G7" s="5" t="s">
        <v>1929</v>
      </c>
      <c r="H7" s="5" t="s">
        <v>17</v>
      </c>
      <c r="I7" s="5" t="s">
        <v>17</v>
      </c>
      <c r="J7" s="5" t="s">
        <v>1725</v>
      </c>
    </row>
    <row r="8" spans="1:10" x14ac:dyDescent="0.25">
      <c r="A8" s="5" t="s">
        <v>15</v>
      </c>
      <c r="B8" s="5" t="s">
        <v>284</v>
      </c>
      <c r="C8" s="10" t="s">
        <v>2667</v>
      </c>
      <c r="D8" s="5"/>
      <c r="E8" s="5" t="s">
        <v>2668</v>
      </c>
      <c r="F8" s="5" t="s">
        <v>19</v>
      </c>
      <c r="G8" s="5" t="s">
        <v>2669</v>
      </c>
      <c r="H8" s="5" t="s">
        <v>17</v>
      </c>
      <c r="I8" s="5" t="s">
        <v>17</v>
      </c>
      <c r="J8" s="5" t="s">
        <v>2670</v>
      </c>
    </row>
    <row r="9" spans="1:10" x14ac:dyDescent="0.25">
      <c r="A9" s="5" t="s">
        <v>15</v>
      </c>
      <c r="B9" s="5" t="s">
        <v>63</v>
      </c>
      <c r="C9" s="5" t="s">
        <v>17</v>
      </c>
      <c r="D9" s="5"/>
      <c r="E9" s="5" t="s">
        <v>2671</v>
      </c>
      <c r="F9" s="5" t="s">
        <v>19</v>
      </c>
      <c r="G9" s="5">
        <v>0.8</v>
      </c>
      <c r="H9" s="5" t="s">
        <v>17</v>
      </c>
      <c r="I9" s="5" t="s">
        <v>17</v>
      </c>
      <c r="J9" s="5" t="s">
        <v>2672</v>
      </c>
    </row>
    <row r="10" spans="1:10" x14ac:dyDescent="0.25">
      <c r="A10" s="5" t="s">
        <v>15</v>
      </c>
      <c r="B10" s="5" t="s">
        <v>63</v>
      </c>
      <c r="C10" s="5" t="s">
        <v>17</v>
      </c>
      <c r="D10" s="5"/>
      <c r="E10" s="5" t="s">
        <v>2673</v>
      </c>
      <c r="F10" s="5" t="s">
        <v>19</v>
      </c>
      <c r="G10" s="5">
        <v>112</v>
      </c>
      <c r="H10" s="5" t="s">
        <v>17</v>
      </c>
      <c r="I10" s="5" t="s">
        <v>17</v>
      </c>
      <c r="J10" s="5" t="s">
        <v>2674</v>
      </c>
    </row>
    <row r="11" spans="1:10" x14ac:dyDescent="0.25">
      <c r="A11" s="5" t="s">
        <v>15</v>
      </c>
      <c r="B11" s="5" t="s">
        <v>63</v>
      </c>
      <c r="C11" s="5" t="s">
        <v>17</v>
      </c>
      <c r="D11" s="5"/>
      <c r="E11" s="5" t="s">
        <v>2675</v>
      </c>
      <c r="F11" s="5" t="s">
        <v>19</v>
      </c>
      <c r="G11" s="5">
        <v>9.46</v>
      </c>
      <c r="H11" s="5" t="s">
        <v>17</v>
      </c>
      <c r="I11" s="5" t="s">
        <v>17</v>
      </c>
      <c r="J11" s="5" t="s">
        <v>2676</v>
      </c>
    </row>
    <row r="12" spans="1:10" x14ac:dyDescent="0.25">
      <c r="A12" s="5" t="s">
        <v>15</v>
      </c>
      <c r="B12" s="5" t="s">
        <v>284</v>
      </c>
      <c r="C12" s="10" t="s">
        <v>2677</v>
      </c>
      <c r="D12" s="5"/>
      <c r="E12" s="5" t="s">
        <v>2678</v>
      </c>
      <c r="F12" s="5" t="s">
        <v>19</v>
      </c>
      <c r="G12" s="5" t="s">
        <v>2679</v>
      </c>
      <c r="H12" s="5" t="s">
        <v>17</v>
      </c>
      <c r="I12" s="5" t="s">
        <v>17</v>
      </c>
      <c r="J12" s="5" t="s">
        <v>2680</v>
      </c>
    </row>
    <row r="13" spans="1:10" x14ac:dyDescent="0.25">
      <c r="A13" s="5" t="s">
        <v>19</v>
      </c>
      <c r="B13" s="5" t="s">
        <v>63</v>
      </c>
      <c r="C13" s="5" t="s">
        <v>17</v>
      </c>
      <c r="D13" s="5">
        <f>EXACT(G6,"Non-renewable biomass (woody biomass or charcoal)")</f>
      </c>
      <c r="E13" s="5" t="s">
        <v>2681</v>
      </c>
      <c r="F13" s="5" t="s">
        <v>19</v>
      </c>
      <c r="G13" s="5">
        <v>0.29</v>
      </c>
      <c r="H13" s="5" t="s">
        <v>17</v>
      </c>
      <c r="I13" s="5" t="s">
        <v>17</v>
      </c>
      <c r="J13" s="5" t="s">
        <v>2682</v>
      </c>
    </row>
    <row r="14" spans="1:10" x14ac:dyDescent="0.25">
      <c r="A14" s="5" t="s">
        <v>19</v>
      </c>
      <c r="B14" s="5" t="s">
        <v>16</v>
      </c>
      <c r="C14" s="5" t="s">
        <v>17</v>
      </c>
      <c r="D14" s="5">
        <f>EXACT(G6,"Non-renewable biomass (woody biomass or charcoal)")</f>
      </c>
      <c r="E14" s="5" t="s">
        <v>2683</v>
      </c>
      <c r="F14" s="5" t="s">
        <v>19</v>
      </c>
      <c r="G14" s="5" t="s">
        <v>31</v>
      </c>
      <c r="H14" s="5" t="s">
        <v>17</v>
      </c>
      <c r="I14" s="5" t="s">
        <v>17</v>
      </c>
      <c r="J14" s="5" t="s">
        <v>2684</v>
      </c>
    </row>
    <row r="15" spans="1:10" x14ac:dyDescent="0.25">
      <c r="A15" s="5" t="s">
        <v>19</v>
      </c>
      <c r="B15" s="5" t="s">
        <v>63</v>
      </c>
      <c r="C15" s="5" t="s">
        <v>17</v>
      </c>
      <c r="D15" s="5">
        <f>EXACT(G6,"Fossil fuel")</f>
      </c>
      <c r="E15" s="5" t="s">
        <v>2685</v>
      </c>
      <c r="F15" s="5" t="s">
        <v>19</v>
      </c>
      <c r="G15" s="5">
        <v>1</v>
      </c>
      <c r="H15" s="5" t="s">
        <v>17</v>
      </c>
      <c r="I15" s="5" t="s">
        <v>17</v>
      </c>
      <c r="J15" s="5" t="s">
        <v>2686</v>
      </c>
    </row>
  </sheetData>
  <mergeCells count="3">
    <mergeCell ref="A1:J1"/>
    <mergeCell ref="B2:J2"/>
    <mergeCell ref="B3:J3"/>
  </mergeCells>
  <dataValidations count="4">
    <dataValidation type="list" allowBlank="1" sqref="G12:I12">
      <formula1>'Enums'!C677:C679</formula1>
    </dataValidation>
    <dataValidation type="list" allowBlank="1" sqref="G6:I6">
      <formula1>'Enums'!C663:C664</formula1>
    </dataValidation>
    <dataValidation type="list" allowBlank="1" sqref="G7:I7">
      <formula1>'Enums'!C665:C671</formula1>
    </dataValidation>
    <dataValidation type="list" allowBlank="1" sqref="G8:I8">
      <formula1>'Enums'!C672:C676</formula1>
    </dataValidation>
  </dataValidations>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3397</v>
      </c>
      <c r="B1" s="1"/>
      <c r="C1" s="1"/>
      <c r="D1" s="1"/>
      <c r="E1" s="1"/>
      <c r="F1" s="1"/>
      <c r="G1" s="1"/>
      <c r="H1" s="1"/>
      <c r="I1" s="1"/>
      <c r="J1" s="1"/>
    </row>
    <row r="2" spans="1:10" x14ac:dyDescent="0.25">
      <c r="A2" s="2" t="s">
        <v>1</v>
      </c>
      <c r="B2" s="3" t="s">
        <v>3398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2699</v>
      </c>
      <c r="D5" s="5"/>
      <c r="E5" s="5" t="s">
        <v>2700</v>
      </c>
      <c r="F5" s="5" t="s">
        <v>19</v>
      </c>
      <c r="G5" s="5" t="s">
        <v>2669</v>
      </c>
      <c r="H5" s="5" t="s">
        <v>17</v>
      </c>
      <c r="I5" s="5" t="s">
        <v>17</v>
      </c>
      <c r="J5" s="5" t="s">
        <v>2701</v>
      </c>
    </row>
    <row r="6" spans="1:10" x14ac:dyDescent="0.25">
      <c r="A6" s="5" t="s">
        <v>15</v>
      </c>
      <c r="B6" s="5" t="s">
        <v>63</v>
      </c>
      <c r="C6" s="5" t="s">
        <v>17</v>
      </c>
      <c r="D6" s="5"/>
      <c r="E6" s="5" t="s">
        <v>2702</v>
      </c>
      <c r="F6" s="5" t="s">
        <v>19</v>
      </c>
      <c r="G6" s="5">
        <v>7</v>
      </c>
      <c r="H6" s="5" t="s">
        <v>17</v>
      </c>
      <c r="I6" s="5" t="s">
        <v>17</v>
      </c>
      <c r="J6" s="5" t="s">
        <v>2703</v>
      </c>
    </row>
    <row r="7" spans="1:10" x14ac:dyDescent="0.25">
      <c r="A7" s="5" t="s">
        <v>15</v>
      </c>
      <c r="B7" s="5" t="s">
        <v>63</v>
      </c>
      <c r="C7" s="5" t="s">
        <v>17</v>
      </c>
      <c r="D7" s="5"/>
      <c r="E7" s="5" t="s">
        <v>2704</v>
      </c>
      <c r="F7" s="5" t="s">
        <v>19</v>
      </c>
      <c r="G7" s="5">
        <v>0.1</v>
      </c>
      <c r="H7" s="5" t="s">
        <v>17</v>
      </c>
      <c r="I7" s="5" t="s">
        <v>17</v>
      </c>
      <c r="J7" s="5" t="s">
        <v>1622</v>
      </c>
    </row>
    <row r="8" spans="1:10" x14ac:dyDescent="0.25">
      <c r="A8" s="5" t="s">
        <v>15</v>
      </c>
      <c r="B8" s="5" t="s">
        <v>284</v>
      </c>
      <c r="C8" s="10" t="s">
        <v>2705</v>
      </c>
      <c r="D8" s="5"/>
      <c r="E8" s="5" t="s">
        <v>2706</v>
      </c>
      <c r="F8" s="5" t="s">
        <v>19</v>
      </c>
      <c r="G8" s="5" t="s">
        <v>2707</v>
      </c>
      <c r="H8" s="5" t="s">
        <v>17</v>
      </c>
      <c r="I8" s="5" t="s">
        <v>17</v>
      </c>
      <c r="J8" s="5" t="s">
        <v>2708</v>
      </c>
    </row>
  </sheetData>
  <mergeCells count="3">
    <mergeCell ref="A1:J1"/>
    <mergeCell ref="B2:J2"/>
    <mergeCell ref="B3:J3"/>
  </mergeCells>
  <dataValidations count="2">
    <dataValidation type="list" allowBlank="1" sqref="G5:I5">
      <formula1>'Enums'!C680:C684</formula1>
    </dataValidation>
    <dataValidation type="list" allowBlank="1" sqref="G8:I8">
      <formula1>'Enums'!C685:C686</formula1>
    </dataValidation>
  </dataValidations>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2687</v>
      </c>
      <c r="B1" s="1"/>
      <c r="C1" s="1"/>
      <c r="D1" s="1"/>
      <c r="E1" s="1"/>
      <c r="F1" s="1"/>
      <c r="G1" s="1"/>
      <c r="H1" s="1"/>
      <c r="I1" s="1"/>
      <c r="J1" s="1"/>
    </row>
    <row r="2" spans="1:10" x14ac:dyDescent="0.25">
      <c r="A2" s="2" t="s">
        <v>1</v>
      </c>
      <c r="B2" s="3" t="s">
        <v>3399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2690</v>
      </c>
      <c r="F5" s="5" t="s">
        <v>19</v>
      </c>
      <c r="G5" s="5" t="s">
        <v>31</v>
      </c>
      <c r="H5" s="5" t="s">
        <v>17</v>
      </c>
      <c r="I5" s="5" t="s">
        <v>17</v>
      </c>
      <c r="J5" s="5" t="s">
        <v>2691</v>
      </c>
    </row>
    <row r="6" spans="1:10" x14ac:dyDescent="0.25">
      <c r="A6" s="5" t="s">
        <v>15</v>
      </c>
      <c r="B6" s="5" t="s">
        <v>63</v>
      </c>
      <c r="C6" s="5" t="s">
        <v>17</v>
      </c>
      <c r="D6" s="5"/>
      <c r="E6" s="5" t="s">
        <v>2692</v>
      </c>
      <c r="F6" s="5" t="s">
        <v>19</v>
      </c>
      <c r="G6" s="5">
        <v>5</v>
      </c>
      <c r="H6" s="5" t="s">
        <v>17</v>
      </c>
      <c r="I6" s="5" t="s">
        <v>17</v>
      </c>
      <c r="J6" s="5" t="s">
        <v>2693</v>
      </c>
    </row>
    <row r="7" spans="1:10" x14ac:dyDescent="0.25">
      <c r="A7" s="5" t="s">
        <v>15</v>
      </c>
      <c r="B7" s="5" t="s">
        <v>159</v>
      </c>
      <c r="C7" s="5" t="s">
        <v>17</v>
      </c>
      <c r="D7" s="5"/>
      <c r="E7" s="5" t="s">
        <v>2694</v>
      </c>
      <c r="F7" s="5" t="s">
        <v>19</v>
      </c>
      <c r="G7" s="5" t="b">
        <v>1</v>
      </c>
      <c r="H7" s="5" t="s">
        <v>17</v>
      </c>
      <c r="I7" s="5" t="s">
        <v>17</v>
      </c>
      <c r="J7" s="5" t="s">
        <v>2695</v>
      </c>
    </row>
    <row r="8" spans="1:10" x14ac:dyDescent="0.25">
      <c r="A8" s="5" t="s">
        <v>15</v>
      </c>
      <c r="B8" s="6" t="s">
        <v>2696</v>
      </c>
      <c r="C8" s="5" t="s">
        <v>17</v>
      </c>
      <c r="D8" s="5"/>
      <c r="E8" s="5" t="s">
        <v>2697</v>
      </c>
      <c r="F8" s="5" t="s">
        <v>15</v>
      </c>
      <c r="G8" s="5" t="s">
        <v>17</v>
      </c>
      <c r="H8" s="5" t="s">
        <v>17</v>
      </c>
      <c r="I8" s="5" t="s">
        <v>17</v>
      </c>
      <c r="J8" s="5" t="s">
        <v>2698</v>
      </c>
    </row>
    <row r="9" spans="1:10" x14ac:dyDescent="0.25" outlineLevel="1" collapsed="1">
      <c r="A9" s="7" t="s">
        <v>15</v>
      </c>
      <c r="B9" s="7" t="s">
        <v>284</v>
      </c>
      <c r="C9" s="11" t="s">
        <v>2699</v>
      </c>
      <c r="D9" s="7"/>
      <c r="E9" s="7" t="s">
        <v>2700</v>
      </c>
      <c r="F9" s="7" t="s">
        <v>19</v>
      </c>
      <c r="G9" s="7" t="s">
        <v>2669</v>
      </c>
      <c r="H9" s="7" t="s">
        <v>17</v>
      </c>
      <c r="I9" s="7" t="s">
        <v>17</v>
      </c>
      <c r="J9" s="7" t="s">
        <v>2701</v>
      </c>
    </row>
    <row r="10" spans="1:10" x14ac:dyDescent="0.25" outlineLevel="1" collapsed="1">
      <c r="A10" s="7" t="s">
        <v>15</v>
      </c>
      <c r="B10" s="7" t="s">
        <v>63</v>
      </c>
      <c r="C10" s="7" t="s">
        <v>17</v>
      </c>
      <c r="D10" s="7"/>
      <c r="E10" s="7" t="s">
        <v>2702</v>
      </c>
      <c r="F10" s="7" t="s">
        <v>19</v>
      </c>
      <c r="G10" s="7">
        <v>7</v>
      </c>
      <c r="H10" s="7" t="s">
        <v>17</v>
      </c>
      <c r="I10" s="7" t="s">
        <v>17</v>
      </c>
      <c r="J10" s="7" t="s">
        <v>2703</v>
      </c>
    </row>
    <row r="11" spans="1:10" x14ac:dyDescent="0.25" outlineLevel="1" collapsed="1">
      <c r="A11" s="7" t="s">
        <v>15</v>
      </c>
      <c r="B11" s="7" t="s">
        <v>63</v>
      </c>
      <c r="C11" s="7" t="s">
        <v>17</v>
      </c>
      <c r="D11" s="7"/>
      <c r="E11" s="7" t="s">
        <v>2704</v>
      </c>
      <c r="F11" s="7" t="s">
        <v>19</v>
      </c>
      <c r="G11" s="7">
        <v>0.1</v>
      </c>
      <c r="H11" s="7" t="s">
        <v>17</v>
      </c>
      <c r="I11" s="7" t="s">
        <v>17</v>
      </c>
      <c r="J11" s="7" t="s">
        <v>1622</v>
      </c>
    </row>
    <row r="12" spans="1:10" x14ac:dyDescent="0.25" outlineLevel="1" collapsed="1">
      <c r="A12" s="7" t="s">
        <v>15</v>
      </c>
      <c r="B12" s="7" t="s">
        <v>284</v>
      </c>
      <c r="C12" s="11" t="s">
        <v>2705</v>
      </c>
      <c r="D12" s="7"/>
      <c r="E12" s="7" t="s">
        <v>2706</v>
      </c>
      <c r="F12" s="7" t="s">
        <v>19</v>
      </c>
      <c r="G12" s="7" t="s">
        <v>2707</v>
      </c>
      <c r="H12" s="7" t="s">
        <v>17</v>
      </c>
      <c r="I12" s="7" t="s">
        <v>17</v>
      </c>
      <c r="J12" s="7" t="s">
        <v>2708</v>
      </c>
    </row>
    <row r="13" spans="1:10" x14ac:dyDescent="0.25">
      <c r="A13" s="5" t="s">
        <v>15</v>
      </c>
      <c r="B13" s="5" t="s">
        <v>284</v>
      </c>
      <c r="C13" s="10" t="s">
        <v>2709</v>
      </c>
      <c r="D13" s="5"/>
      <c r="E13" s="5" t="s">
        <v>2710</v>
      </c>
      <c r="F13" s="5" t="s">
        <v>19</v>
      </c>
      <c r="G13" s="5" t="s">
        <v>2711</v>
      </c>
      <c r="H13" s="5" t="s">
        <v>17</v>
      </c>
      <c r="I13" s="5" t="s">
        <v>17</v>
      </c>
      <c r="J13" s="5" t="s">
        <v>2712</v>
      </c>
    </row>
    <row r="14" spans="1:10" x14ac:dyDescent="0.25">
      <c r="A14" s="5" t="s">
        <v>19</v>
      </c>
      <c r="B14" s="5" t="s">
        <v>63</v>
      </c>
      <c r="C14" s="5" t="s">
        <v>17</v>
      </c>
      <c r="D14" s="5"/>
      <c r="E14" s="5" t="s">
        <v>2713</v>
      </c>
      <c r="F14" s="5" t="s">
        <v>19</v>
      </c>
      <c r="G14" s="5">
        <v>1</v>
      </c>
      <c r="H14" s="5" t="s">
        <v>17</v>
      </c>
      <c r="I14" s="5" t="s">
        <v>17</v>
      </c>
      <c r="J14" s="5" t="s">
        <v>2714</v>
      </c>
    </row>
    <row r="15" spans="1:10" x14ac:dyDescent="0.25">
      <c r="A15" s="5" t="s">
        <v>19</v>
      </c>
      <c r="B15" s="5" t="s">
        <v>63</v>
      </c>
      <c r="C15" s="5" t="s">
        <v>17</v>
      </c>
      <c r="D15" s="5"/>
      <c r="E15" s="5" t="s">
        <v>2715</v>
      </c>
      <c r="F15" s="5" t="s">
        <v>19</v>
      </c>
      <c r="G15" s="5">
        <v>1</v>
      </c>
      <c r="H15" s="5" t="s">
        <v>17</v>
      </c>
      <c r="I15" s="5" t="s">
        <v>17</v>
      </c>
      <c r="J15" s="5" t="s">
        <v>2716</v>
      </c>
    </row>
  </sheetData>
  <mergeCells count="3">
    <mergeCell ref="A1:J1"/>
    <mergeCell ref="B2:J2"/>
    <mergeCell ref="B3:J3"/>
  </mergeCells>
  <dataValidations count="3">
    <dataValidation type="list" allowBlank="1" sqref="G12:I12">
      <formula1>'Enums'!C685:C686</formula1>
    </dataValidation>
    <dataValidation type="list" allowBlank="1" sqref="G13:I13">
      <formula1>'Enums'!C687:C689</formula1>
    </dataValidation>
    <dataValidation type="list" allowBlank="1" sqref="G9:I9">
      <formula1>'Enums'!C680:C684</formula1>
    </dataValidation>
  </dataValidations>
  <hyperlinks>
    <hyperlink ref="B8" r:id="rId1" location="#'VMR0015 Survey Device Use Row'!A1"/>
  </hyperlinks>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3400</v>
      </c>
      <c r="B1" s="1"/>
      <c r="C1" s="1"/>
      <c r="D1" s="1"/>
      <c r="E1" s="1"/>
      <c r="F1" s="1"/>
      <c r="G1" s="1"/>
      <c r="H1" s="1"/>
      <c r="I1" s="1"/>
      <c r="J1" s="1"/>
    </row>
    <row r="2" spans="1:10" x14ac:dyDescent="0.25">
      <c r="A2" s="2" t="s">
        <v>1</v>
      </c>
      <c r="B2" s="3" t="s">
        <v>3401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943</v>
      </c>
      <c r="F5" s="5" t="s">
        <v>19</v>
      </c>
      <c r="G5" s="5" t="s">
        <v>1989</v>
      </c>
      <c r="H5" s="5" t="s">
        <v>17</v>
      </c>
      <c r="I5" s="5" t="s">
        <v>17</v>
      </c>
      <c r="J5" s="5" t="s">
        <v>944</v>
      </c>
    </row>
    <row r="6" spans="1:10" x14ac:dyDescent="0.25">
      <c r="A6" s="5" t="s">
        <v>19</v>
      </c>
      <c r="B6" s="5" t="s">
        <v>16</v>
      </c>
      <c r="C6" s="5" t="s">
        <v>17</v>
      </c>
      <c r="D6" s="5"/>
      <c r="E6" s="5" t="s">
        <v>2631</v>
      </c>
      <c r="F6" s="5" t="s">
        <v>19</v>
      </c>
      <c r="G6" s="5" t="s">
        <v>31</v>
      </c>
      <c r="H6" s="5" t="s">
        <v>17</v>
      </c>
      <c r="I6" s="5" t="s">
        <v>17</v>
      </c>
      <c r="J6" s="5" t="s">
        <v>2632</v>
      </c>
    </row>
    <row r="7" spans="1:10" x14ac:dyDescent="0.25">
      <c r="A7" s="5" t="s">
        <v>15</v>
      </c>
      <c r="B7" s="5" t="s">
        <v>284</v>
      </c>
      <c r="C7" s="10" t="s">
        <v>2633</v>
      </c>
      <c r="D7" s="5"/>
      <c r="E7" s="5" t="s">
        <v>2634</v>
      </c>
      <c r="F7" s="5" t="s">
        <v>19</v>
      </c>
      <c r="G7" s="5" t="s">
        <v>2635</v>
      </c>
      <c r="H7" s="5" t="s">
        <v>17</v>
      </c>
      <c r="I7" s="5" t="s">
        <v>17</v>
      </c>
      <c r="J7" s="5" t="s">
        <v>2636</v>
      </c>
    </row>
    <row r="8" spans="1:10" x14ac:dyDescent="0.25">
      <c r="A8" s="5" t="s">
        <v>19</v>
      </c>
      <c r="B8" s="5" t="s">
        <v>16</v>
      </c>
      <c r="C8" s="5" t="s">
        <v>17</v>
      </c>
      <c r="D8" s="5"/>
      <c r="E8" s="5" t="s">
        <v>2637</v>
      </c>
      <c r="F8" s="5" t="s">
        <v>19</v>
      </c>
      <c r="G8" s="5" t="s">
        <v>31</v>
      </c>
      <c r="H8" s="5" t="s">
        <v>17</v>
      </c>
      <c r="I8" s="5" t="s">
        <v>17</v>
      </c>
      <c r="J8" s="5" t="s">
        <v>2638</v>
      </c>
    </row>
    <row r="9" spans="1:10" x14ac:dyDescent="0.25">
      <c r="A9" s="5" t="s">
        <v>19</v>
      </c>
      <c r="B9" s="5" t="s">
        <v>16</v>
      </c>
      <c r="C9" s="5" t="s">
        <v>17</v>
      </c>
      <c r="D9" s="5"/>
      <c r="E9" s="5" t="s">
        <v>2639</v>
      </c>
      <c r="F9" s="5" t="s">
        <v>19</v>
      </c>
      <c r="G9" s="5" t="s">
        <v>31</v>
      </c>
      <c r="H9" s="5" t="s">
        <v>17</v>
      </c>
      <c r="I9" s="5" t="s">
        <v>17</v>
      </c>
      <c r="J9" s="5" t="s">
        <v>2640</v>
      </c>
    </row>
    <row r="10" spans="1:10" x14ac:dyDescent="0.25">
      <c r="A10" s="5" t="s">
        <v>19</v>
      </c>
      <c r="B10" s="5" t="s">
        <v>63</v>
      </c>
      <c r="C10" s="5" t="s">
        <v>17</v>
      </c>
      <c r="D10" s="5"/>
      <c r="E10" s="5" t="s">
        <v>2641</v>
      </c>
      <c r="F10" s="5" t="s">
        <v>19</v>
      </c>
      <c r="G10" s="5">
        <v>1</v>
      </c>
      <c r="H10" s="5" t="s">
        <v>17</v>
      </c>
      <c r="I10" s="5" t="s">
        <v>17</v>
      </c>
      <c r="J10" s="5" t="s">
        <v>1806</v>
      </c>
    </row>
    <row r="11" spans="1:10" x14ac:dyDescent="0.25">
      <c r="A11" s="5" t="s">
        <v>15</v>
      </c>
      <c r="B11" s="5" t="s">
        <v>63</v>
      </c>
      <c r="C11" s="5" t="s">
        <v>17</v>
      </c>
      <c r="D11" s="5"/>
      <c r="E11" s="5" t="s">
        <v>2642</v>
      </c>
      <c r="F11" s="5" t="s">
        <v>19</v>
      </c>
      <c r="G11" s="5">
        <v>1</v>
      </c>
      <c r="H11" s="5" t="s">
        <v>17</v>
      </c>
      <c r="I11" s="5" t="s">
        <v>17</v>
      </c>
      <c r="J11" s="5" t="s">
        <v>1684</v>
      </c>
    </row>
    <row r="12" spans="1:10" x14ac:dyDescent="0.25">
      <c r="A12" s="5" t="s">
        <v>15</v>
      </c>
      <c r="B12" s="5" t="s">
        <v>284</v>
      </c>
      <c r="C12" s="10" t="s">
        <v>2643</v>
      </c>
      <c r="D12" s="5"/>
      <c r="E12" s="5" t="s">
        <v>2644</v>
      </c>
      <c r="F12" s="5" t="s">
        <v>19</v>
      </c>
      <c r="G12" s="5" t="s">
        <v>1810</v>
      </c>
      <c r="H12" s="5" t="s">
        <v>17</v>
      </c>
      <c r="I12" s="5" t="s">
        <v>17</v>
      </c>
      <c r="J12" s="5" t="s">
        <v>1811</v>
      </c>
    </row>
    <row r="13" spans="1:10" x14ac:dyDescent="0.25">
      <c r="A13" s="5" t="s">
        <v>19</v>
      </c>
      <c r="B13" s="5" t="s">
        <v>63</v>
      </c>
      <c r="C13" s="5" t="s">
        <v>17</v>
      </c>
      <c r="D13" s="5">
        <f>EXACT(G12,"Option 1 - measured volume (flow meter / standard vessel)")</f>
      </c>
      <c r="E13" s="5" t="s">
        <v>2645</v>
      </c>
      <c r="F13" s="5" t="s">
        <v>19</v>
      </c>
      <c r="G13" s="5">
        <v>1</v>
      </c>
      <c r="H13" s="5" t="s">
        <v>17</v>
      </c>
      <c r="I13" s="5" t="s">
        <v>17</v>
      </c>
      <c r="J13" s="5" t="s">
        <v>2646</v>
      </c>
    </row>
    <row r="14" spans="1:10" x14ac:dyDescent="0.25">
      <c r="A14" s="5" t="s">
        <v>19</v>
      </c>
      <c r="B14" s="5" t="s">
        <v>63</v>
      </c>
      <c r="C14" s="5" t="s">
        <v>17</v>
      </c>
      <c r="D14" s="5">
        <f>EXACT(G12,"Option 2.1 - capacity x usage time (AMS-III.AV Eq.(2))")</f>
      </c>
      <c r="E14" s="5" t="s">
        <v>2647</v>
      </c>
      <c r="F14" s="5" t="s">
        <v>19</v>
      </c>
      <c r="G14" s="5">
        <v>1</v>
      </c>
      <c r="H14" s="5" t="s">
        <v>17</v>
      </c>
      <c r="I14" s="5" t="s">
        <v>17</v>
      </c>
      <c r="J14" s="5" t="s">
        <v>1628</v>
      </c>
    </row>
    <row r="15" spans="1:10" x14ac:dyDescent="0.25">
      <c r="A15" s="5" t="s">
        <v>19</v>
      </c>
      <c r="B15" s="5" t="s">
        <v>63</v>
      </c>
      <c r="C15" s="5" t="s">
        <v>17</v>
      </c>
      <c r="D15" s="5">
        <f>EXACT(G12,"Option 2.1 - capacity x usage time (AMS-III.AV Eq.(2))")</f>
      </c>
      <c r="E15" s="5" t="s">
        <v>2648</v>
      </c>
      <c r="F15" s="5" t="s">
        <v>19</v>
      </c>
      <c r="G15" s="5">
        <v>1</v>
      </c>
      <c r="H15" s="5" t="s">
        <v>17</v>
      </c>
      <c r="I15" s="5" t="s">
        <v>17</v>
      </c>
      <c r="J15" s="5" t="s">
        <v>2649</v>
      </c>
    </row>
    <row r="16" spans="1:10" x14ac:dyDescent="0.25">
      <c r="A16" s="5" t="s">
        <v>19</v>
      </c>
      <c r="B16" s="5" t="s">
        <v>63</v>
      </c>
      <c r="C16" s="5" t="s">
        <v>17</v>
      </c>
      <c r="D16" s="5">
        <f>EXACT(G12,"Option 2.1 - capacity x usage time (AMS-III.AV Eq.(2))")</f>
      </c>
      <c r="E16" s="5" t="s">
        <v>2650</v>
      </c>
      <c r="F16" s="5" t="s">
        <v>19</v>
      </c>
      <c r="G16" s="5">
        <v>1</v>
      </c>
      <c r="H16" s="5" t="s">
        <v>17</v>
      </c>
      <c r="I16" s="5" t="s">
        <v>17</v>
      </c>
      <c r="J16" s="5" t="s">
        <v>2651</v>
      </c>
    </row>
    <row r="17" spans="1:10" x14ac:dyDescent="0.25">
      <c r="A17" s="5" t="s">
        <v>19</v>
      </c>
      <c r="B17" s="5" t="s">
        <v>63</v>
      </c>
      <c r="C17" s="5" t="s">
        <v>17</v>
      </c>
      <c r="D17" s="5">
        <f>EXACT(G12,"Option 2.2 - population x volume per person (AMS-III.AV Eq.(3))")</f>
      </c>
      <c r="E17" s="5" t="s">
        <v>2652</v>
      </c>
      <c r="F17" s="5" t="s">
        <v>19</v>
      </c>
      <c r="G17" s="5">
        <v>1</v>
      </c>
      <c r="H17" s="5" t="s">
        <v>17</v>
      </c>
      <c r="I17" s="5" t="s">
        <v>17</v>
      </c>
      <c r="J17" s="5" t="s">
        <v>1630</v>
      </c>
    </row>
    <row r="18" spans="1:10" x14ac:dyDescent="0.25">
      <c r="A18" s="5" t="s">
        <v>15</v>
      </c>
      <c r="B18" s="5" t="s">
        <v>63</v>
      </c>
      <c r="C18" s="5" t="s">
        <v>17</v>
      </c>
      <c r="D18" s="5"/>
      <c r="E18" s="5" t="s">
        <v>2653</v>
      </c>
      <c r="F18" s="5" t="s">
        <v>19</v>
      </c>
      <c r="G18" s="5">
        <v>1</v>
      </c>
      <c r="H18" s="5" t="s">
        <v>17</v>
      </c>
      <c r="I18" s="5" t="s">
        <v>17</v>
      </c>
      <c r="J18" s="5" t="s">
        <v>2654</v>
      </c>
    </row>
    <row r="19" spans="1:10" x14ac:dyDescent="0.25">
      <c r="A19" s="5" t="s">
        <v>15</v>
      </c>
      <c r="B19" s="6" t="s">
        <v>2655</v>
      </c>
      <c r="C19" s="5" t="s">
        <v>17</v>
      </c>
      <c r="D19" s="5"/>
      <c r="E19" s="5" t="s">
        <v>2656</v>
      </c>
      <c r="F19" s="5" t="s">
        <v>15</v>
      </c>
      <c r="G19" s="5" t="s">
        <v>17</v>
      </c>
      <c r="H19" s="5" t="s">
        <v>17</v>
      </c>
      <c r="I19" s="5" t="s">
        <v>17</v>
      </c>
      <c r="J19" s="5" t="s">
        <v>2657</v>
      </c>
    </row>
    <row r="20" spans="1:10" x14ac:dyDescent="0.25" outlineLevel="1" collapsed="1">
      <c r="A20" s="7" t="s">
        <v>15</v>
      </c>
      <c r="B20" s="7" t="s">
        <v>16</v>
      </c>
      <c r="C20" s="7" t="s">
        <v>17</v>
      </c>
      <c r="D20" s="7"/>
      <c r="E20" s="7" t="s">
        <v>2658</v>
      </c>
      <c r="F20" s="7" t="s">
        <v>19</v>
      </c>
      <c r="G20" s="7" t="s">
        <v>2659</v>
      </c>
      <c r="H20" s="7" t="s">
        <v>17</v>
      </c>
      <c r="I20" s="7" t="s">
        <v>17</v>
      </c>
      <c r="J20" s="7" t="s">
        <v>2660</v>
      </c>
    </row>
    <row r="21" spans="1:10" x14ac:dyDescent="0.25" outlineLevel="1" collapsed="1">
      <c r="A21" s="7" t="s">
        <v>15</v>
      </c>
      <c r="B21" s="7" t="s">
        <v>284</v>
      </c>
      <c r="C21" s="11" t="s">
        <v>2661</v>
      </c>
      <c r="D21" s="7"/>
      <c r="E21" s="7" t="s">
        <v>2662</v>
      </c>
      <c r="F21" s="7" t="s">
        <v>19</v>
      </c>
      <c r="G21" s="7" t="s">
        <v>2663</v>
      </c>
      <c r="H21" s="7" t="s">
        <v>17</v>
      </c>
      <c r="I21" s="7" t="s">
        <v>17</v>
      </c>
      <c r="J21" s="7" t="s">
        <v>2664</v>
      </c>
    </row>
    <row r="22" spans="1:10" x14ac:dyDescent="0.25" outlineLevel="1" collapsed="1">
      <c r="A22" s="7" t="s">
        <v>15</v>
      </c>
      <c r="B22" s="7" t="s">
        <v>284</v>
      </c>
      <c r="C22" s="11" t="s">
        <v>2665</v>
      </c>
      <c r="D22" s="7"/>
      <c r="E22" s="7" t="s">
        <v>2666</v>
      </c>
      <c r="F22" s="7" t="s">
        <v>19</v>
      </c>
      <c r="G22" s="7" t="s">
        <v>1929</v>
      </c>
      <c r="H22" s="7" t="s">
        <v>17</v>
      </c>
      <c r="I22" s="7" t="s">
        <v>17</v>
      </c>
      <c r="J22" s="7" t="s">
        <v>1725</v>
      </c>
    </row>
    <row r="23" spans="1:10" x14ac:dyDescent="0.25" outlineLevel="1" collapsed="1">
      <c r="A23" s="7" t="s">
        <v>15</v>
      </c>
      <c r="B23" s="7" t="s">
        <v>284</v>
      </c>
      <c r="C23" s="11" t="s">
        <v>2667</v>
      </c>
      <c r="D23" s="7"/>
      <c r="E23" s="7" t="s">
        <v>2668</v>
      </c>
      <c r="F23" s="7" t="s">
        <v>19</v>
      </c>
      <c r="G23" s="7" t="s">
        <v>2669</v>
      </c>
      <c r="H23" s="7" t="s">
        <v>17</v>
      </c>
      <c r="I23" s="7" t="s">
        <v>17</v>
      </c>
      <c r="J23" s="7" t="s">
        <v>2670</v>
      </c>
    </row>
    <row r="24" spans="1:10" x14ac:dyDescent="0.25" outlineLevel="1" collapsed="1">
      <c r="A24" s="7" t="s">
        <v>15</v>
      </c>
      <c r="B24" s="7" t="s">
        <v>63</v>
      </c>
      <c r="C24" s="7" t="s">
        <v>17</v>
      </c>
      <c r="D24" s="7"/>
      <c r="E24" s="7" t="s">
        <v>2671</v>
      </c>
      <c r="F24" s="7" t="s">
        <v>19</v>
      </c>
      <c r="G24" s="7">
        <v>0.8</v>
      </c>
      <c r="H24" s="7" t="s">
        <v>17</v>
      </c>
      <c r="I24" s="7" t="s">
        <v>17</v>
      </c>
      <c r="J24" s="7" t="s">
        <v>2672</v>
      </c>
    </row>
    <row r="25" spans="1:10" x14ac:dyDescent="0.25" outlineLevel="1" collapsed="1">
      <c r="A25" s="7" t="s">
        <v>15</v>
      </c>
      <c r="B25" s="7" t="s">
        <v>63</v>
      </c>
      <c r="C25" s="7" t="s">
        <v>17</v>
      </c>
      <c r="D25" s="7"/>
      <c r="E25" s="7" t="s">
        <v>2673</v>
      </c>
      <c r="F25" s="7" t="s">
        <v>19</v>
      </c>
      <c r="G25" s="7">
        <v>112</v>
      </c>
      <c r="H25" s="7" t="s">
        <v>17</v>
      </c>
      <c r="I25" s="7" t="s">
        <v>17</v>
      </c>
      <c r="J25" s="7" t="s">
        <v>2674</v>
      </c>
    </row>
    <row r="26" spans="1:10" x14ac:dyDescent="0.25" outlineLevel="1" collapsed="1">
      <c r="A26" s="7" t="s">
        <v>15</v>
      </c>
      <c r="B26" s="7" t="s">
        <v>63</v>
      </c>
      <c r="C26" s="7" t="s">
        <v>17</v>
      </c>
      <c r="D26" s="7"/>
      <c r="E26" s="7" t="s">
        <v>2675</v>
      </c>
      <c r="F26" s="7" t="s">
        <v>19</v>
      </c>
      <c r="G26" s="7">
        <v>9.46</v>
      </c>
      <c r="H26" s="7" t="s">
        <v>17</v>
      </c>
      <c r="I26" s="7" t="s">
        <v>17</v>
      </c>
      <c r="J26" s="7" t="s">
        <v>2676</v>
      </c>
    </row>
    <row r="27" spans="1:10" x14ac:dyDescent="0.25" outlineLevel="1" collapsed="1">
      <c r="A27" s="7" t="s">
        <v>15</v>
      </c>
      <c r="B27" s="7" t="s">
        <v>284</v>
      </c>
      <c r="C27" s="11" t="s">
        <v>2677</v>
      </c>
      <c r="D27" s="7"/>
      <c r="E27" s="7" t="s">
        <v>2678</v>
      </c>
      <c r="F27" s="7" t="s">
        <v>19</v>
      </c>
      <c r="G27" s="7" t="s">
        <v>2679</v>
      </c>
      <c r="H27" s="7" t="s">
        <v>17</v>
      </c>
      <c r="I27" s="7" t="s">
        <v>17</v>
      </c>
      <c r="J27" s="7" t="s">
        <v>2680</v>
      </c>
    </row>
    <row r="28" spans="1:10" x14ac:dyDescent="0.25" outlineLevel="1" collapsed="1">
      <c r="A28" s="7" t="s">
        <v>19</v>
      </c>
      <c r="B28" s="7" t="s">
        <v>63</v>
      </c>
      <c r="C28" s="7" t="s">
        <v>17</v>
      </c>
      <c r="D28" s="7">
        <f>EXACT(G21,"Non-renewable biomass (woody biomass or charcoal)")</f>
      </c>
      <c r="E28" s="7" t="s">
        <v>2681</v>
      </c>
      <c r="F28" s="7" t="s">
        <v>19</v>
      </c>
      <c r="G28" s="7">
        <v>0.29</v>
      </c>
      <c r="H28" s="7" t="s">
        <v>17</v>
      </c>
      <c r="I28" s="7" t="s">
        <v>17</v>
      </c>
      <c r="J28" s="7" t="s">
        <v>2682</v>
      </c>
    </row>
    <row r="29" spans="1:10" x14ac:dyDescent="0.25" outlineLevel="1" collapsed="1">
      <c r="A29" s="7" t="s">
        <v>19</v>
      </c>
      <c r="B29" s="7" t="s">
        <v>16</v>
      </c>
      <c r="C29" s="7" t="s">
        <v>17</v>
      </c>
      <c r="D29" s="7">
        <f>EXACT(G21,"Non-renewable biomass (woody biomass or charcoal)")</f>
      </c>
      <c r="E29" s="7" t="s">
        <v>2683</v>
      </c>
      <c r="F29" s="7" t="s">
        <v>19</v>
      </c>
      <c r="G29" s="7" t="s">
        <v>31</v>
      </c>
      <c r="H29" s="7" t="s">
        <v>17</v>
      </c>
      <c r="I29" s="7" t="s">
        <v>17</v>
      </c>
      <c r="J29" s="7" t="s">
        <v>2684</v>
      </c>
    </row>
    <row r="30" spans="1:10" x14ac:dyDescent="0.25" outlineLevel="1" collapsed="1">
      <c r="A30" s="7" t="s">
        <v>19</v>
      </c>
      <c r="B30" s="7" t="s">
        <v>63</v>
      </c>
      <c r="C30" s="7" t="s">
        <v>17</v>
      </c>
      <c r="D30" s="7">
        <f>EXACT(G21,"Fossil fuel")</f>
      </c>
      <c r="E30" s="7" t="s">
        <v>2685</v>
      </c>
      <c r="F30" s="7" t="s">
        <v>19</v>
      </c>
      <c r="G30" s="7">
        <v>1</v>
      </c>
      <c r="H30" s="7" t="s">
        <v>17</v>
      </c>
      <c r="I30" s="7" t="s">
        <v>17</v>
      </c>
      <c r="J30" s="7" t="s">
        <v>2686</v>
      </c>
    </row>
    <row r="31" spans="1:10" x14ac:dyDescent="0.25">
      <c r="A31" s="5" t="s">
        <v>19</v>
      </c>
      <c r="B31" s="6" t="s">
        <v>2687</v>
      </c>
      <c r="C31" s="5" t="s">
        <v>17</v>
      </c>
      <c r="D31" s="5"/>
      <c r="E31" s="5" t="s">
        <v>2688</v>
      </c>
      <c r="F31" s="5" t="s">
        <v>15</v>
      </c>
      <c r="G31" s="5" t="s">
        <v>17</v>
      </c>
      <c r="H31" s="5" t="s">
        <v>17</v>
      </c>
      <c r="I31" s="5" t="s">
        <v>17</v>
      </c>
      <c r="J31" s="5" t="s">
        <v>2689</v>
      </c>
    </row>
    <row r="32" spans="1:10" x14ac:dyDescent="0.25" outlineLevel="1" collapsed="1">
      <c r="A32" s="7" t="s">
        <v>15</v>
      </c>
      <c r="B32" s="7" t="s">
        <v>16</v>
      </c>
      <c r="C32" s="7" t="s">
        <v>17</v>
      </c>
      <c r="D32" s="7"/>
      <c r="E32" s="7" t="s">
        <v>2690</v>
      </c>
      <c r="F32" s="7" t="s">
        <v>19</v>
      </c>
      <c r="G32" s="7" t="s">
        <v>31</v>
      </c>
      <c r="H32" s="7" t="s">
        <v>17</v>
      </c>
      <c r="I32" s="7" t="s">
        <v>17</v>
      </c>
      <c r="J32" s="7" t="s">
        <v>2691</v>
      </c>
    </row>
    <row r="33" spans="1:10" x14ac:dyDescent="0.25" outlineLevel="1" collapsed="1">
      <c r="A33" s="7" t="s">
        <v>15</v>
      </c>
      <c r="B33" s="7" t="s">
        <v>63</v>
      </c>
      <c r="C33" s="7" t="s">
        <v>17</v>
      </c>
      <c r="D33" s="7"/>
      <c r="E33" s="7" t="s">
        <v>2692</v>
      </c>
      <c r="F33" s="7" t="s">
        <v>19</v>
      </c>
      <c r="G33" s="7">
        <v>5</v>
      </c>
      <c r="H33" s="7" t="s">
        <v>17</v>
      </c>
      <c r="I33" s="7" t="s">
        <v>17</v>
      </c>
      <c r="J33" s="7" t="s">
        <v>2693</v>
      </c>
    </row>
    <row r="34" spans="1:10" x14ac:dyDescent="0.25" outlineLevel="1" collapsed="1">
      <c r="A34" s="7" t="s">
        <v>15</v>
      </c>
      <c r="B34" s="7" t="s">
        <v>159</v>
      </c>
      <c r="C34" s="7" t="s">
        <v>17</v>
      </c>
      <c r="D34" s="7"/>
      <c r="E34" s="7" t="s">
        <v>2694</v>
      </c>
      <c r="F34" s="7" t="s">
        <v>19</v>
      </c>
      <c r="G34" s="7" t="b">
        <v>1</v>
      </c>
      <c r="H34" s="7" t="s">
        <v>17</v>
      </c>
      <c r="I34" s="7" t="s">
        <v>17</v>
      </c>
      <c r="J34" s="7" t="s">
        <v>2695</v>
      </c>
    </row>
    <row r="35" spans="1:10" x14ac:dyDescent="0.25" outlineLevel="1" collapsed="1">
      <c r="A35" s="8" t="s">
        <v>15</v>
      </c>
      <c r="B35" s="9" t="s">
        <v>2696</v>
      </c>
      <c r="C35" s="8" t="s">
        <v>17</v>
      </c>
      <c r="D35" s="8"/>
      <c r="E35" s="8" t="s">
        <v>2697</v>
      </c>
      <c r="F35" s="8" t="s">
        <v>15</v>
      </c>
      <c r="G35" s="8" t="s">
        <v>17</v>
      </c>
      <c r="H35" s="8" t="s">
        <v>17</v>
      </c>
      <c r="I35" s="8" t="s">
        <v>17</v>
      </c>
      <c r="J35" s="8" t="s">
        <v>2698</v>
      </c>
    </row>
    <row r="36" spans="1:10" x14ac:dyDescent="0.25" outlineLevel="2" collapsed="1">
      <c r="A36" s="7" t="s">
        <v>15</v>
      </c>
      <c r="B36" s="7" t="s">
        <v>284</v>
      </c>
      <c r="C36" s="11" t="s">
        <v>2699</v>
      </c>
      <c r="D36" s="7"/>
      <c r="E36" s="7" t="s">
        <v>2700</v>
      </c>
      <c r="F36" s="7" t="s">
        <v>19</v>
      </c>
      <c r="G36" s="7" t="s">
        <v>2669</v>
      </c>
      <c r="H36" s="7" t="s">
        <v>17</v>
      </c>
      <c r="I36" s="7" t="s">
        <v>17</v>
      </c>
      <c r="J36" s="7" t="s">
        <v>2701</v>
      </c>
    </row>
    <row r="37" spans="1:10" x14ac:dyDescent="0.25" outlineLevel="2" collapsed="1">
      <c r="A37" s="7" t="s">
        <v>15</v>
      </c>
      <c r="B37" s="7" t="s">
        <v>63</v>
      </c>
      <c r="C37" s="7" t="s">
        <v>17</v>
      </c>
      <c r="D37" s="7"/>
      <c r="E37" s="7" t="s">
        <v>2702</v>
      </c>
      <c r="F37" s="7" t="s">
        <v>19</v>
      </c>
      <c r="G37" s="7">
        <v>7</v>
      </c>
      <c r="H37" s="7" t="s">
        <v>17</v>
      </c>
      <c r="I37" s="7" t="s">
        <v>17</v>
      </c>
      <c r="J37" s="7" t="s">
        <v>2703</v>
      </c>
    </row>
    <row r="38" spans="1:10" x14ac:dyDescent="0.25" outlineLevel="2" collapsed="1">
      <c r="A38" s="7" t="s">
        <v>15</v>
      </c>
      <c r="B38" s="7" t="s">
        <v>63</v>
      </c>
      <c r="C38" s="7" t="s">
        <v>17</v>
      </c>
      <c r="D38" s="7"/>
      <c r="E38" s="7" t="s">
        <v>2704</v>
      </c>
      <c r="F38" s="7" t="s">
        <v>19</v>
      </c>
      <c r="G38" s="7">
        <v>0.1</v>
      </c>
      <c r="H38" s="7" t="s">
        <v>17</v>
      </c>
      <c r="I38" s="7" t="s">
        <v>17</v>
      </c>
      <c r="J38" s="7" t="s">
        <v>1622</v>
      </c>
    </row>
    <row r="39" spans="1:10" x14ac:dyDescent="0.25" outlineLevel="2" collapsed="1">
      <c r="A39" s="7" t="s">
        <v>15</v>
      </c>
      <c r="B39" s="7" t="s">
        <v>284</v>
      </c>
      <c r="C39" s="11" t="s">
        <v>2705</v>
      </c>
      <c r="D39" s="7"/>
      <c r="E39" s="7" t="s">
        <v>2706</v>
      </c>
      <c r="F39" s="7" t="s">
        <v>19</v>
      </c>
      <c r="G39" s="7" t="s">
        <v>2707</v>
      </c>
      <c r="H39" s="7" t="s">
        <v>17</v>
      </c>
      <c r="I39" s="7" t="s">
        <v>17</v>
      </c>
      <c r="J39" s="7" t="s">
        <v>2708</v>
      </c>
    </row>
    <row r="40" spans="1:10" x14ac:dyDescent="0.25" outlineLevel="1" collapsed="1">
      <c r="A40" s="7" t="s">
        <v>15</v>
      </c>
      <c r="B40" s="7" t="s">
        <v>284</v>
      </c>
      <c r="C40" s="11" t="s">
        <v>2709</v>
      </c>
      <c r="D40" s="7"/>
      <c r="E40" s="7" t="s">
        <v>2710</v>
      </c>
      <c r="F40" s="7" t="s">
        <v>19</v>
      </c>
      <c r="G40" s="7" t="s">
        <v>2711</v>
      </c>
      <c r="H40" s="7" t="s">
        <v>17</v>
      </c>
      <c r="I40" s="7" t="s">
        <v>17</v>
      </c>
      <c r="J40" s="7" t="s">
        <v>2712</v>
      </c>
    </row>
    <row r="41" spans="1:10" x14ac:dyDescent="0.25" outlineLevel="1" collapsed="1">
      <c r="A41" s="7" t="s">
        <v>19</v>
      </c>
      <c r="B41" s="7" t="s">
        <v>63</v>
      </c>
      <c r="C41" s="7" t="s">
        <v>17</v>
      </c>
      <c r="D41" s="7"/>
      <c r="E41" s="7" t="s">
        <v>2713</v>
      </c>
      <c r="F41" s="7" t="s">
        <v>19</v>
      </c>
      <c r="G41" s="7">
        <v>1</v>
      </c>
      <c r="H41" s="7" t="s">
        <v>17</v>
      </c>
      <c r="I41" s="7" t="s">
        <v>17</v>
      </c>
      <c r="J41" s="7" t="s">
        <v>2714</v>
      </c>
    </row>
    <row r="42" spans="1:10" x14ac:dyDescent="0.25" outlineLevel="1" collapsed="1">
      <c r="A42" s="7" t="s">
        <v>19</v>
      </c>
      <c r="B42" s="7" t="s">
        <v>63</v>
      </c>
      <c r="C42" s="7" t="s">
        <v>17</v>
      </c>
      <c r="D42" s="7"/>
      <c r="E42" s="7" t="s">
        <v>2715</v>
      </c>
      <c r="F42" s="7" t="s">
        <v>19</v>
      </c>
      <c r="G42" s="7">
        <v>1</v>
      </c>
      <c r="H42" s="7" t="s">
        <v>17</v>
      </c>
      <c r="I42" s="7" t="s">
        <v>17</v>
      </c>
      <c r="J42" s="7" t="s">
        <v>2716</v>
      </c>
    </row>
    <row r="43" spans="1:10" x14ac:dyDescent="0.25">
      <c r="A43" s="5" t="s">
        <v>19</v>
      </c>
      <c r="B43" s="5" t="s">
        <v>63</v>
      </c>
      <c r="C43" s="5" t="s">
        <v>17</v>
      </c>
      <c r="D43" s="5"/>
      <c r="E43" s="5" t="s">
        <v>2717</v>
      </c>
      <c r="F43" s="5" t="s">
        <v>19</v>
      </c>
      <c r="G43" s="5">
        <v>1</v>
      </c>
      <c r="H43" s="5" t="s">
        <v>17</v>
      </c>
      <c r="I43" s="5" t="s">
        <v>17</v>
      </c>
      <c r="J43" s="5" t="s">
        <v>2718</v>
      </c>
    </row>
  </sheetData>
  <mergeCells count="3">
    <mergeCell ref="A1:J1"/>
    <mergeCell ref="B2:J2"/>
    <mergeCell ref="B3:J3"/>
  </mergeCells>
  <dataValidations count="9">
    <dataValidation type="list" allowBlank="1" sqref="G12:I12">
      <formula1>'Enums'!C660:C662</formula1>
    </dataValidation>
    <dataValidation type="list" allowBlank="1" sqref="G21:I21">
      <formula1>'Enums'!C663:C664</formula1>
    </dataValidation>
    <dataValidation type="list" allowBlank="1" sqref="G22:I22">
      <formula1>'Enums'!C665:C671</formula1>
    </dataValidation>
    <dataValidation type="list" allowBlank="1" sqref="G23:I23">
      <formula1>'Enums'!C672:C676</formula1>
    </dataValidation>
    <dataValidation type="list" allowBlank="1" sqref="G27:I27">
      <formula1>'Enums'!C677:C679</formula1>
    </dataValidation>
    <dataValidation type="list" allowBlank="1" sqref="G36:I36">
      <formula1>'Enums'!C680:C684</formula1>
    </dataValidation>
    <dataValidation type="list" allowBlank="1" sqref="G39:I39">
      <formula1>'Enums'!C685:C686</formula1>
    </dataValidation>
    <dataValidation type="list" allowBlank="1" sqref="G40:I40">
      <formula1>'Enums'!C687:C689</formula1>
    </dataValidation>
    <dataValidation type="list" allowBlank="1" sqref="G7:I7">
      <formula1>'Enums'!C657:C659</formula1>
    </dataValidation>
  </dataValidations>
  <hyperlinks>
    <hyperlink ref="B19" r:id="rId1" location="#'VMR0015 Baseline Fuel Row (fue'!A1"/>
    <hyperlink ref="B31" r:id="rId2" location="#'VMR0015 Survey Household Row'!A1"/>
    <hyperlink ref="B35" r:id="rId3" location="#'VMR0015 Survey Device Use Row'!A1"/>
  </hyperlinks>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3402</v>
      </c>
      <c r="B1" s="1"/>
      <c r="C1" s="1"/>
      <c r="D1" s="1"/>
      <c r="E1" s="1"/>
      <c r="F1" s="1"/>
      <c r="G1" s="1"/>
      <c r="H1" s="1"/>
      <c r="I1" s="1"/>
      <c r="J1" s="1"/>
    </row>
    <row r="2" spans="1:10" x14ac:dyDescent="0.25">
      <c r="A2" s="2" t="s">
        <v>1</v>
      </c>
      <c r="B2" s="3" t="s">
        <v>3403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1815</v>
      </c>
      <c r="F5" s="5" t="s">
        <v>19</v>
      </c>
      <c r="G5" s="5" t="s">
        <v>31</v>
      </c>
      <c r="H5" s="5" t="s">
        <v>17</v>
      </c>
      <c r="I5" s="5" t="s">
        <v>17</v>
      </c>
      <c r="J5" s="5" t="s">
        <v>1816</v>
      </c>
    </row>
    <row r="6" spans="1:10" x14ac:dyDescent="0.25">
      <c r="A6" s="5" t="s">
        <v>15</v>
      </c>
      <c r="B6" s="5" t="s">
        <v>284</v>
      </c>
      <c r="C6" s="10" t="s">
        <v>1817</v>
      </c>
      <c r="D6" s="5"/>
      <c r="E6" s="5" t="s">
        <v>1818</v>
      </c>
      <c r="F6" s="5" t="s">
        <v>19</v>
      </c>
      <c r="G6" s="5" t="s">
        <v>1819</v>
      </c>
      <c r="H6" s="5" t="s">
        <v>17</v>
      </c>
      <c r="I6" s="5" t="s">
        <v>17</v>
      </c>
      <c r="J6" s="5" t="s">
        <v>1820</v>
      </c>
    </row>
    <row r="7" spans="1:10" x14ac:dyDescent="0.25">
      <c r="A7" s="5" t="s">
        <v>15</v>
      </c>
      <c r="B7" s="5" t="s">
        <v>63</v>
      </c>
      <c r="C7" s="5" t="s">
        <v>17</v>
      </c>
      <c r="D7" s="5"/>
      <c r="E7" s="5" t="s">
        <v>1821</v>
      </c>
      <c r="F7" s="5" t="s">
        <v>19</v>
      </c>
      <c r="G7" s="5">
        <v>1</v>
      </c>
      <c r="H7" s="5" t="s">
        <v>17</v>
      </c>
      <c r="I7" s="5" t="s">
        <v>17</v>
      </c>
      <c r="J7" s="5" t="s">
        <v>1822</v>
      </c>
    </row>
    <row r="8" spans="1:10" x14ac:dyDescent="0.25">
      <c r="A8" s="5" t="s">
        <v>15</v>
      </c>
      <c r="B8" s="5" t="s">
        <v>63</v>
      </c>
      <c r="C8" s="5" t="s">
        <v>17</v>
      </c>
      <c r="D8" s="5"/>
      <c r="E8" s="5" t="s">
        <v>1823</v>
      </c>
      <c r="F8" s="5" t="s">
        <v>19</v>
      </c>
      <c r="G8" s="5">
        <v>1</v>
      </c>
      <c r="H8" s="5" t="s">
        <v>17</v>
      </c>
      <c r="I8" s="5" t="s">
        <v>17</v>
      </c>
      <c r="J8" s="5" t="s">
        <v>1824</v>
      </c>
    </row>
    <row r="9" spans="1:10" x14ac:dyDescent="0.25">
      <c r="A9" s="5" t="s">
        <v>19</v>
      </c>
      <c r="B9" s="5" t="s">
        <v>159</v>
      </c>
      <c r="C9" s="5" t="s">
        <v>17</v>
      </c>
      <c r="D9" s="5"/>
      <c r="E9" s="5" t="s">
        <v>1825</v>
      </c>
      <c r="F9" s="5" t="s">
        <v>19</v>
      </c>
      <c r="G9" s="5" t="b">
        <v>1</v>
      </c>
      <c r="H9" s="5" t="s">
        <v>17</v>
      </c>
      <c r="I9" s="5" t="s">
        <v>17</v>
      </c>
      <c r="J9" s="5" t="s">
        <v>1826</v>
      </c>
    </row>
    <row r="10" spans="1:10" x14ac:dyDescent="0.25">
      <c r="A10" s="5" t="s">
        <v>19</v>
      </c>
      <c r="B10" s="6" t="s">
        <v>952</v>
      </c>
      <c r="C10" s="5" t="s">
        <v>17</v>
      </c>
      <c r="D10" s="5"/>
      <c r="E10" s="5" t="s">
        <v>953</v>
      </c>
      <c r="F10" s="5" t="s">
        <v>15</v>
      </c>
      <c r="G10" s="5" t="s">
        <v>17</v>
      </c>
      <c r="H10" s="5" t="s">
        <v>17</v>
      </c>
      <c r="I10" s="5" t="s">
        <v>17</v>
      </c>
      <c r="J10" s="5" t="s">
        <v>954</v>
      </c>
    </row>
    <row r="11" spans="1:10" x14ac:dyDescent="0.25" outlineLevel="1" collapsed="1">
      <c r="A11" s="7" t="s">
        <v>15</v>
      </c>
      <c r="B11" s="7" t="s">
        <v>16</v>
      </c>
      <c r="C11" s="7" t="s">
        <v>17</v>
      </c>
      <c r="D11" s="7"/>
      <c r="E11" s="7" t="s">
        <v>955</v>
      </c>
      <c r="F11" s="7" t="s">
        <v>19</v>
      </c>
      <c r="G11" s="7" t="s">
        <v>956</v>
      </c>
      <c r="H11" s="7" t="s">
        <v>17</v>
      </c>
      <c r="I11" s="7" t="s">
        <v>17</v>
      </c>
      <c r="J11" s="7" t="s">
        <v>957</v>
      </c>
    </row>
    <row r="12" spans="1:10" x14ac:dyDescent="0.25" outlineLevel="1" collapsed="1">
      <c r="A12" s="7" t="s">
        <v>15</v>
      </c>
      <c r="B12" s="7" t="s">
        <v>284</v>
      </c>
      <c r="C12" s="11" t="s">
        <v>958</v>
      </c>
      <c r="D12" s="7"/>
      <c r="E12" s="7" t="s">
        <v>959</v>
      </c>
      <c r="F12" s="7" t="s">
        <v>19</v>
      </c>
      <c r="G12" s="7" t="s">
        <v>960</v>
      </c>
      <c r="H12" s="7" t="s">
        <v>17</v>
      </c>
      <c r="I12" s="7" t="s">
        <v>17</v>
      </c>
      <c r="J12" s="7" t="s">
        <v>961</v>
      </c>
    </row>
    <row r="13" spans="1:10" x14ac:dyDescent="0.25" outlineLevel="1" collapsed="1">
      <c r="A13" s="7" t="s">
        <v>15</v>
      </c>
      <c r="B13" s="7" t="s">
        <v>16</v>
      </c>
      <c r="C13" s="7" t="s">
        <v>17</v>
      </c>
      <c r="D13" s="7"/>
      <c r="E13" s="7" t="s">
        <v>962</v>
      </c>
      <c r="F13" s="7" t="s">
        <v>19</v>
      </c>
      <c r="G13" s="7" t="s">
        <v>963</v>
      </c>
      <c r="H13" s="7" t="s">
        <v>17</v>
      </c>
      <c r="I13" s="7" t="s">
        <v>17</v>
      </c>
      <c r="J13" s="7" t="s">
        <v>964</v>
      </c>
    </row>
    <row r="14" spans="1:10" x14ac:dyDescent="0.25" outlineLevel="1" collapsed="1">
      <c r="A14" s="7" t="s">
        <v>19</v>
      </c>
      <c r="B14" s="7" t="s">
        <v>291</v>
      </c>
      <c r="C14" s="7" t="s">
        <v>17</v>
      </c>
      <c r="D14" s="7"/>
      <c r="E14" s="7" t="s">
        <v>965</v>
      </c>
      <c r="F14" s="7" t="s">
        <v>19</v>
      </c>
      <c r="G14" s="7" t="s">
        <v>293</v>
      </c>
      <c r="H14" s="7" t="s">
        <v>17</v>
      </c>
      <c r="I14" s="7" t="s">
        <v>17</v>
      </c>
      <c r="J14" s="7" t="s">
        <v>966</v>
      </c>
    </row>
    <row r="15" spans="1:10" x14ac:dyDescent="0.25" outlineLevel="1" collapsed="1">
      <c r="A15" s="7" t="s">
        <v>19</v>
      </c>
      <c r="B15" s="7" t="s">
        <v>16</v>
      </c>
      <c r="C15" s="7" t="s">
        <v>17</v>
      </c>
      <c r="D15" s="7"/>
      <c r="E15" s="7" t="s">
        <v>967</v>
      </c>
      <c r="F15" s="7" t="s">
        <v>19</v>
      </c>
      <c r="G15" s="7" t="s">
        <v>968</v>
      </c>
      <c r="H15" s="7" t="s">
        <v>17</v>
      </c>
      <c r="I15" s="7" t="s">
        <v>17</v>
      </c>
      <c r="J15" s="7" t="s">
        <v>843</v>
      </c>
    </row>
    <row r="16" spans="1:10" x14ac:dyDescent="0.25">
      <c r="A16" s="5" t="s">
        <v>19</v>
      </c>
      <c r="B16" s="5" t="s">
        <v>284</v>
      </c>
      <c r="C16" s="10" t="s">
        <v>1827</v>
      </c>
      <c r="D16" s="5"/>
      <c r="E16" s="5" t="s">
        <v>1828</v>
      </c>
      <c r="F16" s="5" t="s">
        <v>19</v>
      </c>
      <c r="G16" s="5" t="s">
        <v>1829</v>
      </c>
      <c r="H16" s="5" t="s">
        <v>17</v>
      </c>
      <c r="I16" s="5" t="s">
        <v>17</v>
      </c>
      <c r="J16" s="5" t="s">
        <v>1830</v>
      </c>
    </row>
    <row r="17" spans="1:10" x14ac:dyDescent="0.25">
      <c r="A17" s="5" t="s">
        <v>19</v>
      </c>
      <c r="B17" s="5" t="s">
        <v>63</v>
      </c>
      <c r="C17" s="5" t="s">
        <v>17</v>
      </c>
      <c r="D17" s="5"/>
      <c r="E17" s="5" t="s">
        <v>1831</v>
      </c>
      <c r="F17" s="5" t="s">
        <v>19</v>
      </c>
      <c r="G17" s="5">
        <v>1</v>
      </c>
      <c r="H17" s="5" t="s">
        <v>17</v>
      </c>
      <c r="I17" s="5" t="s">
        <v>17</v>
      </c>
      <c r="J17" s="5" t="s">
        <v>1832</v>
      </c>
    </row>
  </sheetData>
  <mergeCells count="3">
    <mergeCell ref="A1:J1"/>
    <mergeCell ref="B2:J2"/>
    <mergeCell ref="B3:J3"/>
  </mergeCells>
  <dataValidations count="3">
    <dataValidation type="list" allowBlank="1" sqref="G12:I12">
      <formula1>'Enums'!C802:C810</formula1>
    </dataValidation>
    <dataValidation type="list" allowBlank="1" sqref="G16:I16">
      <formula1>'Enums'!C738:C741</formula1>
    </dataValidation>
    <dataValidation type="list" allowBlank="1" sqref="G6:I6">
      <formula1>'Enums'!C726:C728</formula1>
    </dataValidation>
  </dataValidations>
  <hyperlinks>
    <hyperlink ref="B10" r:id="rId1" location="#'Evidence item'!A1"/>
  </hyperlinks>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3404</v>
      </c>
      <c r="B1" s="1"/>
      <c r="C1" s="1"/>
      <c r="D1" s="1"/>
      <c r="E1" s="1"/>
      <c r="F1" s="1"/>
      <c r="G1" s="1"/>
      <c r="H1" s="1"/>
      <c r="I1" s="1"/>
      <c r="J1" s="1"/>
    </row>
    <row r="2" spans="1:10" x14ac:dyDescent="0.25">
      <c r="A2" s="2" t="s">
        <v>1</v>
      </c>
      <c r="B2" s="3" t="s">
        <v>3405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1836</v>
      </c>
      <c r="F5" s="5" t="s">
        <v>19</v>
      </c>
      <c r="G5" s="5" t="s">
        <v>31</v>
      </c>
      <c r="H5" s="5" t="s">
        <v>17</v>
      </c>
      <c r="I5" s="5" t="s">
        <v>17</v>
      </c>
      <c r="J5" s="5" t="s">
        <v>1816</v>
      </c>
    </row>
    <row r="6" spans="1:10" x14ac:dyDescent="0.25">
      <c r="A6" s="5" t="s">
        <v>15</v>
      </c>
      <c r="B6" s="5" t="s">
        <v>63</v>
      </c>
      <c r="C6" s="5" t="s">
        <v>17</v>
      </c>
      <c r="D6" s="5"/>
      <c r="E6" s="5" t="s">
        <v>1837</v>
      </c>
      <c r="F6" s="5" t="s">
        <v>19</v>
      </c>
      <c r="G6" s="5">
        <v>1</v>
      </c>
      <c r="H6" s="5" t="s">
        <v>17</v>
      </c>
      <c r="I6" s="5" t="s">
        <v>17</v>
      </c>
      <c r="J6" s="5" t="s">
        <v>1628</v>
      </c>
    </row>
    <row r="7" spans="1:10" x14ac:dyDescent="0.25">
      <c r="A7" s="5" t="s">
        <v>15</v>
      </c>
      <c r="B7" s="5" t="s">
        <v>63</v>
      </c>
      <c r="C7" s="5" t="s">
        <v>17</v>
      </c>
      <c r="D7" s="5"/>
      <c r="E7" s="5" t="s">
        <v>1838</v>
      </c>
      <c r="F7" s="5" t="s">
        <v>19</v>
      </c>
      <c r="G7" s="5">
        <v>1</v>
      </c>
      <c r="H7" s="5" t="s">
        <v>17</v>
      </c>
      <c r="I7" s="5" t="s">
        <v>17</v>
      </c>
      <c r="J7" s="5" t="s">
        <v>1839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3406</v>
      </c>
      <c r="B1" s="1"/>
      <c r="C1" s="1"/>
      <c r="D1" s="1"/>
      <c r="E1" s="1"/>
      <c r="F1" s="1"/>
      <c r="G1" s="1"/>
      <c r="H1" s="1"/>
      <c r="I1" s="1"/>
      <c r="J1" s="1"/>
    </row>
    <row r="2" spans="1:10" x14ac:dyDescent="0.25">
      <c r="A2" s="2" t="s">
        <v>1</v>
      </c>
      <c r="B2" s="3" t="s">
        <v>3407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1843</v>
      </c>
      <c r="F5" s="5" t="s">
        <v>19</v>
      </c>
      <c r="G5" s="5" t="s">
        <v>31</v>
      </c>
      <c r="H5" s="5" t="s">
        <v>17</v>
      </c>
      <c r="I5" s="5" t="s">
        <v>17</v>
      </c>
      <c r="J5" s="5" t="s">
        <v>1844</v>
      </c>
    </row>
    <row r="6" spans="1:10" x14ac:dyDescent="0.25">
      <c r="A6" s="5" t="s">
        <v>15</v>
      </c>
      <c r="B6" s="5" t="s">
        <v>63</v>
      </c>
      <c r="C6" s="5" t="s">
        <v>17</v>
      </c>
      <c r="D6" s="5"/>
      <c r="E6" s="5" t="s">
        <v>1845</v>
      </c>
      <c r="F6" s="5" t="s">
        <v>19</v>
      </c>
      <c r="G6" s="5">
        <v>1</v>
      </c>
      <c r="H6" s="5" t="s">
        <v>17</v>
      </c>
      <c r="I6" s="5" t="s">
        <v>17</v>
      </c>
      <c r="J6" s="5" t="s">
        <v>1684</v>
      </c>
    </row>
    <row r="7" spans="1:10" x14ac:dyDescent="0.25">
      <c r="A7" s="5" t="s">
        <v>15</v>
      </c>
      <c r="B7" s="5" t="s">
        <v>63</v>
      </c>
      <c r="C7" s="5" t="s">
        <v>17</v>
      </c>
      <c r="D7" s="5"/>
      <c r="E7" s="5" t="s">
        <v>1846</v>
      </c>
      <c r="F7" s="5" t="s">
        <v>19</v>
      </c>
      <c r="G7" s="5">
        <v>1</v>
      </c>
      <c r="H7" s="5" t="s">
        <v>17</v>
      </c>
      <c r="I7" s="5" t="s">
        <v>17</v>
      </c>
      <c r="J7" s="5" t="s">
        <v>1630</v>
      </c>
    </row>
    <row r="8" spans="1:10" x14ac:dyDescent="0.25">
      <c r="A8" s="5" t="s">
        <v>19</v>
      </c>
      <c r="B8" s="5" t="s">
        <v>63</v>
      </c>
      <c r="C8" s="5" t="s">
        <v>17</v>
      </c>
      <c r="D8" s="5"/>
      <c r="E8" s="5" t="s">
        <v>1847</v>
      </c>
      <c r="F8" s="5" t="s">
        <v>19</v>
      </c>
      <c r="G8" s="5">
        <v>1</v>
      </c>
      <c r="H8" s="5" t="s">
        <v>17</v>
      </c>
      <c r="I8" s="5" t="s">
        <v>17</v>
      </c>
      <c r="J8" s="5" t="s">
        <v>1848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3408</v>
      </c>
      <c r="B1" s="1"/>
      <c r="C1" s="1"/>
      <c r="D1" s="1"/>
      <c r="E1" s="1"/>
      <c r="F1" s="1"/>
      <c r="G1" s="1"/>
      <c r="H1" s="1"/>
      <c r="I1" s="1"/>
      <c r="J1" s="1"/>
    </row>
    <row r="2" spans="1:10" x14ac:dyDescent="0.25">
      <c r="A2" s="2" t="s">
        <v>1</v>
      </c>
      <c r="B2" s="3" t="s">
        <v>3409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1852</v>
      </c>
      <c r="F5" s="5" t="s">
        <v>19</v>
      </c>
      <c r="G5" s="5" t="s">
        <v>31</v>
      </c>
      <c r="H5" s="5" t="s">
        <v>17</v>
      </c>
      <c r="I5" s="5" t="s">
        <v>17</v>
      </c>
      <c r="J5" s="5" t="s">
        <v>1853</v>
      </c>
    </row>
    <row r="6" spans="1:10" x14ac:dyDescent="0.25">
      <c r="A6" s="5" t="s">
        <v>15</v>
      </c>
      <c r="B6" s="5" t="s">
        <v>291</v>
      </c>
      <c r="C6" s="5" t="s">
        <v>17</v>
      </c>
      <c r="D6" s="5"/>
      <c r="E6" s="5" t="s">
        <v>1854</v>
      </c>
      <c r="F6" s="5" t="s">
        <v>19</v>
      </c>
      <c r="G6" s="5" t="s">
        <v>950</v>
      </c>
      <c r="H6" s="5" t="s">
        <v>17</v>
      </c>
      <c r="I6" s="5" t="s">
        <v>17</v>
      </c>
      <c r="J6" s="5" t="s">
        <v>934</v>
      </c>
    </row>
    <row r="7" spans="1:10" x14ac:dyDescent="0.25">
      <c r="A7" s="5" t="s">
        <v>15</v>
      </c>
      <c r="B7" s="5" t="s">
        <v>159</v>
      </c>
      <c r="C7" s="5" t="s">
        <v>17</v>
      </c>
      <c r="D7" s="5"/>
      <c r="E7" s="5" t="s">
        <v>1855</v>
      </c>
      <c r="F7" s="5" t="s">
        <v>19</v>
      </c>
      <c r="G7" s="5" t="b">
        <v>1</v>
      </c>
      <c r="H7" s="5" t="s">
        <v>17</v>
      </c>
      <c r="I7" s="5" t="s">
        <v>17</v>
      </c>
      <c r="J7" s="5" t="s">
        <v>1856</v>
      </c>
    </row>
    <row r="8" spans="1:10" x14ac:dyDescent="0.25">
      <c r="A8" s="5" t="s">
        <v>15</v>
      </c>
      <c r="B8" s="5" t="s">
        <v>159</v>
      </c>
      <c r="C8" s="5" t="s">
        <v>17</v>
      </c>
      <c r="D8" s="5"/>
      <c r="E8" s="5" t="s">
        <v>1857</v>
      </c>
      <c r="F8" s="5" t="s">
        <v>19</v>
      </c>
      <c r="G8" s="5" t="b">
        <v>1</v>
      </c>
      <c r="H8" s="5" t="s">
        <v>17</v>
      </c>
      <c r="I8" s="5" t="s">
        <v>17</v>
      </c>
      <c r="J8" s="5" t="s">
        <v>1858</v>
      </c>
    </row>
    <row r="9" spans="1:10" x14ac:dyDescent="0.25">
      <c r="A9" s="5" t="s">
        <v>19</v>
      </c>
      <c r="B9" s="5" t="s">
        <v>63</v>
      </c>
      <c r="C9" s="5" t="s">
        <v>17</v>
      </c>
      <c r="D9" s="5">
        <f>EXACT(G8,true)</f>
      </c>
      <c r="E9" s="5" t="s">
        <v>1859</v>
      </c>
      <c r="F9" s="5" t="s">
        <v>19</v>
      </c>
      <c r="G9" s="5">
        <v>1</v>
      </c>
      <c r="H9" s="5" t="s">
        <v>17</v>
      </c>
      <c r="I9" s="5" t="s">
        <v>17</v>
      </c>
      <c r="J9" s="5" t="s">
        <v>1860</v>
      </c>
    </row>
    <row r="10" spans="1:10" x14ac:dyDescent="0.25">
      <c r="A10" s="5" t="s">
        <v>19</v>
      </c>
      <c r="B10" s="5" t="s">
        <v>63</v>
      </c>
      <c r="C10" s="5" t="s">
        <v>17</v>
      </c>
      <c r="D10" s="5"/>
      <c r="E10" s="5" t="s">
        <v>1861</v>
      </c>
      <c r="F10" s="5" t="s">
        <v>19</v>
      </c>
      <c r="G10" s="5">
        <v>1</v>
      </c>
      <c r="H10" s="5">
        <v>1</v>
      </c>
      <c r="I10" s="5" t="s">
        <v>17</v>
      </c>
      <c r="J10" s="5" t="s">
        <v>1862</v>
      </c>
    </row>
    <row r="11" spans="1:10" x14ac:dyDescent="0.25">
      <c r="A11" s="5" t="s">
        <v>19</v>
      </c>
      <c r="B11" s="5" t="s">
        <v>16</v>
      </c>
      <c r="C11" s="5" t="s">
        <v>17</v>
      </c>
      <c r="D11" s="5"/>
      <c r="E11" s="5" t="s">
        <v>1863</v>
      </c>
      <c r="F11" s="5" t="s">
        <v>19</v>
      </c>
      <c r="G11" s="5" t="s">
        <v>31</v>
      </c>
      <c r="H11" s="5" t="s">
        <v>17</v>
      </c>
      <c r="I11" s="5" t="s">
        <v>17</v>
      </c>
      <c r="J11" s="5" t="s">
        <v>1864</v>
      </c>
    </row>
    <row r="12" spans="1:10" x14ac:dyDescent="0.25">
      <c r="A12" s="5" t="s">
        <v>19</v>
      </c>
      <c r="B12" s="6" t="s">
        <v>952</v>
      </c>
      <c r="C12" s="5" t="s">
        <v>17</v>
      </c>
      <c r="D12" s="5"/>
      <c r="E12" s="5" t="s">
        <v>953</v>
      </c>
      <c r="F12" s="5" t="s">
        <v>15</v>
      </c>
      <c r="G12" s="5" t="s">
        <v>17</v>
      </c>
      <c r="H12" s="5" t="s">
        <v>17</v>
      </c>
      <c r="I12" s="5" t="s">
        <v>17</v>
      </c>
      <c r="J12" s="5" t="s">
        <v>954</v>
      </c>
    </row>
    <row r="13" spans="1:10" x14ac:dyDescent="0.25" outlineLevel="1" collapsed="1">
      <c r="A13" s="7" t="s">
        <v>15</v>
      </c>
      <c r="B13" s="7" t="s">
        <v>16</v>
      </c>
      <c r="C13" s="7" t="s">
        <v>17</v>
      </c>
      <c r="D13" s="7"/>
      <c r="E13" s="7" t="s">
        <v>955</v>
      </c>
      <c r="F13" s="7" t="s">
        <v>19</v>
      </c>
      <c r="G13" s="7" t="s">
        <v>956</v>
      </c>
      <c r="H13" s="7" t="s">
        <v>17</v>
      </c>
      <c r="I13" s="7" t="s">
        <v>17</v>
      </c>
      <c r="J13" s="7" t="s">
        <v>957</v>
      </c>
    </row>
    <row r="14" spans="1:10" x14ac:dyDescent="0.25" outlineLevel="1" collapsed="1">
      <c r="A14" s="7" t="s">
        <v>15</v>
      </c>
      <c r="B14" s="7" t="s">
        <v>284</v>
      </c>
      <c r="C14" s="11" t="s">
        <v>958</v>
      </c>
      <c r="D14" s="7"/>
      <c r="E14" s="7" t="s">
        <v>959</v>
      </c>
      <c r="F14" s="7" t="s">
        <v>19</v>
      </c>
      <c r="G14" s="7" t="s">
        <v>960</v>
      </c>
      <c r="H14" s="7" t="s">
        <v>17</v>
      </c>
      <c r="I14" s="7" t="s">
        <v>17</v>
      </c>
      <c r="J14" s="7" t="s">
        <v>961</v>
      </c>
    </row>
    <row r="15" spans="1:10" x14ac:dyDescent="0.25" outlineLevel="1" collapsed="1">
      <c r="A15" s="7" t="s">
        <v>15</v>
      </c>
      <c r="B15" s="7" t="s">
        <v>16</v>
      </c>
      <c r="C15" s="7" t="s">
        <v>17</v>
      </c>
      <c r="D15" s="7"/>
      <c r="E15" s="7" t="s">
        <v>962</v>
      </c>
      <c r="F15" s="7" t="s">
        <v>19</v>
      </c>
      <c r="G15" s="7" t="s">
        <v>963</v>
      </c>
      <c r="H15" s="7" t="s">
        <v>17</v>
      </c>
      <c r="I15" s="7" t="s">
        <v>17</v>
      </c>
      <c r="J15" s="7" t="s">
        <v>964</v>
      </c>
    </row>
    <row r="16" spans="1:10" x14ac:dyDescent="0.25" outlineLevel="1" collapsed="1">
      <c r="A16" s="7" t="s">
        <v>19</v>
      </c>
      <c r="B16" s="7" t="s">
        <v>291</v>
      </c>
      <c r="C16" s="7" t="s">
        <v>17</v>
      </c>
      <c r="D16" s="7"/>
      <c r="E16" s="7" t="s">
        <v>965</v>
      </c>
      <c r="F16" s="7" t="s">
        <v>19</v>
      </c>
      <c r="G16" s="7" t="s">
        <v>293</v>
      </c>
      <c r="H16" s="7" t="s">
        <v>17</v>
      </c>
      <c r="I16" s="7" t="s">
        <v>17</v>
      </c>
      <c r="J16" s="7" t="s">
        <v>966</v>
      </c>
    </row>
    <row r="17" spans="1:10" x14ac:dyDescent="0.25" outlineLevel="1" collapsed="1">
      <c r="A17" s="7" t="s">
        <v>19</v>
      </c>
      <c r="B17" s="7" t="s">
        <v>16</v>
      </c>
      <c r="C17" s="7" t="s">
        <v>17</v>
      </c>
      <c r="D17" s="7"/>
      <c r="E17" s="7" t="s">
        <v>967</v>
      </c>
      <c r="F17" s="7" t="s">
        <v>19</v>
      </c>
      <c r="G17" s="7" t="s">
        <v>968</v>
      </c>
      <c r="H17" s="7" t="s">
        <v>17</v>
      </c>
      <c r="I17" s="7" t="s">
        <v>17</v>
      </c>
      <c r="J17" s="7" t="s">
        <v>843</v>
      </c>
    </row>
  </sheetData>
  <mergeCells count="3">
    <mergeCell ref="A1:J1"/>
    <mergeCell ref="B2:J2"/>
    <mergeCell ref="B3:J3"/>
  </mergeCells>
  <dataValidations count="1">
    <dataValidation type="list" allowBlank="1" sqref="G14:I14">
      <formula1>'Enums'!C802:C810</formula1>
    </dataValidation>
  </dataValidations>
  <hyperlinks>
    <hyperlink ref="B12" r:id="rId1" location="#'Evidence item'!A1"/>
  </hyperlinks>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3410</v>
      </c>
      <c r="B1" s="1"/>
      <c r="C1" s="1"/>
      <c r="D1" s="1"/>
      <c r="E1" s="1"/>
      <c r="F1" s="1"/>
      <c r="G1" s="1"/>
      <c r="H1" s="1"/>
      <c r="I1" s="1"/>
      <c r="J1" s="1"/>
    </row>
    <row r="2" spans="1:10" x14ac:dyDescent="0.25">
      <c r="A2" s="2" t="s">
        <v>1</v>
      </c>
      <c r="B2" s="3" t="s">
        <v>3411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1892</v>
      </c>
      <c r="D5" s="5"/>
      <c r="E5" s="5" t="s">
        <v>1893</v>
      </c>
      <c r="F5" s="5" t="s">
        <v>19</v>
      </c>
      <c r="G5" s="5" t="s">
        <v>1669</v>
      </c>
      <c r="H5" s="5" t="s">
        <v>17</v>
      </c>
      <c r="I5" s="5" t="s">
        <v>17</v>
      </c>
      <c r="J5" s="5" t="s">
        <v>1894</v>
      </c>
    </row>
    <row r="6" spans="1:10" x14ac:dyDescent="0.25">
      <c r="A6" s="5" t="s">
        <v>19</v>
      </c>
      <c r="B6" s="5" t="s">
        <v>63</v>
      </c>
      <c r="C6" s="5" t="s">
        <v>17</v>
      </c>
      <c r="D6" s="5"/>
      <c r="E6" s="5" t="s">
        <v>1895</v>
      </c>
      <c r="F6" s="5" t="s">
        <v>19</v>
      </c>
      <c r="G6" s="5">
        <v>90</v>
      </c>
      <c r="H6" s="5">
        <v>90</v>
      </c>
      <c r="I6" s="5" t="s">
        <v>17</v>
      </c>
      <c r="J6" s="5" t="s">
        <v>1896</v>
      </c>
    </row>
    <row r="7" spans="1:10" x14ac:dyDescent="0.25">
      <c r="A7" s="5" t="s">
        <v>19</v>
      </c>
      <c r="B7" s="5" t="s">
        <v>63</v>
      </c>
      <c r="C7" s="5" t="s">
        <v>17</v>
      </c>
      <c r="D7" s="5"/>
      <c r="E7" s="5" t="s">
        <v>1897</v>
      </c>
      <c r="F7" s="5" t="s">
        <v>19</v>
      </c>
      <c r="G7" s="5">
        <v>10</v>
      </c>
      <c r="H7" s="5">
        <v>10</v>
      </c>
      <c r="I7" s="5" t="s">
        <v>17</v>
      </c>
      <c r="J7" s="5" t="s">
        <v>1898</v>
      </c>
    </row>
    <row r="8" spans="1:10" x14ac:dyDescent="0.25">
      <c r="A8" s="5" t="s">
        <v>15</v>
      </c>
      <c r="B8" s="5" t="s">
        <v>63</v>
      </c>
      <c r="C8" s="5" t="s">
        <v>17</v>
      </c>
      <c r="D8" s="5"/>
      <c r="E8" s="5" t="s">
        <v>1899</v>
      </c>
      <c r="F8" s="5" t="s">
        <v>19</v>
      </c>
      <c r="G8" s="5">
        <v>1</v>
      </c>
      <c r="H8" s="5" t="s">
        <v>17</v>
      </c>
      <c r="I8" s="5" t="s">
        <v>17</v>
      </c>
      <c r="J8" s="5" t="s">
        <v>1900</v>
      </c>
    </row>
    <row r="9" spans="1:10" x14ac:dyDescent="0.25">
      <c r="A9" s="5" t="s">
        <v>19</v>
      </c>
      <c r="B9" s="5" t="s">
        <v>63</v>
      </c>
      <c r="C9" s="5" t="s">
        <v>17</v>
      </c>
      <c r="D9" s="5"/>
      <c r="E9" s="5" t="s">
        <v>1901</v>
      </c>
      <c r="F9" s="5" t="s">
        <v>19</v>
      </c>
      <c r="G9" s="5">
        <v>1</v>
      </c>
      <c r="H9" s="5" t="s">
        <v>17</v>
      </c>
      <c r="I9" s="5" t="s">
        <v>17</v>
      </c>
      <c r="J9" s="5" t="s">
        <v>1902</v>
      </c>
    </row>
    <row r="10" spans="1:10" x14ac:dyDescent="0.25">
      <c r="A10" s="5" t="s">
        <v>15</v>
      </c>
      <c r="B10" s="5" t="s">
        <v>63</v>
      </c>
      <c r="C10" s="5" t="s">
        <v>17</v>
      </c>
      <c r="D10" s="5"/>
      <c r="E10" s="5" t="s">
        <v>1903</v>
      </c>
      <c r="F10" s="5" t="s">
        <v>19</v>
      </c>
      <c r="G10" s="5">
        <v>1</v>
      </c>
      <c r="H10" s="5" t="s">
        <v>17</v>
      </c>
      <c r="I10" s="5" t="s">
        <v>17</v>
      </c>
      <c r="J10" s="5" t="s">
        <v>1904</v>
      </c>
    </row>
    <row r="11" spans="1:10" x14ac:dyDescent="0.25">
      <c r="A11" s="5" t="s">
        <v>15</v>
      </c>
      <c r="B11" s="5" t="s">
        <v>63</v>
      </c>
      <c r="C11" s="5" t="s">
        <v>17</v>
      </c>
      <c r="D11" s="5"/>
      <c r="E11" s="5" t="s">
        <v>1905</v>
      </c>
      <c r="F11" s="5" t="s">
        <v>19</v>
      </c>
      <c r="G11" s="5">
        <v>1</v>
      </c>
      <c r="H11" s="5" t="s">
        <v>17</v>
      </c>
      <c r="I11" s="5" t="s">
        <v>17</v>
      </c>
      <c r="J11" s="5" t="s">
        <v>1906</v>
      </c>
    </row>
    <row r="12" spans="1:10" x14ac:dyDescent="0.25">
      <c r="A12" s="5" t="s">
        <v>15</v>
      </c>
      <c r="B12" s="5" t="s">
        <v>284</v>
      </c>
      <c r="C12" s="10" t="s">
        <v>1907</v>
      </c>
      <c r="D12" s="5"/>
      <c r="E12" s="5" t="s">
        <v>1908</v>
      </c>
      <c r="F12" s="5" t="s">
        <v>19</v>
      </c>
      <c r="G12" s="5" t="s">
        <v>1909</v>
      </c>
      <c r="H12" s="5" t="s">
        <v>17</v>
      </c>
      <c r="I12" s="5" t="s">
        <v>17</v>
      </c>
      <c r="J12" s="5" t="s">
        <v>1910</v>
      </c>
    </row>
    <row r="13" spans="1:10" x14ac:dyDescent="0.25">
      <c r="A13" s="5" t="s">
        <v>19</v>
      </c>
      <c r="B13" s="6" t="s">
        <v>952</v>
      </c>
      <c r="C13" s="5" t="s">
        <v>17</v>
      </c>
      <c r="D13" s="5"/>
      <c r="E13" s="5" t="s">
        <v>953</v>
      </c>
      <c r="F13" s="5" t="s">
        <v>15</v>
      </c>
      <c r="G13" s="5" t="s">
        <v>17</v>
      </c>
      <c r="H13" s="5" t="s">
        <v>17</v>
      </c>
      <c r="I13" s="5" t="s">
        <v>17</v>
      </c>
      <c r="J13" s="5" t="s">
        <v>954</v>
      </c>
    </row>
    <row r="14" spans="1:10" x14ac:dyDescent="0.25" outlineLevel="1" collapsed="1">
      <c r="A14" s="7" t="s">
        <v>15</v>
      </c>
      <c r="B14" s="7" t="s">
        <v>16</v>
      </c>
      <c r="C14" s="7" t="s">
        <v>17</v>
      </c>
      <c r="D14" s="7"/>
      <c r="E14" s="7" t="s">
        <v>955</v>
      </c>
      <c r="F14" s="7" t="s">
        <v>19</v>
      </c>
      <c r="G14" s="7" t="s">
        <v>956</v>
      </c>
      <c r="H14" s="7" t="s">
        <v>17</v>
      </c>
      <c r="I14" s="7" t="s">
        <v>17</v>
      </c>
      <c r="J14" s="7" t="s">
        <v>957</v>
      </c>
    </row>
    <row r="15" spans="1:10" x14ac:dyDescent="0.25" outlineLevel="1" collapsed="1">
      <c r="A15" s="7" t="s">
        <v>15</v>
      </c>
      <c r="B15" s="7" t="s">
        <v>284</v>
      </c>
      <c r="C15" s="11" t="s">
        <v>958</v>
      </c>
      <c r="D15" s="7"/>
      <c r="E15" s="7" t="s">
        <v>959</v>
      </c>
      <c r="F15" s="7" t="s">
        <v>19</v>
      </c>
      <c r="G15" s="7" t="s">
        <v>960</v>
      </c>
      <c r="H15" s="7" t="s">
        <v>17</v>
      </c>
      <c r="I15" s="7" t="s">
        <v>17</v>
      </c>
      <c r="J15" s="7" t="s">
        <v>961</v>
      </c>
    </row>
    <row r="16" spans="1:10" x14ac:dyDescent="0.25" outlineLevel="1" collapsed="1">
      <c r="A16" s="7" t="s">
        <v>15</v>
      </c>
      <c r="B16" s="7" t="s">
        <v>16</v>
      </c>
      <c r="C16" s="7" t="s">
        <v>17</v>
      </c>
      <c r="D16" s="7"/>
      <c r="E16" s="7" t="s">
        <v>962</v>
      </c>
      <c r="F16" s="7" t="s">
        <v>19</v>
      </c>
      <c r="G16" s="7" t="s">
        <v>963</v>
      </c>
      <c r="H16" s="7" t="s">
        <v>17</v>
      </c>
      <c r="I16" s="7" t="s">
        <v>17</v>
      </c>
      <c r="J16" s="7" t="s">
        <v>964</v>
      </c>
    </row>
    <row r="17" spans="1:10" x14ac:dyDescent="0.25" outlineLevel="1" collapsed="1">
      <c r="A17" s="7" t="s">
        <v>19</v>
      </c>
      <c r="B17" s="7" t="s">
        <v>291</v>
      </c>
      <c r="C17" s="7" t="s">
        <v>17</v>
      </c>
      <c r="D17" s="7"/>
      <c r="E17" s="7" t="s">
        <v>965</v>
      </c>
      <c r="F17" s="7" t="s">
        <v>19</v>
      </c>
      <c r="G17" s="7" t="s">
        <v>293</v>
      </c>
      <c r="H17" s="7" t="s">
        <v>17</v>
      </c>
      <c r="I17" s="7" t="s">
        <v>17</v>
      </c>
      <c r="J17" s="7" t="s">
        <v>966</v>
      </c>
    </row>
    <row r="18" spans="1:10" x14ac:dyDescent="0.25" outlineLevel="1" collapsed="1">
      <c r="A18" s="7" t="s">
        <v>19</v>
      </c>
      <c r="B18" s="7" t="s">
        <v>16</v>
      </c>
      <c r="C18" s="7" t="s">
        <v>17</v>
      </c>
      <c r="D18" s="7"/>
      <c r="E18" s="7" t="s">
        <v>967</v>
      </c>
      <c r="F18" s="7" t="s">
        <v>19</v>
      </c>
      <c r="G18" s="7" t="s">
        <v>968</v>
      </c>
      <c r="H18" s="7" t="s">
        <v>17</v>
      </c>
      <c r="I18" s="7" t="s">
        <v>17</v>
      </c>
      <c r="J18" s="7" t="s">
        <v>843</v>
      </c>
    </row>
    <row r="19" spans="1:10" x14ac:dyDescent="0.25">
      <c r="A19" s="5" t="s">
        <v>19</v>
      </c>
      <c r="B19" s="5" t="s">
        <v>63</v>
      </c>
      <c r="C19" s="5" t="s">
        <v>17</v>
      </c>
      <c r="D19" s="5"/>
      <c r="E19" s="5" t="s">
        <v>1911</v>
      </c>
      <c r="F19" s="5" t="s">
        <v>19</v>
      </c>
      <c r="G19" s="5">
        <v>0.8</v>
      </c>
      <c r="H19" s="5" t="s">
        <v>17</v>
      </c>
      <c r="I19" s="5" t="s">
        <v>17</v>
      </c>
      <c r="J19" s="5" t="s">
        <v>1912</v>
      </c>
    </row>
  </sheetData>
  <mergeCells count="3">
    <mergeCell ref="A1:J1"/>
    <mergeCell ref="B2:J2"/>
    <mergeCell ref="B3:J3"/>
  </mergeCells>
  <dataValidations count="3">
    <dataValidation type="list" allowBlank="1" sqref="G12:I12">
      <formula1>'Enums'!C750:C752</formula1>
    </dataValidation>
    <dataValidation type="list" allowBlank="1" sqref="G15:I15">
      <formula1>'Enums'!C802:C810</formula1>
    </dataValidation>
    <dataValidation type="list" allowBlank="1" sqref="G5:I5">
      <formula1>'Enums'!C742:C749</formula1>
    </dataValidation>
  </dataValidations>
  <hyperlinks>
    <hyperlink ref="B13" r:id="rId1" location="#'Evidence item'!A1"/>
  </hyperlinks>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1921</v>
      </c>
      <c r="B1" s="1"/>
      <c r="C1" s="1"/>
      <c r="D1" s="1"/>
      <c r="E1" s="1"/>
      <c r="F1" s="1"/>
      <c r="G1" s="1"/>
      <c r="H1" s="1"/>
      <c r="I1" s="1"/>
      <c r="J1" s="1"/>
    </row>
    <row r="2" spans="1:10" x14ac:dyDescent="0.25">
      <c r="A2" s="2" t="s">
        <v>1</v>
      </c>
      <c r="B2" s="3" t="s">
        <v>3412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1924</v>
      </c>
      <c r="F5" s="5" t="s">
        <v>19</v>
      </c>
      <c r="G5" s="5" t="s">
        <v>1925</v>
      </c>
      <c r="H5" s="5" t="s">
        <v>17</v>
      </c>
      <c r="I5" s="5" t="s">
        <v>17</v>
      </c>
      <c r="J5" s="5" t="s">
        <v>1926</v>
      </c>
    </row>
    <row r="6" spans="1:10" x14ac:dyDescent="0.25">
      <c r="A6" s="5" t="s">
        <v>15</v>
      </c>
      <c r="B6" s="5" t="s">
        <v>284</v>
      </c>
      <c r="C6" s="10" t="s">
        <v>1927</v>
      </c>
      <c r="D6" s="5"/>
      <c r="E6" s="5" t="s">
        <v>1928</v>
      </c>
      <c r="F6" s="5" t="s">
        <v>19</v>
      </c>
      <c r="G6" s="5" t="s">
        <v>1929</v>
      </c>
      <c r="H6" s="5" t="s">
        <v>17</v>
      </c>
      <c r="I6" s="5" t="s">
        <v>17</v>
      </c>
      <c r="J6" s="5" t="s">
        <v>1725</v>
      </c>
    </row>
    <row r="7" spans="1:10" x14ac:dyDescent="0.25">
      <c r="A7" s="5" t="s">
        <v>15</v>
      </c>
      <c r="B7" s="5" t="s">
        <v>284</v>
      </c>
      <c r="C7" s="10" t="s">
        <v>1930</v>
      </c>
      <c r="D7" s="5"/>
      <c r="E7" s="5" t="s">
        <v>1931</v>
      </c>
      <c r="F7" s="5" t="s">
        <v>19</v>
      </c>
      <c r="G7" s="5" t="s">
        <v>1932</v>
      </c>
      <c r="H7" s="5" t="s">
        <v>17</v>
      </c>
      <c r="I7" s="5" t="s">
        <v>17</v>
      </c>
      <c r="J7" s="5" t="s">
        <v>1933</v>
      </c>
    </row>
    <row r="8" spans="1:10" x14ac:dyDescent="0.25">
      <c r="A8" s="5" t="s">
        <v>19</v>
      </c>
      <c r="B8" s="5" t="s">
        <v>63</v>
      </c>
      <c r="C8" s="5" t="s">
        <v>17</v>
      </c>
      <c r="D8" s="5">
        <f>EXACT(G7,"Option 1 - latest UNFCCC national default")</f>
      </c>
      <c r="E8" s="5" t="s">
        <v>1934</v>
      </c>
      <c r="F8" s="5" t="s">
        <v>19</v>
      </c>
      <c r="G8" s="5">
        <v>1</v>
      </c>
      <c r="H8" s="5" t="s">
        <v>17</v>
      </c>
      <c r="I8" s="5" t="s">
        <v>17</v>
      </c>
      <c r="J8" s="5" t="s">
        <v>1935</v>
      </c>
    </row>
    <row r="9" spans="1:10" x14ac:dyDescent="0.25">
      <c r="A9" s="5" t="s">
        <v>19</v>
      </c>
      <c r="B9" s="5" t="s">
        <v>16</v>
      </c>
      <c r="C9" s="5" t="s">
        <v>17</v>
      </c>
      <c r="D9" s="5">
        <f>EXACT(G7,"Option 1 - latest UNFCCC national default")</f>
      </c>
      <c r="E9" s="5" t="s">
        <v>1936</v>
      </c>
      <c r="F9" s="5" t="s">
        <v>19</v>
      </c>
      <c r="G9" s="5" t="s">
        <v>31</v>
      </c>
      <c r="H9" s="5" t="s">
        <v>17</v>
      </c>
      <c r="I9" s="5" t="s">
        <v>17</v>
      </c>
      <c r="J9" s="5" t="s">
        <v>1937</v>
      </c>
    </row>
    <row r="10" spans="1:10" x14ac:dyDescent="0.25">
      <c r="A10" s="5" t="s">
        <v>19</v>
      </c>
      <c r="B10" s="5" t="s">
        <v>284</v>
      </c>
      <c r="C10" s="10" t="s">
        <v>1938</v>
      </c>
      <c r="D10" s="5">
        <f>EXACT(G7,"Option 1 - latest UNFCCC national default")</f>
      </c>
      <c r="E10" s="5" t="s">
        <v>1939</v>
      </c>
      <c r="F10" s="5" t="s">
        <v>19</v>
      </c>
      <c r="G10" s="5" t="s">
        <v>1940</v>
      </c>
      <c r="H10" s="5" t="s">
        <v>17</v>
      </c>
      <c r="I10" s="5" t="s">
        <v>17</v>
      </c>
      <c r="J10" s="5" t="s">
        <v>1941</v>
      </c>
    </row>
    <row r="11" spans="1:10" x14ac:dyDescent="0.25">
      <c r="A11" s="5" t="s">
        <v>19</v>
      </c>
      <c r="B11" s="5" t="s">
        <v>63</v>
      </c>
      <c r="C11" s="5" t="s">
        <v>17</v>
      </c>
      <c r="D11" s="5">
        <f>EXACT(G7,"Option 1 - latest UNFCCC national default")</f>
      </c>
      <c r="E11" s="5" t="s">
        <v>1942</v>
      </c>
      <c r="F11" s="5" t="s">
        <v>19</v>
      </c>
      <c r="G11" s="5">
        <v>1</v>
      </c>
      <c r="H11" s="5" t="s">
        <v>17</v>
      </c>
      <c r="I11" s="5" t="s">
        <v>17</v>
      </c>
      <c r="J11" s="5" t="s">
        <v>1943</v>
      </c>
    </row>
    <row r="12" spans="1:10" x14ac:dyDescent="0.25">
      <c r="A12" s="5" t="s">
        <v>19</v>
      </c>
      <c r="B12" s="5" t="s">
        <v>63</v>
      </c>
      <c r="C12" s="5" t="s">
        <v>17</v>
      </c>
      <c r="D12" s="5">
        <f>EXACT(G7,"Option 2 - TOOL30 calculated value x (1 - 0.26)")</f>
      </c>
      <c r="E12" s="5" t="s">
        <v>1944</v>
      </c>
      <c r="F12" s="5" t="s">
        <v>19</v>
      </c>
      <c r="G12" s="5">
        <v>1</v>
      </c>
      <c r="H12" s="5" t="s">
        <v>17</v>
      </c>
      <c r="I12" s="5" t="s">
        <v>17</v>
      </c>
      <c r="J12" s="5" t="s">
        <v>1945</v>
      </c>
    </row>
    <row r="13" spans="1:10" x14ac:dyDescent="0.25">
      <c r="A13" s="5" t="s">
        <v>19</v>
      </c>
      <c r="B13" s="5" t="s">
        <v>159</v>
      </c>
      <c r="C13" s="5" t="s">
        <v>17</v>
      </c>
      <c r="D13" s="5">
        <f>EXACT(G7,"Option 2 - TOOL30 calculated value x (1 - 0.26)")</f>
      </c>
      <c r="E13" s="5" t="s">
        <v>1946</v>
      </c>
      <c r="F13" s="5" t="s">
        <v>19</v>
      </c>
      <c r="G13" s="5" t="b">
        <v>1</v>
      </c>
      <c r="H13" s="5" t="s">
        <v>17</v>
      </c>
      <c r="I13" s="5" t="s">
        <v>17</v>
      </c>
      <c r="J13" s="5" t="s">
        <v>1947</v>
      </c>
    </row>
    <row r="14" spans="1:10" x14ac:dyDescent="0.25">
      <c r="A14" s="5" t="s">
        <v>19</v>
      </c>
      <c r="B14" s="5" t="s">
        <v>63</v>
      </c>
      <c r="C14" s="5" t="s">
        <v>17</v>
      </c>
      <c r="D14" s="5">
        <f>EXACT(G7,"Option 3 - latest TOOL33 default (national Table 3 / regional Table 2)")</f>
      </c>
      <c r="E14" s="5" t="s">
        <v>1948</v>
      </c>
      <c r="F14" s="5" t="s">
        <v>19</v>
      </c>
      <c r="G14" s="5">
        <v>1</v>
      </c>
      <c r="H14" s="5" t="s">
        <v>17</v>
      </c>
      <c r="I14" s="5" t="s">
        <v>17</v>
      </c>
      <c r="J14" s="5" t="s">
        <v>1949</v>
      </c>
    </row>
    <row r="15" spans="1:10" x14ac:dyDescent="0.25">
      <c r="A15" s="5" t="s">
        <v>19</v>
      </c>
      <c r="B15" s="5" t="s">
        <v>284</v>
      </c>
      <c r="C15" s="10" t="s">
        <v>1950</v>
      </c>
      <c r="D15" s="5">
        <f>EXACT(G7,"Option 3 - latest TOOL33 default (national Table 3 / regional Table 2)")</f>
      </c>
      <c r="E15" s="5" t="s">
        <v>1951</v>
      </c>
      <c r="F15" s="5" t="s">
        <v>19</v>
      </c>
      <c r="G15" s="5" t="s">
        <v>1952</v>
      </c>
      <c r="H15" s="5" t="s">
        <v>17</v>
      </c>
      <c r="I15" s="5" t="s">
        <v>17</v>
      </c>
      <c r="J15" s="5" t="s">
        <v>1953</v>
      </c>
    </row>
    <row r="16" spans="1:10" x14ac:dyDescent="0.25">
      <c r="A16" s="5" t="s">
        <v>19</v>
      </c>
      <c r="B16" s="5" t="s">
        <v>16</v>
      </c>
      <c r="C16" s="5" t="s">
        <v>17</v>
      </c>
      <c r="D16" s="5">
        <f>EXACT(G7,"Option 3 - latest TOOL33 default (national Table 3 / regional Table 2)")</f>
      </c>
      <c r="E16" s="5" t="s">
        <v>1954</v>
      </c>
      <c r="F16" s="5" t="s">
        <v>19</v>
      </c>
      <c r="G16" s="5" t="s">
        <v>31</v>
      </c>
      <c r="H16" s="5" t="s">
        <v>17</v>
      </c>
      <c r="I16" s="5" t="s">
        <v>17</v>
      </c>
      <c r="J16" s="5" t="s">
        <v>1955</v>
      </c>
    </row>
    <row r="17" spans="1:10" x14ac:dyDescent="0.25">
      <c r="A17" s="5" t="s">
        <v>15</v>
      </c>
      <c r="B17" s="5" t="s">
        <v>63</v>
      </c>
      <c r="C17" s="5" t="s">
        <v>17</v>
      </c>
      <c r="D17" s="5"/>
      <c r="E17" s="5" t="s">
        <v>1956</v>
      </c>
      <c r="F17" s="5" t="s">
        <v>19</v>
      </c>
      <c r="G17" s="5">
        <v>1</v>
      </c>
      <c r="H17" s="5" t="s">
        <v>17</v>
      </c>
      <c r="I17" s="5" t="s">
        <v>17</v>
      </c>
      <c r="J17" s="5" t="s">
        <v>1957</v>
      </c>
    </row>
    <row r="18" spans="1:10" x14ac:dyDescent="0.25">
      <c r="A18" s="5" t="s">
        <v>15</v>
      </c>
      <c r="B18" s="5" t="s">
        <v>291</v>
      </c>
      <c r="C18" s="5" t="s">
        <v>17</v>
      </c>
      <c r="D18" s="5"/>
      <c r="E18" s="5" t="s">
        <v>1958</v>
      </c>
      <c r="F18" s="5" t="s">
        <v>19</v>
      </c>
      <c r="G18" s="5" t="s">
        <v>950</v>
      </c>
      <c r="H18" s="5" t="s">
        <v>17</v>
      </c>
      <c r="I18" s="5" t="s">
        <v>17</v>
      </c>
      <c r="J18" s="5" t="s">
        <v>1959</v>
      </c>
    </row>
    <row r="19" spans="1:10" x14ac:dyDescent="0.25">
      <c r="A19" s="5" t="s">
        <v>19</v>
      </c>
      <c r="B19" s="5" t="s">
        <v>291</v>
      </c>
      <c r="C19" s="5" t="s">
        <v>17</v>
      </c>
      <c r="D19" s="5"/>
      <c r="E19" s="5" t="s">
        <v>1960</v>
      </c>
      <c r="F19" s="5" t="s">
        <v>19</v>
      </c>
      <c r="G19" s="5" t="s">
        <v>950</v>
      </c>
      <c r="H19" s="5" t="s">
        <v>17</v>
      </c>
      <c r="I19" s="5" t="s">
        <v>17</v>
      </c>
      <c r="J19" s="5" t="s">
        <v>1961</v>
      </c>
    </row>
    <row r="20" spans="1:10" x14ac:dyDescent="0.25">
      <c r="A20" s="5" t="s">
        <v>19</v>
      </c>
      <c r="B20" s="5" t="s">
        <v>63</v>
      </c>
      <c r="C20" s="5" t="s">
        <v>17</v>
      </c>
      <c r="D20" s="5"/>
      <c r="E20" s="5" t="s">
        <v>1962</v>
      </c>
      <c r="F20" s="5" t="s">
        <v>19</v>
      </c>
      <c r="G20" s="5">
        <v>1</v>
      </c>
      <c r="H20" s="5" t="s">
        <v>17</v>
      </c>
      <c r="I20" s="5" t="s">
        <v>17</v>
      </c>
      <c r="J20" s="5" t="s">
        <v>1963</v>
      </c>
    </row>
    <row r="21" spans="1:10" x14ac:dyDescent="0.25">
      <c r="A21" s="5" t="s">
        <v>19</v>
      </c>
      <c r="B21" s="5" t="s">
        <v>63</v>
      </c>
      <c r="C21" s="5" t="s">
        <v>17</v>
      </c>
      <c r="D21" s="5"/>
      <c r="E21" s="5" t="s">
        <v>1964</v>
      </c>
      <c r="F21" s="5" t="s">
        <v>19</v>
      </c>
      <c r="G21" s="5">
        <v>1</v>
      </c>
      <c r="H21" s="5" t="s">
        <v>17</v>
      </c>
      <c r="I21" s="5" t="s">
        <v>17</v>
      </c>
      <c r="J21" s="5" t="s">
        <v>1965</v>
      </c>
    </row>
    <row r="22" spans="1:10" x14ac:dyDescent="0.25">
      <c r="A22" s="5" t="s">
        <v>19</v>
      </c>
      <c r="B22" s="6" t="s">
        <v>952</v>
      </c>
      <c r="C22" s="5" t="s">
        <v>17</v>
      </c>
      <c r="D22" s="5"/>
      <c r="E22" s="5" t="s">
        <v>953</v>
      </c>
      <c r="F22" s="5" t="s">
        <v>15</v>
      </c>
      <c r="G22" s="5" t="s">
        <v>17</v>
      </c>
      <c r="H22" s="5" t="s">
        <v>17</v>
      </c>
      <c r="I22" s="5" t="s">
        <v>17</v>
      </c>
      <c r="J22" s="5" t="s">
        <v>954</v>
      </c>
    </row>
    <row r="23" spans="1:10" x14ac:dyDescent="0.25" outlineLevel="1" collapsed="1">
      <c r="A23" s="7" t="s">
        <v>15</v>
      </c>
      <c r="B23" s="7" t="s">
        <v>16</v>
      </c>
      <c r="C23" s="7" t="s">
        <v>17</v>
      </c>
      <c r="D23" s="7"/>
      <c r="E23" s="7" t="s">
        <v>955</v>
      </c>
      <c r="F23" s="7" t="s">
        <v>19</v>
      </c>
      <c r="G23" s="7" t="s">
        <v>956</v>
      </c>
      <c r="H23" s="7" t="s">
        <v>17</v>
      </c>
      <c r="I23" s="7" t="s">
        <v>17</v>
      </c>
      <c r="J23" s="7" t="s">
        <v>957</v>
      </c>
    </row>
    <row r="24" spans="1:10" x14ac:dyDescent="0.25" outlineLevel="1" collapsed="1">
      <c r="A24" s="7" t="s">
        <v>15</v>
      </c>
      <c r="B24" s="7" t="s">
        <v>284</v>
      </c>
      <c r="C24" s="11" t="s">
        <v>958</v>
      </c>
      <c r="D24" s="7"/>
      <c r="E24" s="7" t="s">
        <v>959</v>
      </c>
      <c r="F24" s="7" t="s">
        <v>19</v>
      </c>
      <c r="G24" s="7" t="s">
        <v>960</v>
      </c>
      <c r="H24" s="7" t="s">
        <v>17</v>
      </c>
      <c r="I24" s="7" t="s">
        <v>17</v>
      </c>
      <c r="J24" s="7" t="s">
        <v>961</v>
      </c>
    </row>
    <row r="25" spans="1:10" x14ac:dyDescent="0.25" outlineLevel="1" collapsed="1">
      <c r="A25" s="7" t="s">
        <v>15</v>
      </c>
      <c r="B25" s="7" t="s">
        <v>16</v>
      </c>
      <c r="C25" s="7" t="s">
        <v>17</v>
      </c>
      <c r="D25" s="7"/>
      <c r="E25" s="7" t="s">
        <v>962</v>
      </c>
      <c r="F25" s="7" t="s">
        <v>19</v>
      </c>
      <c r="G25" s="7" t="s">
        <v>963</v>
      </c>
      <c r="H25" s="7" t="s">
        <v>17</v>
      </c>
      <c r="I25" s="7" t="s">
        <v>17</v>
      </c>
      <c r="J25" s="7" t="s">
        <v>964</v>
      </c>
    </row>
    <row r="26" spans="1:10" x14ac:dyDescent="0.25" outlineLevel="1" collapsed="1">
      <c r="A26" s="7" t="s">
        <v>19</v>
      </c>
      <c r="B26" s="7" t="s">
        <v>291</v>
      </c>
      <c r="C26" s="7" t="s">
        <v>17</v>
      </c>
      <c r="D26" s="7"/>
      <c r="E26" s="7" t="s">
        <v>965</v>
      </c>
      <c r="F26" s="7" t="s">
        <v>19</v>
      </c>
      <c r="G26" s="7" t="s">
        <v>293</v>
      </c>
      <c r="H26" s="7" t="s">
        <v>17</v>
      </c>
      <c r="I26" s="7" t="s">
        <v>17</v>
      </c>
      <c r="J26" s="7" t="s">
        <v>966</v>
      </c>
    </row>
    <row r="27" spans="1:10" x14ac:dyDescent="0.25" outlineLevel="1" collapsed="1">
      <c r="A27" s="7" t="s">
        <v>19</v>
      </c>
      <c r="B27" s="7" t="s">
        <v>16</v>
      </c>
      <c r="C27" s="7" t="s">
        <v>17</v>
      </c>
      <c r="D27" s="7"/>
      <c r="E27" s="7" t="s">
        <v>967</v>
      </c>
      <c r="F27" s="7" t="s">
        <v>19</v>
      </c>
      <c r="G27" s="7" t="s">
        <v>968</v>
      </c>
      <c r="H27" s="7" t="s">
        <v>17</v>
      </c>
      <c r="I27" s="7" t="s">
        <v>17</v>
      </c>
      <c r="J27" s="7" t="s">
        <v>843</v>
      </c>
    </row>
  </sheetData>
  <mergeCells count="3">
    <mergeCell ref="A1:J1"/>
    <mergeCell ref="B2:J2"/>
    <mergeCell ref="B3:J3"/>
  </mergeCells>
  <dataValidations count="5">
    <dataValidation type="list" allowBlank="1" sqref="G10:I10">
      <formula1>'Enums'!C759:C760</formula1>
    </dataValidation>
    <dataValidation type="list" allowBlank="1" sqref="G15:I15">
      <formula1>'Enums'!C761:C762</formula1>
    </dataValidation>
    <dataValidation type="list" allowBlank="1" sqref="G24:I24">
      <formula1>'Enums'!C802:C810</formula1>
    </dataValidation>
    <dataValidation type="list" allowBlank="1" sqref="G6:I6">
      <formula1>'Enums'!C753:C755</formula1>
    </dataValidation>
    <dataValidation type="list" allowBlank="1" sqref="G7:I7">
      <formula1>'Enums'!C756:C758</formula1>
    </dataValidation>
  </dataValidations>
  <hyperlinks>
    <hyperlink ref="B22" r:id="rId1" location="#'Evidence item'!A1"/>
  </hyperlinks>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3413</v>
      </c>
      <c r="B1" s="1"/>
      <c r="C1" s="1"/>
      <c r="D1" s="1"/>
      <c r="E1" s="1"/>
      <c r="F1" s="1"/>
      <c r="G1" s="1"/>
      <c r="H1" s="1"/>
      <c r="I1" s="1"/>
      <c r="J1" s="1"/>
    </row>
    <row r="2" spans="1:10" x14ac:dyDescent="0.25">
      <c r="A2" s="2" t="s">
        <v>1</v>
      </c>
      <c r="B2" s="3" t="s">
        <v>3414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2723</v>
      </c>
      <c r="D5" s="5"/>
      <c r="E5" s="5" t="s">
        <v>2724</v>
      </c>
      <c r="F5" s="5" t="s">
        <v>19</v>
      </c>
      <c r="G5" s="5" t="s">
        <v>2725</v>
      </c>
      <c r="H5" s="5" t="s">
        <v>17</v>
      </c>
      <c r="I5" s="5" t="s">
        <v>17</v>
      </c>
      <c r="J5" s="5" t="s">
        <v>1933</v>
      </c>
    </row>
    <row r="6" spans="1:10" x14ac:dyDescent="0.25">
      <c r="A6" s="5" t="s">
        <v>19</v>
      </c>
      <c r="B6" s="5" t="s">
        <v>63</v>
      </c>
      <c r="C6" s="5" t="s">
        <v>17</v>
      </c>
      <c r="D6" s="5">
        <f>EXACT(G5,"0.95 - AMS-I.E net-to-gross default")</f>
      </c>
      <c r="E6" s="5" t="s">
        <v>2726</v>
      </c>
      <c r="F6" s="5" t="s">
        <v>19</v>
      </c>
      <c r="G6" s="5">
        <v>1</v>
      </c>
      <c r="H6" s="5" t="s">
        <v>17</v>
      </c>
      <c r="I6" s="5" t="s">
        <v>17</v>
      </c>
      <c r="J6" s="5" t="s">
        <v>2727</v>
      </c>
    </row>
    <row r="7" spans="1:10" x14ac:dyDescent="0.25">
      <c r="A7" s="5" t="s">
        <v>19</v>
      </c>
      <c r="B7" s="5" t="s">
        <v>63</v>
      </c>
      <c r="C7" s="5" t="s">
        <v>17</v>
      </c>
      <c r="D7" s="5">
        <f>EXACT(G5,"Survey-based value (90/30)")</f>
      </c>
      <c r="E7" s="5" t="s">
        <v>2728</v>
      </c>
      <c r="F7" s="5" t="s">
        <v>19</v>
      </c>
      <c r="G7" s="5">
        <v>1</v>
      </c>
      <c r="H7" s="5" t="s">
        <v>17</v>
      </c>
      <c r="I7" s="5" t="s">
        <v>17</v>
      </c>
      <c r="J7" s="5" t="s">
        <v>2729</v>
      </c>
    </row>
    <row r="8" spans="1:10" x14ac:dyDescent="0.25">
      <c r="A8" s="5" t="s">
        <v>19</v>
      </c>
      <c r="B8" s="5" t="s">
        <v>16</v>
      </c>
      <c r="C8" s="5" t="s">
        <v>17</v>
      </c>
      <c r="D8" s="5">
        <f>EXACT(G5,"Survey-based value (90/30)")</f>
      </c>
      <c r="E8" s="5" t="s">
        <v>2730</v>
      </c>
      <c r="F8" s="5" t="s">
        <v>19</v>
      </c>
      <c r="G8" s="5" t="s">
        <v>31</v>
      </c>
      <c r="H8" s="5" t="s">
        <v>17</v>
      </c>
      <c r="I8" s="5" t="s">
        <v>17</v>
      </c>
      <c r="J8" s="5" t="s">
        <v>2731</v>
      </c>
    </row>
    <row r="9" spans="1:10" x14ac:dyDescent="0.25">
      <c r="A9" s="5" t="s">
        <v>15</v>
      </c>
      <c r="B9" s="5" t="s">
        <v>159</v>
      </c>
      <c r="C9" s="5" t="s">
        <v>17</v>
      </c>
      <c r="D9" s="5"/>
      <c r="E9" s="5" t="s">
        <v>2732</v>
      </c>
      <c r="F9" s="5" t="s">
        <v>19</v>
      </c>
      <c r="G9" s="5" t="b">
        <v>1</v>
      </c>
      <c r="H9" s="5" t="s">
        <v>17</v>
      </c>
      <c r="I9" s="5" t="s">
        <v>17</v>
      </c>
      <c r="J9" s="5" t="s">
        <v>2733</v>
      </c>
    </row>
  </sheetData>
  <mergeCells count="3">
    <mergeCell ref="A1:J1"/>
    <mergeCell ref="B2:J2"/>
    <mergeCell ref="B3:J3"/>
  </mergeCells>
  <dataValidations count="1">
    <dataValidation type="list" allowBlank="1" sqref="G5:I5">
      <formula1>'Enums'!C709:C710</formula1>
    </dataValidation>
  </dataValidations>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2734</v>
      </c>
      <c r="B1" s="1"/>
      <c r="C1" s="1"/>
      <c r="D1" s="1"/>
      <c r="E1" s="1"/>
      <c r="F1" s="1"/>
      <c r="G1" s="1"/>
      <c r="H1" s="1"/>
      <c r="I1" s="1"/>
      <c r="J1" s="1"/>
    </row>
    <row r="2" spans="1:10" x14ac:dyDescent="0.25">
      <c r="A2" s="2" t="s">
        <v>1</v>
      </c>
      <c r="B2" s="3" t="s">
        <v>3415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2735</v>
      </c>
      <c r="D5" s="5"/>
      <c r="E5" s="5" t="s">
        <v>2736</v>
      </c>
      <c r="F5" s="5" t="s">
        <v>19</v>
      </c>
      <c r="G5" s="5" t="s">
        <v>2737</v>
      </c>
      <c r="H5" s="5" t="s">
        <v>17</v>
      </c>
      <c r="I5" s="5" t="s">
        <v>17</v>
      </c>
      <c r="J5" s="5" t="s">
        <v>2738</v>
      </c>
    </row>
    <row r="6" spans="1:10" x14ac:dyDescent="0.25">
      <c r="A6" s="5" t="s">
        <v>19</v>
      </c>
      <c r="B6" s="5" t="s">
        <v>284</v>
      </c>
      <c r="C6" s="10" t="s">
        <v>2739</v>
      </c>
      <c r="D6" s="5">
        <f>EXACT(G5,"VT0008 (any scale)")</f>
      </c>
      <c r="E6" s="5" t="s">
        <v>2740</v>
      </c>
      <c r="F6" s="5" t="s">
        <v>19</v>
      </c>
      <c r="G6" s="5" t="s">
        <v>2741</v>
      </c>
      <c r="H6" s="5" t="s">
        <v>17</v>
      </c>
      <c r="I6" s="5" t="s">
        <v>17</v>
      </c>
      <c r="J6" s="5" t="s">
        <v>2742</v>
      </c>
    </row>
    <row r="7" spans="1:10" x14ac:dyDescent="0.25">
      <c r="A7" s="5" t="s">
        <v>19</v>
      </c>
      <c r="B7" s="5" t="s">
        <v>63</v>
      </c>
      <c r="C7" s="5" t="s">
        <v>17</v>
      </c>
      <c r="D7" s="5"/>
      <c r="E7" s="5" t="s">
        <v>2743</v>
      </c>
      <c r="F7" s="5" t="s">
        <v>19</v>
      </c>
      <c r="G7" s="5">
        <v>1</v>
      </c>
      <c r="H7" s="5" t="s">
        <v>17</v>
      </c>
      <c r="I7" s="5" t="s">
        <v>17</v>
      </c>
      <c r="J7" s="5" t="s">
        <v>2744</v>
      </c>
    </row>
    <row r="8" spans="1:10" x14ac:dyDescent="0.25">
      <c r="A8" s="5" t="s">
        <v>19</v>
      </c>
      <c r="B8" s="5" t="s">
        <v>63</v>
      </c>
      <c r="C8" s="5" t="s">
        <v>17</v>
      </c>
      <c r="D8" s="5"/>
      <c r="E8" s="5" t="s">
        <v>2745</v>
      </c>
      <c r="F8" s="5" t="s">
        <v>19</v>
      </c>
      <c r="G8" s="5">
        <v>1</v>
      </c>
      <c r="H8" s="5" t="s">
        <v>17</v>
      </c>
      <c r="I8" s="5" t="s">
        <v>17</v>
      </c>
      <c r="J8" s="5" t="s">
        <v>2746</v>
      </c>
    </row>
    <row r="9" spans="1:10" x14ac:dyDescent="0.25">
      <c r="A9" s="5" t="s">
        <v>19</v>
      </c>
      <c r="B9" s="5" t="s">
        <v>63</v>
      </c>
      <c r="C9" s="5" t="s">
        <v>17</v>
      </c>
      <c r="D9" s="5"/>
      <c r="E9" s="5" t="s">
        <v>2747</v>
      </c>
      <c r="F9" s="5" t="s">
        <v>19</v>
      </c>
      <c r="G9" s="5">
        <v>1</v>
      </c>
      <c r="H9" s="5" t="s">
        <v>17</v>
      </c>
      <c r="I9" s="5" t="s">
        <v>17</v>
      </c>
      <c r="J9" s="5" t="s">
        <v>2748</v>
      </c>
    </row>
    <row r="10" spans="1:10" x14ac:dyDescent="0.25">
      <c r="A10" s="5" t="s">
        <v>19</v>
      </c>
      <c r="B10" s="5" t="s">
        <v>63</v>
      </c>
      <c r="C10" s="5" t="s">
        <v>17</v>
      </c>
      <c r="D10" s="5"/>
      <c r="E10" s="5" t="s">
        <v>2749</v>
      </c>
      <c r="F10" s="5" t="s">
        <v>19</v>
      </c>
      <c r="G10" s="5">
        <v>1</v>
      </c>
      <c r="H10" s="5" t="s">
        <v>17</v>
      </c>
      <c r="I10" s="5" t="s">
        <v>17</v>
      </c>
      <c r="J10" s="5" t="s">
        <v>2750</v>
      </c>
    </row>
    <row r="11" spans="1:10" x14ac:dyDescent="0.25">
      <c r="A11" s="5" t="s">
        <v>19</v>
      </c>
      <c r="B11" s="5" t="s">
        <v>63</v>
      </c>
      <c r="C11" s="5" t="s">
        <v>17</v>
      </c>
      <c r="D11" s="5"/>
      <c r="E11" s="5" t="s">
        <v>2751</v>
      </c>
      <c r="F11" s="5" t="s">
        <v>19</v>
      </c>
      <c r="G11" s="5">
        <v>1</v>
      </c>
      <c r="H11" s="5" t="s">
        <v>17</v>
      </c>
      <c r="I11" s="5" t="s">
        <v>17</v>
      </c>
      <c r="J11" s="5" t="s">
        <v>2752</v>
      </c>
    </row>
    <row r="12" spans="1:10" x14ac:dyDescent="0.25">
      <c r="A12" s="5" t="s">
        <v>19</v>
      </c>
      <c r="B12" s="5" t="s">
        <v>63</v>
      </c>
      <c r="C12" s="5" t="s">
        <v>17</v>
      </c>
      <c r="D12" s="5"/>
      <c r="E12" s="5" t="s">
        <v>2753</v>
      </c>
      <c r="F12" s="5" t="s">
        <v>19</v>
      </c>
      <c r="G12" s="5">
        <v>1</v>
      </c>
      <c r="H12" s="5" t="s">
        <v>17</v>
      </c>
      <c r="I12" s="5" t="s">
        <v>17</v>
      </c>
      <c r="J12" s="5" t="s">
        <v>2754</v>
      </c>
    </row>
    <row r="13" spans="1:10" x14ac:dyDescent="0.25">
      <c r="A13" s="5" t="s">
        <v>19</v>
      </c>
      <c r="B13" s="5" t="s">
        <v>63</v>
      </c>
      <c r="C13" s="5" t="s">
        <v>17</v>
      </c>
      <c r="D13" s="5"/>
      <c r="E13" s="5" t="s">
        <v>2755</v>
      </c>
      <c r="F13" s="5" t="s">
        <v>19</v>
      </c>
      <c r="G13" s="5">
        <v>1</v>
      </c>
      <c r="H13" s="5" t="s">
        <v>17</v>
      </c>
      <c r="I13" s="5" t="s">
        <v>17</v>
      </c>
      <c r="J13" s="5" t="s">
        <v>2756</v>
      </c>
    </row>
    <row r="14" spans="1:10" x14ac:dyDescent="0.25">
      <c r="A14" s="5" t="s">
        <v>19</v>
      </c>
      <c r="B14" s="5" t="s">
        <v>63</v>
      </c>
      <c r="C14" s="5" t="s">
        <v>17</v>
      </c>
      <c r="D14" s="5">
        <f>EXACT(G5,"VT0008 (any scale)")</f>
      </c>
      <c r="E14" s="5" t="s">
        <v>2757</v>
      </c>
      <c r="F14" s="5" t="s">
        <v>19</v>
      </c>
      <c r="G14" s="5">
        <v>1</v>
      </c>
      <c r="H14" s="5" t="s">
        <v>17</v>
      </c>
      <c r="I14" s="5" t="s">
        <v>17</v>
      </c>
      <c r="J14" s="5" t="s">
        <v>2758</v>
      </c>
    </row>
    <row r="15" spans="1:10" x14ac:dyDescent="0.25">
      <c r="A15" s="5" t="s">
        <v>19</v>
      </c>
      <c r="B15" s="5" t="s">
        <v>63</v>
      </c>
      <c r="C15" s="5" t="s">
        <v>17</v>
      </c>
      <c r="D15" s="5">
        <f>EXACT(G5,"VT0008 (any scale)")</f>
      </c>
      <c r="E15" s="5" t="s">
        <v>2759</v>
      </c>
      <c r="F15" s="5" t="s">
        <v>19</v>
      </c>
      <c r="G15" s="5">
        <v>1</v>
      </c>
      <c r="H15" s="5" t="s">
        <v>17</v>
      </c>
      <c r="I15" s="5" t="s">
        <v>17</v>
      </c>
      <c r="J15" s="5" t="s">
        <v>2760</v>
      </c>
    </row>
    <row r="16" spans="1:10" x14ac:dyDescent="0.25">
      <c r="A16" s="5" t="s">
        <v>19</v>
      </c>
      <c r="B16" s="5" t="s">
        <v>284</v>
      </c>
      <c r="C16" s="10" t="s">
        <v>2761</v>
      </c>
      <c r="D16" s="5">
        <f>EXACT(G5,"TOOL19 (max annual ER &lt;= 20 000 t CO2e; LDC/SIDS/SUZ location route)")</f>
      </c>
      <c r="E16" s="5" t="s">
        <v>2762</v>
      </c>
      <c r="F16" s="5" t="s">
        <v>19</v>
      </c>
      <c r="G16" s="5" t="s">
        <v>2763</v>
      </c>
      <c r="H16" s="5" t="s">
        <v>17</v>
      </c>
      <c r="I16" s="5" t="s">
        <v>17</v>
      </c>
      <c r="J16" s="5" t="s">
        <v>2764</v>
      </c>
    </row>
    <row r="17" spans="1:10" x14ac:dyDescent="0.25">
      <c r="A17" s="5" t="s">
        <v>15</v>
      </c>
      <c r="B17" s="5" t="s">
        <v>16</v>
      </c>
      <c r="C17" s="5" t="s">
        <v>17</v>
      </c>
      <c r="D17" s="5"/>
      <c r="E17" s="5" t="s">
        <v>2765</v>
      </c>
      <c r="F17" s="5" t="s">
        <v>19</v>
      </c>
      <c r="G17" s="5" t="s">
        <v>31</v>
      </c>
      <c r="H17" s="5" t="s">
        <v>17</v>
      </c>
      <c r="I17" s="5" t="s">
        <v>17</v>
      </c>
      <c r="J17" s="5" t="s">
        <v>2766</v>
      </c>
    </row>
  </sheetData>
  <mergeCells count="3">
    <mergeCell ref="A1:J1"/>
    <mergeCell ref="B2:J2"/>
    <mergeCell ref="B3:J3"/>
  </mergeCells>
  <dataValidations count="3">
    <dataValidation type="list" allowBlank="1" sqref="G16:I16">
      <formula1>'Enums'!C718:C720</formula1>
    </dataValidation>
    <dataValidation type="list" allowBlank="1" sqref="G5:I5">
      <formula1>'Enums'!C711:C713</formula1>
    </dataValidation>
    <dataValidation type="list" allowBlank="1" sqref="G6:I6">
      <formula1>'Enums'!C714:C717</formula1>
    </dataValidation>
  </dataValidations>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3416</v>
      </c>
      <c r="B1" s="1"/>
      <c r="C1" s="1"/>
      <c r="D1" s="1"/>
      <c r="E1" s="1"/>
      <c r="F1" s="1"/>
      <c r="G1" s="1"/>
      <c r="H1" s="1"/>
      <c r="I1" s="1"/>
      <c r="J1" s="1"/>
    </row>
    <row r="2" spans="1:10" x14ac:dyDescent="0.25">
      <c r="A2" s="2" t="s">
        <v>1</v>
      </c>
      <c r="B2" s="3" t="s">
        <v>3417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1431</v>
      </c>
      <c r="F5" s="5" t="s">
        <v>19</v>
      </c>
      <c r="G5" s="5" t="s">
        <v>31</v>
      </c>
      <c r="H5" s="5" t="s">
        <v>17</v>
      </c>
      <c r="I5" s="5" t="s">
        <v>17</v>
      </c>
      <c r="J5" s="5" t="s">
        <v>637</v>
      </c>
    </row>
    <row r="6" spans="1:10" x14ac:dyDescent="0.25">
      <c r="A6" s="5" t="s">
        <v>15</v>
      </c>
      <c r="B6" s="5" t="s">
        <v>16</v>
      </c>
      <c r="C6" s="5" t="s">
        <v>17</v>
      </c>
      <c r="D6" s="5"/>
      <c r="E6" s="5" t="s">
        <v>638</v>
      </c>
      <c r="F6" s="5" t="s">
        <v>19</v>
      </c>
      <c r="G6" s="5" t="s">
        <v>31</v>
      </c>
      <c r="H6" s="5" t="s">
        <v>17</v>
      </c>
      <c r="I6" s="5" t="s">
        <v>17</v>
      </c>
      <c r="J6" s="5" t="s">
        <v>640</v>
      </c>
    </row>
    <row r="7" spans="1:10" x14ac:dyDescent="0.25">
      <c r="A7" s="5" t="s">
        <v>15</v>
      </c>
      <c r="B7" s="5" t="s">
        <v>16</v>
      </c>
      <c r="C7" s="5" t="s">
        <v>17</v>
      </c>
      <c r="D7" s="5"/>
      <c r="E7" s="5" t="s">
        <v>9</v>
      </c>
      <c r="F7" s="5" t="s">
        <v>19</v>
      </c>
      <c r="G7" s="5" t="s">
        <v>31</v>
      </c>
      <c r="H7" s="5" t="s">
        <v>17</v>
      </c>
      <c r="I7" s="5" t="s">
        <v>17</v>
      </c>
      <c r="J7" s="5" t="s">
        <v>843</v>
      </c>
    </row>
    <row r="8" spans="1:10" x14ac:dyDescent="0.25">
      <c r="A8" s="5" t="s">
        <v>19</v>
      </c>
      <c r="B8" s="5" t="s">
        <v>16</v>
      </c>
      <c r="C8" s="5" t="s">
        <v>17</v>
      </c>
      <c r="D8" s="5"/>
      <c r="E8" s="5" t="s">
        <v>1600</v>
      </c>
      <c r="F8" s="5" t="s">
        <v>19</v>
      </c>
      <c r="G8" s="5" t="s">
        <v>31</v>
      </c>
      <c r="H8" s="5" t="s">
        <v>17</v>
      </c>
      <c r="I8" s="5" t="s">
        <v>17</v>
      </c>
      <c r="J8" s="5" t="s">
        <v>1424</v>
      </c>
    </row>
    <row r="9" spans="1:10" x14ac:dyDescent="0.25">
      <c r="A9" s="5" t="s">
        <v>15</v>
      </c>
      <c r="B9" s="5" t="s">
        <v>16</v>
      </c>
      <c r="C9" s="5" t="s">
        <v>17</v>
      </c>
      <c r="D9" s="5"/>
      <c r="E9" s="5" t="s">
        <v>1601</v>
      </c>
      <c r="F9" s="5" t="s">
        <v>19</v>
      </c>
      <c r="G9" s="5" t="s">
        <v>31</v>
      </c>
      <c r="H9" s="5" t="s">
        <v>17</v>
      </c>
      <c r="I9" s="5" t="s">
        <v>17</v>
      </c>
      <c r="J9" s="5" t="s">
        <v>1602</v>
      </c>
    </row>
    <row r="10" spans="1:10" x14ac:dyDescent="0.25">
      <c r="A10" s="5" t="s">
        <v>15</v>
      </c>
      <c r="B10" s="5" t="s">
        <v>16</v>
      </c>
      <c r="C10" s="5" t="s">
        <v>17</v>
      </c>
      <c r="D10" s="5"/>
      <c r="E10" s="5" t="s">
        <v>1603</v>
      </c>
      <c r="F10" s="5" t="s">
        <v>19</v>
      </c>
      <c r="G10" s="5" t="s">
        <v>31</v>
      </c>
      <c r="H10" s="5" t="s">
        <v>17</v>
      </c>
      <c r="I10" s="5" t="s">
        <v>17</v>
      </c>
      <c r="J10" s="5" t="s">
        <v>1422</v>
      </c>
    </row>
    <row r="11" spans="1:10" x14ac:dyDescent="0.25">
      <c r="A11" s="5" t="s">
        <v>15</v>
      </c>
      <c r="B11" s="5" t="s">
        <v>284</v>
      </c>
      <c r="C11" s="10" t="s">
        <v>1604</v>
      </c>
      <c r="D11" s="5"/>
      <c r="E11" s="5" t="s">
        <v>1605</v>
      </c>
      <c r="F11" s="5" t="s">
        <v>19</v>
      </c>
      <c r="G11" s="5" t="s">
        <v>1606</v>
      </c>
      <c r="H11" s="5" t="s">
        <v>17</v>
      </c>
      <c r="I11" s="5" t="s">
        <v>17</v>
      </c>
      <c r="J11" s="5" t="s">
        <v>1607</v>
      </c>
    </row>
    <row r="12" spans="1:10" x14ac:dyDescent="0.25">
      <c r="A12" s="5" t="s">
        <v>19</v>
      </c>
      <c r="B12" s="5" t="s">
        <v>63</v>
      </c>
      <c r="C12" s="5" t="s">
        <v>17</v>
      </c>
      <c r="D12" s="5">
        <f>EXACT(G11,"Single value")</f>
      </c>
      <c r="E12" s="5" t="s">
        <v>1608</v>
      </c>
      <c r="F12" s="5" t="s">
        <v>19</v>
      </c>
      <c r="G12" s="5">
        <v>1</v>
      </c>
      <c r="H12" s="5" t="s">
        <v>17</v>
      </c>
      <c r="I12" s="5" t="s">
        <v>17</v>
      </c>
      <c r="J12" s="5" t="s">
        <v>1609</v>
      </c>
    </row>
    <row r="13" spans="1:10" x14ac:dyDescent="0.25">
      <c r="A13" s="5" t="s">
        <v>15</v>
      </c>
      <c r="B13" s="5" t="s">
        <v>16</v>
      </c>
      <c r="C13" s="5" t="s">
        <v>17</v>
      </c>
      <c r="D13" s="5"/>
      <c r="E13" s="5" t="s">
        <v>1610</v>
      </c>
      <c r="F13" s="5" t="s">
        <v>19</v>
      </c>
      <c r="G13" s="5" t="s">
        <v>31</v>
      </c>
      <c r="H13" s="5" t="s">
        <v>17</v>
      </c>
      <c r="I13" s="5" t="s">
        <v>17</v>
      </c>
      <c r="J13" s="5" t="s">
        <v>1191</v>
      </c>
    </row>
    <row r="14" spans="1:10" x14ac:dyDescent="0.25">
      <c r="A14" s="5" t="s">
        <v>15</v>
      </c>
      <c r="B14" s="5" t="s">
        <v>284</v>
      </c>
      <c r="C14" s="10" t="s">
        <v>1611</v>
      </c>
      <c r="D14" s="5"/>
      <c r="E14" s="5" t="s">
        <v>1612</v>
      </c>
      <c r="F14" s="5" t="s">
        <v>19</v>
      </c>
      <c r="G14" s="5" t="s">
        <v>1613</v>
      </c>
      <c r="H14" s="5" t="s">
        <v>17</v>
      </c>
      <c r="I14" s="5" t="s">
        <v>17</v>
      </c>
      <c r="J14" s="5" t="s">
        <v>1614</v>
      </c>
    </row>
    <row r="15" spans="1:10" x14ac:dyDescent="0.25">
      <c r="A15" s="5" t="s">
        <v>19</v>
      </c>
      <c r="B15" s="5" t="s">
        <v>16</v>
      </c>
      <c r="C15" s="5" t="s">
        <v>17</v>
      </c>
      <c r="D15" s="5"/>
      <c r="E15" s="5" t="s">
        <v>1615</v>
      </c>
      <c r="F15" s="5" t="s">
        <v>19</v>
      </c>
      <c r="G15" s="5" t="s">
        <v>31</v>
      </c>
      <c r="H15" s="5" t="s">
        <v>17</v>
      </c>
      <c r="I15" s="5" t="s">
        <v>17</v>
      </c>
      <c r="J15" s="5" t="s">
        <v>1616</v>
      </c>
    </row>
  </sheetData>
  <mergeCells count="3">
    <mergeCell ref="A1:J1"/>
    <mergeCell ref="B2:J2"/>
    <mergeCell ref="B3:J3"/>
  </mergeCells>
  <dataValidations count="2">
    <dataValidation type="list" allowBlank="1" sqref="G11:I11">
      <formula1>'Enums'!C607:C608</formula1>
    </dataValidation>
    <dataValidation type="list" allowBlank="1" sqref="G14:I14">
      <formula1>'Enums'!C609:C613</formula1>
    </dataValidation>
  </dataValidations>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3418</v>
      </c>
      <c r="B1" s="1"/>
      <c r="C1" s="1"/>
      <c r="D1" s="1"/>
      <c r="E1" s="1"/>
      <c r="F1" s="1"/>
      <c r="G1" s="1"/>
      <c r="H1" s="1"/>
      <c r="I1" s="1"/>
      <c r="J1" s="1"/>
    </row>
    <row r="2" spans="1:10" x14ac:dyDescent="0.25">
      <c r="A2" s="2" t="s">
        <v>1</v>
      </c>
      <c r="B2" s="3" t="s">
        <v>3419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1670</v>
      </c>
      <c r="F5" s="5" t="s">
        <v>19</v>
      </c>
      <c r="G5" s="5" t="s">
        <v>31</v>
      </c>
      <c r="H5" s="5" t="s">
        <v>17</v>
      </c>
      <c r="I5" s="5" t="s">
        <v>17</v>
      </c>
      <c r="J5" s="5" t="s">
        <v>637</v>
      </c>
    </row>
    <row r="6" spans="1:10" x14ac:dyDescent="0.25">
      <c r="A6" s="5" t="s">
        <v>15</v>
      </c>
      <c r="B6" s="5" t="s">
        <v>16</v>
      </c>
      <c r="C6" s="5" t="s">
        <v>17</v>
      </c>
      <c r="D6" s="5"/>
      <c r="E6" s="5" t="s">
        <v>638</v>
      </c>
      <c r="F6" s="5" t="s">
        <v>19</v>
      </c>
      <c r="G6" s="5" t="s">
        <v>31</v>
      </c>
      <c r="H6" s="5" t="s">
        <v>17</v>
      </c>
      <c r="I6" s="5" t="s">
        <v>17</v>
      </c>
      <c r="J6" s="5" t="s">
        <v>640</v>
      </c>
    </row>
    <row r="7" spans="1:10" x14ac:dyDescent="0.25">
      <c r="A7" s="5" t="s">
        <v>15</v>
      </c>
      <c r="B7" s="5" t="s">
        <v>16</v>
      </c>
      <c r="C7" s="5" t="s">
        <v>17</v>
      </c>
      <c r="D7" s="5"/>
      <c r="E7" s="5" t="s">
        <v>9</v>
      </c>
      <c r="F7" s="5" t="s">
        <v>19</v>
      </c>
      <c r="G7" s="5" t="s">
        <v>31</v>
      </c>
      <c r="H7" s="5" t="s">
        <v>17</v>
      </c>
      <c r="I7" s="5" t="s">
        <v>17</v>
      </c>
      <c r="J7" s="5" t="s">
        <v>843</v>
      </c>
    </row>
    <row r="8" spans="1:10" x14ac:dyDescent="0.25">
      <c r="A8" s="5" t="s">
        <v>19</v>
      </c>
      <c r="B8" s="5" t="s">
        <v>16</v>
      </c>
      <c r="C8" s="5" t="s">
        <v>17</v>
      </c>
      <c r="D8" s="5"/>
      <c r="E8" s="5" t="s">
        <v>1600</v>
      </c>
      <c r="F8" s="5" t="s">
        <v>19</v>
      </c>
      <c r="G8" s="5" t="s">
        <v>31</v>
      </c>
      <c r="H8" s="5" t="s">
        <v>17</v>
      </c>
      <c r="I8" s="5" t="s">
        <v>17</v>
      </c>
      <c r="J8" s="5" t="s">
        <v>1424</v>
      </c>
    </row>
    <row r="9" spans="1:10" x14ac:dyDescent="0.25">
      <c r="A9" s="5" t="s">
        <v>15</v>
      </c>
      <c r="B9" s="5" t="s">
        <v>16</v>
      </c>
      <c r="C9" s="5" t="s">
        <v>17</v>
      </c>
      <c r="D9" s="5"/>
      <c r="E9" s="5" t="s">
        <v>1601</v>
      </c>
      <c r="F9" s="5" t="s">
        <v>19</v>
      </c>
      <c r="G9" s="5" t="s">
        <v>31</v>
      </c>
      <c r="H9" s="5" t="s">
        <v>17</v>
      </c>
      <c r="I9" s="5" t="s">
        <v>17</v>
      </c>
      <c r="J9" s="5" t="s">
        <v>1602</v>
      </c>
    </row>
    <row r="10" spans="1:10" x14ac:dyDescent="0.25">
      <c r="A10" s="5" t="s">
        <v>15</v>
      </c>
      <c r="B10" s="5" t="s">
        <v>16</v>
      </c>
      <c r="C10" s="5" t="s">
        <v>17</v>
      </c>
      <c r="D10" s="5"/>
      <c r="E10" s="5" t="s">
        <v>1671</v>
      </c>
      <c r="F10" s="5" t="s">
        <v>19</v>
      </c>
      <c r="G10" s="5" t="s">
        <v>31</v>
      </c>
      <c r="H10" s="5" t="s">
        <v>17</v>
      </c>
      <c r="I10" s="5" t="s">
        <v>17</v>
      </c>
      <c r="J10" s="5" t="s">
        <v>1672</v>
      </c>
    </row>
    <row r="11" spans="1:10" x14ac:dyDescent="0.25">
      <c r="A11" s="5" t="s">
        <v>15</v>
      </c>
      <c r="B11" s="5" t="s">
        <v>16</v>
      </c>
      <c r="C11" s="5" t="s">
        <v>17</v>
      </c>
      <c r="D11" s="5"/>
      <c r="E11" s="5" t="s">
        <v>1673</v>
      </c>
      <c r="F11" s="5" t="s">
        <v>19</v>
      </c>
      <c r="G11" s="5" t="s">
        <v>31</v>
      </c>
      <c r="H11" s="5" t="s">
        <v>17</v>
      </c>
      <c r="I11" s="5" t="s">
        <v>17</v>
      </c>
      <c r="J11" s="5" t="s">
        <v>1674</v>
      </c>
    </row>
    <row r="12" spans="1:10" x14ac:dyDescent="0.25">
      <c r="A12" s="5" t="s">
        <v>15</v>
      </c>
      <c r="B12" s="5" t="s">
        <v>16</v>
      </c>
      <c r="C12" s="5" t="s">
        <v>17</v>
      </c>
      <c r="D12" s="5"/>
      <c r="E12" s="5" t="s">
        <v>2618</v>
      </c>
      <c r="F12" s="5" t="s">
        <v>19</v>
      </c>
      <c r="G12" s="5" t="s">
        <v>31</v>
      </c>
      <c r="H12" s="5" t="s">
        <v>17</v>
      </c>
      <c r="I12" s="5" t="s">
        <v>17</v>
      </c>
      <c r="J12" s="5" t="s">
        <v>1422</v>
      </c>
    </row>
    <row r="13" spans="1:10" x14ac:dyDescent="0.25">
      <c r="A13" s="5" t="s">
        <v>15</v>
      </c>
      <c r="B13" s="5" t="s">
        <v>284</v>
      </c>
      <c r="C13" s="10" t="s">
        <v>2619</v>
      </c>
      <c r="D13" s="5"/>
      <c r="E13" s="5" t="s">
        <v>1605</v>
      </c>
      <c r="F13" s="5" t="s">
        <v>19</v>
      </c>
      <c r="G13" s="5" t="s">
        <v>1606</v>
      </c>
      <c r="H13" s="5" t="s">
        <v>17</v>
      </c>
      <c r="I13" s="5" t="s">
        <v>17</v>
      </c>
      <c r="J13" s="5" t="s">
        <v>1607</v>
      </c>
    </row>
    <row r="14" spans="1:10" x14ac:dyDescent="0.25">
      <c r="A14" s="5" t="s">
        <v>19</v>
      </c>
      <c r="B14" s="5" t="s">
        <v>63</v>
      </c>
      <c r="C14" s="5" t="s">
        <v>17</v>
      </c>
      <c r="D14" s="5">
        <f>EXACT(G13,"Single value")</f>
      </c>
      <c r="E14" s="5" t="s">
        <v>2620</v>
      </c>
      <c r="F14" s="5" t="s">
        <v>19</v>
      </c>
      <c r="G14" s="5">
        <v>1</v>
      </c>
      <c r="H14" s="5" t="s">
        <v>17</v>
      </c>
      <c r="I14" s="5" t="s">
        <v>17</v>
      </c>
      <c r="J14" s="5" t="s">
        <v>1609</v>
      </c>
    </row>
    <row r="15" spans="1:10" x14ac:dyDescent="0.25">
      <c r="A15" s="5" t="s">
        <v>19</v>
      </c>
      <c r="B15" s="5" t="s">
        <v>16</v>
      </c>
      <c r="C15" s="5" t="s">
        <v>17</v>
      </c>
      <c r="D15" s="5"/>
      <c r="E15" s="5" t="s">
        <v>1677</v>
      </c>
      <c r="F15" s="5" t="s">
        <v>19</v>
      </c>
      <c r="G15" s="5" t="s">
        <v>31</v>
      </c>
      <c r="H15" s="5" t="s">
        <v>17</v>
      </c>
      <c r="I15" s="5" t="s">
        <v>17</v>
      </c>
      <c r="J15" s="5" t="s">
        <v>1678</v>
      </c>
    </row>
    <row r="16" spans="1:10" x14ac:dyDescent="0.25">
      <c r="A16" s="5" t="s">
        <v>15</v>
      </c>
      <c r="B16" s="5" t="s">
        <v>16</v>
      </c>
      <c r="C16" s="5" t="s">
        <v>17</v>
      </c>
      <c r="D16" s="5"/>
      <c r="E16" s="5" t="s">
        <v>1679</v>
      </c>
      <c r="F16" s="5" t="s">
        <v>19</v>
      </c>
      <c r="G16" s="5" t="s">
        <v>31</v>
      </c>
      <c r="H16" s="5" t="s">
        <v>17</v>
      </c>
      <c r="I16" s="5" t="s">
        <v>17</v>
      </c>
      <c r="J16" s="5" t="s">
        <v>1680</v>
      </c>
    </row>
    <row r="17" spans="1:10" x14ac:dyDescent="0.25">
      <c r="A17" s="5" t="s">
        <v>15</v>
      </c>
      <c r="B17" s="5" t="s">
        <v>284</v>
      </c>
      <c r="C17" s="10" t="s">
        <v>2621</v>
      </c>
      <c r="D17" s="5"/>
      <c r="E17" s="5" t="s">
        <v>1612</v>
      </c>
      <c r="F17" s="5" t="s">
        <v>19</v>
      </c>
      <c r="G17" s="5" t="s">
        <v>1613</v>
      </c>
      <c r="H17" s="5" t="s">
        <v>17</v>
      </c>
      <c r="I17" s="5" t="s">
        <v>17</v>
      </c>
      <c r="J17" s="5" t="s">
        <v>1614</v>
      </c>
    </row>
    <row r="18" spans="1:10" x14ac:dyDescent="0.25">
      <c r="A18" s="5" t="s">
        <v>19</v>
      </c>
      <c r="B18" s="5" t="s">
        <v>16</v>
      </c>
      <c r="C18" s="5" t="s">
        <v>17</v>
      </c>
      <c r="D18" s="5"/>
      <c r="E18" s="5" t="s">
        <v>1681</v>
      </c>
      <c r="F18" s="5" t="s">
        <v>19</v>
      </c>
      <c r="G18" s="5" t="s">
        <v>31</v>
      </c>
      <c r="H18" s="5" t="s">
        <v>17</v>
      </c>
      <c r="I18" s="5" t="s">
        <v>17</v>
      </c>
      <c r="J18" s="5" t="s">
        <v>1682</v>
      </c>
    </row>
    <row r="19" spans="1:10" x14ac:dyDescent="0.25">
      <c r="A19" s="5" t="s">
        <v>19</v>
      </c>
      <c r="B19" s="5" t="s">
        <v>16</v>
      </c>
      <c r="C19" s="5" t="s">
        <v>17</v>
      </c>
      <c r="D19" s="5"/>
      <c r="E19" s="5" t="s">
        <v>1615</v>
      </c>
      <c r="F19" s="5" t="s">
        <v>19</v>
      </c>
      <c r="G19" s="5" t="s">
        <v>31</v>
      </c>
      <c r="H19" s="5" t="s">
        <v>17</v>
      </c>
      <c r="I19" s="5" t="s">
        <v>17</v>
      </c>
      <c r="J19" s="5" t="s">
        <v>1616</v>
      </c>
    </row>
  </sheetData>
  <mergeCells count="3">
    <mergeCell ref="A1:J1"/>
    <mergeCell ref="B2:J2"/>
    <mergeCell ref="B3:J3"/>
  </mergeCells>
  <dataValidations count="2">
    <dataValidation type="list" allowBlank="1" sqref="G13:I13">
      <formula1>'Enums'!C587:C588</formula1>
    </dataValidation>
    <dataValidation type="list" allowBlank="1" sqref="G17:I17">
      <formula1>'Enums'!C589:C593</formula1>
    </dataValidation>
  </dataValidations>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3420</v>
      </c>
      <c r="B1" s="1"/>
      <c r="C1" s="1"/>
      <c r="D1" s="1"/>
      <c r="E1" s="1"/>
      <c r="F1" s="1"/>
      <c r="G1" s="1"/>
      <c r="H1" s="1"/>
      <c r="I1" s="1"/>
      <c r="J1" s="1"/>
    </row>
    <row r="2" spans="1:10" x14ac:dyDescent="0.25">
      <c r="A2" s="2" t="s">
        <v>1</v>
      </c>
      <c r="B2" s="3" t="s">
        <v>3421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1670</v>
      </c>
      <c r="F5" s="5" t="s">
        <v>19</v>
      </c>
      <c r="G5" s="5" t="s">
        <v>31</v>
      </c>
      <c r="H5" s="5" t="s">
        <v>17</v>
      </c>
      <c r="I5" s="5" t="s">
        <v>17</v>
      </c>
      <c r="J5" s="5" t="s">
        <v>637</v>
      </c>
    </row>
    <row r="6" spans="1:10" x14ac:dyDescent="0.25">
      <c r="A6" s="5" t="s">
        <v>15</v>
      </c>
      <c r="B6" s="5" t="s">
        <v>16</v>
      </c>
      <c r="C6" s="5" t="s">
        <v>17</v>
      </c>
      <c r="D6" s="5"/>
      <c r="E6" s="5" t="s">
        <v>638</v>
      </c>
      <c r="F6" s="5" t="s">
        <v>19</v>
      </c>
      <c r="G6" s="5" t="s">
        <v>31</v>
      </c>
      <c r="H6" s="5" t="s">
        <v>17</v>
      </c>
      <c r="I6" s="5" t="s">
        <v>17</v>
      </c>
      <c r="J6" s="5" t="s">
        <v>640</v>
      </c>
    </row>
    <row r="7" spans="1:10" x14ac:dyDescent="0.25">
      <c r="A7" s="5" t="s">
        <v>15</v>
      </c>
      <c r="B7" s="5" t="s">
        <v>16</v>
      </c>
      <c r="C7" s="5" t="s">
        <v>17</v>
      </c>
      <c r="D7" s="5"/>
      <c r="E7" s="5" t="s">
        <v>9</v>
      </c>
      <c r="F7" s="5" t="s">
        <v>19</v>
      </c>
      <c r="G7" s="5" t="s">
        <v>31</v>
      </c>
      <c r="H7" s="5" t="s">
        <v>17</v>
      </c>
      <c r="I7" s="5" t="s">
        <v>17</v>
      </c>
      <c r="J7" s="5" t="s">
        <v>843</v>
      </c>
    </row>
    <row r="8" spans="1:10" x14ac:dyDescent="0.25">
      <c r="A8" s="5" t="s">
        <v>19</v>
      </c>
      <c r="B8" s="5" t="s">
        <v>16</v>
      </c>
      <c r="C8" s="5" t="s">
        <v>17</v>
      </c>
      <c r="D8" s="5"/>
      <c r="E8" s="5" t="s">
        <v>1600</v>
      </c>
      <c r="F8" s="5" t="s">
        <v>19</v>
      </c>
      <c r="G8" s="5" t="s">
        <v>31</v>
      </c>
      <c r="H8" s="5" t="s">
        <v>17</v>
      </c>
      <c r="I8" s="5" t="s">
        <v>17</v>
      </c>
      <c r="J8" s="5" t="s">
        <v>1424</v>
      </c>
    </row>
    <row r="9" spans="1:10" x14ac:dyDescent="0.25">
      <c r="A9" s="5" t="s">
        <v>15</v>
      </c>
      <c r="B9" s="5" t="s">
        <v>16</v>
      </c>
      <c r="C9" s="5" t="s">
        <v>17</v>
      </c>
      <c r="D9" s="5"/>
      <c r="E9" s="5" t="s">
        <v>1601</v>
      </c>
      <c r="F9" s="5" t="s">
        <v>19</v>
      </c>
      <c r="G9" s="5" t="s">
        <v>31</v>
      </c>
      <c r="H9" s="5" t="s">
        <v>17</v>
      </c>
      <c r="I9" s="5" t="s">
        <v>17</v>
      </c>
      <c r="J9" s="5" t="s">
        <v>1602</v>
      </c>
    </row>
    <row r="10" spans="1:10" x14ac:dyDescent="0.25">
      <c r="A10" s="5" t="s">
        <v>15</v>
      </c>
      <c r="B10" s="5" t="s">
        <v>16</v>
      </c>
      <c r="C10" s="5" t="s">
        <v>17</v>
      </c>
      <c r="D10" s="5"/>
      <c r="E10" s="5" t="s">
        <v>1671</v>
      </c>
      <c r="F10" s="5" t="s">
        <v>19</v>
      </c>
      <c r="G10" s="5" t="s">
        <v>31</v>
      </c>
      <c r="H10" s="5" t="s">
        <v>17</v>
      </c>
      <c r="I10" s="5" t="s">
        <v>17</v>
      </c>
      <c r="J10" s="5" t="s">
        <v>1672</v>
      </c>
    </row>
    <row r="11" spans="1:10" x14ac:dyDescent="0.25">
      <c r="A11" s="5" t="s">
        <v>15</v>
      </c>
      <c r="B11" s="5" t="s">
        <v>16</v>
      </c>
      <c r="C11" s="5" t="s">
        <v>17</v>
      </c>
      <c r="D11" s="5"/>
      <c r="E11" s="5" t="s">
        <v>1673</v>
      </c>
      <c r="F11" s="5" t="s">
        <v>19</v>
      </c>
      <c r="G11" s="5" t="s">
        <v>31</v>
      </c>
      <c r="H11" s="5" t="s">
        <v>17</v>
      </c>
      <c r="I11" s="5" t="s">
        <v>17</v>
      </c>
      <c r="J11" s="5" t="s">
        <v>1674</v>
      </c>
    </row>
    <row r="12" spans="1:10" x14ac:dyDescent="0.25">
      <c r="A12" s="5" t="s">
        <v>15</v>
      </c>
      <c r="B12" s="5" t="s">
        <v>16</v>
      </c>
      <c r="C12" s="5" t="s">
        <v>17</v>
      </c>
      <c r="D12" s="5"/>
      <c r="E12" s="5" t="s">
        <v>1675</v>
      </c>
      <c r="F12" s="5" t="s">
        <v>19</v>
      </c>
      <c r="G12" s="5" t="s">
        <v>31</v>
      </c>
      <c r="H12" s="5" t="s">
        <v>17</v>
      </c>
      <c r="I12" s="5" t="s">
        <v>17</v>
      </c>
      <c r="J12" s="5" t="s">
        <v>1422</v>
      </c>
    </row>
    <row r="13" spans="1:10" x14ac:dyDescent="0.25">
      <c r="A13" s="5" t="s">
        <v>15</v>
      </c>
      <c r="B13" s="5" t="s">
        <v>284</v>
      </c>
      <c r="C13" s="10" t="s">
        <v>1604</v>
      </c>
      <c r="D13" s="5"/>
      <c r="E13" s="5" t="s">
        <v>1605</v>
      </c>
      <c r="F13" s="5" t="s">
        <v>19</v>
      </c>
      <c r="G13" s="5" t="s">
        <v>1606</v>
      </c>
      <c r="H13" s="5" t="s">
        <v>17</v>
      </c>
      <c r="I13" s="5" t="s">
        <v>17</v>
      </c>
      <c r="J13" s="5" t="s">
        <v>1607</v>
      </c>
    </row>
    <row r="14" spans="1:10" x14ac:dyDescent="0.25">
      <c r="A14" s="5" t="s">
        <v>19</v>
      </c>
      <c r="B14" s="5" t="s">
        <v>63</v>
      </c>
      <c r="C14" s="5" t="s">
        <v>17</v>
      </c>
      <c r="D14" s="5">
        <f>EXACT(G13,"Single value")</f>
      </c>
      <c r="E14" s="5" t="s">
        <v>1676</v>
      </c>
      <c r="F14" s="5" t="s">
        <v>19</v>
      </c>
      <c r="G14" s="5">
        <v>1</v>
      </c>
      <c r="H14" s="5" t="s">
        <v>17</v>
      </c>
      <c r="I14" s="5" t="s">
        <v>17</v>
      </c>
      <c r="J14" s="5" t="s">
        <v>1609</v>
      </c>
    </row>
    <row r="15" spans="1:10" x14ac:dyDescent="0.25">
      <c r="A15" s="5" t="s">
        <v>19</v>
      </c>
      <c r="B15" s="5" t="s">
        <v>16</v>
      </c>
      <c r="C15" s="5" t="s">
        <v>17</v>
      </c>
      <c r="D15" s="5"/>
      <c r="E15" s="5" t="s">
        <v>1677</v>
      </c>
      <c r="F15" s="5" t="s">
        <v>19</v>
      </c>
      <c r="G15" s="5" t="s">
        <v>31</v>
      </c>
      <c r="H15" s="5" t="s">
        <v>17</v>
      </c>
      <c r="I15" s="5" t="s">
        <v>17</v>
      </c>
      <c r="J15" s="5" t="s">
        <v>1678</v>
      </c>
    </row>
    <row r="16" spans="1:10" x14ac:dyDescent="0.25">
      <c r="A16" s="5" t="s">
        <v>15</v>
      </c>
      <c r="B16" s="5" t="s">
        <v>16</v>
      </c>
      <c r="C16" s="5" t="s">
        <v>17</v>
      </c>
      <c r="D16" s="5"/>
      <c r="E16" s="5" t="s">
        <v>1679</v>
      </c>
      <c r="F16" s="5" t="s">
        <v>19</v>
      </c>
      <c r="G16" s="5" t="s">
        <v>31</v>
      </c>
      <c r="H16" s="5" t="s">
        <v>17</v>
      </c>
      <c r="I16" s="5" t="s">
        <v>17</v>
      </c>
      <c r="J16" s="5" t="s">
        <v>1680</v>
      </c>
    </row>
    <row r="17" spans="1:10" x14ac:dyDescent="0.25">
      <c r="A17" s="5" t="s">
        <v>15</v>
      </c>
      <c r="B17" s="5" t="s">
        <v>284</v>
      </c>
      <c r="C17" s="10" t="s">
        <v>1611</v>
      </c>
      <c r="D17" s="5"/>
      <c r="E17" s="5" t="s">
        <v>1612</v>
      </c>
      <c r="F17" s="5" t="s">
        <v>19</v>
      </c>
      <c r="G17" s="5" t="s">
        <v>1613</v>
      </c>
      <c r="H17" s="5" t="s">
        <v>17</v>
      </c>
      <c r="I17" s="5" t="s">
        <v>17</v>
      </c>
      <c r="J17" s="5" t="s">
        <v>1614</v>
      </c>
    </row>
    <row r="18" spans="1:10" x14ac:dyDescent="0.25">
      <c r="A18" s="5" t="s">
        <v>19</v>
      </c>
      <c r="B18" s="5" t="s">
        <v>16</v>
      </c>
      <c r="C18" s="5" t="s">
        <v>17</v>
      </c>
      <c r="D18" s="5"/>
      <c r="E18" s="5" t="s">
        <v>1681</v>
      </c>
      <c r="F18" s="5" t="s">
        <v>19</v>
      </c>
      <c r="G18" s="5" t="s">
        <v>31</v>
      </c>
      <c r="H18" s="5" t="s">
        <v>17</v>
      </c>
      <c r="I18" s="5" t="s">
        <v>17</v>
      </c>
      <c r="J18" s="5" t="s">
        <v>1682</v>
      </c>
    </row>
    <row r="19" spans="1:10" x14ac:dyDescent="0.25">
      <c r="A19" s="5" t="s">
        <v>19</v>
      </c>
      <c r="B19" s="5" t="s">
        <v>16</v>
      </c>
      <c r="C19" s="5" t="s">
        <v>17</v>
      </c>
      <c r="D19" s="5"/>
      <c r="E19" s="5" t="s">
        <v>1615</v>
      </c>
      <c r="F19" s="5" t="s">
        <v>19</v>
      </c>
      <c r="G19" s="5" t="s">
        <v>31</v>
      </c>
      <c r="H19" s="5" t="s">
        <v>17</v>
      </c>
      <c r="I19" s="5" t="s">
        <v>17</v>
      </c>
      <c r="J19" s="5" t="s">
        <v>1616</v>
      </c>
    </row>
  </sheetData>
  <mergeCells count="3">
    <mergeCell ref="A1:J1"/>
    <mergeCell ref="B2:J2"/>
    <mergeCell ref="B3:J3"/>
  </mergeCells>
  <dataValidations count="2">
    <dataValidation type="list" allowBlank="1" sqref="G13:I13">
      <formula1>'Enums'!C607:C608</formula1>
    </dataValidation>
    <dataValidation type="list" allowBlank="1" sqref="G17:I17">
      <formula1>'Enums'!C609:C613</formula1>
    </dataValidation>
  </dataValidations>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3422</v>
      </c>
      <c r="B1" s="1"/>
      <c r="C1" s="1"/>
      <c r="D1" s="1"/>
      <c r="E1" s="1"/>
      <c r="F1" s="1"/>
      <c r="G1" s="1"/>
      <c r="H1" s="1"/>
      <c r="I1" s="1"/>
      <c r="J1" s="1"/>
    </row>
    <row r="2" spans="1:10" x14ac:dyDescent="0.25">
      <c r="A2" s="2" t="s">
        <v>1</v>
      </c>
      <c r="B2" s="3" t="s">
        <v>3423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1597</v>
      </c>
      <c r="C5" s="5" t="s">
        <v>17</v>
      </c>
      <c r="D5" s="5"/>
      <c r="E5" s="5" t="s">
        <v>1598</v>
      </c>
      <c r="F5" s="5" t="s">
        <v>19</v>
      </c>
      <c r="G5" s="5" t="s">
        <v>17</v>
      </c>
      <c r="H5" s="5" t="s">
        <v>17</v>
      </c>
      <c r="I5" s="5" t="s">
        <v>17</v>
      </c>
      <c r="J5" s="5" t="s">
        <v>1599</v>
      </c>
    </row>
    <row r="6" spans="1:10" x14ac:dyDescent="0.25" outlineLevel="1" collapsed="1">
      <c r="A6" s="7" t="s">
        <v>15</v>
      </c>
      <c r="B6" s="7" t="s">
        <v>16</v>
      </c>
      <c r="C6" s="7" t="s">
        <v>17</v>
      </c>
      <c r="D6" s="7"/>
      <c r="E6" s="7" t="s">
        <v>1431</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1603</v>
      </c>
      <c r="F11" s="7" t="s">
        <v>19</v>
      </c>
      <c r="G11" s="7" t="s">
        <v>31</v>
      </c>
      <c r="H11" s="7" t="s">
        <v>17</v>
      </c>
      <c r="I11" s="7" t="s">
        <v>17</v>
      </c>
      <c r="J11" s="7" t="s">
        <v>1422</v>
      </c>
    </row>
    <row r="12" spans="1:10" x14ac:dyDescent="0.25" outlineLevel="1" collapsed="1">
      <c r="A12" s="7" t="s">
        <v>15</v>
      </c>
      <c r="B12" s="7" t="s">
        <v>284</v>
      </c>
      <c r="C12" s="11" t="s">
        <v>1604</v>
      </c>
      <c r="D12" s="7"/>
      <c r="E12" s="7" t="s">
        <v>1605</v>
      </c>
      <c r="F12" s="7" t="s">
        <v>19</v>
      </c>
      <c r="G12" s="7" t="s">
        <v>1606</v>
      </c>
      <c r="H12" s="7" t="s">
        <v>17</v>
      </c>
      <c r="I12" s="7" t="s">
        <v>17</v>
      </c>
      <c r="J12" s="7" t="s">
        <v>1607</v>
      </c>
    </row>
    <row r="13" spans="1:10" x14ac:dyDescent="0.25" outlineLevel="1" collapsed="1">
      <c r="A13" s="7" t="s">
        <v>19</v>
      </c>
      <c r="B13" s="7" t="s">
        <v>63</v>
      </c>
      <c r="C13" s="7" t="s">
        <v>17</v>
      </c>
      <c r="D13" s="7">
        <f>EXACT(G12,"Single value")</f>
      </c>
      <c r="E13" s="7" t="s">
        <v>1608</v>
      </c>
      <c r="F13" s="7" t="s">
        <v>19</v>
      </c>
      <c r="G13" s="7">
        <v>1</v>
      </c>
      <c r="H13" s="7" t="s">
        <v>17</v>
      </c>
      <c r="I13" s="7" t="s">
        <v>17</v>
      </c>
      <c r="J13" s="7" t="s">
        <v>1609</v>
      </c>
    </row>
    <row r="14" spans="1:10" x14ac:dyDescent="0.25" outlineLevel="1" collapsed="1">
      <c r="A14" s="7" t="s">
        <v>15</v>
      </c>
      <c r="B14" s="7" t="s">
        <v>16</v>
      </c>
      <c r="C14" s="7" t="s">
        <v>17</v>
      </c>
      <c r="D14" s="7"/>
      <c r="E14" s="7" t="s">
        <v>1610</v>
      </c>
      <c r="F14" s="7" t="s">
        <v>19</v>
      </c>
      <c r="G14" s="7" t="s">
        <v>31</v>
      </c>
      <c r="H14" s="7" t="s">
        <v>17</v>
      </c>
      <c r="I14" s="7" t="s">
        <v>17</v>
      </c>
      <c r="J14" s="7" t="s">
        <v>1191</v>
      </c>
    </row>
    <row r="15" spans="1:10" x14ac:dyDescent="0.25" outlineLevel="1" collapsed="1">
      <c r="A15" s="7" t="s">
        <v>15</v>
      </c>
      <c r="B15" s="7" t="s">
        <v>284</v>
      </c>
      <c r="C15" s="11" t="s">
        <v>1611</v>
      </c>
      <c r="D15" s="7"/>
      <c r="E15" s="7" t="s">
        <v>1612</v>
      </c>
      <c r="F15" s="7" t="s">
        <v>19</v>
      </c>
      <c r="G15" s="7" t="s">
        <v>1613</v>
      </c>
      <c r="H15" s="7" t="s">
        <v>17</v>
      </c>
      <c r="I15" s="7" t="s">
        <v>17</v>
      </c>
      <c r="J15" s="7" t="s">
        <v>1614</v>
      </c>
    </row>
    <row r="16" spans="1:10" x14ac:dyDescent="0.25" outlineLevel="1" collapsed="1">
      <c r="A16" s="7" t="s">
        <v>19</v>
      </c>
      <c r="B16" s="7" t="s">
        <v>16</v>
      </c>
      <c r="C16" s="7" t="s">
        <v>17</v>
      </c>
      <c r="D16" s="7"/>
      <c r="E16" s="7" t="s">
        <v>1615</v>
      </c>
      <c r="F16" s="7" t="s">
        <v>19</v>
      </c>
      <c r="G16" s="7" t="s">
        <v>31</v>
      </c>
      <c r="H16" s="7" t="s">
        <v>17</v>
      </c>
      <c r="I16" s="7" t="s">
        <v>17</v>
      </c>
      <c r="J16" s="7" t="s">
        <v>1616</v>
      </c>
    </row>
    <row r="17" spans="1:10" x14ac:dyDescent="0.25">
      <c r="A17" s="5" t="s">
        <v>15</v>
      </c>
      <c r="B17" s="6" t="s">
        <v>1597</v>
      </c>
      <c r="C17" s="5" t="s">
        <v>17</v>
      </c>
      <c r="D17" s="5"/>
      <c r="E17" s="5" t="s">
        <v>1617</v>
      </c>
      <c r="F17" s="5" t="s">
        <v>19</v>
      </c>
      <c r="G17" s="5" t="s">
        <v>17</v>
      </c>
      <c r="H17" s="5" t="s">
        <v>17</v>
      </c>
      <c r="I17" s="5" t="s">
        <v>17</v>
      </c>
      <c r="J17" s="5" t="s">
        <v>1618</v>
      </c>
    </row>
    <row r="18" spans="1:10" x14ac:dyDescent="0.25" outlineLevel="1" collapsed="1">
      <c r="A18" s="7" t="s">
        <v>15</v>
      </c>
      <c r="B18" s="7" t="s">
        <v>16</v>
      </c>
      <c r="C18" s="7" t="s">
        <v>17</v>
      </c>
      <c r="D18" s="7"/>
      <c r="E18" s="7" t="s">
        <v>1431</v>
      </c>
      <c r="F18" s="7" t="s">
        <v>19</v>
      </c>
      <c r="G18" s="7" t="s">
        <v>31</v>
      </c>
      <c r="H18" s="7" t="s">
        <v>17</v>
      </c>
      <c r="I18" s="7" t="s">
        <v>17</v>
      </c>
      <c r="J18" s="7" t="s">
        <v>637</v>
      </c>
    </row>
    <row r="19" spans="1:10" x14ac:dyDescent="0.25" outlineLevel="1" collapsed="1">
      <c r="A19" s="7" t="s">
        <v>15</v>
      </c>
      <c r="B19" s="7" t="s">
        <v>16</v>
      </c>
      <c r="C19" s="7" t="s">
        <v>17</v>
      </c>
      <c r="D19" s="7"/>
      <c r="E19" s="7" t="s">
        <v>638</v>
      </c>
      <c r="F19" s="7" t="s">
        <v>19</v>
      </c>
      <c r="G19" s="7" t="s">
        <v>31</v>
      </c>
      <c r="H19" s="7" t="s">
        <v>17</v>
      </c>
      <c r="I19" s="7" t="s">
        <v>17</v>
      </c>
      <c r="J19" s="7" t="s">
        <v>640</v>
      </c>
    </row>
    <row r="20" spans="1:10" x14ac:dyDescent="0.25" outlineLevel="1" collapsed="1">
      <c r="A20" s="7" t="s">
        <v>15</v>
      </c>
      <c r="B20" s="7" t="s">
        <v>16</v>
      </c>
      <c r="C20" s="7" t="s">
        <v>17</v>
      </c>
      <c r="D20" s="7"/>
      <c r="E20" s="7" t="s">
        <v>9</v>
      </c>
      <c r="F20" s="7" t="s">
        <v>19</v>
      </c>
      <c r="G20" s="7" t="s">
        <v>31</v>
      </c>
      <c r="H20" s="7" t="s">
        <v>17</v>
      </c>
      <c r="I20" s="7" t="s">
        <v>17</v>
      </c>
      <c r="J20" s="7" t="s">
        <v>843</v>
      </c>
    </row>
    <row r="21" spans="1:10" x14ac:dyDescent="0.25" outlineLevel="1" collapsed="1">
      <c r="A21" s="7" t="s">
        <v>19</v>
      </c>
      <c r="B21" s="7" t="s">
        <v>16</v>
      </c>
      <c r="C21" s="7" t="s">
        <v>17</v>
      </c>
      <c r="D21" s="7"/>
      <c r="E21" s="7" t="s">
        <v>1600</v>
      </c>
      <c r="F21" s="7" t="s">
        <v>19</v>
      </c>
      <c r="G21" s="7" t="s">
        <v>31</v>
      </c>
      <c r="H21" s="7" t="s">
        <v>17</v>
      </c>
      <c r="I21" s="7" t="s">
        <v>17</v>
      </c>
      <c r="J21" s="7" t="s">
        <v>1424</v>
      </c>
    </row>
    <row r="22" spans="1:10" x14ac:dyDescent="0.25" outlineLevel="1" collapsed="1">
      <c r="A22" s="7" t="s">
        <v>15</v>
      </c>
      <c r="B22" s="7" t="s">
        <v>16</v>
      </c>
      <c r="C22" s="7" t="s">
        <v>17</v>
      </c>
      <c r="D22" s="7"/>
      <c r="E22" s="7" t="s">
        <v>1601</v>
      </c>
      <c r="F22" s="7" t="s">
        <v>19</v>
      </c>
      <c r="G22" s="7" t="s">
        <v>31</v>
      </c>
      <c r="H22" s="7" t="s">
        <v>17</v>
      </c>
      <c r="I22" s="7" t="s">
        <v>17</v>
      </c>
      <c r="J22" s="7" t="s">
        <v>1602</v>
      </c>
    </row>
    <row r="23" spans="1:10" x14ac:dyDescent="0.25" outlineLevel="1" collapsed="1">
      <c r="A23" s="7" t="s">
        <v>15</v>
      </c>
      <c r="B23" s="7" t="s">
        <v>16</v>
      </c>
      <c r="C23" s="7" t="s">
        <v>17</v>
      </c>
      <c r="D23" s="7"/>
      <c r="E23" s="7" t="s">
        <v>1603</v>
      </c>
      <c r="F23" s="7" t="s">
        <v>19</v>
      </c>
      <c r="G23" s="7" t="s">
        <v>31</v>
      </c>
      <c r="H23" s="7" t="s">
        <v>17</v>
      </c>
      <c r="I23" s="7" t="s">
        <v>17</v>
      </c>
      <c r="J23" s="7" t="s">
        <v>1422</v>
      </c>
    </row>
    <row r="24" spans="1:10" x14ac:dyDescent="0.25" outlineLevel="1" collapsed="1">
      <c r="A24" s="7" t="s">
        <v>15</v>
      </c>
      <c r="B24" s="7" t="s">
        <v>284</v>
      </c>
      <c r="C24" s="11" t="s">
        <v>1604</v>
      </c>
      <c r="D24" s="7"/>
      <c r="E24" s="7" t="s">
        <v>1605</v>
      </c>
      <c r="F24" s="7" t="s">
        <v>19</v>
      </c>
      <c r="G24" s="7" t="s">
        <v>1606</v>
      </c>
      <c r="H24" s="7" t="s">
        <v>17</v>
      </c>
      <c r="I24" s="7" t="s">
        <v>17</v>
      </c>
      <c r="J24" s="7" t="s">
        <v>1607</v>
      </c>
    </row>
    <row r="25" spans="1:10" x14ac:dyDescent="0.25" outlineLevel="1" collapsed="1">
      <c r="A25" s="7" t="s">
        <v>19</v>
      </c>
      <c r="B25" s="7" t="s">
        <v>63</v>
      </c>
      <c r="C25" s="7" t="s">
        <v>17</v>
      </c>
      <c r="D25" s="7">
        <f>EXACT(G24,"Single value")</f>
      </c>
      <c r="E25" s="7" t="s">
        <v>1608</v>
      </c>
      <c r="F25" s="7" t="s">
        <v>19</v>
      </c>
      <c r="G25" s="7">
        <v>1</v>
      </c>
      <c r="H25" s="7" t="s">
        <v>17</v>
      </c>
      <c r="I25" s="7" t="s">
        <v>17</v>
      </c>
      <c r="J25" s="7" t="s">
        <v>1609</v>
      </c>
    </row>
    <row r="26" spans="1:10" x14ac:dyDescent="0.25" outlineLevel="1" collapsed="1">
      <c r="A26" s="7" t="s">
        <v>15</v>
      </c>
      <c r="B26" s="7" t="s">
        <v>16</v>
      </c>
      <c r="C26" s="7" t="s">
        <v>17</v>
      </c>
      <c r="D26" s="7"/>
      <c r="E26" s="7" t="s">
        <v>1610</v>
      </c>
      <c r="F26" s="7" t="s">
        <v>19</v>
      </c>
      <c r="G26" s="7" t="s">
        <v>31</v>
      </c>
      <c r="H26" s="7" t="s">
        <v>17</v>
      </c>
      <c r="I26" s="7" t="s">
        <v>17</v>
      </c>
      <c r="J26" s="7" t="s">
        <v>1191</v>
      </c>
    </row>
    <row r="27" spans="1:10" x14ac:dyDescent="0.25" outlineLevel="1" collapsed="1">
      <c r="A27" s="7" t="s">
        <v>15</v>
      </c>
      <c r="B27" s="7" t="s">
        <v>284</v>
      </c>
      <c r="C27" s="11" t="s">
        <v>1611</v>
      </c>
      <c r="D27" s="7"/>
      <c r="E27" s="7" t="s">
        <v>1612</v>
      </c>
      <c r="F27" s="7" t="s">
        <v>19</v>
      </c>
      <c r="G27" s="7" t="s">
        <v>1613</v>
      </c>
      <c r="H27" s="7" t="s">
        <v>17</v>
      </c>
      <c r="I27" s="7" t="s">
        <v>17</v>
      </c>
      <c r="J27" s="7" t="s">
        <v>1614</v>
      </c>
    </row>
    <row r="28" spans="1:10" x14ac:dyDescent="0.25" outlineLevel="1" collapsed="1">
      <c r="A28" s="7" t="s">
        <v>19</v>
      </c>
      <c r="B28" s="7" t="s">
        <v>16</v>
      </c>
      <c r="C28" s="7" t="s">
        <v>17</v>
      </c>
      <c r="D28" s="7"/>
      <c r="E28" s="7" t="s">
        <v>1615</v>
      </c>
      <c r="F28" s="7" t="s">
        <v>19</v>
      </c>
      <c r="G28" s="7" t="s">
        <v>31</v>
      </c>
      <c r="H28" s="7" t="s">
        <v>17</v>
      </c>
      <c r="I28" s="7" t="s">
        <v>17</v>
      </c>
      <c r="J28" s="7" t="s">
        <v>1616</v>
      </c>
    </row>
    <row r="29" spans="1:10" x14ac:dyDescent="0.25">
      <c r="A29" s="5" t="s">
        <v>15</v>
      </c>
      <c r="B29" s="6" t="s">
        <v>1597</v>
      </c>
      <c r="C29" s="5" t="s">
        <v>17</v>
      </c>
      <c r="D29" s="5"/>
      <c r="E29" s="5" t="s">
        <v>1619</v>
      </c>
      <c r="F29" s="5" t="s">
        <v>19</v>
      </c>
      <c r="G29" s="5" t="s">
        <v>17</v>
      </c>
      <c r="H29" s="5" t="s">
        <v>17</v>
      </c>
      <c r="I29" s="5" t="s">
        <v>17</v>
      </c>
      <c r="J29" s="5" t="s">
        <v>1620</v>
      </c>
    </row>
    <row r="30" spans="1:10" x14ac:dyDescent="0.25" outlineLevel="1" collapsed="1">
      <c r="A30" s="7" t="s">
        <v>15</v>
      </c>
      <c r="B30" s="7" t="s">
        <v>16</v>
      </c>
      <c r="C30" s="7" t="s">
        <v>17</v>
      </c>
      <c r="D30" s="7"/>
      <c r="E30" s="7" t="s">
        <v>1431</v>
      </c>
      <c r="F30" s="7" t="s">
        <v>19</v>
      </c>
      <c r="G30" s="7" t="s">
        <v>31</v>
      </c>
      <c r="H30" s="7" t="s">
        <v>17</v>
      </c>
      <c r="I30" s="7" t="s">
        <v>17</v>
      </c>
      <c r="J30" s="7" t="s">
        <v>637</v>
      </c>
    </row>
    <row r="31" spans="1:10" x14ac:dyDescent="0.25" outlineLevel="1" collapsed="1">
      <c r="A31" s="7" t="s">
        <v>15</v>
      </c>
      <c r="B31" s="7" t="s">
        <v>16</v>
      </c>
      <c r="C31" s="7" t="s">
        <v>17</v>
      </c>
      <c r="D31" s="7"/>
      <c r="E31" s="7" t="s">
        <v>638</v>
      </c>
      <c r="F31" s="7" t="s">
        <v>19</v>
      </c>
      <c r="G31" s="7" t="s">
        <v>31</v>
      </c>
      <c r="H31" s="7" t="s">
        <v>17</v>
      </c>
      <c r="I31" s="7" t="s">
        <v>17</v>
      </c>
      <c r="J31" s="7" t="s">
        <v>640</v>
      </c>
    </row>
    <row r="32" spans="1:10" x14ac:dyDescent="0.25" outlineLevel="1" collapsed="1">
      <c r="A32" s="7" t="s">
        <v>15</v>
      </c>
      <c r="B32" s="7" t="s">
        <v>16</v>
      </c>
      <c r="C32" s="7" t="s">
        <v>17</v>
      </c>
      <c r="D32" s="7"/>
      <c r="E32" s="7" t="s">
        <v>9</v>
      </c>
      <c r="F32" s="7" t="s">
        <v>19</v>
      </c>
      <c r="G32" s="7" t="s">
        <v>31</v>
      </c>
      <c r="H32" s="7" t="s">
        <v>17</v>
      </c>
      <c r="I32" s="7" t="s">
        <v>17</v>
      </c>
      <c r="J32" s="7" t="s">
        <v>843</v>
      </c>
    </row>
    <row r="33" spans="1:10" x14ac:dyDescent="0.25" outlineLevel="1" collapsed="1">
      <c r="A33" s="7" t="s">
        <v>19</v>
      </c>
      <c r="B33" s="7" t="s">
        <v>16</v>
      </c>
      <c r="C33" s="7" t="s">
        <v>17</v>
      </c>
      <c r="D33" s="7"/>
      <c r="E33" s="7" t="s">
        <v>1600</v>
      </c>
      <c r="F33" s="7" t="s">
        <v>19</v>
      </c>
      <c r="G33" s="7" t="s">
        <v>31</v>
      </c>
      <c r="H33" s="7" t="s">
        <v>17</v>
      </c>
      <c r="I33" s="7" t="s">
        <v>17</v>
      </c>
      <c r="J33" s="7" t="s">
        <v>1424</v>
      </c>
    </row>
    <row r="34" spans="1:10" x14ac:dyDescent="0.25" outlineLevel="1" collapsed="1">
      <c r="A34" s="7" t="s">
        <v>15</v>
      </c>
      <c r="B34" s="7" t="s">
        <v>16</v>
      </c>
      <c r="C34" s="7" t="s">
        <v>17</v>
      </c>
      <c r="D34" s="7"/>
      <c r="E34" s="7" t="s">
        <v>1601</v>
      </c>
      <c r="F34" s="7" t="s">
        <v>19</v>
      </c>
      <c r="G34" s="7" t="s">
        <v>31</v>
      </c>
      <c r="H34" s="7" t="s">
        <v>17</v>
      </c>
      <c r="I34" s="7" t="s">
        <v>17</v>
      </c>
      <c r="J34" s="7" t="s">
        <v>1602</v>
      </c>
    </row>
    <row r="35" spans="1:10" x14ac:dyDescent="0.25" outlineLevel="1" collapsed="1">
      <c r="A35" s="7" t="s">
        <v>15</v>
      </c>
      <c r="B35" s="7" t="s">
        <v>16</v>
      </c>
      <c r="C35" s="7" t="s">
        <v>17</v>
      </c>
      <c r="D35" s="7"/>
      <c r="E35" s="7" t="s">
        <v>1603</v>
      </c>
      <c r="F35" s="7" t="s">
        <v>19</v>
      </c>
      <c r="G35" s="7" t="s">
        <v>31</v>
      </c>
      <c r="H35" s="7" t="s">
        <v>17</v>
      </c>
      <c r="I35" s="7" t="s">
        <v>17</v>
      </c>
      <c r="J35" s="7" t="s">
        <v>1422</v>
      </c>
    </row>
    <row r="36" spans="1:10" x14ac:dyDescent="0.25" outlineLevel="1" collapsed="1">
      <c r="A36" s="7" t="s">
        <v>15</v>
      </c>
      <c r="B36" s="7" t="s">
        <v>284</v>
      </c>
      <c r="C36" s="11" t="s">
        <v>1604</v>
      </c>
      <c r="D36" s="7"/>
      <c r="E36" s="7" t="s">
        <v>1605</v>
      </c>
      <c r="F36" s="7" t="s">
        <v>19</v>
      </c>
      <c r="G36" s="7" t="s">
        <v>1606</v>
      </c>
      <c r="H36" s="7" t="s">
        <v>17</v>
      </c>
      <c r="I36" s="7" t="s">
        <v>17</v>
      </c>
      <c r="J36" s="7" t="s">
        <v>1607</v>
      </c>
    </row>
    <row r="37" spans="1:10" x14ac:dyDescent="0.25" outlineLevel="1" collapsed="1">
      <c r="A37" s="7" t="s">
        <v>19</v>
      </c>
      <c r="B37" s="7" t="s">
        <v>63</v>
      </c>
      <c r="C37" s="7" t="s">
        <v>17</v>
      </c>
      <c r="D37" s="7">
        <f>EXACT(G36,"Single value")</f>
      </c>
      <c r="E37" s="7" t="s">
        <v>1608</v>
      </c>
      <c r="F37" s="7" t="s">
        <v>19</v>
      </c>
      <c r="G37" s="7">
        <v>1</v>
      </c>
      <c r="H37" s="7" t="s">
        <v>17</v>
      </c>
      <c r="I37" s="7" t="s">
        <v>17</v>
      </c>
      <c r="J37" s="7" t="s">
        <v>1609</v>
      </c>
    </row>
    <row r="38" spans="1:10" x14ac:dyDescent="0.25" outlineLevel="1" collapsed="1">
      <c r="A38" s="7" t="s">
        <v>15</v>
      </c>
      <c r="B38" s="7" t="s">
        <v>16</v>
      </c>
      <c r="C38" s="7" t="s">
        <v>17</v>
      </c>
      <c r="D38" s="7"/>
      <c r="E38" s="7" t="s">
        <v>1610</v>
      </c>
      <c r="F38" s="7" t="s">
        <v>19</v>
      </c>
      <c r="G38" s="7" t="s">
        <v>31</v>
      </c>
      <c r="H38" s="7" t="s">
        <v>17</v>
      </c>
      <c r="I38" s="7" t="s">
        <v>17</v>
      </c>
      <c r="J38" s="7" t="s">
        <v>1191</v>
      </c>
    </row>
    <row r="39" spans="1:10" x14ac:dyDescent="0.25" outlineLevel="1" collapsed="1">
      <c r="A39" s="7" t="s">
        <v>15</v>
      </c>
      <c r="B39" s="7" t="s">
        <v>284</v>
      </c>
      <c r="C39" s="11" t="s">
        <v>1611</v>
      </c>
      <c r="D39" s="7"/>
      <c r="E39" s="7" t="s">
        <v>1612</v>
      </c>
      <c r="F39" s="7" t="s">
        <v>19</v>
      </c>
      <c r="G39" s="7" t="s">
        <v>1613</v>
      </c>
      <c r="H39" s="7" t="s">
        <v>17</v>
      </c>
      <c r="I39" s="7" t="s">
        <v>17</v>
      </c>
      <c r="J39" s="7" t="s">
        <v>1614</v>
      </c>
    </row>
    <row r="40" spans="1:10" x14ac:dyDescent="0.25" outlineLevel="1" collapsed="1">
      <c r="A40" s="7" t="s">
        <v>19</v>
      </c>
      <c r="B40" s="7" t="s">
        <v>16</v>
      </c>
      <c r="C40" s="7" t="s">
        <v>17</v>
      </c>
      <c r="D40" s="7"/>
      <c r="E40" s="7" t="s">
        <v>1615</v>
      </c>
      <c r="F40" s="7" t="s">
        <v>19</v>
      </c>
      <c r="G40" s="7" t="s">
        <v>31</v>
      </c>
      <c r="H40" s="7" t="s">
        <v>17</v>
      </c>
      <c r="I40" s="7" t="s">
        <v>17</v>
      </c>
      <c r="J40" s="7" t="s">
        <v>1616</v>
      </c>
    </row>
    <row r="41" spans="1:10" x14ac:dyDescent="0.25">
      <c r="A41" s="5" t="s">
        <v>19</v>
      </c>
      <c r="B41" s="6" t="s">
        <v>1597</v>
      </c>
      <c r="C41" s="5" t="s">
        <v>17</v>
      </c>
      <c r="D41" s="5"/>
      <c r="E41" s="5" t="s">
        <v>1621</v>
      </c>
      <c r="F41" s="5" t="s">
        <v>19</v>
      </c>
      <c r="G41" s="5" t="s">
        <v>17</v>
      </c>
      <c r="H41" s="5" t="s">
        <v>17</v>
      </c>
      <c r="I41" s="5" t="s">
        <v>17</v>
      </c>
      <c r="J41" s="5" t="s">
        <v>1622</v>
      </c>
    </row>
    <row r="42" spans="1:10" x14ac:dyDescent="0.25" outlineLevel="1" collapsed="1">
      <c r="A42" s="7" t="s">
        <v>15</v>
      </c>
      <c r="B42" s="7" t="s">
        <v>16</v>
      </c>
      <c r="C42" s="7" t="s">
        <v>17</v>
      </c>
      <c r="D42" s="7"/>
      <c r="E42" s="7" t="s">
        <v>1431</v>
      </c>
      <c r="F42" s="7" t="s">
        <v>19</v>
      </c>
      <c r="G42" s="7" t="s">
        <v>31</v>
      </c>
      <c r="H42" s="7" t="s">
        <v>17</v>
      </c>
      <c r="I42" s="7" t="s">
        <v>17</v>
      </c>
      <c r="J42" s="7" t="s">
        <v>637</v>
      </c>
    </row>
    <row r="43" spans="1:10" x14ac:dyDescent="0.25" outlineLevel="1" collapsed="1">
      <c r="A43" s="7" t="s">
        <v>15</v>
      </c>
      <c r="B43" s="7" t="s">
        <v>16</v>
      </c>
      <c r="C43" s="7" t="s">
        <v>17</v>
      </c>
      <c r="D43" s="7"/>
      <c r="E43" s="7" t="s">
        <v>638</v>
      </c>
      <c r="F43" s="7" t="s">
        <v>19</v>
      </c>
      <c r="G43" s="7" t="s">
        <v>31</v>
      </c>
      <c r="H43" s="7" t="s">
        <v>17</v>
      </c>
      <c r="I43" s="7" t="s">
        <v>17</v>
      </c>
      <c r="J43" s="7" t="s">
        <v>640</v>
      </c>
    </row>
    <row r="44" spans="1:10" x14ac:dyDescent="0.25" outlineLevel="1" collapsed="1">
      <c r="A44" s="7" t="s">
        <v>15</v>
      </c>
      <c r="B44" s="7" t="s">
        <v>16</v>
      </c>
      <c r="C44" s="7" t="s">
        <v>17</v>
      </c>
      <c r="D44" s="7"/>
      <c r="E44" s="7" t="s">
        <v>9</v>
      </c>
      <c r="F44" s="7" t="s">
        <v>19</v>
      </c>
      <c r="G44" s="7" t="s">
        <v>31</v>
      </c>
      <c r="H44" s="7" t="s">
        <v>17</v>
      </c>
      <c r="I44" s="7" t="s">
        <v>17</v>
      </c>
      <c r="J44" s="7" t="s">
        <v>843</v>
      </c>
    </row>
    <row r="45" spans="1:10" x14ac:dyDescent="0.25" outlineLevel="1" collapsed="1">
      <c r="A45" s="7" t="s">
        <v>19</v>
      </c>
      <c r="B45" s="7" t="s">
        <v>16</v>
      </c>
      <c r="C45" s="7" t="s">
        <v>17</v>
      </c>
      <c r="D45" s="7"/>
      <c r="E45" s="7" t="s">
        <v>1600</v>
      </c>
      <c r="F45" s="7" t="s">
        <v>19</v>
      </c>
      <c r="G45" s="7" t="s">
        <v>31</v>
      </c>
      <c r="H45" s="7" t="s">
        <v>17</v>
      </c>
      <c r="I45" s="7" t="s">
        <v>17</v>
      </c>
      <c r="J45" s="7" t="s">
        <v>1424</v>
      </c>
    </row>
    <row r="46" spans="1:10" x14ac:dyDescent="0.25" outlineLevel="1" collapsed="1">
      <c r="A46" s="7" t="s">
        <v>15</v>
      </c>
      <c r="B46" s="7" t="s">
        <v>16</v>
      </c>
      <c r="C46" s="7" t="s">
        <v>17</v>
      </c>
      <c r="D46" s="7"/>
      <c r="E46" s="7" t="s">
        <v>1601</v>
      </c>
      <c r="F46" s="7" t="s">
        <v>19</v>
      </c>
      <c r="G46" s="7" t="s">
        <v>31</v>
      </c>
      <c r="H46" s="7" t="s">
        <v>17</v>
      </c>
      <c r="I46" s="7" t="s">
        <v>17</v>
      </c>
      <c r="J46" s="7" t="s">
        <v>1602</v>
      </c>
    </row>
    <row r="47" spans="1:10" x14ac:dyDescent="0.25" outlineLevel="1" collapsed="1">
      <c r="A47" s="7" t="s">
        <v>15</v>
      </c>
      <c r="B47" s="7" t="s">
        <v>16</v>
      </c>
      <c r="C47" s="7" t="s">
        <v>17</v>
      </c>
      <c r="D47" s="7"/>
      <c r="E47" s="7" t="s">
        <v>1603</v>
      </c>
      <c r="F47" s="7" t="s">
        <v>19</v>
      </c>
      <c r="G47" s="7" t="s">
        <v>31</v>
      </c>
      <c r="H47" s="7" t="s">
        <v>17</v>
      </c>
      <c r="I47" s="7" t="s">
        <v>17</v>
      </c>
      <c r="J47" s="7" t="s">
        <v>1422</v>
      </c>
    </row>
    <row r="48" spans="1:10" x14ac:dyDescent="0.25" outlineLevel="1" collapsed="1">
      <c r="A48" s="7" t="s">
        <v>15</v>
      </c>
      <c r="B48" s="7" t="s">
        <v>284</v>
      </c>
      <c r="C48" s="11" t="s">
        <v>1604</v>
      </c>
      <c r="D48" s="7"/>
      <c r="E48" s="7" t="s">
        <v>1605</v>
      </c>
      <c r="F48" s="7" t="s">
        <v>19</v>
      </c>
      <c r="G48" s="7" t="s">
        <v>1606</v>
      </c>
      <c r="H48" s="7" t="s">
        <v>17</v>
      </c>
      <c r="I48" s="7" t="s">
        <v>17</v>
      </c>
      <c r="J48" s="7" t="s">
        <v>1607</v>
      </c>
    </row>
    <row r="49" spans="1:10" x14ac:dyDescent="0.25" outlineLevel="1" collapsed="1">
      <c r="A49" s="7" t="s">
        <v>19</v>
      </c>
      <c r="B49" s="7" t="s">
        <v>63</v>
      </c>
      <c r="C49" s="7" t="s">
        <v>17</v>
      </c>
      <c r="D49" s="7">
        <f>EXACT(G48,"Single value")</f>
      </c>
      <c r="E49" s="7" t="s">
        <v>1608</v>
      </c>
      <c r="F49" s="7" t="s">
        <v>19</v>
      </c>
      <c r="G49" s="7">
        <v>1</v>
      </c>
      <c r="H49" s="7" t="s">
        <v>17</v>
      </c>
      <c r="I49" s="7" t="s">
        <v>17</v>
      </c>
      <c r="J49" s="7" t="s">
        <v>1609</v>
      </c>
    </row>
    <row r="50" spans="1:10" x14ac:dyDescent="0.25" outlineLevel="1" collapsed="1">
      <c r="A50" s="7" t="s">
        <v>15</v>
      </c>
      <c r="B50" s="7" t="s">
        <v>16</v>
      </c>
      <c r="C50" s="7" t="s">
        <v>17</v>
      </c>
      <c r="D50" s="7"/>
      <c r="E50" s="7" t="s">
        <v>1610</v>
      </c>
      <c r="F50" s="7" t="s">
        <v>19</v>
      </c>
      <c r="G50" s="7" t="s">
        <v>31</v>
      </c>
      <c r="H50" s="7" t="s">
        <v>17</v>
      </c>
      <c r="I50" s="7" t="s">
        <v>17</v>
      </c>
      <c r="J50" s="7" t="s">
        <v>1191</v>
      </c>
    </row>
    <row r="51" spans="1:10" x14ac:dyDescent="0.25" outlineLevel="1" collapsed="1">
      <c r="A51" s="7" t="s">
        <v>15</v>
      </c>
      <c r="B51" s="7" t="s">
        <v>284</v>
      </c>
      <c r="C51" s="11" t="s">
        <v>1611</v>
      </c>
      <c r="D51" s="7"/>
      <c r="E51" s="7" t="s">
        <v>1612</v>
      </c>
      <c r="F51" s="7" t="s">
        <v>19</v>
      </c>
      <c r="G51" s="7" t="s">
        <v>1613</v>
      </c>
      <c r="H51" s="7" t="s">
        <v>17</v>
      </c>
      <c r="I51" s="7" t="s">
        <v>17</v>
      </c>
      <c r="J51" s="7" t="s">
        <v>1614</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15</v>
      </c>
      <c r="B53" s="6" t="s">
        <v>1597</v>
      </c>
      <c r="C53" s="5" t="s">
        <v>17</v>
      </c>
      <c r="D53" s="5"/>
      <c r="E53" s="5" t="s">
        <v>1623</v>
      </c>
      <c r="F53" s="5" t="s">
        <v>19</v>
      </c>
      <c r="G53" s="5" t="s">
        <v>17</v>
      </c>
      <c r="H53" s="5" t="s">
        <v>17</v>
      </c>
      <c r="I53" s="5" t="s">
        <v>17</v>
      </c>
      <c r="J53" s="5" t="s">
        <v>1624</v>
      </c>
    </row>
    <row r="54" spans="1:10" x14ac:dyDescent="0.25" outlineLevel="1" collapsed="1">
      <c r="A54" s="7" t="s">
        <v>15</v>
      </c>
      <c r="B54" s="7" t="s">
        <v>16</v>
      </c>
      <c r="C54" s="7" t="s">
        <v>17</v>
      </c>
      <c r="D54" s="7"/>
      <c r="E54" s="7" t="s">
        <v>1431</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1603</v>
      </c>
      <c r="F59" s="7" t="s">
        <v>19</v>
      </c>
      <c r="G59" s="7" t="s">
        <v>31</v>
      </c>
      <c r="H59" s="7" t="s">
        <v>17</v>
      </c>
      <c r="I59" s="7" t="s">
        <v>17</v>
      </c>
      <c r="J59" s="7" t="s">
        <v>1422</v>
      </c>
    </row>
    <row r="60" spans="1:10" x14ac:dyDescent="0.25" outlineLevel="1" collapsed="1">
      <c r="A60" s="7" t="s">
        <v>15</v>
      </c>
      <c r="B60" s="7" t="s">
        <v>284</v>
      </c>
      <c r="C60" s="11" t="s">
        <v>1604</v>
      </c>
      <c r="D60" s="7"/>
      <c r="E60" s="7" t="s">
        <v>1605</v>
      </c>
      <c r="F60" s="7" t="s">
        <v>19</v>
      </c>
      <c r="G60" s="7" t="s">
        <v>1606</v>
      </c>
      <c r="H60" s="7" t="s">
        <v>17</v>
      </c>
      <c r="I60" s="7" t="s">
        <v>17</v>
      </c>
      <c r="J60" s="7" t="s">
        <v>1607</v>
      </c>
    </row>
    <row r="61" spans="1:10" x14ac:dyDescent="0.25" outlineLevel="1" collapsed="1">
      <c r="A61" s="7" t="s">
        <v>19</v>
      </c>
      <c r="B61" s="7" t="s">
        <v>63</v>
      </c>
      <c r="C61" s="7" t="s">
        <v>17</v>
      </c>
      <c r="D61" s="7">
        <f>EXACT(G60,"Single value")</f>
      </c>
      <c r="E61" s="7" t="s">
        <v>1608</v>
      </c>
      <c r="F61" s="7" t="s">
        <v>19</v>
      </c>
      <c r="G61" s="7">
        <v>1</v>
      </c>
      <c r="H61" s="7" t="s">
        <v>17</v>
      </c>
      <c r="I61" s="7" t="s">
        <v>17</v>
      </c>
      <c r="J61" s="7" t="s">
        <v>1609</v>
      </c>
    </row>
    <row r="62" spans="1:10" x14ac:dyDescent="0.25" outlineLevel="1" collapsed="1">
      <c r="A62" s="7" t="s">
        <v>15</v>
      </c>
      <c r="B62" s="7" t="s">
        <v>16</v>
      </c>
      <c r="C62" s="7" t="s">
        <v>17</v>
      </c>
      <c r="D62" s="7"/>
      <c r="E62" s="7" t="s">
        <v>1610</v>
      </c>
      <c r="F62" s="7" t="s">
        <v>19</v>
      </c>
      <c r="G62" s="7" t="s">
        <v>31</v>
      </c>
      <c r="H62" s="7" t="s">
        <v>17</v>
      </c>
      <c r="I62" s="7" t="s">
        <v>17</v>
      </c>
      <c r="J62" s="7" t="s">
        <v>1191</v>
      </c>
    </row>
    <row r="63" spans="1:10" x14ac:dyDescent="0.25" outlineLevel="1" collapsed="1">
      <c r="A63" s="7" t="s">
        <v>15</v>
      </c>
      <c r="B63" s="7" t="s">
        <v>284</v>
      </c>
      <c r="C63" s="11" t="s">
        <v>1611</v>
      </c>
      <c r="D63" s="7"/>
      <c r="E63" s="7" t="s">
        <v>1612</v>
      </c>
      <c r="F63" s="7" t="s">
        <v>19</v>
      </c>
      <c r="G63" s="7" t="s">
        <v>1613</v>
      </c>
      <c r="H63" s="7" t="s">
        <v>17</v>
      </c>
      <c r="I63" s="7" t="s">
        <v>17</v>
      </c>
      <c r="J63" s="7" t="s">
        <v>1614</v>
      </c>
    </row>
    <row r="64" spans="1:10" x14ac:dyDescent="0.25" outlineLevel="1" collapsed="1">
      <c r="A64" s="7" t="s">
        <v>19</v>
      </c>
      <c r="B64" s="7" t="s">
        <v>16</v>
      </c>
      <c r="C64" s="7" t="s">
        <v>17</v>
      </c>
      <c r="D64" s="7"/>
      <c r="E64" s="7" t="s">
        <v>1615</v>
      </c>
      <c r="F64" s="7" t="s">
        <v>19</v>
      </c>
      <c r="G64" s="7" t="s">
        <v>31</v>
      </c>
      <c r="H64" s="7" t="s">
        <v>17</v>
      </c>
      <c r="I64" s="7" t="s">
        <v>17</v>
      </c>
      <c r="J64" s="7" t="s">
        <v>1616</v>
      </c>
    </row>
    <row r="65" spans="1:10" x14ac:dyDescent="0.25">
      <c r="A65" s="5" t="s">
        <v>15</v>
      </c>
      <c r="B65" s="6" t="s">
        <v>1597</v>
      </c>
      <c r="C65" s="5" t="s">
        <v>17</v>
      </c>
      <c r="D65" s="5"/>
      <c r="E65" s="5" t="s">
        <v>1625</v>
      </c>
      <c r="F65" s="5" t="s">
        <v>19</v>
      </c>
      <c r="G65" s="5" t="s">
        <v>17</v>
      </c>
      <c r="H65" s="5" t="s">
        <v>17</v>
      </c>
      <c r="I65" s="5" t="s">
        <v>17</v>
      </c>
      <c r="J65" s="5" t="s">
        <v>1626</v>
      </c>
    </row>
    <row r="66" spans="1:10" x14ac:dyDescent="0.25" outlineLevel="1" collapsed="1">
      <c r="A66" s="7" t="s">
        <v>15</v>
      </c>
      <c r="B66" s="7" t="s">
        <v>16</v>
      </c>
      <c r="C66" s="7" t="s">
        <v>17</v>
      </c>
      <c r="D66" s="7"/>
      <c r="E66" s="7" t="s">
        <v>1431</v>
      </c>
      <c r="F66" s="7" t="s">
        <v>19</v>
      </c>
      <c r="G66" s="7" t="s">
        <v>31</v>
      </c>
      <c r="H66" s="7" t="s">
        <v>17</v>
      </c>
      <c r="I66" s="7" t="s">
        <v>17</v>
      </c>
      <c r="J66" s="7" t="s">
        <v>637</v>
      </c>
    </row>
    <row r="67" spans="1:10" x14ac:dyDescent="0.25" outlineLevel="1" collapsed="1">
      <c r="A67" s="7" t="s">
        <v>15</v>
      </c>
      <c r="B67" s="7" t="s">
        <v>16</v>
      </c>
      <c r="C67" s="7" t="s">
        <v>17</v>
      </c>
      <c r="D67" s="7"/>
      <c r="E67" s="7" t="s">
        <v>638</v>
      </c>
      <c r="F67" s="7" t="s">
        <v>19</v>
      </c>
      <c r="G67" s="7" t="s">
        <v>31</v>
      </c>
      <c r="H67" s="7" t="s">
        <v>17</v>
      </c>
      <c r="I67" s="7" t="s">
        <v>17</v>
      </c>
      <c r="J67" s="7" t="s">
        <v>640</v>
      </c>
    </row>
    <row r="68" spans="1:10" x14ac:dyDescent="0.25" outlineLevel="1" collapsed="1">
      <c r="A68" s="7" t="s">
        <v>15</v>
      </c>
      <c r="B68" s="7" t="s">
        <v>16</v>
      </c>
      <c r="C68" s="7" t="s">
        <v>17</v>
      </c>
      <c r="D68" s="7"/>
      <c r="E68" s="7" t="s">
        <v>9</v>
      </c>
      <c r="F68" s="7" t="s">
        <v>19</v>
      </c>
      <c r="G68" s="7" t="s">
        <v>31</v>
      </c>
      <c r="H68" s="7" t="s">
        <v>17</v>
      </c>
      <c r="I68" s="7" t="s">
        <v>17</v>
      </c>
      <c r="J68" s="7" t="s">
        <v>843</v>
      </c>
    </row>
    <row r="69" spans="1:10" x14ac:dyDescent="0.25" outlineLevel="1" collapsed="1">
      <c r="A69" s="7" t="s">
        <v>19</v>
      </c>
      <c r="B69" s="7" t="s">
        <v>16</v>
      </c>
      <c r="C69" s="7" t="s">
        <v>17</v>
      </c>
      <c r="D69" s="7"/>
      <c r="E69" s="7" t="s">
        <v>1600</v>
      </c>
      <c r="F69" s="7" t="s">
        <v>19</v>
      </c>
      <c r="G69" s="7" t="s">
        <v>31</v>
      </c>
      <c r="H69" s="7" t="s">
        <v>17</v>
      </c>
      <c r="I69" s="7" t="s">
        <v>17</v>
      </c>
      <c r="J69" s="7" t="s">
        <v>1424</v>
      </c>
    </row>
    <row r="70" spans="1:10" x14ac:dyDescent="0.25" outlineLevel="1" collapsed="1">
      <c r="A70" s="7" t="s">
        <v>15</v>
      </c>
      <c r="B70" s="7" t="s">
        <v>16</v>
      </c>
      <c r="C70" s="7" t="s">
        <v>17</v>
      </c>
      <c r="D70" s="7"/>
      <c r="E70" s="7" t="s">
        <v>1601</v>
      </c>
      <c r="F70" s="7" t="s">
        <v>19</v>
      </c>
      <c r="G70" s="7" t="s">
        <v>31</v>
      </c>
      <c r="H70" s="7" t="s">
        <v>17</v>
      </c>
      <c r="I70" s="7" t="s">
        <v>17</v>
      </c>
      <c r="J70" s="7" t="s">
        <v>1602</v>
      </c>
    </row>
    <row r="71" spans="1:10" x14ac:dyDescent="0.25" outlineLevel="1" collapsed="1">
      <c r="A71" s="7" t="s">
        <v>15</v>
      </c>
      <c r="B71" s="7" t="s">
        <v>16</v>
      </c>
      <c r="C71" s="7" t="s">
        <v>17</v>
      </c>
      <c r="D71" s="7"/>
      <c r="E71" s="7" t="s">
        <v>1603</v>
      </c>
      <c r="F71" s="7" t="s">
        <v>19</v>
      </c>
      <c r="G71" s="7" t="s">
        <v>31</v>
      </c>
      <c r="H71" s="7" t="s">
        <v>17</v>
      </c>
      <c r="I71" s="7" t="s">
        <v>17</v>
      </c>
      <c r="J71" s="7" t="s">
        <v>1422</v>
      </c>
    </row>
    <row r="72" spans="1:10" x14ac:dyDescent="0.25" outlineLevel="1" collapsed="1">
      <c r="A72" s="7" t="s">
        <v>15</v>
      </c>
      <c r="B72" s="7" t="s">
        <v>284</v>
      </c>
      <c r="C72" s="11" t="s">
        <v>1604</v>
      </c>
      <c r="D72" s="7"/>
      <c r="E72" s="7" t="s">
        <v>1605</v>
      </c>
      <c r="F72" s="7" t="s">
        <v>19</v>
      </c>
      <c r="G72" s="7" t="s">
        <v>1606</v>
      </c>
      <c r="H72" s="7" t="s">
        <v>17</v>
      </c>
      <c r="I72" s="7" t="s">
        <v>17</v>
      </c>
      <c r="J72" s="7" t="s">
        <v>1607</v>
      </c>
    </row>
    <row r="73" spans="1:10" x14ac:dyDescent="0.25" outlineLevel="1" collapsed="1">
      <c r="A73" s="7" t="s">
        <v>19</v>
      </c>
      <c r="B73" s="7" t="s">
        <v>63</v>
      </c>
      <c r="C73" s="7" t="s">
        <v>17</v>
      </c>
      <c r="D73" s="7">
        <f>EXACT(G72,"Single value")</f>
      </c>
      <c r="E73" s="7" t="s">
        <v>1608</v>
      </c>
      <c r="F73" s="7" t="s">
        <v>19</v>
      </c>
      <c r="G73" s="7">
        <v>1</v>
      </c>
      <c r="H73" s="7" t="s">
        <v>17</v>
      </c>
      <c r="I73" s="7" t="s">
        <v>17</v>
      </c>
      <c r="J73" s="7" t="s">
        <v>1609</v>
      </c>
    </row>
    <row r="74" spans="1:10" x14ac:dyDescent="0.25" outlineLevel="1" collapsed="1">
      <c r="A74" s="7" t="s">
        <v>15</v>
      </c>
      <c r="B74" s="7" t="s">
        <v>16</v>
      </c>
      <c r="C74" s="7" t="s">
        <v>17</v>
      </c>
      <c r="D74" s="7"/>
      <c r="E74" s="7" t="s">
        <v>1610</v>
      </c>
      <c r="F74" s="7" t="s">
        <v>19</v>
      </c>
      <c r="G74" s="7" t="s">
        <v>31</v>
      </c>
      <c r="H74" s="7" t="s">
        <v>17</v>
      </c>
      <c r="I74" s="7" t="s">
        <v>17</v>
      </c>
      <c r="J74" s="7" t="s">
        <v>1191</v>
      </c>
    </row>
    <row r="75" spans="1:10" x14ac:dyDescent="0.25" outlineLevel="1" collapsed="1">
      <c r="A75" s="7" t="s">
        <v>15</v>
      </c>
      <c r="B75" s="7" t="s">
        <v>284</v>
      </c>
      <c r="C75" s="11" t="s">
        <v>1611</v>
      </c>
      <c r="D75" s="7"/>
      <c r="E75" s="7" t="s">
        <v>1612</v>
      </c>
      <c r="F75" s="7" t="s">
        <v>19</v>
      </c>
      <c r="G75" s="7" t="s">
        <v>1613</v>
      </c>
      <c r="H75" s="7" t="s">
        <v>17</v>
      </c>
      <c r="I75" s="7" t="s">
        <v>17</v>
      </c>
      <c r="J75" s="7" t="s">
        <v>1614</v>
      </c>
    </row>
    <row r="76" spans="1:10" x14ac:dyDescent="0.25" outlineLevel="1" collapsed="1">
      <c r="A76" s="7" t="s">
        <v>19</v>
      </c>
      <c r="B76" s="7" t="s">
        <v>16</v>
      </c>
      <c r="C76" s="7" t="s">
        <v>17</v>
      </c>
      <c r="D76" s="7"/>
      <c r="E76" s="7" t="s">
        <v>1615</v>
      </c>
      <c r="F76" s="7" t="s">
        <v>19</v>
      </c>
      <c r="G76" s="7" t="s">
        <v>31</v>
      </c>
      <c r="H76" s="7" t="s">
        <v>17</v>
      </c>
      <c r="I76" s="7" t="s">
        <v>17</v>
      </c>
      <c r="J76" s="7" t="s">
        <v>1616</v>
      </c>
    </row>
    <row r="77" spans="1:10" x14ac:dyDescent="0.25">
      <c r="A77" s="5" t="s">
        <v>19</v>
      </c>
      <c r="B77" s="6" t="s">
        <v>1597</v>
      </c>
      <c r="C77" s="5" t="s">
        <v>17</v>
      </c>
      <c r="D77" s="5"/>
      <c r="E77" s="5" t="s">
        <v>1627</v>
      </c>
      <c r="F77" s="5" t="s">
        <v>19</v>
      </c>
      <c r="G77" s="5" t="s">
        <v>17</v>
      </c>
      <c r="H77" s="5" t="s">
        <v>17</v>
      </c>
      <c r="I77" s="5" t="s">
        <v>17</v>
      </c>
      <c r="J77" s="5" t="s">
        <v>1628</v>
      </c>
    </row>
    <row r="78" spans="1:10" x14ac:dyDescent="0.25" outlineLevel="1" collapsed="1">
      <c r="A78" s="7" t="s">
        <v>15</v>
      </c>
      <c r="B78" s="7" t="s">
        <v>16</v>
      </c>
      <c r="C78" s="7" t="s">
        <v>17</v>
      </c>
      <c r="D78" s="7"/>
      <c r="E78" s="7" t="s">
        <v>1431</v>
      </c>
      <c r="F78" s="7" t="s">
        <v>19</v>
      </c>
      <c r="G78" s="7" t="s">
        <v>31</v>
      </c>
      <c r="H78" s="7" t="s">
        <v>17</v>
      </c>
      <c r="I78" s="7" t="s">
        <v>17</v>
      </c>
      <c r="J78" s="7" t="s">
        <v>637</v>
      </c>
    </row>
    <row r="79" spans="1:10" x14ac:dyDescent="0.25" outlineLevel="1" collapsed="1">
      <c r="A79" s="7" t="s">
        <v>15</v>
      </c>
      <c r="B79" s="7" t="s">
        <v>16</v>
      </c>
      <c r="C79" s="7" t="s">
        <v>17</v>
      </c>
      <c r="D79" s="7"/>
      <c r="E79" s="7" t="s">
        <v>638</v>
      </c>
      <c r="F79" s="7" t="s">
        <v>19</v>
      </c>
      <c r="G79" s="7" t="s">
        <v>31</v>
      </c>
      <c r="H79" s="7" t="s">
        <v>17</v>
      </c>
      <c r="I79" s="7" t="s">
        <v>17</v>
      </c>
      <c r="J79" s="7" t="s">
        <v>640</v>
      </c>
    </row>
    <row r="80" spans="1:10" x14ac:dyDescent="0.25" outlineLevel="1" collapsed="1">
      <c r="A80" s="7" t="s">
        <v>15</v>
      </c>
      <c r="B80" s="7" t="s">
        <v>16</v>
      </c>
      <c r="C80" s="7" t="s">
        <v>17</v>
      </c>
      <c r="D80" s="7"/>
      <c r="E80" s="7" t="s">
        <v>9</v>
      </c>
      <c r="F80" s="7" t="s">
        <v>19</v>
      </c>
      <c r="G80" s="7" t="s">
        <v>31</v>
      </c>
      <c r="H80" s="7" t="s">
        <v>17</v>
      </c>
      <c r="I80" s="7" t="s">
        <v>17</v>
      </c>
      <c r="J80" s="7" t="s">
        <v>843</v>
      </c>
    </row>
    <row r="81" spans="1:10" x14ac:dyDescent="0.25" outlineLevel="1" collapsed="1">
      <c r="A81" s="7" t="s">
        <v>19</v>
      </c>
      <c r="B81" s="7" t="s">
        <v>16</v>
      </c>
      <c r="C81" s="7" t="s">
        <v>17</v>
      </c>
      <c r="D81" s="7"/>
      <c r="E81" s="7" t="s">
        <v>1600</v>
      </c>
      <c r="F81" s="7" t="s">
        <v>19</v>
      </c>
      <c r="G81" s="7" t="s">
        <v>31</v>
      </c>
      <c r="H81" s="7" t="s">
        <v>17</v>
      </c>
      <c r="I81" s="7" t="s">
        <v>17</v>
      </c>
      <c r="J81" s="7" t="s">
        <v>1424</v>
      </c>
    </row>
    <row r="82" spans="1:10" x14ac:dyDescent="0.25" outlineLevel="1" collapsed="1">
      <c r="A82" s="7" t="s">
        <v>15</v>
      </c>
      <c r="B82" s="7" t="s">
        <v>16</v>
      </c>
      <c r="C82" s="7" t="s">
        <v>17</v>
      </c>
      <c r="D82" s="7"/>
      <c r="E82" s="7" t="s">
        <v>1601</v>
      </c>
      <c r="F82" s="7" t="s">
        <v>19</v>
      </c>
      <c r="G82" s="7" t="s">
        <v>31</v>
      </c>
      <c r="H82" s="7" t="s">
        <v>17</v>
      </c>
      <c r="I82" s="7" t="s">
        <v>17</v>
      </c>
      <c r="J82" s="7" t="s">
        <v>1602</v>
      </c>
    </row>
    <row r="83" spans="1:10" x14ac:dyDescent="0.25" outlineLevel="1" collapsed="1">
      <c r="A83" s="7" t="s">
        <v>15</v>
      </c>
      <c r="B83" s="7" t="s">
        <v>16</v>
      </c>
      <c r="C83" s="7" t="s">
        <v>17</v>
      </c>
      <c r="D83" s="7"/>
      <c r="E83" s="7" t="s">
        <v>1603</v>
      </c>
      <c r="F83" s="7" t="s">
        <v>19</v>
      </c>
      <c r="G83" s="7" t="s">
        <v>31</v>
      </c>
      <c r="H83" s="7" t="s">
        <v>17</v>
      </c>
      <c r="I83" s="7" t="s">
        <v>17</v>
      </c>
      <c r="J83" s="7" t="s">
        <v>1422</v>
      </c>
    </row>
    <row r="84" spans="1:10" x14ac:dyDescent="0.25" outlineLevel="1" collapsed="1">
      <c r="A84" s="7" t="s">
        <v>15</v>
      </c>
      <c r="B84" s="7" t="s">
        <v>284</v>
      </c>
      <c r="C84" s="11" t="s">
        <v>1604</v>
      </c>
      <c r="D84" s="7"/>
      <c r="E84" s="7" t="s">
        <v>1605</v>
      </c>
      <c r="F84" s="7" t="s">
        <v>19</v>
      </c>
      <c r="G84" s="7" t="s">
        <v>1606</v>
      </c>
      <c r="H84" s="7" t="s">
        <v>17</v>
      </c>
      <c r="I84" s="7" t="s">
        <v>17</v>
      </c>
      <c r="J84" s="7" t="s">
        <v>1607</v>
      </c>
    </row>
    <row r="85" spans="1:10" x14ac:dyDescent="0.25" outlineLevel="1" collapsed="1">
      <c r="A85" s="7" t="s">
        <v>19</v>
      </c>
      <c r="B85" s="7" t="s">
        <v>63</v>
      </c>
      <c r="C85" s="7" t="s">
        <v>17</v>
      </c>
      <c r="D85" s="7">
        <f>EXACT(G84,"Single value")</f>
      </c>
      <c r="E85" s="7" t="s">
        <v>1608</v>
      </c>
      <c r="F85" s="7" t="s">
        <v>19</v>
      </c>
      <c r="G85" s="7">
        <v>1</v>
      </c>
      <c r="H85" s="7" t="s">
        <v>17</v>
      </c>
      <c r="I85" s="7" t="s">
        <v>17</v>
      </c>
      <c r="J85" s="7" t="s">
        <v>1609</v>
      </c>
    </row>
    <row r="86" spans="1:10" x14ac:dyDescent="0.25" outlineLevel="1" collapsed="1">
      <c r="A86" s="7" t="s">
        <v>15</v>
      </c>
      <c r="B86" s="7" t="s">
        <v>16</v>
      </c>
      <c r="C86" s="7" t="s">
        <v>17</v>
      </c>
      <c r="D86" s="7"/>
      <c r="E86" s="7" t="s">
        <v>1610</v>
      </c>
      <c r="F86" s="7" t="s">
        <v>19</v>
      </c>
      <c r="G86" s="7" t="s">
        <v>31</v>
      </c>
      <c r="H86" s="7" t="s">
        <v>17</v>
      </c>
      <c r="I86" s="7" t="s">
        <v>17</v>
      </c>
      <c r="J86" s="7" t="s">
        <v>1191</v>
      </c>
    </row>
    <row r="87" spans="1:10" x14ac:dyDescent="0.25" outlineLevel="1" collapsed="1">
      <c r="A87" s="7" t="s">
        <v>15</v>
      </c>
      <c r="B87" s="7" t="s">
        <v>284</v>
      </c>
      <c r="C87" s="11" t="s">
        <v>1611</v>
      </c>
      <c r="D87" s="7"/>
      <c r="E87" s="7" t="s">
        <v>1612</v>
      </c>
      <c r="F87" s="7" t="s">
        <v>19</v>
      </c>
      <c r="G87" s="7" t="s">
        <v>1613</v>
      </c>
      <c r="H87" s="7" t="s">
        <v>17</v>
      </c>
      <c r="I87" s="7" t="s">
        <v>17</v>
      </c>
      <c r="J87" s="7" t="s">
        <v>1614</v>
      </c>
    </row>
    <row r="88" spans="1:10" x14ac:dyDescent="0.25" outlineLevel="1" collapsed="1">
      <c r="A88" s="7" t="s">
        <v>19</v>
      </c>
      <c r="B88" s="7" t="s">
        <v>16</v>
      </c>
      <c r="C88" s="7" t="s">
        <v>17</v>
      </c>
      <c r="D88" s="7"/>
      <c r="E88" s="7" t="s">
        <v>1615</v>
      </c>
      <c r="F88" s="7" t="s">
        <v>19</v>
      </c>
      <c r="G88" s="7" t="s">
        <v>31</v>
      </c>
      <c r="H88" s="7" t="s">
        <v>17</v>
      </c>
      <c r="I88" s="7" t="s">
        <v>17</v>
      </c>
      <c r="J88" s="7" t="s">
        <v>1616</v>
      </c>
    </row>
    <row r="89" spans="1:10" x14ac:dyDescent="0.25">
      <c r="A89" s="5" t="s">
        <v>19</v>
      </c>
      <c r="B89" s="6" t="s">
        <v>1597</v>
      </c>
      <c r="C89" s="5" t="s">
        <v>17</v>
      </c>
      <c r="D89" s="5"/>
      <c r="E89" s="5" t="s">
        <v>1629</v>
      </c>
      <c r="F89" s="5" t="s">
        <v>19</v>
      </c>
      <c r="G89" s="5" t="s">
        <v>17</v>
      </c>
      <c r="H89" s="5" t="s">
        <v>17</v>
      </c>
      <c r="I89" s="5" t="s">
        <v>17</v>
      </c>
      <c r="J89" s="5" t="s">
        <v>1630</v>
      </c>
    </row>
    <row r="90" spans="1:10" x14ac:dyDescent="0.25" outlineLevel="1" collapsed="1">
      <c r="A90" s="7" t="s">
        <v>15</v>
      </c>
      <c r="B90" s="7" t="s">
        <v>16</v>
      </c>
      <c r="C90" s="7" t="s">
        <v>17</v>
      </c>
      <c r="D90" s="7"/>
      <c r="E90" s="7" t="s">
        <v>1431</v>
      </c>
      <c r="F90" s="7" t="s">
        <v>19</v>
      </c>
      <c r="G90" s="7" t="s">
        <v>31</v>
      </c>
      <c r="H90" s="7" t="s">
        <v>17</v>
      </c>
      <c r="I90" s="7" t="s">
        <v>17</v>
      </c>
      <c r="J90" s="7" t="s">
        <v>637</v>
      </c>
    </row>
    <row r="91" spans="1:10" x14ac:dyDescent="0.25" outlineLevel="1" collapsed="1">
      <c r="A91" s="7" t="s">
        <v>15</v>
      </c>
      <c r="B91" s="7" t="s">
        <v>16</v>
      </c>
      <c r="C91" s="7" t="s">
        <v>17</v>
      </c>
      <c r="D91" s="7"/>
      <c r="E91" s="7" t="s">
        <v>638</v>
      </c>
      <c r="F91" s="7" t="s">
        <v>19</v>
      </c>
      <c r="G91" s="7" t="s">
        <v>31</v>
      </c>
      <c r="H91" s="7" t="s">
        <v>17</v>
      </c>
      <c r="I91" s="7" t="s">
        <v>17</v>
      </c>
      <c r="J91" s="7" t="s">
        <v>640</v>
      </c>
    </row>
    <row r="92" spans="1:10" x14ac:dyDescent="0.25" outlineLevel="1" collapsed="1">
      <c r="A92" s="7" t="s">
        <v>15</v>
      </c>
      <c r="B92" s="7" t="s">
        <v>16</v>
      </c>
      <c r="C92" s="7" t="s">
        <v>17</v>
      </c>
      <c r="D92" s="7"/>
      <c r="E92" s="7" t="s">
        <v>9</v>
      </c>
      <c r="F92" s="7" t="s">
        <v>19</v>
      </c>
      <c r="G92" s="7" t="s">
        <v>31</v>
      </c>
      <c r="H92" s="7" t="s">
        <v>17</v>
      </c>
      <c r="I92" s="7" t="s">
        <v>17</v>
      </c>
      <c r="J92" s="7" t="s">
        <v>843</v>
      </c>
    </row>
    <row r="93" spans="1:10" x14ac:dyDescent="0.25" outlineLevel="1" collapsed="1">
      <c r="A93" s="7" t="s">
        <v>19</v>
      </c>
      <c r="B93" s="7" t="s">
        <v>16</v>
      </c>
      <c r="C93" s="7" t="s">
        <v>17</v>
      </c>
      <c r="D93" s="7"/>
      <c r="E93" s="7" t="s">
        <v>1600</v>
      </c>
      <c r="F93" s="7" t="s">
        <v>19</v>
      </c>
      <c r="G93" s="7" t="s">
        <v>31</v>
      </c>
      <c r="H93" s="7" t="s">
        <v>17</v>
      </c>
      <c r="I93" s="7" t="s">
        <v>17</v>
      </c>
      <c r="J93" s="7" t="s">
        <v>1424</v>
      </c>
    </row>
    <row r="94" spans="1:10" x14ac:dyDescent="0.25" outlineLevel="1" collapsed="1">
      <c r="A94" s="7" t="s">
        <v>15</v>
      </c>
      <c r="B94" s="7" t="s">
        <v>16</v>
      </c>
      <c r="C94" s="7" t="s">
        <v>17</v>
      </c>
      <c r="D94" s="7"/>
      <c r="E94" s="7" t="s">
        <v>1601</v>
      </c>
      <c r="F94" s="7" t="s">
        <v>19</v>
      </c>
      <c r="G94" s="7" t="s">
        <v>31</v>
      </c>
      <c r="H94" s="7" t="s">
        <v>17</v>
      </c>
      <c r="I94" s="7" t="s">
        <v>17</v>
      </c>
      <c r="J94" s="7" t="s">
        <v>1602</v>
      </c>
    </row>
    <row r="95" spans="1:10" x14ac:dyDescent="0.25" outlineLevel="1" collapsed="1">
      <c r="A95" s="7" t="s">
        <v>15</v>
      </c>
      <c r="B95" s="7" t="s">
        <v>16</v>
      </c>
      <c r="C95" s="7" t="s">
        <v>17</v>
      </c>
      <c r="D95" s="7"/>
      <c r="E95" s="7" t="s">
        <v>1603</v>
      </c>
      <c r="F95" s="7" t="s">
        <v>19</v>
      </c>
      <c r="G95" s="7" t="s">
        <v>31</v>
      </c>
      <c r="H95" s="7" t="s">
        <v>17</v>
      </c>
      <c r="I95" s="7" t="s">
        <v>17</v>
      </c>
      <c r="J95" s="7" t="s">
        <v>1422</v>
      </c>
    </row>
    <row r="96" spans="1:10" x14ac:dyDescent="0.25" outlineLevel="1" collapsed="1">
      <c r="A96" s="7" t="s">
        <v>15</v>
      </c>
      <c r="B96" s="7" t="s">
        <v>284</v>
      </c>
      <c r="C96" s="11" t="s">
        <v>1604</v>
      </c>
      <c r="D96" s="7"/>
      <c r="E96" s="7" t="s">
        <v>1605</v>
      </c>
      <c r="F96" s="7" t="s">
        <v>19</v>
      </c>
      <c r="G96" s="7" t="s">
        <v>1606</v>
      </c>
      <c r="H96" s="7" t="s">
        <v>17</v>
      </c>
      <c r="I96" s="7" t="s">
        <v>17</v>
      </c>
      <c r="J96" s="7" t="s">
        <v>1607</v>
      </c>
    </row>
    <row r="97" spans="1:10" x14ac:dyDescent="0.25" outlineLevel="1" collapsed="1">
      <c r="A97" s="7" t="s">
        <v>19</v>
      </c>
      <c r="B97" s="7" t="s">
        <v>63</v>
      </c>
      <c r="C97" s="7" t="s">
        <v>17</v>
      </c>
      <c r="D97" s="7">
        <f>EXACT(G96,"Single value")</f>
      </c>
      <c r="E97" s="7" t="s">
        <v>1608</v>
      </c>
      <c r="F97" s="7" t="s">
        <v>19</v>
      </c>
      <c r="G97" s="7">
        <v>1</v>
      </c>
      <c r="H97" s="7" t="s">
        <v>17</v>
      </c>
      <c r="I97" s="7" t="s">
        <v>17</v>
      </c>
      <c r="J97" s="7" t="s">
        <v>1609</v>
      </c>
    </row>
    <row r="98" spans="1:10" x14ac:dyDescent="0.25" outlineLevel="1" collapsed="1">
      <c r="A98" s="7" t="s">
        <v>15</v>
      </c>
      <c r="B98" s="7" t="s">
        <v>16</v>
      </c>
      <c r="C98" s="7" t="s">
        <v>17</v>
      </c>
      <c r="D98" s="7"/>
      <c r="E98" s="7" t="s">
        <v>1610</v>
      </c>
      <c r="F98" s="7" t="s">
        <v>19</v>
      </c>
      <c r="G98" s="7" t="s">
        <v>31</v>
      </c>
      <c r="H98" s="7" t="s">
        <v>17</v>
      </c>
      <c r="I98" s="7" t="s">
        <v>17</v>
      </c>
      <c r="J98" s="7" t="s">
        <v>1191</v>
      </c>
    </row>
    <row r="99" spans="1:10" x14ac:dyDescent="0.25" outlineLevel="1" collapsed="1">
      <c r="A99" s="7" t="s">
        <v>15</v>
      </c>
      <c r="B99" s="7" t="s">
        <v>284</v>
      </c>
      <c r="C99" s="11" t="s">
        <v>1611</v>
      </c>
      <c r="D99" s="7"/>
      <c r="E99" s="7" t="s">
        <v>1612</v>
      </c>
      <c r="F99" s="7" t="s">
        <v>19</v>
      </c>
      <c r="G99" s="7" t="s">
        <v>1613</v>
      </c>
      <c r="H99" s="7" t="s">
        <v>17</v>
      </c>
      <c r="I99" s="7" t="s">
        <v>17</v>
      </c>
      <c r="J99" s="7" t="s">
        <v>1614</v>
      </c>
    </row>
    <row r="100" spans="1:10" x14ac:dyDescent="0.25" outlineLevel="1" collapsed="1">
      <c r="A100" s="7" t="s">
        <v>19</v>
      </c>
      <c r="B100" s="7" t="s">
        <v>16</v>
      </c>
      <c r="C100" s="7" t="s">
        <v>17</v>
      </c>
      <c r="D100" s="7"/>
      <c r="E100" s="7" t="s">
        <v>1615</v>
      </c>
      <c r="F100" s="7" t="s">
        <v>19</v>
      </c>
      <c r="G100" s="7" t="s">
        <v>31</v>
      </c>
      <c r="H100" s="7" t="s">
        <v>17</v>
      </c>
      <c r="I100" s="7" t="s">
        <v>17</v>
      </c>
      <c r="J100" s="7" t="s">
        <v>1616</v>
      </c>
    </row>
    <row r="101" spans="1:10" x14ac:dyDescent="0.25">
      <c r="A101" s="5" t="s">
        <v>15</v>
      </c>
      <c r="B101" s="6" t="s">
        <v>1597</v>
      </c>
      <c r="C101" s="5" t="s">
        <v>17</v>
      </c>
      <c r="D101" s="5"/>
      <c r="E101" s="5" t="s">
        <v>1631</v>
      </c>
      <c r="F101" s="5" t="s">
        <v>19</v>
      </c>
      <c r="G101" s="5" t="s">
        <v>17</v>
      </c>
      <c r="H101" s="5" t="s">
        <v>17</v>
      </c>
      <c r="I101" s="5" t="s">
        <v>17</v>
      </c>
      <c r="J101" s="5" t="s">
        <v>1632</v>
      </c>
    </row>
    <row r="102" spans="1:10" x14ac:dyDescent="0.25" outlineLevel="1" collapsed="1">
      <c r="A102" s="7" t="s">
        <v>15</v>
      </c>
      <c r="B102" s="7" t="s">
        <v>16</v>
      </c>
      <c r="C102" s="7" t="s">
        <v>17</v>
      </c>
      <c r="D102" s="7"/>
      <c r="E102" s="7" t="s">
        <v>1431</v>
      </c>
      <c r="F102" s="7" t="s">
        <v>19</v>
      </c>
      <c r="G102" s="7" t="s">
        <v>31</v>
      </c>
      <c r="H102" s="7" t="s">
        <v>17</v>
      </c>
      <c r="I102" s="7" t="s">
        <v>17</v>
      </c>
      <c r="J102" s="7" t="s">
        <v>637</v>
      </c>
    </row>
    <row r="103" spans="1:10" x14ac:dyDescent="0.25" outlineLevel="1" collapsed="1">
      <c r="A103" s="7" t="s">
        <v>15</v>
      </c>
      <c r="B103" s="7" t="s">
        <v>16</v>
      </c>
      <c r="C103" s="7" t="s">
        <v>17</v>
      </c>
      <c r="D103" s="7"/>
      <c r="E103" s="7" t="s">
        <v>638</v>
      </c>
      <c r="F103" s="7" t="s">
        <v>19</v>
      </c>
      <c r="G103" s="7" t="s">
        <v>31</v>
      </c>
      <c r="H103" s="7" t="s">
        <v>17</v>
      </c>
      <c r="I103" s="7" t="s">
        <v>17</v>
      </c>
      <c r="J103" s="7" t="s">
        <v>640</v>
      </c>
    </row>
    <row r="104" spans="1:10" x14ac:dyDescent="0.25" outlineLevel="1" collapsed="1">
      <c r="A104" s="7" t="s">
        <v>15</v>
      </c>
      <c r="B104" s="7" t="s">
        <v>16</v>
      </c>
      <c r="C104" s="7" t="s">
        <v>17</v>
      </c>
      <c r="D104" s="7"/>
      <c r="E104" s="7" t="s">
        <v>9</v>
      </c>
      <c r="F104" s="7" t="s">
        <v>19</v>
      </c>
      <c r="G104" s="7" t="s">
        <v>31</v>
      </c>
      <c r="H104" s="7" t="s">
        <v>17</v>
      </c>
      <c r="I104" s="7" t="s">
        <v>17</v>
      </c>
      <c r="J104" s="7" t="s">
        <v>843</v>
      </c>
    </row>
    <row r="105" spans="1:10" x14ac:dyDescent="0.25" outlineLevel="1" collapsed="1">
      <c r="A105" s="7" t="s">
        <v>19</v>
      </c>
      <c r="B105" s="7" t="s">
        <v>16</v>
      </c>
      <c r="C105" s="7" t="s">
        <v>17</v>
      </c>
      <c r="D105" s="7"/>
      <c r="E105" s="7" t="s">
        <v>1600</v>
      </c>
      <c r="F105" s="7" t="s">
        <v>19</v>
      </c>
      <c r="G105" s="7" t="s">
        <v>31</v>
      </c>
      <c r="H105" s="7" t="s">
        <v>17</v>
      </c>
      <c r="I105" s="7" t="s">
        <v>17</v>
      </c>
      <c r="J105" s="7" t="s">
        <v>1424</v>
      </c>
    </row>
    <row r="106" spans="1:10" x14ac:dyDescent="0.25" outlineLevel="1" collapsed="1">
      <c r="A106" s="7" t="s">
        <v>15</v>
      </c>
      <c r="B106" s="7" t="s">
        <v>16</v>
      </c>
      <c r="C106" s="7" t="s">
        <v>17</v>
      </c>
      <c r="D106" s="7"/>
      <c r="E106" s="7" t="s">
        <v>1601</v>
      </c>
      <c r="F106" s="7" t="s">
        <v>19</v>
      </c>
      <c r="G106" s="7" t="s">
        <v>31</v>
      </c>
      <c r="H106" s="7" t="s">
        <v>17</v>
      </c>
      <c r="I106" s="7" t="s">
        <v>17</v>
      </c>
      <c r="J106" s="7" t="s">
        <v>1602</v>
      </c>
    </row>
    <row r="107" spans="1:10" x14ac:dyDescent="0.25" outlineLevel="1" collapsed="1">
      <c r="A107" s="7" t="s">
        <v>15</v>
      </c>
      <c r="B107" s="7" t="s">
        <v>16</v>
      </c>
      <c r="C107" s="7" t="s">
        <v>17</v>
      </c>
      <c r="D107" s="7"/>
      <c r="E107" s="7" t="s">
        <v>1603</v>
      </c>
      <c r="F107" s="7" t="s">
        <v>19</v>
      </c>
      <c r="G107" s="7" t="s">
        <v>31</v>
      </c>
      <c r="H107" s="7" t="s">
        <v>17</v>
      </c>
      <c r="I107" s="7" t="s">
        <v>17</v>
      </c>
      <c r="J107" s="7" t="s">
        <v>1422</v>
      </c>
    </row>
    <row r="108" spans="1:10" x14ac:dyDescent="0.25" outlineLevel="1" collapsed="1">
      <c r="A108" s="7" t="s">
        <v>15</v>
      </c>
      <c r="B108" s="7" t="s">
        <v>284</v>
      </c>
      <c r="C108" s="11" t="s">
        <v>1604</v>
      </c>
      <c r="D108" s="7"/>
      <c r="E108" s="7" t="s">
        <v>1605</v>
      </c>
      <c r="F108" s="7" t="s">
        <v>19</v>
      </c>
      <c r="G108" s="7" t="s">
        <v>1606</v>
      </c>
      <c r="H108" s="7" t="s">
        <v>17</v>
      </c>
      <c r="I108" s="7" t="s">
        <v>17</v>
      </c>
      <c r="J108" s="7" t="s">
        <v>1607</v>
      </c>
    </row>
    <row r="109" spans="1:10" x14ac:dyDescent="0.25" outlineLevel="1" collapsed="1">
      <c r="A109" s="7" t="s">
        <v>19</v>
      </c>
      <c r="B109" s="7" t="s">
        <v>63</v>
      </c>
      <c r="C109" s="7" t="s">
        <v>17</v>
      </c>
      <c r="D109" s="7">
        <f>EXACT(G108,"Single value")</f>
      </c>
      <c r="E109" s="7" t="s">
        <v>1608</v>
      </c>
      <c r="F109" s="7" t="s">
        <v>19</v>
      </c>
      <c r="G109" s="7">
        <v>1</v>
      </c>
      <c r="H109" s="7" t="s">
        <v>17</v>
      </c>
      <c r="I109" s="7" t="s">
        <v>17</v>
      </c>
      <c r="J109" s="7" t="s">
        <v>1609</v>
      </c>
    </row>
    <row r="110" spans="1:10" x14ac:dyDescent="0.25" outlineLevel="1" collapsed="1">
      <c r="A110" s="7" t="s">
        <v>15</v>
      </c>
      <c r="B110" s="7" t="s">
        <v>16</v>
      </c>
      <c r="C110" s="7" t="s">
        <v>17</v>
      </c>
      <c r="D110" s="7"/>
      <c r="E110" s="7" t="s">
        <v>1610</v>
      </c>
      <c r="F110" s="7" t="s">
        <v>19</v>
      </c>
      <c r="G110" s="7" t="s">
        <v>31</v>
      </c>
      <c r="H110" s="7" t="s">
        <v>17</v>
      </c>
      <c r="I110" s="7" t="s">
        <v>17</v>
      </c>
      <c r="J110" s="7" t="s">
        <v>1191</v>
      </c>
    </row>
    <row r="111" spans="1:10" x14ac:dyDescent="0.25" outlineLevel="1" collapsed="1">
      <c r="A111" s="7" t="s">
        <v>15</v>
      </c>
      <c r="B111" s="7" t="s">
        <v>284</v>
      </c>
      <c r="C111" s="11" t="s">
        <v>1611</v>
      </c>
      <c r="D111" s="7"/>
      <c r="E111" s="7" t="s">
        <v>1612</v>
      </c>
      <c r="F111" s="7" t="s">
        <v>19</v>
      </c>
      <c r="G111" s="7" t="s">
        <v>1613</v>
      </c>
      <c r="H111" s="7" t="s">
        <v>17</v>
      </c>
      <c r="I111" s="7" t="s">
        <v>17</v>
      </c>
      <c r="J111" s="7" t="s">
        <v>1614</v>
      </c>
    </row>
    <row r="112" spans="1:10" x14ac:dyDescent="0.25" outlineLevel="1" collapsed="1">
      <c r="A112" s="7" t="s">
        <v>19</v>
      </c>
      <c r="B112" s="7" t="s">
        <v>16</v>
      </c>
      <c r="C112" s="7" t="s">
        <v>17</v>
      </c>
      <c r="D112" s="7"/>
      <c r="E112" s="7" t="s">
        <v>1615</v>
      </c>
      <c r="F112" s="7" t="s">
        <v>19</v>
      </c>
      <c r="G112" s="7" t="s">
        <v>31</v>
      </c>
      <c r="H112" s="7" t="s">
        <v>17</v>
      </c>
      <c r="I112" s="7" t="s">
        <v>17</v>
      </c>
      <c r="J112" s="7" t="s">
        <v>1616</v>
      </c>
    </row>
    <row r="113" spans="1:10" x14ac:dyDescent="0.25">
      <c r="A113" s="5" t="s">
        <v>15</v>
      </c>
      <c r="B113" s="5" t="s">
        <v>284</v>
      </c>
      <c r="C113" s="10" t="s">
        <v>1633</v>
      </c>
      <c r="D113" s="5"/>
      <c r="E113" s="5" t="s">
        <v>1634</v>
      </c>
      <c r="F113" s="5" t="s">
        <v>19</v>
      </c>
      <c r="G113" s="5" t="s">
        <v>1635</v>
      </c>
      <c r="H113" s="5" t="s">
        <v>17</v>
      </c>
      <c r="I113" s="5" t="s">
        <v>17</v>
      </c>
      <c r="J113" s="5" t="s">
        <v>1636</v>
      </c>
    </row>
    <row r="114" spans="1:10" x14ac:dyDescent="0.25">
      <c r="A114" s="5" t="s">
        <v>19</v>
      </c>
      <c r="B114" s="6" t="s">
        <v>1597</v>
      </c>
      <c r="C114" s="5" t="s">
        <v>17</v>
      </c>
      <c r="D114" s="5">
        <f>EXACT(G113,"Eq.(4) - project-specific T_i, WH, T_f or WHE")</f>
      </c>
      <c r="E114" s="5" t="s">
        <v>1637</v>
      </c>
      <c r="F114" s="5" t="s">
        <v>19</v>
      </c>
      <c r="G114" s="5" t="s">
        <v>17</v>
      </c>
      <c r="H114" s="5" t="s">
        <v>17</v>
      </c>
      <c r="I114" s="5" t="s">
        <v>17</v>
      </c>
      <c r="J114" s="5" t="s">
        <v>1638</v>
      </c>
    </row>
    <row r="115" spans="1:10" x14ac:dyDescent="0.25" outlineLevel="1" collapsed="1">
      <c r="A115" s="7" t="s">
        <v>15</v>
      </c>
      <c r="B115" s="7" t="s">
        <v>16</v>
      </c>
      <c r="C115" s="7" t="s">
        <v>17</v>
      </c>
      <c r="D115" s="7"/>
      <c r="E115" s="7" t="s">
        <v>1431</v>
      </c>
      <c r="F115" s="7" t="s">
        <v>19</v>
      </c>
      <c r="G115" s="7" t="s">
        <v>31</v>
      </c>
      <c r="H115" s="7" t="s">
        <v>17</v>
      </c>
      <c r="I115" s="7" t="s">
        <v>17</v>
      </c>
      <c r="J115" s="7" t="s">
        <v>637</v>
      </c>
    </row>
    <row r="116" spans="1:10" x14ac:dyDescent="0.25" outlineLevel="1" collapsed="1">
      <c r="A116" s="7" t="s">
        <v>15</v>
      </c>
      <c r="B116" s="7" t="s">
        <v>16</v>
      </c>
      <c r="C116" s="7" t="s">
        <v>17</v>
      </c>
      <c r="D116" s="7"/>
      <c r="E116" s="7" t="s">
        <v>638</v>
      </c>
      <c r="F116" s="7" t="s">
        <v>19</v>
      </c>
      <c r="G116" s="7" t="s">
        <v>31</v>
      </c>
      <c r="H116" s="7" t="s">
        <v>17</v>
      </c>
      <c r="I116" s="7" t="s">
        <v>17</v>
      </c>
      <c r="J116" s="7" t="s">
        <v>640</v>
      </c>
    </row>
    <row r="117" spans="1:10" x14ac:dyDescent="0.25" outlineLevel="1" collapsed="1">
      <c r="A117" s="7" t="s">
        <v>15</v>
      </c>
      <c r="B117" s="7" t="s">
        <v>16</v>
      </c>
      <c r="C117" s="7" t="s">
        <v>17</v>
      </c>
      <c r="D117" s="7"/>
      <c r="E117" s="7" t="s">
        <v>9</v>
      </c>
      <c r="F117" s="7" t="s">
        <v>19</v>
      </c>
      <c r="G117" s="7" t="s">
        <v>31</v>
      </c>
      <c r="H117" s="7" t="s">
        <v>17</v>
      </c>
      <c r="I117" s="7" t="s">
        <v>17</v>
      </c>
      <c r="J117" s="7" t="s">
        <v>843</v>
      </c>
    </row>
    <row r="118" spans="1:10" x14ac:dyDescent="0.25" outlineLevel="1" collapsed="1">
      <c r="A118" s="7" t="s">
        <v>19</v>
      </c>
      <c r="B118" s="7" t="s">
        <v>16</v>
      </c>
      <c r="C118" s="7" t="s">
        <v>17</v>
      </c>
      <c r="D118" s="7"/>
      <c r="E118" s="7" t="s">
        <v>1600</v>
      </c>
      <c r="F118" s="7" t="s">
        <v>19</v>
      </c>
      <c r="G118" s="7" t="s">
        <v>31</v>
      </c>
      <c r="H118" s="7" t="s">
        <v>17</v>
      </c>
      <c r="I118" s="7" t="s">
        <v>17</v>
      </c>
      <c r="J118" s="7" t="s">
        <v>1424</v>
      </c>
    </row>
    <row r="119" spans="1:10" x14ac:dyDescent="0.25" outlineLevel="1" collapsed="1">
      <c r="A119" s="7" t="s">
        <v>15</v>
      </c>
      <c r="B119" s="7" t="s">
        <v>16</v>
      </c>
      <c r="C119" s="7" t="s">
        <v>17</v>
      </c>
      <c r="D119" s="7"/>
      <c r="E119" s="7" t="s">
        <v>1601</v>
      </c>
      <c r="F119" s="7" t="s">
        <v>19</v>
      </c>
      <c r="G119" s="7" t="s">
        <v>31</v>
      </c>
      <c r="H119" s="7" t="s">
        <v>17</v>
      </c>
      <c r="I119" s="7" t="s">
        <v>17</v>
      </c>
      <c r="J119" s="7" t="s">
        <v>1602</v>
      </c>
    </row>
    <row r="120" spans="1:10" x14ac:dyDescent="0.25" outlineLevel="1" collapsed="1">
      <c r="A120" s="7" t="s">
        <v>15</v>
      </c>
      <c r="B120" s="7" t="s">
        <v>16</v>
      </c>
      <c r="C120" s="7" t="s">
        <v>17</v>
      </c>
      <c r="D120" s="7"/>
      <c r="E120" s="7" t="s">
        <v>1603</v>
      </c>
      <c r="F120" s="7" t="s">
        <v>19</v>
      </c>
      <c r="G120" s="7" t="s">
        <v>31</v>
      </c>
      <c r="H120" s="7" t="s">
        <v>17</v>
      </c>
      <c r="I120" s="7" t="s">
        <v>17</v>
      </c>
      <c r="J120" s="7" t="s">
        <v>1422</v>
      </c>
    </row>
    <row r="121" spans="1:10" x14ac:dyDescent="0.25" outlineLevel="1" collapsed="1">
      <c r="A121" s="7" t="s">
        <v>15</v>
      </c>
      <c r="B121" s="7" t="s">
        <v>284</v>
      </c>
      <c r="C121" s="11" t="s">
        <v>1604</v>
      </c>
      <c r="D121" s="7"/>
      <c r="E121" s="7" t="s">
        <v>1605</v>
      </c>
      <c r="F121" s="7" t="s">
        <v>19</v>
      </c>
      <c r="G121" s="7" t="s">
        <v>1606</v>
      </c>
      <c r="H121" s="7" t="s">
        <v>17</v>
      </c>
      <c r="I121" s="7" t="s">
        <v>17</v>
      </c>
      <c r="J121" s="7" t="s">
        <v>1607</v>
      </c>
    </row>
    <row r="122" spans="1:10" x14ac:dyDescent="0.25" outlineLevel="1" collapsed="1">
      <c r="A122" s="7" t="s">
        <v>19</v>
      </c>
      <c r="B122" s="7" t="s">
        <v>63</v>
      </c>
      <c r="C122" s="7" t="s">
        <v>17</v>
      </c>
      <c r="D122" s="7">
        <f>EXACT(G121,"Single value")</f>
      </c>
      <c r="E122" s="7" t="s">
        <v>1608</v>
      </c>
      <c r="F122" s="7" t="s">
        <v>19</v>
      </c>
      <c r="G122" s="7">
        <v>1</v>
      </c>
      <c r="H122" s="7" t="s">
        <v>17</v>
      </c>
      <c r="I122" s="7" t="s">
        <v>17</v>
      </c>
      <c r="J122" s="7" t="s">
        <v>1609</v>
      </c>
    </row>
    <row r="123" spans="1:10" x14ac:dyDescent="0.25" outlineLevel="1" collapsed="1">
      <c r="A123" s="7" t="s">
        <v>15</v>
      </c>
      <c r="B123" s="7" t="s">
        <v>16</v>
      </c>
      <c r="C123" s="7" t="s">
        <v>17</v>
      </c>
      <c r="D123" s="7"/>
      <c r="E123" s="7" t="s">
        <v>1610</v>
      </c>
      <c r="F123" s="7" t="s">
        <v>19</v>
      </c>
      <c r="G123" s="7" t="s">
        <v>31</v>
      </c>
      <c r="H123" s="7" t="s">
        <v>17</v>
      </c>
      <c r="I123" s="7" t="s">
        <v>17</v>
      </c>
      <c r="J123" s="7" t="s">
        <v>1191</v>
      </c>
    </row>
    <row r="124" spans="1:10" x14ac:dyDescent="0.25" outlineLevel="1" collapsed="1">
      <c r="A124" s="7" t="s">
        <v>15</v>
      </c>
      <c r="B124" s="7" t="s">
        <v>284</v>
      </c>
      <c r="C124" s="11" t="s">
        <v>1611</v>
      </c>
      <c r="D124" s="7"/>
      <c r="E124" s="7" t="s">
        <v>1612</v>
      </c>
      <c r="F124" s="7" t="s">
        <v>19</v>
      </c>
      <c r="G124" s="7" t="s">
        <v>1613</v>
      </c>
      <c r="H124" s="7" t="s">
        <v>17</v>
      </c>
      <c r="I124" s="7" t="s">
        <v>17</v>
      </c>
      <c r="J124" s="7" t="s">
        <v>1614</v>
      </c>
    </row>
    <row r="125" spans="1:10" x14ac:dyDescent="0.25" outlineLevel="1" collapsed="1">
      <c r="A125" s="7" t="s">
        <v>19</v>
      </c>
      <c r="B125" s="7" t="s">
        <v>16</v>
      </c>
      <c r="C125" s="7" t="s">
        <v>17</v>
      </c>
      <c r="D125" s="7"/>
      <c r="E125" s="7" t="s">
        <v>1615</v>
      </c>
      <c r="F125" s="7" t="s">
        <v>19</v>
      </c>
      <c r="G125" s="7" t="s">
        <v>31</v>
      </c>
      <c r="H125" s="7" t="s">
        <v>17</v>
      </c>
      <c r="I125" s="7" t="s">
        <v>17</v>
      </c>
      <c r="J125" s="7" t="s">
        <v>1616</v>
      </c>
    </row>
    <row r="126" spans="1:10" x14ac:dyDescent="0.25">
      <c r="A126" s="5" t="s">
        <v>19</v>
      </c>
      <c r="B126" s="6" t="s">
        <v>1597</v>
      </c>
      <c r="C126" s="5" t="s">
        <v>17</v>
      </c>
      <c r="D126" s="5">
        <f>EXACT(G113,"Eq.(4) - project-specific T_i, WH, T_f or WHE")</f>
      </c>
      <c r="E126" s="5" t="s">
        <v>1639</v>
      </c>
      <c r="F126" s="5" t="s">
        <v>19</v>
      </c>
      <c r="G126" s="5" t="s">
        <v>17</v>
      </c>
      <c r="H126" s="5" t="s">
        <v>17</v>
      </c>
      <c r="I126" s="5" t="s">
        <v>17</v>
      </c>
      <c r="J126" s="5" t="s">
        <v>1640</v>
      </c>
    </row>
    <row r="127" spans="1:10" x14ac:dyDescent="0.25" outlineLevel="1" collapsed="1">
      <c r="A127" s="7" t="s">
        <v>15</v>
      </c>
      <c r="B127" s="7" t="s">
        <v>16</v>
      </c>
      <c r="C127" s="7" t="s">
        <v>17</v>
      </c>
      <c r="D127" s="7"/>
      <c r="E127" s="7" t="s">
        <v>1431</v>
      </c>
      <c r="F127" s="7" t="s">
        <v>19</v>
      </c>
      <c r="G127" s="7" t="s">
        <v>31</v>
      </c>
      <c r="H127" s="7" t="s">
        <v>17</v>
      </c>
      <c r="I127" s="7" t="s">
        <v>17</v>
      </c>
      <c r="J127" s="7" t="s">
        <v>637</v>
      </c>
    </row>
    <row r="128" spans="1:10" x14ac:dyDescent="0.25" outlineLevel="1" collapsed="1">
      <c r="A128" s="7" t="s">
        <v>15</v>
      </c>
      <c r="B128" s="7" t="s">
        <v>16</v>
      </c>
      <c r="C128" s="7" t="s">
        <v>17</v>
      </c>
      <c r="D128" s="7"/>
      <c r="E128" s="7" t="s">
        <v>638</v>
      </c>
      <c r="F128" s="7" t="s">
        <v>19</v>
      </c>
      <c r="G128" s="7" t="s">
        <v>31</v>
      </c>
      <c r="H128" s="7" t="s">
        <v>17</v>
      </c>
      <c r="I128" s="7" t="s">
        <v>17</v>
      </c>
      <c r="J128" s="7" t="s">
        <v>640</v>
      </c>
    </row>
    <row r="129" spans="1:10" x14ac:dyDescent="0.25" outlineLevel="1" collapsed="1">
      <c r="A129" s="7" t="s">
        <v>15</v>
      </c>
      <c r="B129" s="7" t="s">
        <v>16</v>
      </c>
      <c r="C129" s="7" t="s">
        <v>17</v>
      </c>
      <c r="D129" s="7"/>
      <c r="E129" s="7" t="s">
        <v>9</v>
      </c>
      <c r="F129" s="7" t="s">
        <v>19</v>
      </c>
      <c r="G129" s="7" t="s">
        <v>31</v>
      </c>
      <c r="H129" s="7" t="s">
        <v>17</v>
      </c>
      <c r="I129" s="7" t="s">
        <v>17</v>
      </c>
      <c r="J129" s="7" t="s">
        <v>843</v>
      </c>
    </row>
    <row r="130" spans="1:10" x14ac:dyDescent="0.25" outlineLevel="1" collapsed="1">
      <c r="A130" s="7" t="s">
        <v>19</v>
      </c>
      <c r="B130" s="7" t="s">
        <v>16</v>
      </c>
      <c r="C130" s="7" t="s">
        <v>17</v>
      </c>
      <c r="D130" s="7"/>
      <c r="E130" s="7" t="s">
        <v>1600</v>
      </c>
      <c r="F130" s="7" t="s">
        <v>19</v>
      </c>
      <c r="G130" s="7" t="s">
        <v>31</v>
      </c>
      <c r="H130" s="7" t="s">
        <v>17</v>
      </c>
      <c r="I130" s="7" t="s">
        <v>17</v>
      </c>
      <c r="J130" s="7" t="s">
        <v>1424</v>
      </c>
    </row>
    <row r="131" spans="1:10" x14ac:dyDescent="0.25" outlineLevel="1" collapsed="1">
      <c r="A131" s="7" t="s">
        <v>15</v>
      </c>
      <c r="B131" s="7" t="s">
        <v>16</v>
      </c>
      <c r="C131" s="7" t="s">
        <v>17</v>
      </c>
      <c r="D131" s="7"/>
      <c r="E131" s="7" t="s">
        <v>1601</v>
      </c>
      <c r="F131" s="7" t="s">
        <v>19</v>
      </c>
      <c r="G131" s="7" t="s">
        <v>31</v>
      </c>
      <c r="H131" s="7" t="s">
        <v>17</v>
      </c>
      <c r="I131" s="7" t="s">
        <v>17</v>
      </c>
      <c r="J131" s="7" t="s">
        <v>1602</v>
      </c>
    </row>
    <row r="132" spans="1:10" x14ac:dyDescent="0.25" outlineLevel="1" collapsed="1">
      <c r="A132" s="7" t="s">
        <v>15</v>
      </c>
      <c r="B132" s="7" t="s">
        <v>16</v>
      </c>
      <c r="C132" s="7" t="s">
        <v>17</v>
      </c>
      <c r="D132" s="7"/>
      <c r="E132" s="7" t="s">
        <v>1603</v>
      </c>
      <c r="F132" s="7" t="s">
        <v>19</v>
      </c>
      <c r="G132" s="7" t="s">
        <v>31</v>
      </c>
      <c r="H132" s="7" t="s">
        <v>17</v>
      </c>
      <c r="I132" s="7" t="s">
        <v>17</v>
      </c>
      <c r="J132" s="7" t="s">
        <v>1422</v>
      </c>
    </row>
    <row r="133" spans="1:10" x14ac:dyDescent="0.25" outlineLevel="1" collapsed="1">
      <c r="A133" s="7" t="s">
        <v>15</v>
      </c>
      <c r="B133" s="7" t="s">
        <v>284</v>
      </c>
      <c r="C133" s="11" t="s">
        <v>1604</v>
      </c>
      <c r="D133" s="7"/>
      <c r="E133" s="7" t="s">
        <v>1605</v>
      </c>
      <c r="F133" s="7" t="s">
        <v>19</v>
      </c>
      <c r="G133" s="7" t="s">
        <v>1606</v>
      </c>
      <c r="H133" s="7" t="s">
        <v>17</v>
      </c>
      <c r="I133" s="7" t="s">
        <v>17</v>
      </c>
      <c r="J133" s="7" t="s">
        <v>1607</v>
      </c>
    </row>
    <row r="134" spans="1:10" x14ac:dyDescent="0.25" outlineLevel="1" collapsed="1">
      <c r="A134" s="7" t="s">
        <v>19</v>
      </c>
      <c r="B134" s="7" t="s">
        <v>63</v>
      </c>
      <c r="C134" s="7" t="s">
        <v>17</v>
      </c>
      <c r="D134" s="7">
        <f>EXACT(G133,"Single value")</f>
      </c>
      <c r="E134" s="7" t="s">
        <v>1608</v>
      </c>
      <c r="F134" s="7" t="s">
        <v>19</v>
      </c>
      <c r="G134" s="7">
        <v>1</v>
      </c>
      <c r="H134" s="7" t="s">
        <v>17</v>
      </c>
      <c r="I134" s="7" t="s">
        <v>17</v>
      </c>
      <c r="J134" s="7" t="s">
        <v>1609</v>
      </c>
    </row>
    <row r="135" spans="1:10" x14ac:dyDescent="0.25" outlineLevel="1" collapsed="1">
      <c r="A135" s="7" t="s">
        <v>15</v>
      </c>
      <c r="B135" s="7" t="s">
        <v>16</v>
      </c>
      <c r="C135" s="7" t="s">
        <v>17</v>
      </c>
      <c r="D135" s="7"/>
      <c r="E135" s="7" t="s">
        <v>1610</v>
      </c>
      <c r="F135" s="7" t="s">
        <v>19</v>
      </c>
      <c r="G135" s="7" t="s">
        <v>31</v>
      </c>
      <c r="H135" s="7" t="s">
        <v>17</v>
      </c>
      <c r="I135" s="7" t="s">
        <v>17</v>
      </c>
      <c r="J135" s="7" t="s">
        <v>1191</v>
      </c>
    </row>
    <row r="136" spans="1:10" x14ac:dyDescent="0.25" outlineLevel="1" collapsed="1">
      <c r="A136" s="7" t="s">
        <v>15</v>
      </c>
      <c r="B136" s="7" t="s">
        <v>284</v>
      </c>
      <c r="C136" s="11" t="s">
        <v>1611</v>
      </c>
      <c r="D136" s="7"/>
      <c r="E136" s="7" t="s">
        <v>1612</v>
      </c>
      <c r="F136" s="7" t="s">
        <v>19</v>
      </c>
      <c r="G136" s="7" t="s">
        <v>1613</v>
      </c>
      <c r="H136" s="7" t="s">
        <v>17</v>
      </c>
      <c r="I136" s="7" t="s">
        <v>17</v>
      </c>
      <c r="J136" s="7" t="s">
        <v>1614</v>
      </c>
    </row>
    <row r="137" spans="1:10" x14ac:dyDescent="0.25" outlineLevel="1" collapsed="1">
      <c r="A137" s="7" t="s">
        <v>19</v>
      </c>
      <c r="B137" s="7" t="s">
        <v>16</v>
      </c>
      <c r="C137" s="7" t="s">
        <v>17</v>
      </c>
      <c r="D137" s="7"/>
      <c r="E137" s="7" t="s">
        <v>1615</v>
      </c>
      <c r="F137" s="7" t="s">
        <v>19</v>
      </c>
      <c r="G137" s="7" t="s">
        <v>31</v>
      </c>
      <c r="H137" s="7" t="s">
        <v>17</v>
      </c>
      <c r="I137" s="7" t="s">
        <v>17</v>
      </c>
      <c r="J137" s="7" t="s">
        <v>1616</v>
      </c>
    </row>
    <row r="138" spans="1:10" x14ac:dyDescent="0.25">
      <c r="A138" s="5" t="s">
        <v>19</v>
      </c>
      <c r="B138" s="6" t="s">
        <v>1597</v>
      </c>
      <c r="C138" s="5" t="s">
        <v>17</v>
      </c>
      <c r="D138" s="5">
        <f>EXACT(G113,"Eq.(4) - project-specific T_i, WH, T_f or WHE")</f>
      </c>
      <c r="E138" s="5" t="s">
        <v>1641</v>
      </c>
      <c r="F138" s="5" t="s">
        <v>19</v>
      </c>
      <c r="G138" s="5" t="s">
        <v>17</v>
      </c>
      <c r="H138" s="5" t="s">
        <v>17</v>
      </c>
      <c r="I138" s="5" t="s">
        <v>17</v>
      </c>
      <c r="J138" s="5" t="s">
        <v>1642</v>
      </c>
    </row>
    <row r="139" spans="1:10" x14ac:dyDescent="0.25" outlineLevel="1" collapsed="1">
      <c r="A139" s="7" t="s">
        <v>15</v>
      </c>
      <c r="B139" s="7" t="s">
        <v>16</v>
      </c>
      <c r="C139" s="7" t="s">
        <v>17</v>
      </c>
      <c r="D139" s="7"/>
      <c r="E139" s="7" t="s">
        <v>1431</v>
      </c>
      <c r="F139" s="7" t="s">
        <v>19</v>
      </c>
      <c r="G139" s="7" t="s">
        <v>31</v>
      </c>
      <c r="H139" s="7" t="s">
        <v>17</v>
      </c>
      <c r="I139" s="7" t="s">
        <v>17</v>
      </c>
      <c r="J139" s="7" t="s">
        <v>637</v>
      </c>
    </row>
    <row r="140" spans="1:10" x14ac:dyDescent="0.25" outlineLevel="1" collapsed="1">
      <c r="A140" s="7" t="s">
        <v>15</v>
      </c>
      <c r="B140" s="7" t="s">
        <v>16</v>
      </c>
      <c r="C140" s="7" t="s">
        <v>17</v>
      </c>
      <c r="D140" s="7"/>
      <c r="E140" s="7" t="s">
        <v>638</v>
      </c>
      <c r="F140" s="7" t="s">
        <v>19</v>
      </c>
      <c r="G140" s="7" t="s">
        <v>31</v>
      </c>
      <c r="H140" s="7" t="s">
        <v>17</v>
      </c>
      <c r="I140" s="7" t="s">
        <v>17</v>
      </c>
      <c r="J140" s="7" t="s">
        <v>640</v>
      </c>
    </row>
    <row r="141" spans="1:10" x14ac:dyDescent="0.25" outlineLevel="1" collapsed="1">
      <c r="A141" s="7" t="s">
        <v>15</v>
      </c>
      <c r="B141" s="7" t="s">
        <v>16</v>
      </c>
      <c r="C141" s="7" t="s">
        <v>17</v>
      </c>
      <c r="D141" s="7"/>
      <c r="E141" s="7" t="s">
        <v>9</v>
      </c>
      <c r="F141" s="7" t="s">
        <v>19</v>
      </c>
      <c r="G141" s="7" t="s">
        <v>31</v>
      </c>
      <c r="H141" s="7" t="s">
        <v>17</v>
      </c>
      <c r="I141" s="7" t="s">
        <v>17</v>
      </c>
      <c r="J141" s="7" t="s">
        <v>843</v>
      </c>
    </row>
    <row r="142" spans="1:10" x14ac:dyDescent="0.25" outlineLevel="1" collapsed="1">
      <c r="A142" s="7" t="s">
        <v>19</v>
      </c>
      <c r="B142" s="7" t="s">
        <v>16</v>
      </c>
      <c r="C142" s="7" t="s">
        <v>17</v>
      </c>
      <c r="D142" s="7"/>
      <c r="E142" s="7" t="s">
        <v>1600</v>
      </c>
      <c r="F142" s="7" t="s">
        <v>19</v>
      </c>
      <c r="G142" s="7" t="s">
        <v>31</v>
      </c>
      <c r="H142" s="7" t="s">
        <v>17</v>
      </c>
      <c r="I142" s="7" t="s">
        <v>17</v>
      </c>
      <c r="J142" s="7" t="s">
        <v>1424</v>
      </c>
    </row>
    <row r="143" spans="1:10" x14ac:dyDescent="0.25" outlineLevel="1" collapsed="1">
      <c r="A143" s="7" t="s">
        <v>15</v>
      </c>
      <c r="B143" s="7" t="s">
        <v>16</v>
      </c>
      <c r="C143" s="7" t="s">
        <v>17</v>
      </c>
      <c r="D143" s="7"/>
      <c r="E143" s="7" t="s">
        <v>1601</v>
      </c>
      <c r="F143" s="7" t="s">
        <v>19</v>
      </c>
      <c r="G143" s="7" t="s">
        <v>31</v>
      </c>
      <c r="H143" s="7" t="s">
        <v>17</v>
      </c>
      <c r="I143" s="7" t="s">
        <v>17</v>
      </c>
      <c r="J143" s="7" t="s">
        <v>1602</v>
      </c>
    </row>
    <row r="144" spans="1:10" x14ac:dyDescent="0.25" outlineLevel="1" collapsed="1">
      <c r="A144" s="7" t="s">
        <v>15</v>
      </c>
      <c r="B144" s="7" t="s">
        <v>16</v>
      </c>
      <c r="C144" s="7" t="s">
        <v>17</v>
      </c>
      <c r="D144" s="7"/>
      <c r="E144" s="7" t="s">
        <v>1603</v>
      </c>
      <c r="F144" s="7" t="s">
        <v>19</v>
      </c>
      <c r="G144" s="7" t="s">
        <v>31</v>
      </c>
      <c r="H144" s="7" t="s">
        <v>17</v>
      </c>
      <c r="I144" s="7" t="s">
        <v>17</v>
      </c>
      <c r="J144" s="7" t="s">
        <v>1422</v>
      </c>
    </row>
    <row r="145" spans="1:10" x14ac:dyDescent="0.25" outlineLevel="1" collapsed="1">
      <c r="A145" s="7" t="s">
        <v>15</v>
      </c>
      <c r="B145" s="7" t="s">
        <v>284</v>
      </c>
      <c r="C145" s="11" t="s">
        <v>1604</v>
      </c>
      <c r="D145" s="7"/>
      <c r="E145" s="7" t="s">
        <v>1605</v>
      </c>
      <c r="F145" s="7" t="s">
        <v>19</v>
      </c>
      <c r="G145" s="7" t="s">
        <v>1606</v>
      </c>
      <c r="H145" s="7" t="s">
        <v>17</v>
      </c>
      <c r="I145" s="7" t="s">
        <v>17</v>
      </c>
      <c r="J145" s="7" t="s">
        <v>1607</v>
      </c>
    </row>
    <row r="146" spans="1:10" x14ac:dyDescent="0.25" outlineLevel="1" collapsed="1">
      <c r="A146" s="7" t="s">
        <v>19</v>
      </c>
      <c r="B146" s="7" t="s">
        <v>63</v>
      </c>
      <c r="C146" s="7" t="s">
        <v>17</v>
      </c>
      <c r="D146" s="7">
        <f>EXACT(G145,"Single value")</f>
      </c>
      <c r="E146" s="7" t="s">
        <v>1608</v>
      </c>
      <c r="F146" s="7" t="s">
        <v>19</v>
      </c>
      <c r="G146" s="7">
        <v>1</v>
      </c>
      <c r="H146" s="7" t="s">
        <v>17</v>
      </c>
      <c r="I146" s="7" t="s">
        <v>17</v>
      </c>
      <c r="J146" s="7" t="s">
        <v>1609</v>
      </c>
    </row>
    <row r="147" spans="1:10" x14ac:dyDescent="0.25" outlineLevel="1" collapsed="1">
      <c r="A147" s="7" t="s">
        <v>15</v>
      </c>
      <c r="B147" s="7" t="s">
        <v>16</v>
      </c>
      <c r="C147" s="7" t="s">
        <v>17</v>
      </c>
      <c r="D147" s="7"/>
      <c r="E147" s="7" t="s">
        <v>1610</v>
      </c>
      <c r="F147" s="7" t="s">
        <v>19</v>
      </c>
      <c r="G147" s="7" t="s">
        <v>31</v>
      </c>
      <c r="H147" s="7" t="s">
        <v>17</v>
      </c>
      <c r="I147" s="7" t="s">
        <v>17</v>
      </c>
      <c r="J147" s="7" t="s">
        <v>1191</v>
      </c>
    </row>
    <row r="148" spans="1:10" x14ac:dyDescent="0.25" outlineLevel="1" collapsed="1">
      <c r="A148" s="7" t="s">
        <v>15</v>
      </c>
      <c r="B148" s="7" t="s">
        <v>284</v>
      </c>
      <c r="C148" s="11" t="s">
        <v>1611</v>
      </c>
      <c r="D148" s="7"/>
      <c r="E148" s="7" t="s">
        <v>1612</v>
      </c>
      <c r="F148" s="7" t="s">
        <v>19</v>
      </c>
      <c r="G148" s="7" t="s">
        <v>1613</v>
      </c>
      <c r="H148" s="7" t="s">
        <v>17</v>
      </c>
      <c r="I148" s="7" t="s">
        <v>17</v>
      </c>
      <c r="J148" s="7" t="s">
        <v>1614</v>
      </c>
    </row>
    <row r="149" spans="1:10" x14ac:dyDescent="0.25" outlineLevel="1" collapsed="1">
      <c r="A149" s="7" t="s">
        <v>19</v>
      </c>
      <c r="B149" s="7" t="s">
        <v>16</v>
      </c>
      <c r="C149" s="7" t="s">
        <v>17</v>
      </c>
      <c r="D149" s="7"/>
      <c r="E149" s="7" t="s">
        <v>1615</v>
      </c>
      <c r="F149" s="7" t="s">
        <v>19</v>
      </c>
      <c r="G149" s="7" t="s">
        <v>31</v>
      </c>
      <c r="H149" s="7" t="s">
        <v>17</v>
      </c>
      <c r="I149" s="7" t="s">
        <v>17</v>
      </c>
      <c r="J149" s="7" t="s">
        <v>1616</v>
      </c>
    </row>
    <row r="150" spans="1:10" x14ac:dyDescent="0.25">
      <c r="A150" s="5" t="s">
        <v>19</v>
      </c>
      <c r="B150" s="6" t="s">
        <v>1597</v>
      </c>
      <c r="C150" s="5" t="s">
        <v>17</v>
      </c>
      <c r="D150" s="5">
        <f>EXACT(G113,"Eq.(4) - project-specific T_i, WH, T_f or WHE")</f>
      </c>
      <c r="E150" s="5" t="s">
        <v>1643</v>
      </c>
      <c r="F150" s="5" t="s">
        <v>19</v>
      </c>
      <c r="G150" s="5" t="s">
        <v>17</v>
      </c>
      <c r="H150" s="5" t="s">
        <v>17</v>
      </c>
      <c r="I150" s="5" t="s">
        <v>17</v>
      </c>
      <c r="J150" s="5" t="s">
        <v>1644</v>
      </c>
    </row>
    <row r="151" spans="1:10" x14ac:dyDescent="0.25" outlineLevel="1" collapsed="1">
      <c r="A151" s="7" t="s">
        <v>15</v>
      </c>
      <c r="B151" s="7" t="s">
        <v>16</v>
      </c>
      <c r="C151" s="7" t="s">
        <v>17</v>
      </c>
      <c r="D151" s="7"/>
      <c r="E151" s="7" t="s">
        <v>1431</v>
      </c>
      <c r="F151" s="7" t="s">
        <v>19</v>
      </c>
      <c r="G151" s="7" t="s">
        <v>31</v>
      </c>
      <c r="H151" s="7" t="s">
        <v>17</v>
      </c>
      <c r="I151" s="7" t="s">
        <v>17</v>
      </c>
      <c r="J151" s="7" t="s">
        <v>637</v>
      </c>
    </row>
    <row r="152" spans="1:10" x14ac:dyDescent="0.25" outlineLevel="1" collapsed="1">
      <c r="A152" s="7" t="s">
        <v>15</v>
      </c>
      <c r="B152" s="7" t="s">
        <v>16</v>
      </c>
      <c r="C152" s="7" t="s">
        <v>17</v>
      </c>
      <c r="D152" s="7"/>
      <c r="E152" s="7" t="s">
        <v>638</v>
      </c>
      <c r="F152" s="7" t="s">
        <v>19</v>
      </c>
      <c r="G152" s="7" t="s">
        <v>31</v>
      </c>
      <c r="H152" s="7" t="s">
        <v>17</v>
      </c>
      <c r="I152" s="7" t="s">
        <v>17</v>
      </c>
      <c r="J152" s="7" t="s">
        <v>640</v>
      </c>
    </row>
    <row r="153" spans="1:10" x14ac:dyDescent="0.25" outlineLevel="1" collapsed="1">
      <c r="A153" s="7" t="s">
        <v>15</v>
      </c>
      <c r="B153" s="7" t="s">
        <v>16</v>
      </c>
      <c r="C153" s="7" t="s">
        <v>17</v>
      </c>
      <c r="D153" s="7"/>
      <c r="E153" s="7" t="s">
        <v>9</v>
      </c>
      <c r="F153" s="7" t="s">
        <v>19</v>
      </c>
      <c r="G153" s="7" t="s">
        <v>31</v>
      </c>
      <c r="H153" s="7" t="s">
        <v>17</v>
      </c>
      <c r="I153" s="7" t="s">
        <v>17</v>
      </c>
      <c r="J153" s="7" t="s">
        <v>843</v>
      </c>
    </row>
    <row r="154" spans="1:10" x14ac:dyDescent="0.25" outlineLevel="1" collapsed="1">
      <c r="A154" s="7" t="s">
        <v>19</v>
      </c>
      <c r="B154" s="7" t="s">
        <v>16</v>
      </c>
      <c r="C154" s="7" t="s">
        <v>17</v>
      </c>
      <c r="D154" s="7"/>
      <c r="E154" s="7" t="s">
        <v>1600</v>
      </c>
      <c r="F154" s="7" t="s">
        <v>19</v>
      </c>
      <c r="G154" s="7" t="s">
        <v>31</v>
      </c>
      <c r="H154" s="7" t="s">
        <v>17</v>
      </c>
      <c r="I154" s="7" t="s">
        <v>17</v>
      </c>
      <c r="J154" s="7" t="s">
        <v>1424</v>
      </c>
    </row>
    <row r="155" spans="1:10" x14ac:dyDescent="0.25" outlineLevel="1" collapsed="1">
      <c r="A155" s="7" t="s">
        <v>15</v>
      </c>
      <c r="B155" s="7" t="s">
        <v>16</v>
      </c>
      <c r="C155" s="7" t="s">
        <v>17</v>
      </c>
      <c r="D155" s="7"/>
      <c r="E155" s="7" t="s">
        <v>1601</v>
      </c>
      <c r="F155" s="7" t="s">
        <v>19</v>
      </c>
      <c r="G155" s="7" t="s">
        <v>31</v>
      </c>
      <c r="H155" s="7" t="s">
        <v>17</v>
      </c>
      <c r="I155" s="7" t="s">
        <v>17</v>
      </c>
      <c r="J155" s="7" t="s">
        <v>1602</v>
      </c>
    </row>
    <row r="156" spans="1:10" x14ac:dyDescent="0.25" outlineLevel="1" collapsed="1">
      <c r="A156" s="7" t="s">
        <v>15</v>
      </c>
      <c r="B156" s="7" t="s">
        <v>16</v>
      </c>
      <c r="C156" s="7" t="s">
        <v>17</v>
      </c>
      <c r="D156" s="7"/>
      <c r="E156" s="7" t="s">
        <v>1603</v>
      </c>
      <c r="F156" s="7" t="s">
        <v>19</v>
      </c>
      <c r="G156" s="7" t="s">
        <v>31</v>
      </c>
      <c r="H156" s="7" t="s">
        <v>17</v>
      </c>
      <c r="I156" s="7" t="s">
        <v>17</v>
      </c>
      <c r="J156" s="7" t="s">
        <v>1422</v>
      </c>
    </row>
    <row r="157" spans="1:10" x14ac:dyDescent="0.25" outlineLevel="1" collapsed="1">
      <c r="A157" s="7" t="s">
        <v>15</v>
      </c>
      <c r="B157" s="7" t="s">
        <v>284</v>
      </c>
      <c r="C157" s="11" t="s">
        <v>1604</v>
      </c>
      <c r="D157" s="7"/>
      <c r="E157" s="7" t="s">
        <v>1605</v>
      </c>
      <c r="F157" s="7" t="s">
        <v>19</v>
      </c>
      <c r="G157" s="7" t="s">
        <v>1606</v>
      </c>
      <c r="H157" s="7" t="s">
        <v>17</v>
      </c>
      <c r="I157" s="7" t="s">
        <v>17</v>
      </c>
      <c r="J157" s="7" t="s">
        <v>1607</v>
      </c>
    </row>
    <row r="158" spans="1:10" x14ac:dyDescent="0.25" outlineLevel="1" collapsed="1">
      <c r="A158" s="7" t="s">
        <v>19</v>
      </c>
      <c r="B158" s="7" t="s">
        <v>63</v>
      </c>
      <c r="C158" s="7" t="s">
        <v>17</v>
      </c>
      <c r="D158" s="7">
        <f>EXACT(G157,"Single value")</f>
      </c>
      <c r="E158" s="7" t="s">
        <v>1608</v>
      </c>
      <c r="F158" s="7" t="s">
        <v>19</v>
      </c>
      <c r="G158" s="7">
        <v>1</v>
      </c>
      <c r="H158" s="7" t="s">
        <v>17</v>
      </c>
      <c r="I158" s="7" t="s">
        <v>17</v>
      </c>
      <c r="J158" s="7" t="s">
        <v>1609</v>
      </c>
    </row>
    <row r="159" spans="1:10" x14ac:dyDescent="0.25" outlineLevel="1" collapsed="1">
      <c r="A159" s="7" t="s">
        <v>15</v>
      </c>
      <c r="B159" s="7" t="s">
        <v>16</v>
      </c>
      <c r="C159" s="7" t="s">
        <v>17</v>
      </c>
      <c r="D159" s="7"/>
      <c r="E159" s="7" t="s">
        <v>1610</v>
      </c>
      <c r="F159" s="7" t="s">
        <v>19</v>
      </c>
      <c r="G159" s="7" t="s">
        <v>31</v>
      </c>
      <c r="H159" s="7" t="s">
        <v>17</v>
      </c>
      <c r="I159" s="7" t="s">
        <v>17</v>
      </c>
      <c r="J159" s="7" t="s">
        <v>1191</v>
      </c>
    </row>
    <row r="160" spans="1:10" x14ac:dyDescent="0.25" outlineLevel="1" collapsed="1">
      <c r="A160" s="7" t="s">
        <v>15</v>
      </c>
      <c r="B160" s="7" t="s">
        <v>284</v>
      </c>
      <c r="C160" s="11" t="s">
        <v>1611</v>
      </c>
      <c r="D160" s="7"/>
      <c r="E160" s="7" t="s">
        <v>1612</v>
      </c>
      <c r="F160" s="7" t="s">
        <v>19</v>
      </c>
      <c r="G160" s="7" t="s">
        <v>1613</v>
      </c>
      <c r="H160" s="7" t="s">
        <v>17</v>
      </c>
      <c r="I160" s="7" t="s">
        <v>17</v>
      </c>
      <c r="J160" s="7" t="s">
        <v>1614</v>
      </c>
    </row>
    <row r="161" spans="1:10" x14ac:dyDescent="0.25" outlineLevel="1" collapsed="1">
      <c r="A161" s="7" t="s">
        <v>19</v>
      </c>
      <c r="B161" s="7" t="s">
        <v>16</v>
      </c>
      <c r="C161" s="7" t="s">
        <v>17</v>
      </c>
      <c r="D161" s="7"/>
      <c r="E161" s="7" t="s">
        <v>1615</v>
      </c>
      <c r="F161" s="7" t="s">
        <v>19</v>
      </c>
      <c r="G161" s="7" t="s">
        <v>31</v>
      </c>
      <c r="H161" s="7" t="s">
        <v>17</v>
      </c>
      <c r="I161" s="7" t="s">
        <v>17</v>
      </c>
      <c r="J161" s="7" t="s">
        <v>1616</v>
      </c>
    </row>
    <row r="162" spans="1:10" x14ac:dyDescent="0.25">
      <c r="A162" s="5" t="s">
        <v>15</v>
      </c>
      <c r="B162" s="6" t="s">
        <v>1597</v>
      </c>
      <c r="C162" s="5" t="s">
        <v>17</v>
      </c>
      <c r="D162" s="5"/>
      <c r="E162" s="5" t="s">
        <v>1645</v>
      </c>
      <c r="F162" s="5" t="s">
        <v>19</v>
      </c>
      <c r="G162" s="5" t="s">
        <v>17</v>
      </c>
      <c r="H162" s="5" t="s">
        <v>17</v>
      </c>
      <c r="I162" s="5" t="s">
        <v>17</v>
      </c>
      <c r="J162" s="5" t="s">
        <v>1646</v>
      </c>
    </row>
    <row r="163" spans="1:10" x14ac:dyDescent="0.25" outlineLevel="1" collapsed="1">
      <c r="A163" s="7" t="s">
        <v>15</v>
      </c>
      <c r="B163" s="7" t="s">
        <v>16</v>
      </c>
      <c r="C163" s="7" t="s">
        <v>17</v>
      </c>
      <c r="D163" s="7"/>
      <c r="E163" s="7" t="s">
        <v>1431</v>
      </c>
      <c r="F163" s="7" t="s">
        <v>19</v>
      </c>
      <c r="G163" s="7" t="s">
        <v>31</v>
      </c>
      <c r="H163" s="7" t="s">
        <v>17</v>
      </c>
      <c r="I163" s="7" t="s">
        <v>17</v>
      </c>
      <c r="J163" s="7" t="s">
        <v>637</v>
      </c>
    </row>
    <row r="164" spans="1:10" x14ac:dyDescent="0.25" outlineLevel="1" collapsed="1">
      <c r="A164" s="7" t="s">
        <v>15</v>
      </c>
      <c r="B164" s="7" t="s">
        <v>16</v>
      </c>
      <c r="C164" s="7" t="s">
        <v>17</v>
      </c>
      <c r="D164" s="7"/>
      <c r="E164" s="7" t="s">
        <v>638</v>
      </c>
      <c r="F164" s="7" t="s">
        <v>19</v>
      </c>
      <c r="G164" s="7" t="s">
        <v>31</v>
      </c>
      <c r="H164" s="7" t="s">
        <v>17</v>
      </c>
      <c r="I164" s="7" t="s">
        <v>17</v>
      </c>
      <c r="J164" s="7" t="s">
        <v>640</v>
      </c>
    </row>
    <row r="165" spans="1:10" x14ac:dyDescent="0.25" outlineLevel="1" collapsed="1">
      <c r="A165" s="7" t="s">
        <v>15</v>
      </c>
      <c r="B165" s="7" t="s">
        <v>16</v>
      </c>
      <c r="C165" s="7" t="s">
        <v>17</v>
      </c>
      <c r="D165" s="7"/>
      <c r="E165" s="7" t="s">
        <v>9</v>
      </c>
      <c r="F165" s="7" t="s">
        <v>19</v>
      </c>
      <c r="G165" s="7" t="s">
        <v>31</v>
      </c>
      <c r="H165" s="7" t="s">
        <v>17</v>
      </c>
      <c r="I165" s="7" t="s">
        <v>17</v>
      </c>
      <c r="J165" s="7" t="s">
        <v>843</v>
      </c>
    </row>
    <row r="166" spans="1:10" x14ac:dyDescent="0.25" outlineLevel="1" collapsed="1">
      <c r="A166" s="7" t="s">
        <v>19</v>
      </c>
      <c r="B166" s="7" t="s">
        <v>16</v>
      </c>
      <c r="C166" s="7" t="s">
        <v>17</v>
      </c>
      <c r="D166" s="7"/>
      <c r="E166" s="7" t="s">
        <v>1600</v>
      </c>
      <c r="F166" s="7" t="s">
        <v>19</v>
      </c>
      <c r="G166" s="7" t="s">
        <v>31</v>
      </c>
      <c r="H166" s="7" t="s">
        <v>17</v>
      </c>
      <c r="I166" s="7" t="s">
        <v>17</v>
      </c>
      <c r="J166" s="7" t="s">
        <v>1424</v>
      </c>
    </row>
    <row r="167" spans="1:10" x14ac:dyDescent="0.25" outlineLevel="1" collapsed="1">
      <c r="A167" s="7" t="s">
        <v>15</v>
      </c>
      <c r="B167" s="7" t="s">
        <v>16</v>
      </c>
      <c r="C167" s="7" t="s">
        <v>17</v>
      </c>
      <c r="D167" s="7"/>
      <c r="E167" s="7" t="s">
        <v>1601</v>
      </c>
      <c r="F167" s="7" t="s">
        <v>19</v>
      </c>
      <c r="G167" s="7" t="s">
        <v>31</v>
      </c>
      <c r="H167" s="7" t="s">
        <v>17</v>
      </c>
      <c r="I167" s="7" t="s">
        <v>17</v>
      </c>
      <c r="J167" s="7" t="s">
        <v>1602</v>
      </c>
    </row>
    <row r="168" spans="1:10" x14ac:dyDescent="0.25" outlineLevel="1" collapsed="1">
      <c r="A168" s="7" t="s">
        <v>15</v>
      </c>
      <c r="B168" s="7" t="s">
        <v>16</v>
      </c>
      <c r="C168" s="7" t="s">
        <v>17</v>
      </c>
      <c r="D168" s="7"/>
      <c r="E168" s="7" t="s">
        <v>1603</v>
      </c>
      <c r="F168" s="7" t="s">
        <v>19</v>
      </c>
      <c r="G168" s="7" t="s">
        <v>31</v>
      </c>
      <c r="H168" s="7" t="s">
        <v>17</v>
      </c>
      <c r="I168" s="7" t="s">
        <v>17</v>
      </c>
      <c r="J168" s="7" t="s">
        <v>1422</v>
      </c>
    </row>
    <row r="169" spans="1:10" x14ac:dyDescent="0.25" outlineLevel="1" collapsed="1">
      <c r="A169" s="7" t="s">
        <v>15</v>
      </c>
      <c r="B169" s="7" t="s">
        <v>284</v>
      </c>
      <c r="C169" s="11" t="s">
        <v>1604</v>
      </c>
      <c r="D169" s="7"/>
      <c r="E169" s="7" t="s">
        <v>1605</v>
      </c>
      <c r="F169" s="7" t="s">
        <v>19</v>
      </c>
      <c r="G169" s="7" t="s">
        <v>1606</v>
      </c>
      <c r="H169" s="7" t="s">
        <v>17</v>
      </c>
      <c r="I169" s="7" t="s">
        <v>17</v>
      </c>
      <c r="J169" s="7" t="s">
        <v>1607</v>
      </c>
    </row>
    <row r="170" spans="1:10" x14ac:dyDescent="0.25" outlineLevel="1" collapsed="1">
      <c r="A170" s="7" t="s">
        <v>19</v>
      </c>
      <c r="B170" s="7" t="s">
        <v>63</v>
      </c>
      <c r="C170" s="7" t="s">
        <v>17</v>
      </c>
      <c r="D170" s="7">
        <f>EXACT(G169,"Single value")</f>
      </c>
      <c r="E170" s="7" t="s">
        <v>1608</v>
      </c>
      <c r="F170" s="7" t="s">
        <v>19</v>
      </c>
      <c r="G170" s="7">
        <v>1</v>
      </c>
      <c r="H170" s="7" t="s">
        <v>17</v>
      </c>
      <c r="I170" s="7" t="s">
        <v>17</v>
      </c>
      <c r="J170" s="7" t="s">
        <v>1609</v>
      </c>
    </row>
    <row r="171" spans="1:10" x14ac:dyDescent="0.25" outlineLevel="1" collapsed="1">
      <c r="A171" s="7" t="s">
        <v>15</v>
      </c>
      <c r="B171" s="7" t="s">
        <v>16</v>
      </c>
      <c r="C171" s="7" t="s">
        <v>17</v>
      </c>
      <c r="D171" s="7"/>
      <c r="E171" s="7" t="s">
        <v>1610</v>
      </c>
      <c r="F171" s="7" t="s">
        <v>19</v>
      </c>
      <c r="G171" s="7" t="s">
        <v>31</v>
      </c>
      <c r="H171" s="7" t="s">
        <v>17</v>
      </c>
      <c r="I171" s="7" t="s">
        <v>17</v>
      </c>
      <c r="J171" s="7" t="s">
        <v>1191</v>
      </c>
    </row>
    <row r="172" spans="1:10" x14ac:dyDescent="0.25" outlineLevel="1" collapsed="1">
      <c r="A172" s="7" t="s">
        <v>15</v>
      </c>
      <c r="B172" s="7" t="s">
        <v>284</v>
      </c>
      <c r="C172" s="11" t="s">
        <v>1611</v>
      </c>
      <c r="D172" s="7"/>
      <c r="E172" s="7" t="s">
        <v>1612</v>
      </c>
      <c r="F172" s="7" t="s">
        <v>19</v>
      </c>
      <c r="G172" s="7" t="s">
        <v>1613</v>
      </c>
      <c r="H172" s="7" t="s">
        <v>17</v>
      </c>
      <c r="I172" s="7" t="s">
        <v>17</v>
      </c>
      <c r="J172" s="7" t="s">
        <v>1614</v>
      </c>
    </row>
    <row r="173" spans="1:10" x14ac:dyDescent="0.25" outlineLevel="1" collapsed="1">
      <c r="A173" s="7" t="s">
        <v>19</v>
      </c>
      <c r="B173" s="7" t="s">
        <v>16</v>
      </c>
      <c r="C173" s="7" t="s">
        <v>17</v>
      </c>
      <c r="D173" s="7"/>
      <c r="E173" s="7" t="s">
        <v>1615</v>
      </c>
      <c r="F173" s="7" t="s">
        <v>19</v>
      </c>
      <c r="G173" s="7" t="s">
        <v>31</v>
      </c>
      <c r="H173" s="7" t="s">
        <v>17</v>
      </c>
      <c r="I173" s="7" t="s">
        <v>17</v>
      </c>
      <c r="J173" s="7" t="s">
        <v>1616</v>
      </c>
    </row>
  </sheetData>
  <mergeCells count="3">
    <mergeCell ref="A1:J1"/>
    <mergeCell ref="B2:J2"/>
    <mergeCell ref="B3:J3"/>
  </mergeCells>
  <dataValidations count="29">
    <dataValidation type="list" allowBlank="1" sqref="G108:I108">
      <formula1>'Enums'!C607:C608</formula1>
    </dataValidation>
    <dataValidation type="list" allowBlank="1" sqref="G111:I111">
      <formula1>'Enums'!C609:C613</formula1>
    </dataValidation>
    <dataValidation type="list" allowBlank="1" sqref="G113:I113">
      <formula1>'Enums'!C614:C615</formula1>
    </dataValidation>
    <dataValidation type="list" allowBlank="1" sqref="G12:I12">
      <formula1>'Enums'!C607:C608</formula1>
    </dataValidation>
    <dataValidation type="list" allowBlank="1" sqref="G121:I121">
      <formula1>'Enums'!C607:C608</formula1>
    </dataValidation>
    <dataValidation type="list" allowBlank="1" sqref="G124:I124">
      <formula1>'Enums'!C609:C613</formula1>
    </dataValidation>
    <dataValidation type="list" allowBlank="1" sqref="G133:I133">
      <formula1>'Enums'!C607:C608</formula1>
    </dataValidation>
    <dataValidation type="list" allowBlank="1" sqref="G136:I136">
      <formula1>'Enums'!C609:C613</formula1>
    </dataValidation>
    <dataValidation type="list" allowBlank="1" sqref="G145:I145">
      <formula1>'Enums'!C607:C608</formula1>
    </dataValidation>
    <dataValidation type="list" allowBlank="1" sqref="G148:I148">
      <formula1>'Enums'!C609:C613</formula1>
    </dataValidation>
    <dataValidation type="list" allowBlank="1" sqref="G15:I15">
      <formula1>'Enums'!C609:C613</formula1>
    </dataValidation>
    <dataValidation type="list" allowBlank="1" sqref="G157:I157">
      <formula1>'Enums'!C607:C608</formula1>
    </dataValidation>
    <dataValidation type="list" allowBlank="1" sqref="G160:I160">
      <formula1>'Enums'!C609:C613</formula1>
    </dataValidation>
    <dataValidation type="list" allowBlank="1" sqref="G169:I169">
      <formula1>'Enums'!C607:C608</formula1>
    </dataValidation>
    <dataValidation type="list" allowBlank="1" sqref="G172:I172">
      <formula1>'Enums'!C609:C613</formula1>
    </dataValidation>
    <dataValidation type="list" allowBlank="1" sqref="G24:I24">
      <formula1>'Enums'!C607:C608</formula1>
    </dataValidation>
    <dataValidation type="list" allowBlank="1" sqref="G27:I27">
      <formula1>'Enums'!C609:C613</formula1>
    </dataValidation>
    <dataValidation type="list" allowBlank="1" sqref="G36:I36">
      <formula1>'Enums'!C607:C608</formula1>
    </dataValidation>
    <dataValidation type="list" allowBlank="1" sqref="G39:I39">
      <formula1>'Enums'!C609:C613</formula1>
    </dataValidation>
    <dataValidation type="list" allowBlank="1" sqref="G48:I48">
      <formula1>'Enums'!C607:C608</formula1>
    </dataValidation>
    <dataValidation type="list" allowBlank="1" sqref="G51:I51">
      <formula1>'Enums'!C609:C613</formula1>
    </dataValidation>
    <dataValidation type="list" allowBlank="1" sqref="G60:I60">
      <formula1>'Enums'!C607:C608</formula1>
    </dataValidation>
    <dataValidation type="list" allowBlank="1" sqref="G63:I63">
      <formula1>'Enums'!C609:C613</formula1>
    </dataValidation>
    <dataValidation type="list" allowBlank="1" sqref="G72:I72">
      <formula1>'Enums'!C607:C608</formula1>
    </dataValidation>
    <dataValidation type="list" allowBlank="1" sqref="G75:I75">
      <formula1>'Enums'!C609:C613</formula1>
    </dataValidation>
    <dataValidation type="list" allowBlank="1" sqref="G84:I84">
      <formula1>'Enums'!C607:C608</formula1>
    </dataValidation>
    <dataValidation type="list" allowBlank="1" sqref="G87:I87">
      <formula1>'Enums'!C609:C613</formula1>
    </dataValidation>
    <dataValidation type="list" allowBlank="1" sqref="G96:I96">
      <formula1>'Enums'!C607:C608</formula1>
    </dataValidation>
    <dataValidation type="list" allowBlank="1" sqref="G99:I99">
      <formula1>'Enums'!C609:C613</formula1>
    </dataValidation>
  </dataValidations>
  <hyperlinks>
    <hyperlink ref="B5" r:id="rId1" location="#'VMR0015 A2.1 DataParameter Ava'!A1"/>
    <hyperlink ref="B17" r:id="rId2" location="#'VMR0015 A2.1 DataParameter Ava'!A1"/>
    <hyperlink ref="B29" r:id="rId3" location="#'VMR0015 A2.1 DataParameter Ava'!A1"/>
    <hyperlink ref="B41" r:id="rId4" location="#'VMR0015 A2.1 DataParameter Ava'!A1"/>
    <hyperlink ref="B53" r:id="rId5" location="#'VMR0015 A2.1 DataParameter Ava'!A1"/>
    <hyperlink ref="B65" r:id="rId6" location="#'VMR0015 A2.1 DataParameter Ava'!A1"/>
    <hyperlink ref="B77" r:id="rId7" location="#'VMR0015 A2.1 DataParameter Ava'!A1"/>
    <hyperlink ref="B89" r:id="rId8" location="#'VMR0015 A2.1 DataParameter Ava'!A1"/>
    <hyperlink ref="B101" r:id="rId9" location="#'VMR0015 A2.1 DataParameter Ava'!A1"/>
    <hyperlink ref="B114" r:id="rId10" location="#'VMR0015 A2.1 DataParameter Ava'!A1"/>
    <hyperlink ref="B126" r:id="rId11" location="#'VMR0015 A2.1 DataParameter Ava'!A1"/>
    <hyperlink ref="B138" r:id="rId12" location="#'VMR0015 A2.1 DataParameter Ava'!A1"/>
    <hyperlink ref="B150" r:id="rId13" location="#'VMR0015 A2.1 DataParameter Ava'!A1"/>
    <hyperlink ref="B162" r:id="rId14" location="#'VMR0015 A2.1 DataParameter Ava'!A1"/>
  </hyperlinks>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3424</v>
      </c>
      <c r="B1" s="1"/>
      <c r="C1" s="1"/>
      <c r="D1" s="1"/>
      <c r="E1" s="1"/>
      <c r="F1" s="1"/>
      <c r="G1" s="1"/>
      <c r="H1" s="1"/>
      <c r="I1" s="1"/>
      <c r="J1" s="1"/>
    </row>
    <row r="2" spans="1:10" x14ac:dyDescent="0.25">
      <c r="A2" s="2" t="s">
        <v>1</v>
      </c>
      <c r="B2" s="3" t="s">
        <v>3425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1597</v>
      </c>
      <c r="C5" s="5" t="s">
        <v>17</v>
      </c>
      <c r="D5" s="5"/>
      <c r="E5" s="5" t="s">
        <v>1650</v>
      </c>
      <c r="F5" s="5" t="s">
        <v>19</v>
      </c>
      <c r="G5" s="5" t="s">
        <v>17</v>
      </c>
      <c r="H5" s="5" t="s">
        <v>17</v>
      </c>
      <c r="I5" s="5" t="s">
        <v>17</v>
      </c>
      <c r="J5" s="5" t="s">
        <v>1651</v>
      </c>
    </row>
    <row r="6" spans="1:10" x14ac:dyDescent="0.25" outlineLevel="1" collapsed="1">
      <c r="A6" s="7" t="s">
        <v>15</v>
      </c>
      <c r="B6" s="7" t="s">
        <v>16</v>
      </c>
      <c r="C6" s="7" t="s">
        <v>17</v>
      </c>
      <c r="D6" s="7"/>
      <c r="E6" s="7" t="s">
        <v>1431</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1603</v>
      </c>
      <c r="F11" s="7" t="s">
        <v>19</v>
      </c>
      <c r="G11" s="7" t="s">
        <v>31</v>
      </c>
      <c r="H11" s="7" t="s">
        <v>17</v>
      </c>
      <c r="I11" s="7" t="s">
        <v>17</v>
      </c>
      <c r="J11" s="7" t="s">
        <v>1422</v>
      </c>
    </row>
    <row r="12" spans="1:10" x14ac:dyDescent="0.25" outlineLevel="1" collapsed="1">
      <c r="A12" s="7" t="s">
        <v>15</v>
      </c>
      <c r="B12" s="7" t="s">
        <v>284</v>
      </c>
      <c r="C12" s="11" t="s">
        <v>1604</v>
      </c>
      <c r="D12" s="7"/>
      <c r="E12" s="7" t="s">
        <v>1605</v>
      </c>
      <c r="F12" s="7" t="s">
        <v>19</v>
      </c>
      <c r="G12" s="7" t="s">
        <v>1606</v>
      </c>
      <c r="H12" s="7" t="s">
        <v>17</v>
      </c>
      <c r="I12" s="7" t="s">
        <v>17</v>
      </c>
      <c r="J12" s="7" t="s">
        <v>1607</v>
      </c>
    </row>
    <row r="13" spans="1:10" x14ac:dyDescent="0.25" outlineLevel="1" collapsed="1">
      <c r="A13" s="7" t="s">
        <v>19</v>
      </c>
      <c r="B13" s="7" t="s">
        <v>63</v>
      </c>
      <c r="C13" s="7" t="s">
        <v>17</v>
      </c>
      <c r="D13" s="7">
        <f>EXACT(G12,"Single value")</f>
      </c>
      <c r="E13" s="7" t="s">
        <v>1608</v>
      </c>
      <c r="F13" s="7" t="s">
        <v>19</v>
      </c>
      <c r="G13" s="7">
        <v>1</v>
      </c>
      <c r="H13" s="7" t="s">
        <v>17</v>
      </c>
      <c r="I13" s="7" t="s">
        <v>17</v>
      </c>
      <c r="J13" s="7" t="s">
        <v>1609</v>
      </c>
    </row>
    <row r="14" spans="1:10" x14ac:dyDescent="0.25" outlineLevel="1" collapsed="1">
      <c r="A14" s="7" t="s">
        <v>15</v>
      </c>
      <c r="B14" s="7" t="s">
        <v>16</v>
      </c>
      <c r="C14" s="7" t="s">
        <v>17</v>
      </c>
      <c r="D14" s="7"/>
      <c r="E14" s="7" t="s">
        <v>1610</v>
      </c>
      <c r="F14" s="7" t="s">
        <v>19</v>
      </c>
      <c r="G14" s="7" t="s">
        <v>31</v>
      </c>
      <c r="H14" s="7" t="s">
        <v>17</v>
      </c>
      <c r="I14" s="7" t="s">
        <v>17</v>
      </c>
      <c r="J14" s="7" t="s">
        <v>1191</v>
      </c>
    </row>
    <row r="15" spans="1:10" x14ac:dyDescent="0.25" outlineLevel="1" collapsed="1">
      <c r="A15" s="7" t="s">
        <v>15</v>
      </c>
      <c r="B15" s="7" t="s">
        <v>284</v>
      </c>
      <c r="C15" s="11" t="s">
        <v>1611</v>
      </c>
      <c r="D15" s="7"/>
      <c r="E15" s="7" t="s">
        <v>1612</v>
      </c>
      <c r="F15" s="7" t="s">
        <v>19</v>
      </c>
      <c r="G15" s="7" t="s">
        <v>1613</v>
      </c>
      <c r="H15" s="7" t="s">
        <v>17</v>
      </c>
      <c r="I15" s="7" t="s">
        <v>17</v>
      </c>
      <c r="J15" s="7" t="s">
        <v>1614</v>
      </c>
    </row>
    <row r="16" spans="1:10" x14ac:dyDescent="0.25" outlineLevel="1" collapsed="1">
      <c r="A16" s="7" t="s">
        <v>19</v>
      </c>
      <c r="B16" s="7" t="s">
        <v>16</v>
      </c>
      <c r="C16" s="7" t="s">
        <v>17</v>
      </c>
      <c r="D16" s="7"/>
      <c r="E16" s="7" t="s">
        <v>1615</v>
      </c>
      <c r="F16" s="7" t="s">
        <v>19</v>
      </c>
      <c r="G16" s="7" t="s">
        <v>31</v>
      </c>
      <c r="H16" s="7" t="s">
        <v>17</v>
      </c>
      <c r="I16" s="7" t="s">
        <v>17</v>
      </c>
      <c r="J16" s="7" t="s">
        <v>1616</v>
      </c>
    </row>
  </sheetData>
  <mergeCells count="3">
    <mergeCell ref="A1:J1"/>
    <mergeCell ref="B2:J2"/>
    <mergeCell ref="B3:J3"/>
  </mergeCells>
  <dataValidations count="2">
    <dataValidation type="list" allowBlank="1" sqref="G12:I12">
      <formula1>'Enums'!C607:C608</formula1>
    </dataValidation>
    <dataValidation type="list" allowBlank="1" sqref="G15:I15">
      <formula1>'Enums'!C609:C613</formula1>
    </dataValidation>
  </dataValidations>
  <hyperlinks>
    <hyperlink ref="B5" r:id="rId1" location="#'VMR0015 A2.1 DataParameter Ava'!A1"/>
  </hyperlinks>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3426</v>
      </c>
      <c r="B1" s="1"/>
      <c r="C1" s="1"/>
      <c r="D1" s="1"/>
      <c r="E1" s="1"/>
      <c r="F1" s="1"/>
      <c r="G1" s="1"/>
      <c r="H1" s="1"/>
      <c r="I1" s="1"/>
      <c r="J1" s="1"/>
    </row>
    <row r="2" spans="1:10" x14ac:dyDescent="0.25">
      <c r="A2" s="2" t="s">
        <v>1</v>
      </c>
      <c r="B2" s="3" t="s">
        <v>3427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1597</v>
      </c>
      <c r="C5" s="5" t="s">
        <v>17</v>
      </c>
      <c r="D5" s="5"/>
      <c r="E5" s="5" t="s">
        <v>1655</v>
      </c>
      <c r="F5" s="5" t="s">
        <v>19</v>
      </c>
      <c r="G5" s="5" t="s">
        <v>17</v>
      </c>
      <c r="H5" s="5" t="s">
        <v>17</v>
      </c>
      <c r="I5" s="5" t="s">
        <v>17</v>
      </c>
      <c r="J5" s="5" t="s">
        <v>1656</v>
      </c>
    </row>
    <row r="6" spans="1:10" x14ac:dyDescent="0.25" outlineLevel="1" collapsed="1">
      <c r="A6" s="7" t="s">
        <v>15</v>
      </c>
      <c r="B6" s="7" t="s">
        <v>16</v>
      </c>
      <c r="C6" s="7" t="s">
        <v>17</v>
      </c>
      <c r="D6" s="7"/>
      <c r="E6" s="7" t="s">
        <v>1431</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1603</v>
      </c>
      <c r="F11" s="7" t="s">
        <v>19</v>
      </c>
      <c r="G11" s="7" t="s">
        <v>31</v>
      </c>
      <c r="H11" s="7" t="s">
        <v>17</v>
      </c>
      <c r="I11" s="7" t="s">
        <v>17</v>
      </c>
      <c r="J11" s="7" t="s">
        <v>1422</v>
      </c>
    </row>
    <row r="12" spans="1:10" x14ac:dyDescent="0.25" outlineLevel="1" collapsed="1">
      <c r="A12" s="7" t="s">
        <v>15</v>
      </c>
      <c r="B12" s="7" t="s">
        <v>284</v>
      </c>
      <c r="C12" s="11" t="s">
        <v>1604</v>
      </c>
      <c r="D12" s="7"/>
      <c r="E12" s="7" t="s">
        <v>1605</v>
      </c>
      <c r="F12" s="7" t="s">
        <v>19</v>
      </c>
      <c r="G12" s="7" t="s">
        <v>1606</v>
      </c>
      <c r="H12" s="7" t="s">
        <v>17</v>
      </c>
      <c r="I12" s="7" t="s">
        <v>17</v>
      </c>
      <c r="J12" s="7" t="s">
        <v>1607</v>
      </c>
    </row>
    <row r="13" spans="1:10" x14ac:dyDescent="0.25" outlineLevel="1" collapsed="1">
      <c r="A13" s="7" t="s">
        <v>19</v>
      </c>
      <c r="B13" s="7" t="s">
        <v>63</v>
      </c>
      <c r="C13" s="7" t="s">
        <v>17</v>
      </c>
      <c r="D13" s="7">
        <f>EXACT(G12,"Single value")</f>
      </c>
      <c r="E13" s="7" t="s">
        <v>1608</v>
      </c>
      <c r="F13" s="7" t="s">
        <v>19</v>
      </c>
      <c r="G13" s="7">
        <v>1</v>
      </c>
      <c r="H13" s="7" t="s">
        <v>17</v>
      </c>
      <c r="I13" s="7" t="s">
        <v>17</v>
      </c>
      <c r="J13" s="7" t="s">
        <v>1609</v>
      </c>
    </row>
    <row r="14" spans="1:10" x14ac:dyDescent="0.25" outlineLevel="1" collapsed="1">
      <c r="A14" s="7" t="s">
        <v>15</v>
      </c>
      <c r="B14" s="7" t="s">
        <v>16</v>
      </c>
      <c r="C14" s="7" t="s">
        <v>17</v>
      </c>
      <c r="D14" s="7"/>
      <c r="E14" s="7" t="s">
        <v>1610</v>
      </c>
      <c r="F14" s="7" t="s">
        <v>19</v>
      </c>
      <c r="G14" s="7" t="s">
        <v>31</v>
      </c>
      <c r="H14" s="7" t="s">
        <v>17</v>
      </c>
      <c r="I14" s="7" t="s">
        <v>17</v>
      </c>
      <c r="J14" s="7" t="s">
        <v>1191</v>
      </c>
    </row>
    <row r="15" spans="1:10" x14ac:dyDescent="0.25" outlineLevel="1" collapsed="1">
      <c r="A15" s="7" t="s">
        <v>15</v>
      </c>
      <c r="B15" s="7" t="s">
        <v>284</v>
      </c>
      <c r="C15" s="11" t="s">
        <v>1611</v>
      </c>
      <c r="D15" s="7"/>
      <c r="E15" s="7" t="s">
        <v>1612</v>
      </c>
      <c r="F15" s="7" t="s">
        <v>19</v>
      </c>
      <c r="G15" s="7" t="s">
        <v>1613</v>
      </c>
      <c r="H15" s="7" t="s">
        <v>17</v>
      </c>
      <c r="I15" s="7" t="s">
        <v>17</v>
      </c>
      <c r="J15" s="7" t="s">
        <v>1614</v>
      </c>
    </row>
    <row r="16" spans="1:10" x14ac:dyDescent="0.25" outlineLevel="1" collapsed="1">
      <c r="A16" s="7" t="s">
        <v>19</v>
      </c>
      <c r="B16" s="7" t="s">
        <v>16</v>
      </c>
      <c r="C16" s="7" t="s">
        <v>17</v>
      </c>
      <c r="D16" s="7"/>
      <c r="E16" s="7" t="s">
        <v>1615</v>
      </c>
      <c r="F16" s="7" t="s">
        <v>19</v>
      </c>
      <c r="G16" s="7" t="s">
        <v>31</v>
      </c>
      <c r="H16" s="7" t="s">
        <v>17</v>
      </c>
      <c r="I16" s="7" t="s">
        <v>17</v>
      </c>
      <c r="J16" s="7" t="s">
        <v>1616</v>
      </c>
    </row>
    <row r="17" spans="1:10" x14ac:dyDescent="0.25">
      <c r="A17" s="5" t="s">
        <v>19</v>
      </c>
      <c r="B17" s="6" t="s">
        <v>1597</v>
      </c>
      <c r="C17" s="5" t="s">
        <v>17</v>
      </c>
      <c r="D17" s="5"/>
      <c r="E17" s="5" t="s">
        <v>1657</v>
      </c>
      <c r="F17" s="5" t="s">
        <v>19</v>
      </c>
      <c r="G17" s="5" t="s">
        <v>17</v>
      </c>
      <c r="H17" s="5" t="s">
        <v>17</v>
      </c>
      <c r="I17" s="5" t="s">
        <v>17</v>
      </c>
      <c r="J17" s="5" t="s">
        <v>1658</v>
      </c>
    </row>
    <row r="18" spans="1:10" x14ac:dyDescent="0.25" outlineLevel="1" collapsed="1">
      <c r="A18" s="7" t="s">
        <v>15</v>
      </c>
      <c r="B18" s="7" t="s">
        <v>16</v>
      </c>
      <c r="C18" s="7" t="s">
        <v>17</v>
      </c>
      <c r="D18" s="7"/>
      <c r="E18" s="7" t="s">
        <v>1431</v>
      </c>
      <c r="F18" s="7" t="s">
        <v>19</v>
      </c>
      <c r="G18" s="7" t="s">
        <v>31</v>
      </c>
      <c r="H18" s="7" t="s">
        <v>17</v>
      </c>
      <c r="I18" s="7" t="s">
        <v>17</v>
      </c>
      <c r="J18" s="7" t="s">
        <v>637</v>
      </c>
    </row>
    <row r="19" spans="1:10" x14ac:dyDescent="0.25" outlineLevel="1" collapsed="1">
      <c r="A19" s="7" t="s">
        <v>15</v>
      </c>
      <c r="B19" s="7" t="s">
        <v>16</v>
      </c>
      <c r="C19" s="7" t="s">
        <v>17</v>
      </c>
      <c r="D19" s="7"/>
      <c r="E19" s="7" t="s">
        <v>638</v>
      </c>
      <c r="F19" s="7" t="s">
        <v>19</v>
      </c>
      <c r="G19" s="7" t="s">
        <v>31</v>
      </c>
      <c r="H19" s="7" t="s">
        <v>17</v>
      </c>
      <c r="I19" s="7" t="s">
        <v>17</v>
      </c>
      <c r="J19" s="7" t="s">
        <v>640</v>
      </c>
    </row>
    <row r="20" spans="1:10" x14ac:dyDescent="0.25" outlineLevel="1" collapsed="1">
      <c r="A20" s="7" t="s">
        <v>15</v>
      </c>
      <c r="B20" s="7" t="s">
        <v>16</v>
      </c>
      <c r="C20" s="7" t="s">
        <v>17</v>
      </c>
      <c r="D20" s="7"/>
      <c r="E20" s="7" t="s">
        <v>9</v>
      </c>
      <c r="F20" s="7" t="s">
        <v>19</v>
      </c>
      <c r="G20" s="7" t="s">
        <v>31</v>
      </c>
      <c r="H20" s="7" t="s">
        <v>17</v>
      </c>
      <c r="I20" s="7" t="s">
        <v>17</v>
      </c>
      <c r="J20" s="7" t="s">
        <v>843</v>
      </c>
    </row>
    <row r="21" spans="1:10" x14ac:dyDescent="0.25" outlineLevel="1" collapsed="1">
      <c r="A21" s="7" t="s">
        <v>19</v>
      </c>
      <c r="B21" s="7" t="s">
        <v>16</v>
      </c>
      <c r="C21" s="7" t="s">
        <v>17</v>
      </c>
      <c r="D21" s="7"/>
      <c r="E21" s="7" t="s">
        <v>1600</v>
      </c>
      <c r="F21" s="7" t="s">
        <v>19</v>
      </c>
      <c r="G21" s="7" t="s">
        <v>31</v>
      </c>
      <c r="H21" s="7" t="s">
        <v>17</v>
      </c>
      <c r="I21" s="7" t="s">
        <v>17</v>
      </c>
      <c r="J21" s="7" t="s">
        <v>1424</v>
      </c>
    </row>
    <row r="22" spans="1:10" x14ac:dyDescent="0.25" outlineLevel="1" collapsed="1">
      <c r="A22" s="7" t="s">
        <v>15</v>
      </c>
      <c r="B22" s="7" t="s">
        <v>16</v>
      </c>
      <c r="C22" s="7" t="s">
        <v>17</v>
      </c>
      <c r="D22" s="7"/>
      <c r="E22" s="7" t="s">
        <v>1601</v>
      </c>
      <c r="F22" s="7" t="s">
        <v>19</v>
      </c>
      <c r="G22" s="7" t="s">
        <v>31</v>
      </c>
      <c r="H22" s="7" t="s">
        <v>17</v>
      </c>
      <c r="I22" s="7" t="s">
        <v>17</v>
      </c>
      <c r="J22" s="7" t="s">
        <v>1602</v>
      </c>
    </row>
    <row r="23" spans="1:10" x14ac:dyDescent="0.25" outlineLevel="1" collapsed="1">
      <c r="A23" s="7" t="s">
        <v>15</v>
      </c>
      <c r="B23" s="7" t="s">
        <v>16</v>
      </c>
      <c r="C23" s="7" t="s">
        <v>17</v>
      </c>
      <c r="D23" s="7"/>
      <c r="E23" s="7" t="s">
        <v>1603</v>
      </c>
      <c r="F23" s="7" t="s">
        <v>19</v>
      </c>
      <c r="G23" s="7" t="s">
        <v>31</v>
      </c>
      <c r="H23" s="7" t="s">
        <v>17</v>
      </c>
      <c r="I23" s="7" t="s">
        <v>17</v>
      </c>
      <c r="J23" s="7" t="s">
        <v>1422</v>
      </c>
    </row>
    <row r="24" spans="1:10" x14ac:dyDescent="0.25" outlineLevel="1" collapsed="1">
      <c r="A24" s="7" t="s">
        <v>15</v>
      </c>
      <c r="B24" s="7" t="s">
        <v>284</v>
      </c>
      <c r="C24" s="11" t="s">
        <v>1604</v>
      </c>
      <c r="D24" s="7"/>
      <c r="E24" s="7" t="s">
        <v>1605</v>
      </c>
      <c r="F24" s="7" t="s">
        <v>19</v>
      </c>
      <c r="G24" s="7" t="s">
        <v>1606</v>
      </c>
      <c r="H24" s="7" t="s">
        <v>17</v>
      </c>
      <c r="I24" s="7" t="s">
        <v>17</v>
      </c>
      <c r="J24" s="7" t="s">
        <v>1607</v>
      </c>
    </row>
    <row r="25" spans="1:10" x14ac:dyDescent="0.25" outlineLevel="1" collapsed="1">
      <c r="A25" s="7" t="s">
        <v>19</v>
      </c>
      <c r="B25" s="7" t="s">
        <v>63</v>
      </c>
      <c r="C25" s="7" t="s">
        <v>17</v>
      </c>
      <c r="D25" s="7">
        <f>EXACT(G24,"Single value")</f>
      </c>
      <c r="E25" s="7" t="s">
        <v>1608</v>
      </c>
      <c r="F25" s="7" t="s">
        <v>19</v>
      </c>
      <c r="G25" s="7">
        <v>1</v>
      </c>
      <c r="H25" s="7" t="s">
        <v>17</v>
      </c>
      <c r="I25" s="7" t="s">
        <v>17</v>
      </c>
      <c r="J25" s="7" t="s">
        <v>1609</v>
      </c>
    </row>
    <row r="26" spans="1:10" x14ac:dyDescent="0.25" outlineLevel="1" collapsed="1">
      <c r="A26" s="7" t="s">
        <v>15</v>
      </c>
      <c r="B26" s="7" t="s">
        <v>16</v>
      </c>
      <c r="C26" s="7" t="s">
        <v>17</v>
      </c>
      <c r="D26" s="7"/>
      <c r="E26" s="7" t="s">
        <v>1610</v>
      </c>
      <c r="F26" s="7" t="s">
        <v>19</v>
      </c>
      <c r="G26" s="7" t="s">
        <v>31</v>
      </c>
      <c r="H26" s="7" t="s">
        <v>17</v>
      </c>
      <c r="I26" s="7" t="s">
        <v>17</v>
      </c>
      <c r="J26" s="7" t="s">
        <v>1191</v>
      </c>
    </row>
    <row r="27" spans="1:10" x14ac:dyDescent="0.25" outlineLevel="1" collapsed="1">
      <c r="A27" s="7" t="s">
        <v>15</v>
      </c>
      <c r="B27" s="7" t="s">
        <v>284</v>
      </c>
      <c r="C27" s="11" t="s">
        <v>1611</v>
      </c>
      <c r="D27" s="7"/>
      <c r="E27" s="7" t="s">
        <v>1612</v>
      </c>
      <c r="F27" s="7" t="s">
        <v>19</v>
      </c>
      <c r="G27" s="7" t="s">
        <v>1613</v>
      </c>
      <c r="H27" s="7" t="s">
        <v>17</v>
      </c>
      <c r="I27" s="7" t="s">
        <v>17</v>
      </c>
      <c r="J27" s="7" t="s">
        <v>1614</v>
      </c>
    </row>
    <row r="28" spans="1:10" x14ac:dyDescent="0.25" outlineLevel="1" collapsed="1">
      <c r="A28" s="7" t="s">
        <v>19</v>
      </c>
      <c r="B28" s="7" t="s">
        <v>16</v>
      </c>
      <c r="C28" s="7" t="s">
        <v>17</v>
      </c>
      <c r="D28" s="7"/>
      <c r="E28" s="7" t="s">
        <v>1615</v>
      </c>
      <c r="F28" s="7" t="s">
        <v>19</v>
      </c>
      <c r="G28" s="7" t="s">
        <v>31</v>
      </c>
      <c r="H28" s="7" t="s">
        <v>17</v>
      </c>
      <c r="I28" s="7" t="s">
        <v>17</v>
      </c>
      <c r="J28" s="7" t="s">
        <v>1616</v>
      </c>
    </row>
  </sheetData>
  <mergeCells count="3">
    <mergeCell ref="A1:J1"/>
    <mergeCell ref="B2:J2"/>
    <mergeCell ref="B3:J3"/>
  </mergeCells>
  <dataValidations count="4">
    <dataValidation type="list" allowBlank="1" sqref="G12:I12">
      <formula1>'Enums'!C607:C608</formula1>
    </dataValidation>
    <dataValidation type="list" allowBlank="1" sqref="G15:I15">
      <formula1>'Enums'!C609:C613</formula1>
    </dataValidation>
    <dataValidation type="list" allowBlank="1" sqref="G24:I24">
      <formula1>'Enums'!C607:C608</formula1>
    </dataValidation>
    <dataValidation type="list" allowBlank="1" sqref="G27:I27">
      <formula1>'Enums'!C609:C613</formula1>
    </dataValidation>
  </dataValidations>
  <hyperlinks>
    <hyperlink ref="B5" r:id="rId1" location="#'VMR0015 A2.1 DataParameter Ava'!A1"/>
    <hyperlink ref="B17" r:id="rId2" location="#'VMR0015 A2.1 DataParameter Ava'!A1"/>
  </hyperlinks>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3428</v>
      </c>
      <c r="B1" s="1"/>
      <c r="C1" s="1"/>
      <c r="D1" s="1"/>
      <c r="E1" s="1"/>
      <c r="F1" s="1"/>
      <c r="G1" s="1"/>
      <c r="H1" s="1"/>
      <c r="I1" s="1"/>
      <c r="J1" s="1"/>
    </row>
    <row r="2" spans="1:10" x14ac:dyDescent="0.25">
      <c r="A2" s="2" t="s">
        <v>1</v>
      </c>
      <c r="B2" s="3" t="s">
        <v>3429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1597</v>
      </c>
      <c r="C5" s="5" t="s">
        <v>17</v>
      </c>
      <c r="D5" s="5"/>
      <c r="E5" s="5" t="s">
        <v>1662</v>
      </c>
      <c r="F5" s="5" t="s">
        <v>19</v>
      </c>
      <c r="G5" s="5" t="s">
        <v>17</v>
      </c>
      <c r="H5" s="5" t="s">
        <v>17</v>
      </c>
      <c r="I5" s="5" t="s">
        <v>17</v>
      </c>
      <c r="J5" s="5" t="s">
        <v>1663</v>
      </c>
    </row>
    <row r="6" spans="1:10" x14ac:dyDescent="0.25" outlineLevel="1" collapsed="1">
      <c r="A6" s="7" t="s">
        <v>15</v>
      </c>
      <c r="B6" s="7" t="s">
        <v>16</v>
      </c>
      <c r="C6" s="7" t="s">
        <v>17</v>
      </c>
      <c r="D6" s="7"/>
      <c r="E6" s="7" t="s">
        <v>1431</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1603</v>
      </c>
      <c r="F11" s="7" t="s">
        <v>19</v>
      </c>
      <c r="G11" s="7" t="s">
        <v>31</v>
      </c>
      <c r="H11" s="7" t="s">
        <v>17</v>
      </c>
      <c r="I11" s="7" t="s">
        <v>17</v>
      </c>
      <c r="J11" s="7" t="s">
        <v>1422</v>
      </c>
    </row>
    <row r="12" spans="1:10" x14ac:dyDescent="0.25" outlineLevel="1" collapsed="1">
      <c r="A12" s="7" t="s">
        <v>15</v>
      </c>
      <c r="B12" s="7" t="s">
        <v>284</v>
      </c>
      <c r="C12" s="11" t="s">
        <v>1604</v>
      </c>
      <c r="D12" s="7"/>
      <c r="E12" s="7" t="s">
        <v>1605</v>
      </c>
      <c r="F12" s="7" t="s">
        <v>19</v>
      </c>
      <c r="G12" s="7" t="s">
        <v>1606</v>
      </c>
      <c r="H12" s="7" t="s">
        <v>17</v>
      </c>
      <c r="I12" s="7" t="s">
        <v>17</v>
      </c>
      <c r="J12" s="7" t="s">
        <v>1607</v>
      </c>
    </row>
    <row r="13" spans="1:10" x14ac:dyDescent="0.25" outlineLevel="1" collapsed="1">
      <c r="A13" s="7" t="s">
        <v>19</v>
      </c>
      <c r="B13" s="7" t="s">
        <v>63</v>
      </c>
      <c r="C13" s="7" t="s">
        <v>17</v>
      </c>
      <c r="D13" s="7">
        <f>EXACT(G12,"Single value")</f>
      </c>
      <c r="E13" s="7" t="s">
        <v>1608</v>
      </c>
      <c r="F13" s="7" t="s">
        <v>19</v>
      </c>
      <c r="G13" s="7">
        <v>1</v>
      </c>
      <c r="H13" s="7" t="s">
        <v>17</v>
      </c>
      <c r="I13" s="7" t="s">
        <v>17</v>
      </c>
      <c r="J13" s="7" t="s">
        <v>1609</v>
      </c>
    </row>
    <row r="14" spans="1:10" x14ac:dyDescent="0.25" outlineLevel="1" collapsed="1">
      <c r="A14" s="7" t="s">
        <v>15</v>
      </c>
      <c r="B14" s="7" t="s">
        <v>16</v>
      </c>
      <c r="C14" s="7" t="s">
        <v>17</v>
      </c>
      <c r="D14" s="7"/>
      <c r="E14" s="7" t="s">
        <v>1610</v>
      </c>
      <c r="F14" s="7" t="s">
        <v>19</v>
      </c>
      <c r="G14" s="7" t="s">
        <v>31</v>
      </c>
      <c r="H14" s="7" t="s">
        <v>17</v>
      </c>
      <c r="I14" s="7" t="s">
        <v>17</v>
      </c>
      <c r="J14" s="7" t="s">
        <v>1191</v>
      </c>
    </row>
    <row r="15" spans="1:10" x14ac:dyDescent="0.25" outlineLevel="1" collapsed="1">
      <c r="A15" s="7" t="s">
        <v>15</v>
      </c>
      <c r="B15" s="7" t="s">
        <v>284</v>
      </c>
      <c r="C15" s="11" t="s">
        <v>1611</v>
      </c>
      <c r="D15" s="7"/>
      <c r="E15" s="7" t="s">
        <v>1612</v>
      </c>
      <c r="F15" s="7" t="s">
        <v>19</v>
      </c>
      <c r="G15" s="7" t="s">
        <v>1613</v>
      </c>
      <c r="H15" s="7" t="s">
        <v>17</v>
      </c>
      <c r="I15" s="7" t="s">
        <v>17</v>
      </c>
      <c r="J15" s="7" t="s">
        <v>1614</v>
      </c>
    </row>
    <row r="16" spans="1:10" x14ac:dyDescent="0.25" outlineLevel="1" collapsed="1">
      <c r="A16" s="7" t="s">
        <v>19</v>
      </c>
      <c r="B16" s="7" t="s">
        <v>16</v>
      </c>
      <c r="C16" s="7" t="s">
        <v>17</v>
      </c>
      <c r="D16" s="7"/>
      <c r="E16" s="7" t="s">
        <v>1615</v>
      </c>
      <c r="F16" s="7" t="s">
        <v>19</v>
      </c>
      <c r="G16" s="7" t="s">
        <v>31</v>
      </c>
      <c r="H16" s="7" t="s">
        <v>17</v>
      </c>
      <c r="I16" s="7" t="s">
        <v>17</v>
      </c>
      <c r="J16" s="7" t="s">
        <v>1616</v>
      </c>
    </row>
  </sheetData>
  <mergeCells count="3">
    <mergeCell ref="A1:J1"/>
    <mergeCell ref="B2:J2"/>
    <mergeCell ref="B3:J3"/>
  </mergeCells>
  <dataValidations count="2">
    <dataValidation type="list" allowBlank="1" sqref="G12:I12">
      <formula1>'Enums'!C607:C608</formula1>
    </dataValidation>
    <dataValidation type="list" allowBlank="1" sqref="G15:I15">
      <formula1>'Enums'!C609:C613</formula1>
    </dataValidation>
  </dataValidations>
  <hyperlinks>
    <hyperlink ref="B5" r:id="rId1" location="#'VMR0015 A2.1 DataParameter Ava'!A1"/>
  </hyperlinks>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3430</v>
      </c>
      <c r="B1" s="1"/>
      <c r="C1" s="1"/>
      <c r="D1" s="1"/>
      <c r="E1" s="1"/>
      <c r="F1" s="1"/>
      <c r="G1" s="1"/>
      <c r="H1" s="1"/>
      <c r="I1" s="1"/>
      <c r="J1" s="1"/>
    </row>
    <row r="2" spans="1:10" x14ac:dyDescent="0.25">
      <c r="A2" s="2" t="s">
        <v>1</v>
      </c>
      <c r="B2" s="3" t="s">
        <v>3431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2617</v>
      </c>
      <c r="C5" s="5" t="s">
        <v>17</v>
      </c>
      <c r="D5" s="5"/>
      <c r="E5" s="5" t="s">
        <v>1668</v>
      </c>
      <c r="F5" s="5" t="s">
        <v>19</v>
      </c>
      <c r="G5" s="5" t="s">
        <v>17</v>
      </c>
      <c r="H5" s="5" t="s">
        <v>17</v>
      </c>
      <c r="I5" s="5" t="s">
        <v>17</v>
      </c>
      <c r="J5" s="5" t="s">
        <v>1669</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2618</v>
      </c>
      <c r="F13" s="7" t="s">
        <v>19</v>
      </c>
      <c r="G13" s="7" t="s">
        <v>31</v>
      </c>
      <c r="H13" s="7" t="s">
        <v>17</v>
      </c>
      <c r="I13" s="7" t="s">
        <v>17</v>
      </c>
      <c r="J13" s="7" t="s">
        <v>1422</v>
      </c>
    </row>
    <row r="14" spans="1:10" x14ac:dyDescent="0.25" outlineLevel="1" collapsed="1">
      <c r="A14" s="7" t="s">
        <v>15</v>
      </c>
      <c r="B14" s="7" t="s">
        <v>284</v>
      </c>
      <c r="C14" s="11" t="s">
        <v>2619</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2620</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2621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15</v>
      </c>
      <c r="B21" s="6" t="s">
        <v>2617</v>
      </c>
      <c r="C21" s="5" t="s">
        <v>17</v>
      </c>
      <c r="D21" s="5"/>
      <c r="E21" s="5" t="s">
        <v>1683</v>
      </c>
      <c r="F21" s="5" t="s">
        <v>19</v>
      </c>
      <c r="G21" s="5" t="s">
        <v>17</v>
      </c>
      <c r="H21" s="5" t="s">
        <v>17</v>
      </c>
      <c r="I21" s="5" t="s">
        <v>17</v>
      </c>
      <c r="J21" s="5" t="s">
        <v>1684</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2618</v>
      </c>
      <c r="F29" s="7" t="s">
        <v>19</v>
      </c>
      <c r="G29" s="7" t="s">
        <v>31</v>
      </c>
      <c r="H29" s="7" t="s">
        <v>17</v>
      </c>
      <c r="I29" s="7" t="s">
        <v>17</v>
      </c>
      <c r="J29" s="7" t="s">
        <v>1422</v>
      </c>
    </row>
    <row r="30" spans="1:10" x14ac:dyDescent="0.25" outlineLevel="1" collapsed="1">
      <c r="A30" s="7" t="s">
        <v>15</v>
      </c>
      <c r="B30" s="7" t="s">
        <v>284</v>
      </c>
      <c r="C30" s="11" t="s">
        <v>2619</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2620</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2621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15</v>
      </c>
      <c r="B37" s="6" t="s">
        <v>2617</v>
      </c>
      <c r="C37" s="5" t="s">
        <v>17</v>
      </c>
      <c r="D37" s="5"/>
      <c r="E37" s="5" t="s">
        <v>1685</v>
      </c>
      <c r="F37" s="5" t="s">
        <v>19</v>
      </c>
      <c r="G37" s="5" t="s">
        <v>17</v>
      </c>
      <c r="H37" s="5" t="s">
        <v>17</v>
      </c>
      <c r="I37" s="5" t="s">
        <v>17</v>
      </c>
      <c r="J37" s="5" t="s">
        <v>636</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2618</v>
      </c>
      <c r="F45" s="7" t="s">
        <v>19</v>
      </c>
      <c r="G45" s="7" t="s">
        <v>31</v>
      </c>
      <c r="H45" s="7" t="s">
        <v>17</v>
      </c>
      <c r="I45" s="7" t="s">
        <v>17</v>
      </c>
      <c r="J45" s="7" t="s">
        <v>1422</v>
      </c>
    </row>
    <row r="46" spans="1:10" x14ac:dyDescent="0.25" outlineLevel="1" collapsed="1">
      <c r="A46" s="7" t="s">
        <v>15</v>
      </c>
      <c r="B46" s="7" t="s">
        <v>284</v>
      </c>
      <c r="C46" s="11" t="s">
        <v>2619</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2620</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2621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15</v>
      </c>
      <c r="B53" s="6" t="s">
        <v>2617</v>
      </c>
      <c r="C53" s="5" t="s">
        <v>17</v>
      </c>
      <c r="D53" s="5"/>
      <c r="E53" s="5" t="s">
        <v>1686</v>
      </c>
      <c r="F53" s="5" t="s">
        <v>19</v>
      </c>
      <c r="G53" s="5" t="s">
        <v>17</v>
      </c>
      <c r="H53" s="5" t="s">
        <v>17</v>
      </c>
      <c r="I53" s="5" t="s">
        <v>17</v>
      </c>
      <c r="J53" s="5" t="s">
        <v>1687</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2618</v>
      </c>
      <c r="F61" s="7" t="s">
        <v>19</v>
      </c>
      <c r="G61" s="7" t="s">
        <v>31</v>
      </c>
      <c r="H61" s="7" t="s">
        <v>17</v>
      </c>
      <c r="I61" s="7" t="s">
        <v>17</v>
      </c>
      <c r="J61" s="7" t="s">
        <v>1422</v>
      </c>
    </row>
    <row r="62" spans="1:10" x14ac:dyDescent="0.25" outlineLevel="1" collapsed="1">
      <c r="A62" s="7" t="s">
        <v>15</v>
      </c>
      <c r="B62" s="7" t="s">
        <v>284</v>
      </c>
      <c r="C62" s="11" t="s">
        <v>2619</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2620</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2621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15</v>
      </c>
      <c r="B69" s="6" t="s">
        <v>2617</v>
      </c>
      <c r="C69" s="5" t="s">
        <v>17</v>
      </c>
      <c r="D69" s="5"/>
      <c r="E69" s="5" t="s">
        <v>1688</v>
      </c>
      <c r="F69" s="5" t="s">
        <v>19</v>
      </c>
      <c r="G69" s="5" t="s">
        <v>17</v>
      </c>
      <c r="H69" s="5" t="s">
        <v>17</v>
      </c>
      <c r="I69" s="5" t="s">
        <v>17</v>
      </c>
      <c r="J69" s="5" t="s">
        <v>1689</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2618</v>
      </c>
      <c r="F77" s="7" t="s">
        <v>19</v>
      </c>
      <c r="G77" s="7" t="s">
        <v>31</v>
      </c>
      <c r="H77" s="7" t="s">
        <v>17</v>
      </c>
      <c r="I77" s="7" t="s">
        <v>17</v>
      </c>
      <c r="J77" s="7" t="s">
        <v>1422</v>
      </c>
    </row>
    <row r="78" spans="1:10" x14ac:dyDescent="0.25" outlineLevel="1" collapsed="1">
      <c r="A78" s="7" t="s">
        <v>15</v>
      </c>
      <c r="B78" s="7" t="s">
        <v>284</v>
      </c>
      <c r="C78" s="11" t="s">
        <v>2619</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2620</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2621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6" t="s">
        <v>2617</v>
      </c>
      <c r="C85" s="5" t="s">
        <v>17</v>
      </c>
      <c r="D85" s="5"/>
      <c r="E85" s="5" t="s">
        <v>1690</v>
      </c>
      <c r="F85" s="5" t="s">
        <v>19</v>
      </c>
      <c r="G85" s="5" t="s">
        <v>17</v>
      </c>
      <c r="H85" s="5" t="s">
        <v>17</v>
      </c>
      <c r="I85" s="5" t="s">
        <v>17</v>
      </c>
      <c r="J85" s="5" t="s">
        <v>1691</v>
      </c>
    </row>
    <row r="86" spans="1:10" x14ac:dyDescent="0.25" outlineLevel="1" collapsed="1">
      <c r="A86" s="7" t="s">
        <v>15</v>
      </c>
      <c r="B86" s="7" t="s">
        <v>16</v>
      </c>
      <c r="C86" s="7" t="s">
        <v>17</v>
      </c>
      <c r="D86" s="7"/>
      <c r="E86" s="7" t="s">
        <v>1670</v>
      </c>
      <c r="F86" s="7" t="s">
        <v>19</v>
      </c>
      <c r="G86" s="7" t="s">
        <v>31</v>
      </c>
      <c r="H86" s="7" t="s">
        <v>17</v>
      </c>
      <c r="I86" s="7" t="s">
        <v>17</v>
      </c>
      <c r="J86" s="7" t="s">
        <v>637</v>
      </c>
    </row>
    <row r="87" spans="1:10" x14ac:dyDescent="0.25" outlineLevel="1" collapsed="1">
      <c r="A87" s="7" t="s">
        <v>15</v>
      </c>
      <c r="B87" s="7" t="s">
        <v>16</v>
      </c>
      <c r="C87" s="7" t="s">
        <v>17</v>
      </c>
      <c r="D87" s="7"/>
      <c r="E87" s="7" t="s">
        <v>638</v>
      </c>
      <c r="F87" s="7" t="s">
        <v>19</v>
      </c>
      <c r="G87" s="7" t="s">
        <v>31</v>
      </c>
      <c r="H87" s="7" t="s">
        <v>17</v>
      </c>
      <c r="I87" s="7" t="s">
        <v>17</v>
      </c>
      <c r="J87" s="7" t="s">
        <v>640</v>
      </c>
    </row>
    <row r="88" spans="1:10" x14ac:dyDescent="0.25" outlineLevel="1" collapsed="1">
      <c r="A88" s="7" t="s">
        <v>15</v>
      </c>
      <c r="B88" s="7" t="s">
        <v>16</v>
      </c>
      <c r="C88" s="7" t="s">
        <v>17</v>
      </c>
      <c r="D88" s="7"/>
      <c r="E88" s="7" t="s">
        <v>9</v>
      </c>
      <c r="F88" s="7" t="s">
        <v>19</v>
      </c>
      <c r="G88" s="7" t="s">
        <v>31</v>
      </c>
      <c r="H88" s="7" t="s">
        <v>17</v>
      </c>
      <c r="I88" s="7" t="s">
        <v>17</v>
      </c>
      <c r="J88" s="7" t="s">
        <v>843</v>
      </c>
    </row>
    <row r="89" spans="1:10" x14ac:dyDescent="0.25" outlineLevel="1" collapsed="1">
      <c r="A89" s="7" t="s">
        <v>19</v>
      </c>
      <c r="B89" s="7" t="s">
        <v>16</v>
      </c>
      <c r="C89" s="7" t="s">
        <v>17</v>
      </c>
      <c r="D89" s="7"/>
      <c r="E89" s="7" t="s">
        <v>1600</v>
      </c>
      <c r="F89" s="7" t="s">
        <v>19</v>
      </c>
      <c r="G89" s="7" t="s">
        <v>31</v>
      </c>
      <c r="H89" s="7" t="s">
        <v>17</v>
      </c>
      <c r="I89" s="7" t="s">
        <v>17</v>
      </c>
      <c r="J89" s="7" t="s">
        <v>1424</v>
      </c>
    </row>
    <row r="90" spans="1:10" x14ac:dyDescent="0.25" outlineLevel="1" collapsed="1">
      <c r="A90" s="7" t="s">
        <v>15</v>
      </c>
      <c r="B90" s="7" t="s">
        <v>16</v>
      </c>
      <c r="C90" s="7" t="s">
        <v>17</v>
      </c>
      <c r="D90" s="7"/>
      <c r="E90" s="7" t="s">
        <v>1601</v>
      </c>
      <c r="F90" s="7" t="s">
        <v>19</v>
      </c>
      <c r="G90" s="7" t="s">
        <v>31</v>
      </c>
      <c r="H90" s="7" t="s">
        <v>17</v>
      </c>
      <c r="I90" s="7" t="s">
        <v>17</v>
      </c>
      <c r="J90" s="7" t="s">
        <v>1602</v>
      </c>
    </row>
    <row r="91" spans="1:10" x14ac:dyDescent="0.25" outlineLevel="1" collapsed="1">
      <c r="A91" s="7" t="s">
        <v>15</v>
      </c>
      <c r="B91" s="7" t="s">
        <v>16</v>
      </c>
      <c r="C91" s="7" t="s">
        <v>17</v>
      </c>
      <c r="D91" s="7"/>
      <c r="E91" s="7" t="s">
        <v>1671</v>
      </c>
      <c r="F91" s="7" t="s">
        <v>19</v>
      </c>
      <c r="G91" s="7" t="s">
        <v>31</v>
      </c>
      <c r="H91" s="7" t="s">
        <v>17</v>
      </c>
      <c r="I91" s="7" t="s">
        <v>17</v>
      </c>
      <c r="J91" s="7" t="s">
        <v>1672</v>
      </c>
    </row>
    <row r="92" spans="1:10" x14ac:dyDescent="0.25" outlineLevel="1" collapsed="1">
      <c r="A92" s="7" t="s">
        <v>15</v>
      </c>
      <c r="B92" s="7" t="s">
        <v>16</v>
      </c>
      <c r="C92" s="7" t="s">
        <v>17</v>
      </c>
      <c r="D92" s="7"/>
      <c r="E92" s="7" t="s">
        <v>1673</v>
      </c>
      <c r="F92" s="7" t="s">
        <v>19</v>
      </c>
      <c r="G92" s="7" t="s">
        <v>31</v>
      </c>
      <c r="H92" s="7" t="s">
        <v>17</v>
      </c>
      <c r="I92" s="7" t="s">
        <v>17</v>
      </c>
      <c r="J92" s="7" t="s">
        <v>1674</v>
      </c>
    </row>
    <row r="93" spans="1:10" x14ac:dyDescent="0.25" outlineLevel="1" collapsed="1">
      <c r="A93" s="7" t="s">
        <v>15</v>
      </c>
      <c r="B93" s="7" t="s">
        <v>16</v>
      </c>
      <c r="C93" s="7" t="s">
        <v>17</v>
      </c>
      <c r="D93" s="7"/>
      <c r="E93" s="7" t="s">
        <v>2618</v>
      </c>
      <c r="F93" s="7" t="s">
        <v>19</v>
      </c>
      <c r="G93" s="7" t="s">
        <v>31</v>
      </c>
      <c r="H93" s="7" t="s">
        <v>17</v>
      </c>
      <c r="I93" s="7" t="s">
        <v>17</v>
      </c>
      <c r="J93" s="7" t="s">
        <v>1422</v>
      </c>
    </row>
    <row r="94" spans="1:10" x14ac:dyDescent="0.25" outlineLevel="1" collapsed="1">
      <c r="A94" s="7" t="s">
        <v>15</v>
      </c>
      <c r="B94" s="7" t="s">
        <v>284</v>
      </c>
      <c r="C94" s="11" t="s">
        <v>2619</v>
      </c>
      <c r="D94" s="7"/>
      <c r="E94" s="7" t="s">
        <v>1605</v>
      </c>
      <c r="F94" s="7" t="s">
        <v>19</v>
      </c>
      <c r="G94" s="7" t="s">
        <v>1606</v>
      </c>
      <c r="H94" s="7" t="s">
        <v>17</v>
      </c>
      <c r="I94" s="7" t="s">
        <v>17</v>
      </c>
      <c r="J94" s="7" t="s">
        <v>1607</v>
      </c>
    </row>
    <row r="95" spans="1:10" x14ac:dyDescent="0.25" outlineLevel="1" collapsed="1">
      <c r="A95" s="7" t="s">
        <v>19</v>
      </c>
      <c r="B95" s="7" t="s">
        <v>63</v>
      </c>
      <c r="C95" s="7" t="s">
        <v>17</v>
      </c>
      <c r="D95" s="7">
        <f>EXACT(G94,"Single value")</f>
      </c>
      <c r="E95" s="7" t="s">
        <v>2620</v>
      </c>
      <c r="F95" s="7" t="s">
        <v>19</v>
      </c>
      <c r="G95" s="7">
        <v>1</v>
      </c>
      <c r="H95" s="7" t="s">
        <v>17</v>
      </c>
      <c r="I95" s="7" t="s">
        <v>17</v>
      </c>
      <c r="J95" s="7" t="s">
        <v>1609</v>
      </c>
    </row>
    <row r="96" spans="1:10" x14ac:dyDescent="0.25" outlineLevel="1" collapsed="1">
      <c r="A96" s="7" t="s">
        <v>19</v>
      </c>
      <c r="B96" s="7" t="s">
        <v>16</v>
      </c>
      <c r="C96" s="7" t="s">
        <v>17</v>
      </c>
      <c r="D96" s="7"/>
      <c r="E96" s="7" t="s">
        <v>1677</v>
      </c>
      <c r="F96" s="7" t="s">
        <v>19</v>
      </c>
      <c r="G96" s="7" t="s">
        <v>31</v>
      </c>
      <c r="H96" s="7" t="s">
        <v>17</v>
      </c>
      <c r="I96" s="7" t="s">
        <v>17</v>
      </c>
      <c r="J96" s="7" t="s">
        <v>1678</v>
      </c>
    </row>
    <row r="97" spans="1:10" x14ac:dyDescent="0.25" outlineLevel="1" collapsed="1">
      <c r="A97" s="7" t="s">
        <v>15</v>
      </c>
      <c r="B97" s="7" t="s">
        <v>16</v>
      </c>
      <c r="C97" s="7" t="s">
        <v>17</v>
      </c>
      <c r="D97" s="7"/>
      <c r="E97" s="7" t="s">
        <v>1679</v>
      </c>
      <c r="F97" s="7" t="s">
        <v>19</v>
      </c>
      <c r="G97" s="7" t="s">
        <v>31</v>
      </c>
      <c r="H97" s="7" t="s">
        <v>17</v>
      </c>
      <c r="I97" s="7" t="s">
        <v>17</v>
      </c>
      <c r="J97" s="7" t="s">
        <v>1680</v>
      </c>
    </row>
    <row r="98" spans="1:10" x14ac:dyDescent="0.25" outlineLevel="1" collapsed="1">
      <c r="A98" s="7" t="s">
        <v>15</v>
      </c>
      <c r="B98" s="7" t="s">
        <v>284</v>
      </c>
      <c r="C98" s="11" t="s">
        <v>2621</v>
      </c>
      <c r="D98" s="7"/>
      <c r="E98" s="7" t="s">
        <v>1612</v>
      </c>
      <c r="F98" s="7" t="s">
        <v>19</v>
      </c>
      <c r="G98" s="7" t="s">
        <v>1613</v>
      </c>
      <c r="H98" s="7" t="s">
        <v>17</v>
      </c>
      <c r="I98" s="7" t="s">
        <v>17</v>
      </c>
      <c r="J98" s="7" t="s">
        <v>1614</v>
      </c>
    </row>
    <row r="99" spans="1:10" x14ac:dyDescent="0.25" outlineLevel="1" collapsed="1">
      <c r="A99" s="7" t="s">
        <v>19</v>
      </c>
      <c r="B99" s="7" t="s">
        <v>16</v>
      </c>
      <c r="C99" s="7" t="s">
        <v>17</v>
      </c>
      <c r="D99" s="7"/>
      <c r="E99" s="7" t="s">
        <v>1681</v>
      </c>
      <c r="F99" s="7" t="s">
        <v>19</v>
      </c>
      <c r="G99" s="7" t="s">
        <v>31</v>
      </c>
      <c r="H99" s="7" t="s">
        <v>17</v>
      </c>
      <c r="I99" s="7" t="s">
        <v>17</v>
      </c>
      <c r="J99" s="7" t="s">
        <v>1682</v>
      </c>
    </row>
    <row r="100" spans="1:10" x14ac:dyDescent="0.25" outlineLevel="1" collapsed="1">
      <c r="A100" s="7" t="s">
        <v>19</v>
      </c>
      <c r="B100" s="7" t="s">
        <v>16</v>
      </c>
      <c r="C100" s="7" t="s">
        <v>17</v>
      </c>
      <c r="D100" s="7"/>
      <c r="E100" s="7" t="s">
        <v>1615</v>
      </c>
      <c r="F100" s="7" t="s">
        <v>19</v>
      </c>
      <c r="G100" s="7" t="s">
        <v>31</v>
      </c>
      <c r="H100" s="7" t="s">
        <v>17</v>
      </c>
      <c r="I100" s="7" t="s">
        <v>17</v>
      </c>
      <c r="J100" s="7" t="s">
        <v>1616</v>
      </c>
    </row>
    <row r="101" spans="1:10" x14ac:dyDescent="0.25">
      <c r="A101" s="5" t="s">
        <v>19</v>
      </c>
      <c r="B101" s="6" t="s">
        <v>2617</v>
      </c>
      <c r="C101" s="5" t="s">
        <v>17</v>
      </c>
      <c r="D101" s="5"/>
      <c r="E101" s="5" t="s">
        <v>1692</v>
      </c>
      <c r="F101" s="5" t="s">
        <v>19</v>
      </c>
      <c r="G101" s="5" t="s">
        <v>17</v>
      </c>
      <c r="H101" s="5" t="s">
        <v>17</v>
      </c>
      <c r="I101" s="5" t="s">
        <v>17</v>
      </c>
      <c r="J101" s="5" t="s">
        <v>1693</v>
      </c>
    </row>
    <row r="102" spans="1:10" x14ac:dyDescent="0.25" outlineLevel="1" collapsed="1">
      <c r="A102" s="7" t="s">
        <v>15</v>
      </c>
      <c r="B102" s="7" t="s">
        <v>16</v>
      </c>
      <c r="C102" s="7" t="s">
        <v>17</v>
      </c>
      <c r="D102" s="7"/>
      <c r="E102" s="7" t="s">
        <v>1670</v>
      </c>
      <c r="F102" s="7" t="s">
        <v>19</v>
      </c>
      <c r="G102" s="7" t="s">
        <v>31</v>
      </c>
      <c r="H102" s="7" t="s">
        <v>17</v>
      </c>
      <c r="I102" s="7" t="s">
        <v>17</v>
      </c>
      <c r="J102" s="7" t="s">
        <v>637</v>
      </c>
    </row>
    <row r="103" spans="1:10" x14ac:dyDescent="0.25" outlineLevel="1" collapsed="1">
      <c r="A103" s="7" t="s">
        <v>15</v>
      </c>
      <c r="B103" s="7" t="s">
        <v>16</v>
      </c>
      <c r="C103" s="7" t="s">
        <v>17</v>
      </c>
      <c r="D103" s="7"/>
      <c r="E103" s="7" t="s">
        <v>638</v>
      </c>
      <c r="F103" s="7" t="s">
        <v>19</v>
      </c>
      <c r="G103" s="7" t="s">
        <v>31</v>
      </c>
      <c r="H103" s="7" t="s">
        <v>17</v>
      </c>
      <c r="I103" s="7" t="s">
        <v>17</v>
      </c>
      <c r="J103" s="7" t="s">
        <v>640</v>
      </c>
    </row>
    <row r="104" spans="1:10" x14ac:dyDescent="0.25" outlineLevel="1" collapsed="1">
      <c r="A104" s="7" t="s">
        <v>15</v>
      </c>
      <c r="B104" s="7" t="s">
        <v>16</v>
      </c>
      <c r="C104" s="7" t="s">
        <v>17</v>
      </c>
      <c r="D104" s="7"/>
      <c r="E104" s="7" t="s">
        <v>9</v>
      </c>
      <c r="F104" s="7" t="s">
        <v>19</v>
      </c>
      <c r="G104" s="7" t="s">
        <v>31</v>
      </c>
      <c r="H104" s="7" t="s">
        <v>17</v>
      </c>
      <c r="I104" s="7" t="s">
        <v>17</v>
      </c>
      <c r="J104" s="7" t="s">
        <v>843</v>
      </c>
    </row>
    <row r="105" spans="1:10" x14ac:dyDescent="0.25" outlineLevel="1" collapsed="1">
      <c r="A105" s="7" t="s">
        <v>19</v>
      </c>
      <c r="B105" s="7" t="s">
        <v>16</v>
      </c>
      <c r="C105" s="7" t="s">
        <v>17</v>
      </c>
      <c r="D105" s="7"/>
      <c r="E105" s="7" t="s">
        <v>1600</v>
      </c>
      <c r="F105" s="7" t="s">
        <v>19</v>
      </c>
      <c r="G105" s="7" t="s">
        <v>31</v>
      </c>
      <c r="H105" s="7" t="s">
        <v>17</v>
      </c>
      <c r="I105" s="7" t="s">
        <v>17</v>
      </c>
      <c r="J105" s="7" t="s">
        <v>1424</v>
      </c>
    </row>
    <row r="106" spans="1:10" x14ac:dyDescent="0.25" outlineLevel="1" collapsed="1">
      <c r="A106" s="7" t="s">
        <v>15</v>
      </c>
      <c r="B106" s="7" t="s">
        <v>16</v>
      </c>
      <c r="C106" s="7" t="s">
        <v>17</v>
      </c>
      <c r="D106" s="7"/>
      <c r="E106" s="7" t="s">
        <v>1601</v>
      </c>
      <c r="F106" s="7" t="s">
        <v>19</v>
      </c>
      <c r="G106" s="7" t="s">
        <v>31</v>
      </c>
      <c r="H106" s="7" t="s">
        <v>17</v>
      </c>
      <c r="I106" s="7" t="s">
        <v>17</v>
      </c>
      <c r="J106" s="7" t="s">
        <v>1602</v>
      </c>
    </row>
    <row r="107" spans="1:10" x14ac:dyDescent="0.25" outlineLevel="1" collapsed="1">
      <c r="A107" s="7" t="s">
        <v>15</v>
      </c>
      <c r="B107" s="7" t="s">
        <v>16</v>
      </c>
      <c r="C107" s="7" t="s">
        <v>17</v>
      </c>
      <c r="D107" s="7"/>
      <c r="E107" s="7" t="s">
        <v>1671</v>
      </c>
      <c r="F107" s="7" t="s">
        <v>19</v>
      </c>
      <c r="G107" s="7" t="s">
        <v>31</v>
      </c>
      <c r="H107" s="7" t="s">
        <v>17</v>
      </c>
      <c r="I107" s="7" t="s">
        <v>17</v>
      </c>
      <c r="J107" s="7" t="s">
        <v>1672</v>
      </c>
    </row>
    <row r="108" spans="1:10" x14ac:dyDescent="0.25" outlineLevel="1" collapsed="1">
      <c r="A108" s="7" t="s">
        <v>15</v>
      </c>
      <c r="B108" s="7" t="s">
        <v>16</v>
      </c>
      <c r="C108" s="7" t="s">
        <v>17</v>
      </c>
      <c r="D108" s="7"/>
      <c r="E108" s="7" t="s">
        <v>1673</v>
      </c>
      <c r="F108" s="7" t="s">
        <v>19</v>
      </c>
      <c r="G108" s="7" t="s">
        <v>31</v>
      </c>
      <c r="H108" s="7" t="s">
        <v>17</v>
      </c>
      <c r="I108" s="7" t="s">
        <v>17</v>
      </c>
      <c r="J108" s="7" t="s">
        <v>1674</v>
      </c>
    </row>
    <row r="109" spans="1:10" x14ac:dyDescent="0.25" outlineLevel="1" collapsed="1">
      <c r="A109" s="7" t="s">
        <v>15</v>
      </c>
      <c r="B109" s="7" t="s">
        <v>16</v>
      </c>
      <c r="C109" s="7" t="s">
        <v>17</v>
      </c>
      <c r="D109" s="7"/>
      <c r="E109" s="7" t="s">
        <v>2618</v>
      </c>
      <c r="F109" s="7" t="s">
        <v>19</v>
      </c>
      <c r="G109" s="7" t="s">
        <v>31</v>
      </c>
      <c r="H109" s="7" t="s">
        <v>17</v>
      </c>
      <c r="I109" s="7" t="s">
        <v>17</v>
      </c>
      <c r="J109" s="7" t="s">
        <v>1422</v>
      </c>
    </row>
    <row r="110" spans="1:10" x14ac:dyDescent="0.25" outlineLevel="1" collapsed="1">
      <c r="A110" s="7" t="s">
        <v>15</v>
      </c>
      <c r="B110" s="7" t="s">
        <v>284</v>
      </c>
      <c r="C110" s="11" t="s">
        <v>2619</v>
      </c>
      <c r="D110" s="7"/>
      <c r="E110" s="7" t="s">
        <v>1605</v>
      </c>
      <c r="F110" s="7" t="s">
        <v>19</v>
      </c>
      <c r="G110" s="7" t="s">
        <v>1606</v>
      </c>
      <c r="H110" s="7" t="s">
        <v>17</v>
      </c>
      <c r="I110" s="7" t="s">
        <v>17</v>
      </c>
      <c r="J110" s="7" t="s">
        <v>1607</v>
      </c>
    </row>
    <row r="111" spans="1:10" x14ac:dyDescent="0.25" outlineLevel="1" collapsed="1">
      <c r="A111" s="7" t="s">
        <v>19</v>
      </c>
      <c r="B111" s="7" t="s">
        <v>63</v>
      </c>
      <c r="C111" s="7" t="s">
        <v>17</v>
      </c>
      <c r="D111" s="7">
        <f>EXACT(G110,"Single value")</f>
      </c>
      <c r="E111" s="7" t="s">
        <v>2620</v>
      </c>
      <c r="F111" s="7" t="s">
        <v>19</v>
      </c>
      <c r="G111" s="7">
        <v>1</v>
      </c>
      <c r="H111" s="7" t="s">
        <v>17</v>
      </c>
      <c r="I111" s="7" t="s">
        <v>17</v>
      </c>
      <c r="J111" s="7" t="s">
        <v>1609</v>
      </c>
    </row>
    <row r="112" spans="1:10" x14ac:dyDescent="0.25" outlineLevel="1" collapsed="1">
      <c r="A112" s="7" t="s">
        <v>19</v>
      </c>
      <c r="B112" s="7" t="s">
        <v>16</v>
      </c>
      <c r="C112" s="7" t="s">
        <v>17</v>
      </c>
      <c r="D112" s="7"/>
      <c r="E112" s="7" t="s">
        <v>1677</v>
      </c>
      <c r="F112" s="7" t="s">
        <v>19</v>
      </c>
      <c r="G112" s="7" t="s">
        <v>31</v>
      </c>
      <c r="H112" s="7" t="s">
        <v>17</v>
      </c>
      <c r="I112" s="7" t="s">
        <v>17</v>
      </c>
      <c r="J112" s="7" t="s">
        <v>1678</v>
      </c>
    </row>
    <row r="113" spans="1:10" x14ac:dyDescent="0.25" outlineLevel="1" collapsed="1">
      <c r="A113" s="7" t="s">
        <v>15</v>
      </c>
      <c r="B113" s="7" t="s">
        <v>16</v>
      </c>
      <c r="C113" s="7" t="s">
        <v>17</v>
      </c>
      <c r="D113" s="7"/>
      <c r="E113" s="7" t="s">
        <v>1679</v>
      </c>
      <c r="F113" s="7" t="s">
        <v>19</v>
      </c>
      <c r="G113" s="7" t="s">
        <v>31</v>
      </c>
      <c r="H113" s="7" t="s">
        <v>17</v>
      </c>
      <c r="I113" s="7" t="s">
        <v>17</v>
      </c>
      <c r="J113" s="7" t="s">
        <v>1680</v>
      </c>
    </row>
    <row r="114" spans="1:10" x14ac:dyDescent="0.25" outlineLevel="1" collapsed="1">
      <c r="A114" s="7" t="s">
        <v>15</v>
      </c>
      <c r="B114" s="7" t="s">
        <v>284</v>
      </c>
      <c r="C114" s="11" t="s">
        <v>2621</v>
      </c>
      <c r="D114" s="7"/>
      <c r="E114" s="7" t="s">
        <v>1612</v>
      </c>
      <c r="F114" s="7" t="s">
        <v>19</v>
      </c>
      <c r="G114" s="7" t="s">
        <v>1613</v>
      </c>
      <c r="H114" s="7" t="s">
        <v>17</v>
      </c>
      <c r="I114" s="7" t="s">
        <v>17</v>
      </c>
      <c r="J114" s="7" t="s">
        <v>1614</v>
      </c>
    </row>
    <row r="115" spans="1:10" x14ac:dyDescent="0.25" outlineLevel="1" collapsed="1">
      <c r="A115" s="7" t="s">
        <v>19</v>
      </c>
      <c r="B115" s="7" t="s">
        <v>16</v>
      </c>
      <c r="C115" s="7" t="s">
        <v>17</v>
      </c>
      <c r="D115" s="7"/>
      <c r="E115" s="7" t="s">
        <v>1681</v>
      </c>
      <c r="F115" s="7" t="s">
        <v>19</v>
      </c>
      <c r="G115" s="7" t="s">
        <v>31</v>
      </c>
      <c r="H115" s="7" t="s">
        <v>17</v>
      </c>
      <c r="I115" s="7" t="s">
        <v>17</v>
      </c>
      <c r="J115" s="7" t="s">
        <v>1682</v>
      </c>
    </row>
    <row r="116" spans="1:10" x14ac:dyDescent="0.25" outlineLevel="1" collapsed="1">
      <c r="A116" s="7" t="s">
        <v>19</v>
      </c>
      <c r="B116" s="7" t="s">
        <v>16</v>
      </c>
      <c r="C116" s="7" t="s">
        <v>17</v>
      </c>
      <c r="D116" s="7"/>
      <c r="E116" s="7" t="s">
        <v>1615</v>
      </c>
      <c r="F116" s="7" t="s">
        <v>19</v>
      </c>
      <c r="G116" s="7" t="s">
        <v>31</v>
      </c>
      <c r="H116" s="7" t="s">
        <v>17</v>
      </c>
      <c r="I116" s="7" t="s">
        <v>17</v>
      </c>
      <c r="J116" s="7" t="s">
        <v>1616</v>
      </c>
    </row>
  </sheetData>
  <mergeCells count="3">
    <mergeCell ref="A1:J1"/>
    <mergeCell ref="B2:J2"/>
    <mergeCell ref="B3:J3"/>
  </mergeCells>
  <dataValidations count="14">
    <dataValidation type="list" allowBlank="1" sqref="G110:I110">
      <formula1>'Enums'!C587:C588</formula1>
    </dataValidation>
    <dataValidation type="list" allowBlank="1" sqref="G114:I114">
      <formula1>'Enums'!C589:C593</formula1>
    </dataValidation>
    <dataValidation type="list" allowBlank="1" sqref="G14:I14">
      <formula1>'Enums'!C587:C588</formula1>
    </dataValidation>
    <dataValidation type="list" allowBlank="1" sqref="G18:I18">
      <formula1>'Enums'!C589:C593</formula1>
    </dataValidation>
    <dataValidation type="list" allowBlank="1" sqref="G30:I30">
      <formula1>'Enums'!C587:C588</formula1>
    </dataValidation>
    <dataValidation type="list" allowBlank="1" sqref="G34:I34">
      <formula1>'Enums'!C589:C593</formula1>
    </dataValidation>
    <dataValidation type="list" allowBlank="1" sqref="G46:I46">
      <formula1>'Enums'!C587:C588</formula1>
    </dataValidation>
    <dataValidation type="list" allowBlank="1" sqref="G50:I50">
      <formula1>'Enums'!C589:C593</formula1>
    </dataValidation>
    <dataValidation type="list" allowBlank="1" sqref="G62:I62">
      <formula1>'Enums'!C587:C588</formula1>
    </dataValidation>
    <dataValidation type="list" allowBlank="1" sqref="G66:I66">
      <formula1>'Enums'!C589:C593</formula1>
    </dataValidation>
    <dataValidation type="list" allowBlank="1" sqref="G78:I78">
      <formula1>'Enums'!C587:C588</formula1>
    </dataValidation>
    <dataValidation type="list" allowBlank="1" sqref="G82:I82">
      <formula1>'Enums'!C589:C593</formula1>
    </dataValidation>
    <dataValidation type="list" allowBlank="1" sqref="G94:I94">
      <formula1>'Enums'!C587:C588</formula1>
    </dataValidation>
    <dataValidation type="list" allowBlank="1" sqref="G98:I98">
      <formula1>'Enums'!C589:C593</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5" r:id="rId6" location="#'VMR0015 A2.2 DataParameter Mon'!A1"/>
    <hyperlink ref="B101" r:id="rId7" location="#'VMR0015 A2.2 DataParameter Mon'!A1"/>
  </hyperlinks>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3432</v>
      </c>
      <c r="B1" s="1"/>
      <c r="C1" s="1"/>
      <c r="D1" s="1"/>
      <c r="E1" s="1"/>
      <c r="F1" s="1"/>
      <c r="G1" s="1"/>
      <c r="H1" s="1"/>
      <c r="I1" s="1"/>
      <c r="J1" s="1"/>
    </row>
    <row r="2" spans="1:10" x14ac:dyDescent="0.25">
      <c r="A2" s="2" t="s">
        <v>1</v>
      </c>
      <c r="B2" s="3" t="s">
        <v>3433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2617</v>
      </c>
      <c r="C5" s="5" t="s">
        <v>17</v>
      </c>
      <c r="D5" s="5"/>
      <c r="E5" s="5" t="s">
        <v>1697</v>
      </c>
      <c r="F5" s="5" t="s">
        <v>19</v>
      </c>
      <c r="G5" s="5" t="s">
        <v>17</v>
      </c>
      <c r="H5" s="5" t="s">
        <v>17</v>
      </c>
      <c r="I5" s="5" t="s">
        <v>17</v>
      </c>
      <c r="J5" s="5" t="s">
        <v>1698</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2618</v>
      </c>
      <c r="F13" s="7" t="s">
        <v>19</v>
      </c>
      <c r="G13" s="7" t="s">
        <v>31</v>
      </c>
      <c r="H13" s="7" t="s">
        <v>17</v>
      </c>
      <c r="I13" s="7" t="s">
        <v>17</v>
      </c>
      <c r="J13" s="7" t="s">
        <v>1422</v>
      </c>
    </row>
    <row r="14" spans="1:10" x14ac:dyDescent="0.25" outlineLevel="1" collapsed="1">
      <c r="A14" s="7" t="s">
        <v>15</v>
      </c>
      <c r="B14" s="7" t="s">
        <v>284</v>
      </c>
      <c r="C14" s="11" t="s">
        <v>2619</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2620</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2621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19</v>
      </c>
      <c r="B21" s="6" t="s">
        <v>2617</v>
      </c>
      <c r="C21" s="5" t="s">
        <v>17</v>
      </c>
      <c r="D21" s="5"/>
      <c r="E21" s="5" t="s">
        <v>1699</v>
      </c>
      <c r="F21" s="5" t="s">
        <v>19</v>
      </c>
      <c r="G21" s="5" t="s">
        <v>17</v>
      </c>
      <c r="H21" s="5" t="s">
        <v>17</v>
      </c>
      <c r="I21" s="5" t="s">
        <v>17</v>
      </c>
      <c r="J21" s="5" t="s">
        <v>1700</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2618</v>
      </c>
      <c r="F29" s="7" t="s">
        <v>19</v>
      </c>
      <c r="G29" s="7" t="s">
        <v>31</v>
      </c>
      <c r="H29" s="7" t="s">
        <v>17</v>
      </c>
      <c r="I29" s="7" t="s">
        <v>17</v>
      </c>
      <c r="J29" s="7" t="s">
        <v>1422</v>
      </c>
    </row>
    <row r="30" spans="1:10" x14ac:dyDescent="0.25" outlineLevel="1" collapsed="1">
      <c r="A30" s="7" t="s">
        <v>15</v>
      </c>
      <c r="B30" s="7" t="s">
        <v>284</v>
      </c>
      <c r="C30" s="11" t="s">
        <v>2619</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2620</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2621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19</v>
      </c>
      <c r="B37" s="6" t="s">
        <v>2617</v>
      </c>
      <c r="C37" s="5" t="s">
        <v>17</v>
      </c>
      <c r="D37" s="5"/>
      <c r="E37" s="5" t="s">
        <v>1701</v>
      </c>
      <c r="F37" s="5" t="s">
        <v>19</v>
      </c>
      <c r="G37" s="5" t="s">
        <v>17</v>
      </c>
      <c r="H37" s="5" t="s">
        <v>17</v>
      </c>
      <c r="I37" s="5" t="s">
        <v>17</v>
      </c>
      <c r="J37" s="5" t="s">
        <v>1702</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2618</v>
      </c>
      <c r="F45" s="7" t="s">
        <v>19</v>
      </c>
      <c r="G45" s="7" t="s">
        <v>31</v>
      </c>
      <c r="H45" s="7" t="s">
        <v>17</v>
      </c>
      <c r="I45" s="7" t="s">
        <v>17</v>
      </c>
      <c r="J45" s="7" t="s">
        <v>1422</v>
      </c>
    </row>
    <row r="46" spans="1:10" x14ac:dyDescent="0.25" outlineLevel="1" collapsed="1">
      <c r="A46" s="7" t="s">
        <v>15</v>
      </c>
      <c r="B46" s="7" t="s">
        <v>284</v>
      </c>
      <c r="C46" s="11" t="s">
        <v>2619</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2620</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2621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19</v>
      </c>
      <c r="B53" s="6" t="s">
        <v>2617</v>
      </c>
      <c r="C53" s="5" t="s">
        <v>17</v>
      </c>
      <c r="D53" s="5"/>
      <c r="E53" s="5" t="s">
        <v>1703</v>
      </c>
      <c r="F53" s="5" t="s">
        <v>19</v>
      </c>
      <c r="G53" s="5" t="s">
        <v>17</v>
      </c>
      <c r="H53" s="5" t="s">
        <v>17</v>
      </c>
      <c r="I53" s="5" t="s">
        <v>17</v>
      </c>
      <c r="J53" s="5" t="s">
        <v>1704</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2618</v>
      </c>
      <c r="F61" s="7" t="s">
        <v>19</v>
      </c>
      <c r="G61" s="7" t="s">
        <v>31</v>
      </c>
      <c r="H61" s="7" t="s">
        <v>17</v>
      </c>
      <c r="I61" s="7" t="s">
        <v>17</v>
      </c>
      <c r="J61" s="7" t="s">
        <v>1422</v>
      </c>
    </row>
    <row r="62" spans="1:10" x14ac:dyDescent="0.25" outlineLevel="1" collapsed="1">
      <c r="A62" s="7" t="s">
        <v>15</v>
      </c>
      <c r="B62" s="7" t="s">
        <v>284</v>
      </c>
      <c r="C62" s="11" t="s">
        <v>2619</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2620</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2621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19</v>
      </c>
      <c r="B69" s="6" t="s">
        <v>2617</v>
      </c>
      <c r="C69" s="5" t="s">
        <v>17</v>
      </c>
      <c r="D69" s="5"/>
      <c r="E69" s="5" t="s">
        <v>1705</v>
      </c>
      <c r="F69" s="5" t="s">
        <v>19</v>
      </c>
      <c r="G69" s="5" t="s">
        <v>17</v>
      </c>
      <c r="H69" s="5" t="s">
        <v>17</v>
      </c>
      <c r="I69" s="5" t="s">
        <v>17</v>
      </c>
      <c r="J69" s="5" t="s">
        <v>1706</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2618</v>
      </c>
      <c r="F77" s="7" t="s">
        <v>19</v>
      </c>
      <c r="G77" s="7" t="s">
        <v>31</v>
      </c>
      <c r="H77" s="7" t="s">
        <v>17</v>
      </c>
      <c r="I77" s="7" t="s">
        <v>17</v>
      </c>
      <c r="J77" s="7" t="s">
        <v>1422</v>
      </c>
    </row>
    <row r="78" spans="1:10" x14ac:dyDescent="0.25" outlineLevel="1" collapsed="1">
      <c r="A78" s="7" t="s">
        <v>15</v>
      </c>
      <c r="B78" s="7" t="s">
        <v>284</v>
      </c>
      <c r="C78" s="11" t="s">
        <v>2619</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2620</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2621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5" t="s">
        <v>284</v>
      </c>
      <c r="C85" s="10" t="s">
        <v>2623</v>
      </c>
      <c r="D85" s="5"/>
      <c r="E85" s="5" t="s">
        <v>1708</v>
      </c>
      <c r="F85" s="5" t="s">
        <v>19</v>
      </c>
      <c r="G85" s="5" t="s">
        <v>1709</v>
      </c>
      <c r="H85" s="5" t="s">
        <v>17</v>
      </c>
      <c r="I85" s="5" t="s">
        <v>17</v>
      </c>
      <c r="J85" s="5" t="s">
        <v>1710</v>
      </c>
    </row>
    <row r="86" spans="1:10" x14ac:dyDescent="0.25">
      <c r="A86" s="5" t="s">
        <v>19</v>
      </c>
      <c r="B86" s="5" t="s">
        <v>284</v>
      </c>
      <c r="C86" s="10" t="s">
        <v>2624</v>
      </c>
      <c r="D86" s="5"/>
      <c r="E86" s="5" t="s">
        <v>1712</v>
      </c>
      <c r="F86" s="5" t="s">
        <v>19</v>
      </c>
      <c r="G86" s="5" t="s">
        <v>1713</v>
      </c>
      <c r="H86" s="5" t="s">
        <v>17</v>
      </c>
      <c r="I86" s="5" t="s">
        <v>17</v>
      </c>
      <c r="J86" s="5" t="s">
        <v>1714</v>
      </c>
    </row>
    <row r="87" spans="1:10" x14ac:dyDescent="0.25">
      <c r="A87" s="5" t="s">
        <v>19</v>
      </c>
      <c r="B87" s="6" t="s">
        <v>1715</v>
      </c>
      <c r="C87" s="5" t="s">
        <v>17</v>
      </c>
      <c r="D87" s="5"/>
      <c r="E87" s="5" t="s">
        <v>1716</v>
      </c>
      <c r="F87" s="5" t="s">
        <v>15</v>
      </c>
      <c r="G87" s="5" t="s">
        <v>17</v>
      </c>
      <c r="H87" s="5" t="s">
        <v>17</v>
      </c>
      <c r="I87" s="5" t="s">
        <v>17</v>
      </c>
      <c r="J87" s="5" t="s">
        <v>1717</v>
      </c>
    </row>
    <row r="88" spans="1:10" x14ac:dyDescent="0.25" outlineLevel="1" collapsed="1">
      <c r="A88" s="7" t="s">
        <v>15</v>
      </c>
      <c r="B88" s="7" t="s">
        <v>16</v>
      </c>
      <c r="C88" s="7" t="s">
        <v>17</v>
      </c>
      <c r="D88" s="7"/>
      <c r="E88" s="7" t="s">
        <v>1718</v>
      </c>
      <c r="F88" s="7" t="s">
        <v>19</v>
      </c>
      <c r="G88" s="7" t="s">
        <v>31</v>
      </c>
      <c r="H88" s="7" t="s">
        <v>17</v>
      </c>
      <c r="I88" s="7" t="s">
        <v>17</v>
      </c>
      <c r="J88" s="7" t="s">
        <v>1719</v>
      </c>
    </row>
    <row r="89" spans="1:10" x14ac:dyDescent="0.25" outlineLevel="1" collapsed="1">
      <c r="A89" s="7" t="s">
        <v>15</v>
      </c>
      <c r="B89" s="7" t="s">
        <v>284</v>
      </c>
      <c r="C89" s="11" t="s">
        <v>1720</v>
      </c>
      <c r="D89" s="7"/>
      <c r="E89" s="7" t="s">
        <v>1721</v>
      </c>
      <c r="F89" s="7" t="s">
        <v>19</v>
      </c>
      <c r="G89" s="7" t="s">
        <v>1722</v>
      </c>
      <c r="H89" s="7" t="s">
        <v>17</v>
      </c>
      <c r="I89" s="7" t="s">
        <v>17</v>
      </c>
      <c r="J89" s="7" t="s">
        <v>1723</v>
      </c>
    </row>
    <row r="90" spans="1:10" x14ac:dyDescent="0.25" outlineLevel="1" collapsed="1">
      <c r="A90" s="7" t="s">
        <v>15</v>
      </c>
      <c r="B90" s="7" t="s">
        <v>16</v>
      </c>
      <c r="C90" s="7" t="s">
        <v>17</v>
      </c>
      <c r="D90" s="7"/>
      <c r="E90" s="7" t="s">
        <v>1724</v>
      </c>
      <c r="F90" s="7" t="s">
        <v>19</v>
      </c>
      <c r="G90" s="7" t="s">
        <v>31</v>
      </c>
      <c r="H90" s="7" t="s">
        <v>17</v>
      </c>
      <c r="I90" s="7" t="s">
        <v>17</v>
      </c>
      <c r="J90" s="7" t="s">
        <v>1725</v>
      </c>
    </row>
    <row r="91" spans="1:10" x14ac:dyDescent="0.25" outlineLevel="1" collapsed="1">
      <c r="A91" s="7" t="s">
        <v>15</v>
      </c>
      <c r="B91" s="7" t="s">
        <v>284</v>
      </c>
      <c r="C91" s="11" t="s">
        <v>1726</v>
      </c>
      <c r="D91" s="7"/>
      <c r="E91" s="7" t="s">
        <v>1727</v>
      </c>
      <c r="F91" s="7" t="s">
        <v>19</v>
      </c>
      <c r="G91" s="7" t="s">
        <v>1709</v>
      </c>
      <c r="H91" s="7" t="s">
        <v>17</v>
      </c>
      <c r="I91" s="7" t="s">
        <v>17</v>
      </c>
      <c r="J91" s="7" t="s">
        <v>1710</v>
      </c>
    </row>
    <row r="92" spans="1:10" x14ac:dyDescent="0.25" outlineLevel="1" collapsed="1">
      <c r="A92" s="7" t="s">
        <v>15</v>
      </c>
      <c r="B92" s="7" t="s">
        <v>284</v>
      </c>
      <c r="C92" s="11" t="s">
        <v>1728</v>
      </c>
      <c r="D92" s="7"/>
      <c r="E92" s="7" t="s">
        <v>1729</v>
      </c>
      <c r="F92" s="7" t="s">
        <v>19</v>
      </c>
      <c r="G92" s="7" t="s">
        <v>1713</v>
      </c>
      <c r="H92" s="7" t="s">
        <v>17</v>
      </c>
      <c r="I92" s="7" t="s">
        <v>17</v>
      </c>
      <c r="J92" s="7" t="s">
        <v>1714</v>
      </c>
    </row>
    <row r="93" spans="1:10" x14ac:dyDescent="0.25" outlineLevel="1" collapsed="1">
      <c r="A93" s="7" t="s">
        <v>15</v>
      </c>
      <c r="B93" s="7" t="s">
        <v>63</v>
      </c>
      <c r="C93" s="7" t="s">
        <v>17</v>
      </c>
      <c r="D93" s="7"/>
      <c r="E93" s="7" t="s">
        <v>1730</v>
      </c>
      <c r="F93" s="7" t="s">
        <v>19</v>
      </c>
      <c r="G93" s="7">
        <v>1</v>
      </c>
      <c r="H93" s="7" t="s">
        <v>17</v>
      </c>
      <c r="I93" s="7" t="s">
        <v>17</v>
      </c>
      <c r="J93" s="7" t="s">
        <v>1698</v>
      </c>
    </row>
    <row r="94" spans="1:10" x14ac:dyDescent="0.25" outlineLevel="1" collapsed="1">
      <c r="A94" s="7" t="s">
        <v>19</v>
      </c>
      <c r="B94" s="7" t="s">
        <v>63</v>
      </c>
      <c r="C94" s="7" t="s">
        <v>17</v>
      </c>
      <c r="D94" s="7"/>
      <c r="E94" s="7" t="s">
        <v>1731</v>
      </c>
      <c r="F94" s="7" t="s">
        <v>19</v>
      </c>
      <c r="G94" s="7">
        <v>1</v>
      </c>
      <c r="H94" s="7" t="s">
        <v>17</v>
      </c>
      <c r="I94" s="7" t="s">
        <v>17</v>
      </c>
      <c r="J94" s="7" t="s">
        <v>1700</v>
      </c>
    </row>
    <row r="95" spans="1:10" x14ac:dyDescent="0.25" outlineLevel="1" collapsed="1">
      <c r="A95" s="7" t="s">
        <v>19</v>
      </c>
      <c r="B95" s="7" t="s">
        <v>63</v>
      </c>
      <c r="C95" s="7" t="s">
        <v>17</v>
      </c>
      <c r="D95" s="7"/>
      <c r="E95" s="7" t="s">
        <v>1732</v>
      </c>
      <c r="F95" s="7" t="s">
        <v>19</v>
      </c>
      <c r="G95" s="7">
        <v>1</v>
      </c>
      <c r="H95" s="7" t="s">
        <v>17</v>
      </c>
      <c r="I95" s="7" t="s">
        <v>17</v>
      </c>
      <c r="J95" s="7" t="s">
        <v>1702</v>
      </c>
    </row>
    <row r="96" spans="1:10" x14ac:dyDescent="0.25" outlineLevel="1" collapsed="1">
      <c r="A96" s="7" t="s">
        <v>19</v>
      </c>
      <c r="B96" s="7" t="s">
        <v>63</v>
      </c>
      <c r="C96" s="7" t="s">
        <v>17</v>
      </c>
      <c r="D96" s="7"/>
      <c r="E96" s="7" t="s">
        <v>1733</v>
      </c>
      <c r="F96" s="7" t="s">
        <v>19</v>
      </c>
      <c r="G96" s="7">
        <v>1</v>
      </c>
      <c r="H96" s="7" t="s">
        <v>17</v>
      </c>
      <c r="I96" s="7" t="s">
        <v>17</v>
      </c>
      <c r="J96" s="7" t="s">
        <v>1704</v>
      </c>
    </row>
    <row r="97" spans="1:10" x14ac:dyDescent="0.25" outlineLevel="1" collapsed="1">
      <c r="A97" s="7" t="s">
        <v>19</v>
      </c>
      <c r="B97" s="7" t="s">
        <v>63</v>
      </c>
      <c r="C97" s="7" t="s">
        <v>17</v>
      </c>
      <c r="D97" s="7"/>
      <c r="E97" s="7" t="s">
        <v>1734</v>
      </c>
      <c r="F97" s="7" t="s">
        <v>19</v>
      </c>
      <c r="G97" s="7">
        <v>1</v>
      </c>
      <c r="H97" s="7" t="s">
        <v>17</v>
      </c>
      <c r="I97" s="7" t="s">
        <v>17</v>
      </c>
      <c r="J97" s="7" t="s">
        <v>1706</v>
      </c>
    </row>
  </sheetData>
  <mergeCells count="3">
    <mergeCell ref="A1:J1"/>
    <mergeCell ref="B2:J2"/>
    <mergeCell ref="B3:J3"/>
  </mergeCells>
  <dataValidations count="15">
    <dataValidation type="list" allowBlank="1" sqref="G14:I14">
      <formula1>'Enums'!C587:C588</formula1>
    </dataValidation>
    <dataValidation type="list" allowBlank="1" sqref="G18:I18">
      <formula1>'Enums'!C589:C593</formula1>
    </dataValidation>
    <dataValidation type="list" allowBlank="1" sqref="G30:I30">
      <formula1>'Enums'!C587:C588</formula1>
    </dataValidation>
    <dataValidation type="list" allowBlank="1" sqref="G34:I34">
      <formula1>'Enums'!C589:C593</formula1>
    </dataValidation>
    <dataValidation type="list" allowBlank="1" sqref="G46:I46">
      <formula1>'Enums'!C587:C588</formula1>
    </dataValidation>
    <dataValidation type="list" allowBlank="1" sqref="G50:I50">
      <formula1>'Enums'!C589:C593</formula1>
    </dataValidation>
    <dataValidation type="list" allowBlank="1" sqref="G62:I62">
      <formula1>'Enums'!C587:C588</formula1>
    </dataValidation>
    <dataValidation type="list" allowBlank="1" sqref="G66:I66">
      <formula1>'Enums'!C589:C593</formula1>
    </dataValidation>
    <dataValidation type="list" allowBlank="1" sqref="G78:I78">
      <formula1>'Enums'!C587:C588</formula1>
    </dataValidation>
    <dataValidation type="list" allowBlank="1" sqref="G82:I82">
      <formula1>'Enums'!C589:C593</formula1>
    </dataValidation>
    <dataValidation type="list" allowBlank="1" sqref="G85:I85">
      <formula1>'Enums'!C596:C597</formula1>
    </dataValidation>
    <dataValidation type="list" allowBlank="1" sqref="G86:I86">
      <formula1>'Enums'!C598:C599</formula1>
    </dataValidation>
    <dataValidation type="list" allowBlank="1" sqref="G89:I89">
      <formula1>'Enums'!C813:C815</formula1>
    </dataValidation>
    <dataValidation type="list" allowBlank="1" sqref="G91:I91">
      <formula1>'Enums'!C816:C817</formula1>
    </dataValidation>
    <dataValidation type="list" allowBlank="1" sqref="G92:I92">
      <formula1>'Enums'!C818:C819</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7" r:id="rId6" location="#'TOOL03 fuel combustion row (fu'!A1"/>
  </hyperlinks>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3434</v>
      </c>
      <c r="B1" s="1"/>
      <c r="C1" s="1"/>
      <c r="D1" s="1"/>
      <c r="E1" s="1"/>
      <c r="F1" s="1"/>
      <c r="G1" s="1"/>
      <c r="H1" s="1"/>
      <c r="I1" s="1"/>
      <c r="J1" s="1"/>
    </row>
    <row r="2" spans="1:10" x14ac:dyDescent="0.25">
      <c r="A2" s="2" t="s">
        <v>1</v>
      </c>
      <c r="B2" s="3" t="s">
        <v>3435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2617</v>
      </c>
      <c r="C5" s="5" t="s">
        <v>17</v>
      </c>
      <c r="D5" s="5"/>
      <c r="E5" s="5" t="s">
        <v>1738</v>
      </c>
      <c r="F5" s="5" t="s">
        <v>19</v>
      </c>
      <c r="G5" s="5" t="s">
        <v>17</v>
      </c>
      <c r="H5" s="5" t="s">
        <v>17</v>
      </c>
      <c r="I5" s="5" t="s">
        <v>17</v>
      </c>
      <c r="J5" s="5" t="s">
        <v>1739</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2618</v>
      </c>
      <c r="F13" s="7" t="s">
        <v>19</v>
      </c>
      <c r="G13" s="7" t="s">
        <v>31</v>
      </c>
      <c r="H13" s="7" t="s">
        <v>17</v>
      </c>
      <c r="I13" s="7" t="s">
        <v>17</v>
      </c>
      <c r="J13" s="7" t="s">
        <v>1422</v>
      </c>
    </row>
    <row r="14" spans="1:10" x14ac:dyDescent="0.25" outlineLevel="1" collapsed="1">
      <c r="A14" s="7" t="s">
        <v>15</v>
      </c>
      <c r="B14" s="7" t="s">
        <v>284</v>
      </c>
      <c r="C14" s="11" t="s">
        <v>2619</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2620</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2621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19</v>
      </c>
      <c r="B21" s="6" t="s">
        <v>2617</v>
      </c>
      <c r="C21" s="5" t="s">
        <v>17</v>
      </c>
      <c r="D21" s="5"/>
      <c r="E21" s="5" t="s">
        <v>1740</v>
      </c>
      <c r="F21" s="5" t="s">
        <v>19</v>
      </c>
      <c r="G21" s="5" t="s">
        <v>17</v>
      </c>
      <c r="H21" s="5" t="s">
        <v>17</v>
      </c>
      <c r="I21" s="5" t="s">
        <v>17</v>
      </c>
      <c r="J21" s="5" t="s">
        <v>1741</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2618</v>
      </c>
      <c r="F29" s="7" t="s">
        <v>19</v>
      </c>
      <c r="G29" s="7" t="s">
        <v>31</v>
      </c>
      <c r="H29" s="7" t="s">
        <v>17</v>
      </c>
      <c r="I29" s="7" t="s">
        <v>17</v>
      </c>
      <c r="J29" s="7" t="s">
        <v>1422</v>
      </c>
    </row>
    <row r="30" spans="1:10" x14ac:dyDescent="0.25" outlineLevel="1" collapsed="1">
      <c r="A30" s="7" t="s">
        <v>15</v>
      </c>
      <c r="B30" s="7" t="s">
        <v>284</v>
      </c>
      <c r="C30" s="11" t="s">
        <v>2619</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2620</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2621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19</v>
      </c>
      <c r="B37" s="6" t="s">
        <v>2617</v>
      </c>
      <c r="C37" s="5" t="s">
        <v>17</v>
      </c>
      <c r="D37" s="5"/>
      <c r="E37" s="5" t="s">
        <v>1742</v>
      </c>
      <c r="F37" s="5" t="s">
        <v>19</v>
      </c>
      <c r="G37" s="5" t="s">
        <v>17</v>
      </c>
      <c r="H37" s="5" t="s">
        <v>17</v>
      </c>
      <c r="I37" s="5" t="s">
        <v>17</v>
      </c>
      <c r="J37" s="5" t="s">
        <v>1743</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2618</v>
      </c>
      <c r="F45" s="7" t="s">
        <v>19</v>
      </c>
      <c r="G45" s="7" t="s">
        <v>31</v>
      </c>
      <c r="H45" s="7" t="s">
        <v>17</v>
      </c>
      <c r="I45" s="7" t="s">
        <v>17</v>
      </c>
      <c r="J45" s="7" t="s">
        <v>1422</v>
      </c>
    </row>
    <row r="46" spans="1:10" x14ac:dyDescent="0.25" outlineLevel="1" collapsed="1">
      <c r="A46" s="7" t="s">
        <v>15</v>
      </c>
      <c r="B46" s="7" t="s">
        <v>284</v>
      </c>
      <c r="C46" s="11" t="s">
        <v>2619</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2620</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2621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19</v>
      </c>
      <c r="B53" s="6" t="s">
        <v>2617</v>
      </c>
      <c r="C53" s="5" t="s">
        <v>17</v>
      </c>
      <c r="D53" s="5"/>
      <c r="E53" s="5" t="s">
        <v>1744</v>
      </c>
      <c r="F53" s="5" t="s">
        <v>19</v>
      </c>
      <c r="G53" s="5" t="s">
        <v>17</v>
      </c>
      <c r="H53" s="5" t="s">
        <v>17</v>
      </c>
      <c r="I53" s="5" t="s">
        <v>17</v>
      </c>
      <c r="J53" s="5" t="s">
        <v>1745</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2618</v>
      </c>
      <c r="F61" s="7" t="s">
        <v>19</v>
      </c>
      <c r="G61" s="7" t="s">
        <v>31</v>
      </c>
      <c r="H61" s="7" t="s">
        <v>17</v>
      </c>
      <c r="I61" s="7" t="s">
        <v>17</v>
      </c>
      <c r="J61" s="7" t="s">
        <v>1422</v>
      </c>
    </row>
    <row r="62" spans="1:10" x14ac:dyDescent="0.25" outlineLevel="1" collapsed="1">
      <c r="A62" s="7" t="s">
        <v>15</v>
      </c>
      <c r="B62" s="7" t="s">
        <v>284</v>
      </c>
      <c r="C62" s="11" t="s">
        <v>2619</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2620</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2621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19</v>
      </c>
      <c r="B69" s="6" t="s">
        <v>2617</v>
      </c>
      <c r="C69" s="5" t="s">
        <v>17</v>
      </c>
      <c r="D69" s="5"/>
      <c r="E69" s="5" t="s">
        <v>1746</v>
      </c>
      <c r="F69" s="5" t="s">
        <v>19</v>
      </c>
      <c r="G69" s="5" t="s">
        <v>17</v>
      </c>
      <c r="H69" s="5" t="s">
        <v>17</v>
      </c>
      <c r="I69" s="5" t="s">
        <v>17</v>
      </c>
      <c r="J69" s="5" t="s">
        <v>1747</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2618</v>
      </c>
      <c r="F77" s="7" t="s">
        <v>19</v>
      </c>
      <c r="G77" s="7" t="s">
        <v>31</v>
      </c>
      <c r="H77" s="7" t="s">
        <v>17</v>
      </c>
      <c r="I77" s="7" t="s">
        <v>17</v>
      </c>
      <c r="J77" s="7" t="s">
        <v>1422</v>
      </c>
    </row>
    <row r="78" spans="1:10" x14ac:dyDescent="0.25" outlineLevel="1" collapsed="1">
      <c r="A78" s="7" t="s">
        <v>15</v>
      </c>
      <c r="B78" s="7" t="s">
        <v>284</v>
      </c>
      <c r="C78" s="11" t="s">
        <v>2619</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2620</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2621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6" t="s">
        <v>2617</v>
      </c>
      <c r="C85" s="5" t="s">
        <v>17</v>
      </c>
      <c r="D85" s="5"/>
      <c r="E85" s="5" t="s">
        <v>1748</v>
      </c>
      <c r="F85" s="5" t="s">
        <v>19</v>
      </c>
      <c r="G85" s="5" t="s">
        <v>17</v>
      </c>
      <c r="H85" s="5" t="s">
        <v>17</v>
      </c>
      <c r="I85" s="5" t="s">
        <v>17</v>
      </c>
      <c r="J85" s="5" t="s">
        <v>1749</v>
      </c>
    </row>
    <row r="86" spans="1:10" x14ac:dyDescent="0.25" outlineLevel="1" collapsed="1">
      <c r="A86" s="7" t="s">
        <v>15</v>
      </c>
      <c r="B86" s="7" t="s">
        <v>16</v>
      </c>
      <c r="C86" s="7" t="s">
        <v>17</v>
      </c>
      <c r="D86" s="7"/>
      <c r="E86" s="7" t="s">
        <v>1670</v>
      </c>
      <c r="F86" s="7" t="s">
        <v>19</v>
      </c>
      <c r="G86" s="7" t="s">
        <v>31</v>
      </c>
      <c r="H86" s="7" t="s">
        <v>17</v>
      </c>
      <c r="I86" s="7" t="s">
        <v>17</v>
      </c>
      <c r="J86" s="7" t="s">
        <v>637</v>
      </c>
    </row>
    <row r="87" spans="1:10" x14ac:dyDescent="0.25" outlineLevel="1" collapsed="1">
      <c r="A87" s="7" t="s">
        <v>15</v>
      </c>
      <c r="B87" s="7" t="s">
        <v>16</v>
      </c>
      <c r="C87" s="7" t="s">
        <v>17</v>
      </c>
      <c r="D87" s="7"/>
      <c r="E87" s="7" t="s">
        <v>638</v>
      </c>
      <c r="F87" s="7" t="s">
        <v>19</v>
      </c>
      <c r="G87" s="7" t="s">
        <v>31</v>
      </c>
      <c r="H87" s="7" t="s">
        <v>17</v>
      </c>
      <c r="I87" s="7" t="s">
        <v>17</v>
      </c>
      <c r="J87" s="7" t="s">
        <v>640</v>
      </c>
    </row>
    <row r="88" spans="1:10" x14ac:dyDescent="0.25" outlineLevel="1" collapsed="1">
      <c r="A88" s="7" t="s">
        <v>15</v>
      </c>
      <c r="B88" s="7" t="s">
        <v>16</v>
      </c>
      <c r="C88" s="7" t="s">
        <v>17</v>
      </c>
      <c r="D88" s="7"/>
      <c r="E88" s="7" t="s">
        <v>9</v>
      </c>
      <c r="F88" s="7" t="s">
        <v>19</v>
      </c>
      <c r="G88" s="7" t="s">
        <v>31</v>
      </c>
      <c r="H88" s="7" t="s">
        <v>17</v>
      </c>
      <c r="I88" s="7" t="s">
        <v>17</v>
      </c>
      <c r="J88" s="7" t="s">
        <v>843</v>
      </c>
    </row>
    <row r="89" spans="1:10" x14ac:dyDescent="0.25" outlineLevel="1" collapsed="1">
      <c r="A89" s="7" t="s">
        <v>19</v>
      </c>
      <c r="B89" s="7" t="s">
        <v>16</v>
      </c>
      <c r="C89" s="7" t="s">
        <v>17</v>
      </c>
      <c r="D89" s="7"/>
      <c r="E89" s="7" t="s">
        <v>1600</v>
      </c>
      <c r="F89" s="7" t="s">
        <v>19</v>
      </c>
      <c r="G89" s="7" t="s">
        <v>31</v>
      </c>
      <c r="H89" s="7" t="s">
        <v>17</v>
      </c>
      <c r="I89" s="7" t="s">
        <v>17</v>
      </c>
      <c r="J89" s="7" t="s">
        <v>1424</v>
      </c>
    </row>
    <row r="90" spans="1:10" x14ac:dyDescent="0.25" outlineLevel="1" collapsed="1">
      <c r="A90" s="7" t="s">
        <v>15</v>
      </c>
      <c r="B90" s="7" t="s">
        <v>16</v>
      </c>
      <c r="C90" s="7" t="s">
        <v>17</v>
      </c>
      <c r="D90" s="7"/>
      <c r="E90" s="7" t="s">
        <v>1601</v>
      </c>
      <c r="F90" s="7" t="s">
        <v>19</v>
      </c>
      <c r="G90" s="7" t="s">
        <v>31</v>
      </c>
      <c r="H90" s="7" t="s">
        <v>17</v>
      </c>
      <c r="I90" s="7" t="s">
        <v>17</v>
      </c>
      <c r="J90" s="7" t="s">
        <v>1602</v>
      </c>
    </row>
    <row r="91" spans="1:10" x14ac:dyDescent="0.25" outlineLevel="1" collapsed="1">
      <c r="A91" s="7" t="s">
        <v>15</v>
      </c>
      <c r="B91" s="7" t="s">
        <v>16</v>
      </c>
      <c r="C91" s="7" t="s">
        <v>17</v>
      </c>
      <c r="D91" s="7"/>
      <c r="E91" s="7" t="s">
        <v>1671</v>
      </c>
      <c r="F91" s="7" t="s">
        <v>19</v>
      </c>
      <c r="G91" s="7" t="s">
        <v>31</v>
      </c>
      <c r="H91" s="7" t="s">
        <v>17</v>
      </c>
      <c r="I91" s="7" t="s">
        <v>17</v>
      </c>
      <c r="J91" s="7" t="s">
        <v>1672</v>
      </c>
    </row>
    <row r="92" spans="1:10" x14ac:dyDescent="0.25" outlineLevel="1" collapsed="1">
      <c r="A92" s="7" t="s">
        <v>15</v>
      </c>
      <c r="B92" s="7" t="s">
        <v>16</v>
      </c>
      <c r="C92" s="7" t="s">
        <v>17</v>
      </c>
      <c r="D92" s="7"/>
      <c r="E92" s="7" t="s">
        <v>1673</v>
      </c>
      <c r="F92" s="7" t="s">
        <v>19</v>
      </c>
      <c r="G92" s="7" t="s">
        <v>31</v>
      </c>
      <c r="H92" s="7" t="s">
        <v>17</v>
      </c>
      <c r="I92" s="7" t="s">
        <v>17</v>
      </c>
      <c r="J92" s="7" t="s">
        <v>1674</v>
      </c>
    </row>
    <row r="93" spans="1:10" x14ac:dyDescent="0.25" outlineLevel="1" collapsed="1">
      <c r="A93" s="7" t="s">
        <v>15</v>
      </c>
      <c r="B93" s="7" t="s">
        <v>16</v>
      </c>
      <c r="C93" s="7" t="s">
        <v>17</v>
      </c>
      <c r="D93" s="7"/>
      <c r="E93" s="7" t="s">
        <v>2618</v>
      </c>
      <c r="F93" s="7" t="s">
        <v>19</v>
      </c>
      <c r="G93" s="7" t="s">
        <v>31</v>
      </c>
      <c r="H93" s="7" t="s">
        <v>17</v>
      </c>
      <c r="I93" s="7" t="s">
        <v>17</v>
      </c>
      <c r="J93" s="7" t="s">
        <v>1422</v>
      </c>
    </row>
    <row r="94" spans="1:10" x14ac:dyDescent="0.25" outlineLevel="1" collapsed="1">
      <c r="A94" s="7" t="s">
        <v>15</v>
      </c>
      <c r="B94" s="7" t="s">
        <v>284</v>
      </c>
      <c r="C94" s="11" t="s">
        <v>2619</v>
      </c>
      <c r="D94" s="7"/>
      <c r="E94" s="7" t="s">
        <v>1605</v>
      </c>
      <c r="F94" s="7" t="s">
        <v>19</v>
      </c>
      <c r="G94" s="7" t="s">
        <v>1606</v>
      </c>
      <c r="H94" s="7" t="s">
        <v>17</v>
      </c>
      <c r="I94" s="7" t="s">
        <v>17</v>
      </c>
      <c r="J94" s="7" t="s">
        <v>1607</v>
      </c>
    </row>
    <row r="95" spans="1:10" x14ac:dyDescent="0.25" outlineLevel="1" collapsed="1">
      <c r="A95" s="7" t="s">
        <v>19</v>
      </c>
      <c r="B95" s="7" t="s">
        <v>63</v>
      </c>
      <c r="C95" s="7" t="s">
        <v>17</v>
      </c>
      <c r="D95" s="7">
        <f>EXACT(G94,"Single value")</f>
      </c>
      <c r="E95" s="7" t="s">
        <v>2620</v>
      </c>
      <c r="F95" s="7" t="s">
        <v>19</v>
      </c>
      <c r="G95" s="7">
        <v>1</v>
      </c>
      <c r="H95" s="7" t="s">
        <v>17</v>
      </c>
      <c r="I95" s="7" t="s">
        <v>17</v>
      </c>
      <c r="J95" s="7" t="s">
        <v>1609</v>
      </c>
    </row>
    <row r="96" spans="1:10" x14ac:dyDescent="0.25" outlineLevel="1" collapsed="1">
      <c r="A96" s="7" t="s">
        <v>19</v>
      </c>
      <c r="B96" s="7" t="s">
        <v>16</v>
      </c>
      <c r="C96" s="7" t="s">
        <v>17</v>
      </c>
      <c r="D96" s="7"/>
      <c r="E96" s="7" t="s">
        <v>1677</v>
      </c>
      <c r="F96" s="7" t="s">
        <v>19</v>
      </c>
      <c r="G96" s="7" t="s">
        <v>31</v>
      </c>
      <c r="H96" s="7" t="s">
        <v>17</v>
      </c>
      <c r="I96" s="7" t="s">
        <v>17</v>
      </c>
      <c r="J96" s="7" t="s">
        <v>1678</v>
      </c>
    </row>
    <row r="97" spans="1:10" x14ac:dyDescent="0.25" outlineLevel="1" collapsed="1">
      <c r="A97" s="7" t="s">
        <v>15</v>
      </c>
      <c r="B97" s="7" t="s">
        <v>16</v>
      </c>
      <c r="C97" s="7" t="s">
        <v>17</v>
      </c>
      <c r="D97" s="7"/>
      <c r="E97" s="7" t="s">
        <v>1679</v>
      </c>
      <c r="F97" s="7" t="s">
        <v>19</v>
      </c>
      <c r="G97" s="7" t="s">
        <v>31</v>
      </c>
      <c r="H97" s="7" t="s">
        <v>17</v>
      </c>
      <c r="I97" s="7" t="s">
        <v>17</v>
      </c>
      <c r="J97" s="7" t="s">
        <v>1680</v>
      </c>
    </row>
    <row r="98" spans="1:10" x14ac:dyDescent="0.25" outlineLevel="1" collapsed="1">
      <c r="A98" s="7" t="s">
        <v>15</v>
      </c>
      <c r="B98" s="7" t="s">
        <v>284</v>
      </c>
      <c r="C98" s="11" t="s">
        <v>2621</v>
      </c>
      <c r="D98" s="7"/>
      <c r="E98" s="7" t="s">
        <v>1612</v>
      </c>
      <c r="F98" s="7" t="s">
        <v>19</v>
      </c>
      <c r="G98" s="7" t="s">
        <v>1613</v>
      </c>
      <c r="H98" s="7" t="s">
        <v>17</v>
      </c>
      <c r="I98" s="7" t="s">
        <v>17</v>
      </c>
      <c r="J98" s="7" t="s">
        <v>1614</v>
      </c>
    </row>
    <row r="99" spans="1:10" x14ac:dyDescent="0.25" outlineLevel="1" collapsed="1">
      <c r="A99" s="7" t="s">
        <v>19</v>
      </c>
      <c r="B99" s="7" t="s">
        <v>16</v>
      </c>
      <c r="C99" s="7" t="s">
        <v>17</v>
      </c>
      <c r="D99" s="7"/>
      <c r="E99" s="7" t="s">
        <v>1681</v>
      </c>
      <c r="F99" s="7" t="s">
        <v>19</v>
      </c>
      <c r="G99" s="7" t="s">
        <v>31</v>
      </c>
      <c r="H99" s="7" t="s">
        <v>17</v>
      </c>
      <c r="I99" s="7" t="s">
        <v>17</v>
      </c>
      <c r="J99" s="7" t="s">
        <v>1682</v>
      </c>
    </row>
    <row r="100" spans="1:10" x14ac:dyDescent="0.25" outlineLevel="1" collapsed="1">
      <c r="A100" s="7" t="s">
        <v>19</v>
      </c>
      <c r="B100" s="7" t="s">
        <v>16</v>
      </c>
      <c r="C100" s="7" t="s">
        <v>17</v>
      </c>
      <c r="D100" s="7"/>
      <c r="E100" s="7" t="s">
        <v>1615</v>
      </c>
      <c r="F100" s="7" t="s">
        <v>19</v>
      </c>
      <c r="G100" s="7" t="s">
        <v>31</v>
      </c>
      <c r="H100" s="7" t="s">
        <v>17</v>
      </c>
      <c r="I100" s="7" t="s">
        <v>17</v>
      </c>
      <c r="J100" s="7" t="s">
        <v>1616</v>
      </c>
    </row>
    <row r="101" spans="1:10" x14ac:dyDescent="0.25">
      <c r="A101" s="5" t="s">
        <v>19</v>
      </c>
      <c r="B101" s="6" t="s">
        <v>2617</v>
      </c>
      <c r="C101" s="5" t="s">
        <v>17</v>
      </c>
      <c r="D101" s="5"/>
      <c r="E101" s="5" t="s">
        <v>1750</v>
      </c>
      <c r="F101" s="5" t="s">
        <v>19</v>
      </c>
      <c r="G101" s="5" t="s">
        <v>17</v>
      </c>
      <c r="H101" s="5" t="s">
        <v>17</v>
      </c>
      <c r="I101" s="5" t="s">
        <v>17</v>
      </c>
      <c r="J101" s="5" t="s">
        <v>1751</v>
      </c>
    </row>
    <row r="102" spans="1:10" x14ac:dyDescent="0.25" outlineLevel="1" collapsed="1">
      <c r="A102" s="7" t="s">
        <v>15</v>
      </c>
      <c r="B102" s="7" t="s">
        <v>16</v>
      </c>
      <c r="C102" s="7" t="s">
        <v>17</v>
      </c>
      <c r="D102" s="7"/>
      <c r="E102" s="7" t="s">
        <v>1670</v>
      </c>
      <c r="F102" s="7" t="s">
        <v>19</v>
      </c>
      <c r="G102" s="7" t="s">
        <v>31</v>
      </c>
      <c r="H102" s="7" t="s">
        <v>17</v>
      </c>
      <c r="I102" s="7" t="s">
        <v>17</v>
      </c>
      <c r="J102" s="7" t="s">
        <v>637</v>
      </c>
    </row>
    <row r="103" spans="1:10" x14ac:dyDescent="0.25" outlineLevel="1" collapsed="1">
      <c r="A103" s="7" t="s">
        <v>15</v>
      </c>
      <c r="B103" s="7" t="s">
        <v>16</v>
      </c>
      <c r="C103" s="7" t="s">
        <v>17</v>
      </c>
      <c r="D103" s="7"/>
      <c r="E103" s="7" t="s">
        <v>638</v>
      </c>
      <c r="F103" s="7" t="s">
        <v>19</v>
      </c>
      <c r="G103" s="7" t="s">
        <v>31</v>
      </c>
      <c r="H103" s="7" t="s">
        <v>17</v>
      </c>
      <c r="I103" s="7" t="s">
        <v>17</v>
      </c>
      <c r="J103" s="7" t="s">
        <v>640</v>
      </c>
    </row>
    <row r="104" spans="1:10" x14ac:dyDescent="0.25" outlineLevel="1" collapsed="1">
      <c r="A104" s="7" t="s">
        <v>15</v>
      </c>
      <c r="B104" s="7" t="s">
        <v>16</v>
      </c>
      <c r="C104" s="7" t="s">
        <v>17</v>
      </c>
      <c r="D104" s="7"/>
      <c r="E104" s="7" t="s">
        <v>9</v>
      </c>
      <c r="F104" s="7" t="s">
        <v>19</v>
      </c>
      <c r="G104" s="7" t="s">
        <v>31</v>
      </c>
      <c r="H104" s="7" t="s">
        <v>17</v>
      </c>
      <c r="I104" s="7" t="s">
        <v>17</v>
      </c>
      <c r="J104" s="7" t="s">
        <v>843</v>
      </c>
    </row>
    <row r="105" spans="1:10" x14ac:dyDescent="0.25" outlineLevel="1" collapsed="1">
      <c r="A105" s="7" t="s">
        <v>19</v>
      </c>
      <c r="B105" s="7" t="s">
        <v>16</v>
      </c>
      <c r="C105" s="7" t="s">
        <v>17</v>
      </c>
      <c r="D105" s="7"/>
      <c r="E105" s="7" t="s">
        <v>1600</v>
      </c>
      <c r="F105" s="7" t="s">
        <v>19</v>
      </c>
      <c r="G105" s="7" t="s">
        <v>31</v>
      </c>
      <c r="H105" s="7" t="s">
        <v>17</v>
      </c>
      <c r="I105" s="7" t="s">
        <v>17</v>
      </c>
      <c r="J105" s="7" t="s">
        <v>1424</v>
      </c>
    </row>
    <row r="106" spans="1:10" x14ac:dyDescent="0.25" outlineLevel="1" collapsed="1">
      <c r="A106" s="7" t="s">
        <v>15</v>
      </c>
      <c r="B106" s="7" t="s">
        <v>16</v>
      </c>
      <c r="C106" s="7" t="s">
        <v>17</v>
      </c>
      <c r="D106" s="7"/>
      <c r="E106" s="7" t="s">
        <v>1601</v>
      </c>
      <c r="F106" s="7" t="s">
        <v>19</v>
      </c>
      <c r="G106" s="7" t="s">
        <v>31</v>
      </c>
      <c r="H106" s="7" t="s">
        <v>17</v>
      </c>
      <c r="I106" s="7" t="s">
        <v>17</v>
      </c>
      <c r="J106" s="7" t="s">
        <v>1602</v>
      </c>
    </row>
    <row r="107" spans="1:10" x14ac:dyDescent="0.25" outlineLevel="1" collapsed="1">
      <c r="A107" s="7" t="s">
        <v>15</v>
      </c>
      <c r="B107" s="7" t="s">
        <v>16</v>
      </c>
      <c r="C107" s="7" t="s">
        <v>17</v>
      </c>
      <c r="D107" s="7"/>
      <c r="E107" s="7" t="s">
        <v>1671</v>
      </c>
      <c r="F107" s="7" t="s">
        <v>19</v>
      </c>
      <c r="G107" s="7" t="s">
        <v>31</v>
      </c>
      <c r="H107" s="7" t="s">
        <v>17</v>
      </c>
      <c r="I107" s="7" t="s">
        <v>17</v>
      </c>
      <c r="J107" s="7" t="s">
        <v>1672</v>
      </c>
    </row>
    <row r="108" spans="1:10" x14ac:dyDescent="0.25" outlineLevel="1" collapsed="1">
      <c r="A108" s="7" t="s">
        <v>15</v>
      </c>
      <c r="B108" s="7" t="s">
        <v>16</v>
      </c>
      <c r="C108" s="7" t="s">
        <v>17</v>
      </c>
      <c r="D108" s="7"/>
      <c r="E108" s="7" t="s">
        <v>1673</v>
      </c>
      <c r="F108" s="7" t="s">
        <v>19</v>
      </c>
      <c r="G108" s="7" t="s">
        <v>31</v>
      </c>
      <c r="H108" s="7" t="s">
        <v>17</v>
      </c>
      <c r="I108" s="7" t="s">
        <v>17</v>
      </c>
      <c r="J108" s="7" t="s">
        <v>1674</v>
      </c>
    </row>
    <row r="109" spans="1:10" x14ac:dyDescent="0.25" outlineLevel="1" collapsed="1">
      <c r="A109" s="7" t="s">
        <v>15</v>
      </c>
      <c r="B109" s="7" t="s">
        <v>16</v>
      </c>
      <c r="C109" s="7" t="s">
        <v>17</v>
      </c>
      <c r="D109" s="7"/>
      <c r="E109" s="7" t="s">
        <v>2618</v>
      </c>
      <c r="F109" s="7" t="s">
        <v>19</v>
      </c>
      <c r="G109" s="7" t="s">
        <v>31</v>
      </c>
      <c r="H109" s="7" t="s">
        <v>17</v>
      </c>
      <c r="I109" s="7" t="s">
        <v>17</v>
      </c>
      <c r="J109" s="7" t="s">
        <v>1422</v>
      </c>
    </row>
    <row r="110" spans="1:10" x14ac:dyDescent="0.25" outlineLevel="1" collapsed="1">
      <c r="A110" s="7" t="s">
        <v>15</v>
      </c>
      <c r="B110" s="7" t="s">
        <v>284</v>
      </c>
      <c r="C110" s="11" t="s">
        <v>2619</v>
      </c>
      <c r="D110" s="7"/>
      <c r="E110" s="7" t="s">
        <v>1605</v>
      </c>
      <c r="F110" s="7" t="s">
        <v>19</v>
      </c>
      <c r="G110" s="7" t="s">
        <v>1606</v>
      </c>
      <c r="H110" s="7" t="s">
        <v>17</v>
      </c>
      <c r="I110" s="7" t="s">
        <v>17</v>
      </c>
      <c r="J110" s="7" t="s">
        <v>1607</v>
      </c>
    </row>
    <row r="111" spans="1:10" x14ac:dyDescent="0.25" outlineLevel="1" collapsed="1">
      <c r="A111" s="7" t="s">
        <v>19</v>
      </c>
      <c r="B111" s="7" t="s">
        <v>63</v>
      </c>
      <c r="C111" s="7" t="s">
        <v>17</v>
      </c>
      <c r="D111" s="7">
        <f>EXACT(G110,"Single value")</f>
      </c>
      <c r="E111" s="7" t="s">
        <v>2620</v>
      </c>
      <c r="F111" s="7" t="s">
        <v>19</v>
      </c>
      <c r="G111" s="7">
        <v>1</v>
      </c>
      <c r="H111" s="7" t="s">
        <v>17</v>
      </c>
      <c r="I111" s="7" t="s">
        <v>17</v>
      </c>
      <c r="J111" s="7" t="s">
        <v>1609</v>
      </c>
    </row>
    <row r="112" spans="1:10" x14ac:dyDescent="0.25" outlineLevel="1" collapsed="1">
      <c r="A112" s="7" t="s">
        <v>19</v>
      </c>
      <c r="B112" s="7" t="s">
        <v>16</v>
      </c>
      <c r="C112" s="7" t="s">
        <v>17</v>
      </c>
      <c r="D112" s="7"/>
      <c r="E112" s="7" t="s">
        <v>1677</v>
      </c>
      <c r="F112" s="7" t="s">
        <v>19</v>
      </c>
      <c r="G112" s="7" t="s">
        <v>31</v>
      </c>
      <c r="H112" s="7" t="s">
        <v>17</v>
      </c>
      <c r="I112" s="7" t="s">
        <v>17</v>
      </c>
      <c r="J112" s="7" t="s">
        <v>1678</v>
      </c>
    </row>
    <row r="113" spans="1:10" x14ac:dyDescent="0.25" outlineLevel="1" collapsed="1">
      <c r="A113" s="7" t="s">
        <v>15</v>
      </c>
      <c r="B113" s="7" t="s">
        <v>16</v>
      </c>
      <c r="C113" s="7" t="s">
        <v>17</v>
      </c>
      <c r="D113" s="7"/>
      <c r="E113" s="7" t="s">
        <v>1679</v>
      </c>
      <c r="F113" s="7" t="s">
        <v>19</v>
      </c>
      <c r="G113" s="7" t="s">
        <v>31</v>
      </c>
      <c r="H113" s="7" t="s">
        <v>17</v>
      </c>
      <c r="I113" s="7" t="s">
        <v>17</v>
      </c>
      <c r="J113" s="7" t="s">
        <v>1680</v>
      </c>
    </row>
    <row r="114" spans="1:10" x14ac:dyDescent="0.25" outlineLevel="1" collapsed="1">
      <c r="A114" s="7" t="s">
        <v>15</v>
      </c>
      <c r="B114" s="7" t="s">
        <v>284</v>
      </c>
      <c r="C114" s="11" t="s">
        <v>2621</v>
      </c>
      <c r="D114" s="7"/>
      <c r="E114" s="7" t="s">
        <v>1612</v>
      </c>
      <c r="F114" s="7" t="s">
        <v>19</v>
      </c>
      <c r="G114" s="7" t="s">
        <v>1613</v>
      </c>
      <c r="H114" s="7" t="s">
        <v>17</v>
      </c>
      <c r="I114" s="7" t="s">
        <v>17</v>
      </c>
      <c r="J114" s="7" t="s">
        <v>1614</v>
      </c>
    </row>
    <row r="115" spans="1:10" x14ac:dyDescent="0.25" outlineLevel="1" collapsed="1">
      <c r="A115" s="7" t="s">
        <v>19</v>
      </c>
      <c r="B115" s="7" t="s">
        <v>16</v>
      </c>
      <c r="C115" s="7" t="s">
        <v>17</v>
      </c>
      <c r="D115" s="7"/>
      <c r="E115" s="7" t="s">
        <v>1681</v>
      </c>
      <c r="F115" s="7" t="s">
        <v>19</v>
      </c>
      <c r="G115" s="7" t="s">
        <v>31</v>
      </c>
      <c r="H115" s="7" t="s">
        <v>17</v>
      </c>
      <c r="I115" s="7" t="s">
        <v>17</v>
      </c>
      <c r="J115" s="7" t="s">
        <v>1682</v>
      </c>
    </row>
    <row r="116" spans="1:10" x14ac:dyDescent="0.25" outlineLevel="1" collapsed="1">
      <c r="A116" s="7" t="s">
        <v>19</v>
      </c>
      <c r="B116" s="7" t="s">
        <v>16</v>
      </c>
      <c r="C116" s="7" t="s">
        <v>17</v>
      </c>
      <c r="D116" s="7"/>
      <c r="E116" s="7" t="s">
        <v>1615</v>
      </c>
      <c r="F116" s="7" t="s">
        <v>19</v>
      </c>
      <c r="G116" s="7" t="s">
        <v>31</v>
      </c>
      <c r="H116" s="7" t="s">
        <v>17</v>
      </c>
      <c r="I116" s="7" t="s">
        <v>17</v>
      </c>
      <c r="J116" s="7" t="s">
        <v>1616</v>
      </c>
    </row>
    <row r="117" spans="1:10" x14ac:dyDescent="0.25">
      <c r="A117" s="5" t="s">
        <v>19</v>
      </c>
      <c r="B117" s="6" t="s">
        <v>2617</v>
      </c>
      <c r="C117" s="5" t="s">
        <v>17</v>
      </c>
      <c r="D117" s="5"/>
      <c r="E117" s="5" t="s">
        <v>1752</v>
      </c>
      <c r="F117" s="5" t="s">
        <v>19</v>
      </c>
      <c r="G117" s="5" t="s">
        <v>17</v>
      </c>
      <c r="H117" s="5" t="s">
        <v>17</v>
      </c>
      <c r="I117" s="5" t="s">
        <v>17</v>
      </c>
      <c r="J117" s="5" t="s">
        <v>1753</v>
      </c>
    </row>
    <row r="118" spans="1:10" x14ac:dyDescent="0.25" outlineLevel="1" collapsed="1">
      <c r="A118" s="7" t="s">
        <v>15</v>
      </c>
      <c r="B118" s="7" t="s">
        <v>16</v>
      </c>
      <c r="C118" s="7" t="s">
        <v>17</v>
      </c>
      <c r="D118" s="7"/>
      <c r="E118" s="7" t="s">
        <v>1670</v>
      </c>
      <c r="F118" s="7" t="s">
        <v>19</v>
      </c>
      <c r="G118" s="7" t="s">
        <v>31</v>
      </c>
      <c r="H118" s="7" t="s">
        <v>17</v>
      </c>
      <c r="I118" s="7" t="s">
        <v>17</v>
      </c>
      <c r="J118" s="7" t="s">
        <v>637</v>
      </c>
    </row>
    <row r="119" spans="1:10" x14ac:dyDescent="0.25" outlineLevel="1" collapsed="1">
      <c r="A119" s="7" t="s">
        <v>15</v>
      </c>
      <c r="B119" s="7" t="s">
        <v>16</v>
      </c>
      <c r="C119" s="7" t="s">
        <v>17</v>
      </c>
      <c r="D119" s="7"/>
      <c r="E119" s="7" t="s">
        <v>638</v>
      </c>
      <c r="F119" s="7" t="s">
        <v>19</v>
      </c>
      <c r="G119" s="7" t="s">
        <v>31</v>
      </c>
      <c r="H119" s="7" t="s">
        <v>17</v>
      </c>
      <c r="I119" s="7" t="s">
        <v>17</v>
      </c>
      <c r="J119" s="7" t="s">
        <v>640</v>
      </c>
    </row>
    <row r="120" spans="1:10" x14ac:dyDescent="0.25" outlineLevel="1" collapsed="1">
      <c r="A120" s="7" t="s">
        <v>15</v>
      </c>
      <c r="B120" s="7" t="s">
        <v>16</v>
      </c>
      <c r="C120" s="7" t="s">
        <v>17</v>
      </c>
      <c r="D120" s="7"/>
      <c r="E120" s="7" t="s">
        <v>9</v>
      </c>
      <c r="F120" s="7" t="s">
        <v>19</v>
      </c>
      <c r="G120" s="7" t="s">
        <v>31</v>
      </c>
      <c r="H120" s="7" t="s">
        <v>17</v>
      </c>
      <c r="I120" s="7" t="s">
        <v>17</v>
      </c>
      <c r="J120" s="7" t="s">
        <v>843</v>
      </c>
    </row>
    <row r="121" spans="1:10" x14ac:dyDescent="0.25" outlineLevel="1" collapsed="1">
      <c r="A121" s="7" t="s">
        <v>19</v>
      </c>
      <c r="B121" s="7" t="s">
        <v>16</v>
      </c>
      <c r="C121" s="7" t="s">
        <v>17</v>
      </c>
      <c r="D121" s="7"/>
      <c r="E121" s="7" t="s">
        <v>1600</v>
      </c>
      <c r="F121" s="7" t="s">
        <v>19</v>
      </c>
      <c r="G121" s="7" t="s">
        <v>31</v>
      </c>
      <c r="H121" s="7" t="s">
        <v>17</v>
      </c>
      <c r="I121" s="7" t="s">
        <v>17</v>
      </c>
      <c r="J121" s="7" t="s">
        <v>1424</v>
      </c>
    </row>
    <row r="122" spans="1:10" x14ac:dyDescent="0.25" outlineLevel="1" collapsed="1">
      <c r="A122" s="7" t="s">
        <v>15</v>
      </c>
      <c r="B122" s="7" t="s">
        <v>16</v>
      </c>
      <c r="C122" s="7" t="s">
        <v>17</v>
      </c>
      <c r="D122" s="7"/>
      <c r="E122" s="7" t="s">
        <v>1601</v>
      </c>
      <c r="F122" s="7" t="s">
        <v>19</v>
      </c>
      <c r="G122" s="7" t="s">
        <v>31</v>
      </c>
      <c r="H122" s="7" t="s">
        <v>17</v>
      </c>
      <c r="I122" s="7" t="s">
        <v>17</v>
      </c>
      <c r="J122" s="7" t="s">
        <v>1602</v>
      </c>
    </row>
    <row r="123" spans="1:10" x14ac:dyDescent="0.25" outlineLevel="1" collapsed="1">
      <c r="A123" s="7" t="s">
        <v>15</v>
      </c>
      <c r="B123" s="7" t="s">
        <v>16</v>
      </c>
      <c r="C123" s="7" t="s">
        <v>17</v>
      </c>
      <c r="D123" s="7"/>
      <c r="E123" s="7" t="s">
        <v>1671</v>
      </c>
      <c r="F123" s="7" t="s">
        <v>19</v>
      </c>
      <c r="G123" s="7" t="s">
        <v>31</v>
      </c>
      <c r="H123" s="7" t="s">
        <v>17</v>
      </c>
      <c r="I123" s="7" t="s">
        <v>17</v>
      </c>
      <c r="J123" s="7" t="s">
        <v>1672</v>
      </c>
    </row>
    <row r="124" spans="1:10" x14ac:dyDescent="0.25" outlineLevel="1" collapsed="1">
      <c r="A124" s="7" t="s">
        <v>15</v>
      </c>
      <c r="B124" s="7" t="s">
        <v>16</v>
      </c>
      <c r="C124" s="7" t="s">
        <v>17</v>
      </c>
      <c r="D124" s="7"/>
      <c r="E124" s="7" t="s">
        <v>1673</v>
      </c>
      <c r="F124" s="7" t="s">
        <v>19</v>
      </c>
      <c r="G124" s="7" t="s">
        <v>31</v>
      </c>
      <c r="H124" s="7" t="s">
        <v>17</v>
      </c>
      <c r="I124" s="7" t="s">
        <v>17</v>
      </c>
      <c r="J124" s="7" t="s">
        <v>1674</v>
      </c>
    </row>
    <row r="125" spans="1:10" x14ac:dyDescent="0.25" outlineLevel="1" collapsed="1">
      <c r="A125" s="7" t="s">
        <v>15</v>
      </c>
      <c r="B125" s="7" t="s">
        <v>16</v>
      </c>
      <c r="C125" s="7" t="s">
        <v>17</v>
      </c>
      <c r="D125" s="7"/>
      <c r="E125" s="7" t="s">
        <v>2618</v>
      </c>
      <c r="F125" s="7" t="s">
        <v>19</v>
      </c>
      <c r="G125" s="7" t="s">
        <v>31</v>
      </c>
      <c r="H125" s="7" t="s">
        <v>17</v>
      </c>
      <c r="I125" s="7" t="s">
        <v>17</v>
      </c>
      <c r="J125" s="7" t="s">
        <v>1422</v>
      </c>
    </row>
    <row r="126" spans="1:10" x14ac:dyDescent="0.25" outlineLevel="1" collapsed="1">
      <c r="A126" s="7" t="s">
        <v>15</v>
      </c>
      <c r="B126" s="7" t="s">
        <v>284</v>
      </c>
      <c r="C126" s="11" t="s">
        <v>2619</v>
      </c>
      <c r="D126" s="7"/>
      <c r="E126" s="7" t="s">
        <v>1605</v>
      </c>
      <c r="F126" s="7" t="s">
        <v>19</v>
      </c>
      <c r="G126" s="7" t="s">
        <v>1606</v>
      </c>
      <c r="H126" s="7" t="s">
        <v>17</v>
      </c>
      <c r="I126" s="7" t="s">
        <v>17</v>
      </c>
      <c r="J126" s="7" t="s">
        <v>1607</v>
      </c>
    </row>
    <row r="127" spans="1:10" x14ac:dyDescent="0.25" outlineLevel="1" collapsed="1">
      <c r="A127" s="7" t="s">
        <v>19</v>
      </c>
      <c r="B127" s="7" t="s">
        <v>63</v>
      </c>
      <c r="C127" s="7" t="s">
        <v>17</v>
      </c>
      <c r="D127" s="7">
        <f>EXACT(G126,"Single value")</f>
      </c>
      <c r="E127" s="7" t="s">
        <v>2620</v>
      </c>
      <c r="F127" s="7" t="s">
        <v>19</v>
      </c>
      <c r="G127" s="7">
        <v>1</v>
      </c>
      <c r="H127" s="7" t="s">
        <v>17</v>
      </c>
      <c r="I127" s="7" t="s">
        <v>17</v>
      </c>
      <c r="J127" s="7" t="s">
        <v>1609</v>
      </c>
    </row>
    <row r="128" spans="1:10" x14ac:dyDescent="0.25" outlineLevel="1" collapsed="1">
      <c r="A128" s="7" t="s">
        <v>19</v>
      </c>
      <c r="B128" s="7" t="s">
        <v>16</v>
      </c>
      <c r="C128" s="7" t="s">
        <v>17</v>
      </c>
      <c r="D128" s="7"/>
      <c r="E128" s="7" t="s">
        <v>1677</v>
      </c>
      <c r="F128" s="7" t="s">
        <v>19</v>
      </c>
      <c r="G128" s="7" t="s">
        <v>31</v>
      </c>
      <c r="H128" s="7" t="s">
        <v>17</v>
      </c>
      <c r="I128" s="7" t="s">
        <v>17</v>
      </c>
      <c r="J128" s="7" t="s">
        <v>1678</v>
      </c>
    </row>
    <row r="129" spans="1:10" x14ac:dyDescent="0.25" outlineLevel="1" collapsed="1">
      <c r="A129" s="7" t="s">
        <v>15</v>
      </c>
      <c r="B129" s="7" t="s">
        <v>16</v>
      </c>
      <c r="C129" s="7" t="s">
        <v>17</v>
      </c>
      <c r="D129" s="7"/>
      <c r="E129" s="7" t="s">
        <v>1679</v>
      </c>
      <c r="F129" s="7" t="s">
        <v>19</v>
      </c>
      <c r="G129" s="7" t="s">
        <v>31</v>
      </c>
      <c r="H129" s="7" t="s">
        <v>17</v>
      </c>
      <c r="I129" s="7" t="s">
        <v>17</v>
      </c>
      <c r="J129" s="7" t="s">
        <v>1680</v>
      </c>
    </row>
    <row r="130" spans="1:10" x14ac:dyDescent="0.25" outlineLevel="1" collapsed="1">
      <c r="A130" s="7" t="s">
        <v>15</v>
      </c>
      <c r="B130" s="7" t="s">
        <v>284</v>
      </c>
      <c r="C130" s="11" t="s">
        <v>2621</v>
      </c>
      <c r="D130" s="7"/>
      <c r="E130" s="7" t="s">
        <v>1612</v>
      </c>
      <c r="F130" s="7" t="s">
        <v>19</v>
      </c>
      <c r="G130" s="7" t="s">
        <v>1613</v>
      </c>
      <c r="H130" s="7" t="s">
        <v>17</v>
      </c>
      <c r="I130" s="7" t="s">
        <v>17</v>
      </c>
      <c r="J130" s="7" t="s">
        <v>1614</v>
      </c>
    </row>
    <row r="131" spans="1:10" x14ac:dyDescent="0.25" outlineLevel="1" collapsed="1">
      <c r="A131" s="7" t="s">
        <v>19</v>
      </c>
      <c r="B131" s="7" t="s">
        <v>16</v>
      </c>
      <c r="C131" s="7" t="s">
        <v>17</v>
      </c>
      <c r="D131" s="7"/>
      <c r="E131" s="7" t="s">
        <v>1681</v>
      </c>
      <c r="F131" s="7" t="s">
        <v>19</v>
      </c>
      <c r="G131" s="7" t="s">
        <v>31</v>
      </c>
      <c r="H131" s="7" t="s">
        <v>17</v>
      </c>
      <c r="I131" s="7" t="s">
        <v>17</v>
      </c>
      <c r="J131" s="7" t="s">
        <v>1682</v>
      </c>
    </row>
    <row r="132" spans="1:10" x14ac:dyDescent="0.25" outlineLevel="1" collapsed="1">
      <c r="A132" s="7" t="s">
        <v>19</v>
      </c>
      <c r="B132" s="7" t="s">
        <v>16</v>
      </c>
      <c r="C132" s="7" t="s">
        <v>17</v>
      </c>
      <c r="D132" s="7"/>
      <c r="E132" s="7" t="s">
        <v>1615</v>
      </c>
      <c r="F132" s="7" t="s">
        <v>19</v>
      </c>
      <c r="G132" s="7" t="s">
        <v>31</v>
      </c>
      <c r="H132" s="7" t="s">
        <v>17</v>
      </c>
      <c r="I132" s="7" t="s">
        <v>17</v>
      </c>
      <c r="J132" s="7" t="s">
        <v>1616</v>
      </c>
    </row>
    <row r="133" spans="1:10" x14ac:dyDescent="0.25">
      <c r="A133" s="5" t="s">
        <v>19</v>
      </c>
      <c r="B133" s="6" t="s">
        <v>2617</v>
      </c>
      <c r="C133" s="5" t="s">
        <v>17</v>
      </c>
      <c r="D133" s="5"/>
      <c r="E133" s="5" t="s">
        <v>1754</v>
      </c>
      <c r="F133" s="5" t="s">
        <v>19</v>
      </c>
      <c r="G133" s="5" t="s">
        <v>17</v>
      </c>
      <c r="H133" s="5" t="s">
        <v>17</v>
      </c>
      <c r="I133" s="5" t="s">
        <v>17</v>
      </c>
      <c r="J133" s="5" t="s">
        <v>1755</v>
      </c>
    </row>
    <row r="134" spans="1:10" x14ac:dyDescent="0.25" outlineLevel="1" collapsed="1">
      <c r="A134" s="7" t="s">
        <v>15</v>
      </c>
      <c r="B134" s="7" t="s">
        <v>16</v>
      </c>
      <c r="C134" s="7" t="s">
        <v>17</v>
      </c>
      <c r="D134" s="7"/>
      <c r="E134" s="7" t="s">
        <v>1670</v>
      </c>
      <c r="F134" s="7" t="s">
        <v>19</v>
      </c>
      <c r="G134" s="7" t="s">
        <v>31</v>
      </c>
      <c r="H134" s="7" t="s">
        <v>17</v>
      </c>
      <c r="I134" s="7" t="s">
        <v>17</v>
      </c>
      <c r="J134" s="7" t="s">
        <v>637</v>
      </c>
    </row>
    <row r="135" spans="1:10" x14ac:dyDescent="0.25" outlineLevel="1" collapsed="1">
      <c r="A135" s="7" t="s">
        <v>15</v>
      </c>
      <c r="B135" s="7" t="s">
        <v>16</v>
      </c>
      <c r="C135" s="7" t="s">
        <v>17</v>
      </c>
      <c r="D135" s="7"/>
      <c r="E135" s="7" t="s">
        <v>638</v>
      </c>
      <c r="F135" s="7" t="s">
        <v>19</v>
      </c>
      <c r="G135" s="7" t="s">
        <v>31</v>
      </c>
      <c r="H135" s="7" t="s">
        <v>17</v>
      </c>
      <c r="I135" s="7" t="s">
        <v>17</v>
      </c>
      <c r="J135" s="7" t="s">
        <v>640</v>
      </c>
    </row>
    <row r="136" spans="1:10" x14ac:dyDescent="0.25" outlineLevel="1" collapsed="1">
      <c r="A136" s="7" t="s">
        <v>15</v>
      </c>
      <c r="B136" s="7" t="s">
        <v>16</v>
      </c>
      <c r="C136" s="7" t="s">
        <v>17</v>
      </c>
      <c r="D136" s="7"/>
      <c r="E136" s="7" t="s">
        <v>9</v>
      </c>
      <c r="F136" s="7" t="s">
        <v>19</v>
      </c>
      <c r="G136" s="7" t="s">
        <v>31</v>
      </c>
      <c r="H136" s="7" t="s">
        <v>17</v>
      </c>
      <c r="I136" s="7" t="s">
        <v>17</v>
      </c>
      <c r="J136" s="7" t="s">
        <v>843</v>
      </c>
    </row>
    <row r="137" spans="1:10" x14ac:dyDescent="0.25" outlineLevel="1" collapsed="1">
      <c r="A137" s="7" t="s">
        <v>19</v>
      </c>
      <c r="B137" s="7" t="s">
        <v>16</v>
      </c>
      <c r="C137" s="7" t="s">
        <v>17</v>
      </c>
      <c r="D137" s="7"/>
      <c r="E137" s="7" t="s">
        <v>1600</v>
      </c>
      <c r="F137" s="7" t="s">
        <v>19</v>
      </c>
      <c r="G137" s="7" t="s">
        <v>31</v>
      </c>
      <c r="H137" s="7" t="s">
        <v>17</v>
      </c>
      <c r="I137" s="7" t="s">
        <v>17</v>
      </c>
      <c r="J137" s="7" t="s">
        <v>1424</v>
      </c>
    </row>
    <row r="138" spans="1:10" x14ac:dyDescent="0.25" outlineLevel="1" collapsed="1">
      <c r="A138" s="7" t="s">
        <v>15</v>
      </c>
      <c r="B138" s="7" t="s">
        <v>16</v>
      </c>
      <c r="C138" s="7" t="s">
        <v>17</v>
      </c>
      <c r="D138" s="7"/>
      <c r="E138" s="7" t="s">
        <v>1601</v>
      </c>
      <c r="F138" s="7" t="s">
        <v>19</v>
      </c>
      <c r="G138" s="7" t="s">
        <v>31</v>
      </c>
      <c r="H138" s="7" t="s">
        <v>17</v>
      </c>
      <c r="I138" s="7" t="s">
        <v>17</v>
      </c>
      <c r="J138" s="7" t="s">
        <v>1602</v>
      </c>
    </row>
    <row r="139" spans="1:10" x14ac:dyDescent="0.25" outlineLevel="1" collapsed="1">
      <c r="A139" s="7" t="s">
        <v>15</v>
      </c>
      <c r="B139" s="7" t="s">
        <v>16</v>
      </c>
      <c r="C139" s="7" t="s">
        <v>17</v>
      </c>
      <c r="D139" s="7"/>
      <c r="E139" s="7" t="s">
        <v>1671</v>
      </c>
      <c r="F139" s="7" t="s">
        <v>19</v>
      </c>
      <c r="G139" s="7" t="s">
        <v>31</v>
      </c>
      <c r="H139" s="7" t="s">
        <v>17</v>
      </c>
      <c r="I139" s="7" t="s">
        <v>17</v>
      </c>
      <c r="J139" s="7" t="s">
        <v>1672</v>
      </c>
    </row>
    <row r="140" spans="1:10" x14ac:dyDescent="0.25" outlineLevel="1" collapsed="1">
      <c r="A140" s="7" t="s">
        <v>15</v>
      </c>
      <c r="B140" s="7" t="s">
        <v>16</v>
      </c>
      <c r="C140" s="7" t="s">
        <v>17</v>
      </c>
      <c r="D140" s="7"/>
      <c r="E140" s="7" t="s">
        <v>1673</v>
      </c>
      <c r="F140" s="7" t="s">
        <v>19</v>
      </c>
      <c r="G140" s="7" t="s">
        <v>31</v>
      </c>
      <c r="H140" s="7" t="s">
        <v>17</v>
      </c>
      <c r="I140" s="7" t="s">
        <v>17</v>
      </c>
      <c r="J140" s="7" t="s">
        <v>1674</v>
      </c>
    </row>
    <row r="141" spans="1:10" x14ac:dyDescent="0.25" outlineLevel="1" collapsed="1">
      <c r="A141" s="7" t="s">
        <v>15</v>
      </c>
      <c r="B141" s="7" t="s">
        <v>16</v>
      </c>
      <c r="C141" s="7" t="s">
        <v>17</v>
      </c>
      <c r="D141" s="7"/>
      <c r="E141" s="7" t="s">
        <v>2618</v>
      </c>
      <c r="F141" s="7" t="s">
        <v>19</v>
      </c>
      <c r="G141" s="7" t="s">
        <v>31</v>
      </c>
      <c r="H141" s="7" t="s">
        <v>17</v>
      </c>
      <c r="I141" s="7" t="s">
        <v>17</v>
      </c>
      <c r="J141" s="7" t="s">
        <v>1422</v>
      </c>
    </row>
    <row r="142" spans="1:10" x14ac:dyDescent="0.25" outlineLevel="1" collapsed="1">
      <c r="A142" s="7" t="s">
        <v>15</v>
      </c>
      <c r="B142" s="7" t="s">
        <v>284</v>
      </c>
      <c r="C142" s="11" t="s">
        <v>2619</v>
      </c>
      <c r="D142" s="7"/>
      <c r="E142" s="7" t="s">
        <v>1605</v>
      </c>
      <c r="F142" s="7" t="s">
        <v>19</v>
      </c>
      <c r="G142" s="7" t="s">
        <v>1606</v>
      </c>
      <c r="H142" s="7" t="s">
        <v>17</v>
      </c>
      <c r="I142" s="7" t="s">
        <v>17</v>
      </c>
      <c r="J142" s="7" t="s">
        <v>1607</v>
      </c>
    </row>
    <row r="143" spans="1:10" x14ac:dyDescent="0.25" outlineLevel="1" collapsed="1">
      <c r="A143" s="7" t="s">
        <v>19</v>
      </c>
      <c r="B143" s="7" t="s">
        <v>63</v>
      </c>
      <c r="C143" s="7" t="s">
        <v>17</v>
      </c>
      <c r="D143" s="7">
        <f>EXACT(G142,"Single value")</f>
      </c>
      <c r="E143" s="7" t="s">
        <v>2620</v>
      </c>
      <c r="F143" s="7" t="s">
        <v>19</v>
      </c>
      <c r="G143" s="7">
        <v>1</v>
      </c>
      <c r="H143" s="7" t="s">
        <v>17</v>
      </c>
      <c r="I143" s="7" t="s">
        <v>17</v>
      </c>
      <c r="J143" s="7" t="s">
        <v>1609</v>
      </c>
    </row>
    <row r="144" spans="1:10" x14ac:dyDescent="0.25" outlineLevel="1" collapsed="1">
      <c r="A144" s="7" t="s">
        <v>19</v>
      </c>
      <c r="B144" s="7" t="s">
        <v>16</v>
      </c>
      <c r="C144" s="7" t="s">
        <v>17</v>
      </c>
      <c r="D144" s="7"/>
      <c r="E144" s="7" t="s">
        <v>1677</v>
      </c>
      <c r="F144" s="7" t="s">
        <v>19</v>
      </c>
      <c r="G144" s="7" t="s">
        <v>31</v>
      </c>
      <c r="H144" s="7" t="s">
        <v>17</v>
      </c>
      <c r="I144" s="7" t="s">
        <v>17</v>
      </c>
      <c r="J144" s="7" t="s">
        <v>1678</v>
      </c>
    </row>
    <row r="145" spans="1:10" x14ac:dyDescent="0.25" outlineLevel="1" collapsed="1">
      <c r="A145" s="7" t="s">
        <v>15</v>
      </c>
      <c r="B145" s="7" t="s">
        <v>16</v>
      </c>
      <c r="C145" s="7" t="s">
        <v>17</v>
      </c>
      <c r="D145" s="7"/>
      <c r="E145" s="7" t="s">
        <v>1679</v>
      </c>
      <c r="F145" s="7" t="s">
        <v>19</v>
      </c>
      <c r="G145" s="7" t="s">
        <v>31</v>
      </c>
      <c r="H145" s="7" t="s">
        <v>17</v>
      </c>
      <c r="I145" s="7" t="s">
        <v>17</v>
      </c>
      <c r="J145" s="7" t="s">
        <v>1680</v>
      </c>
    </row>
    <row r="146" spans="1:10" x14ac:dyDescent="0.25" outlineLevel="1" collapsed="1">
      <c r="A146" s="7" t="s">
        <v>15</v>
      </c>
      <c r="B146" s="7" t="s">
        <v>284</v>
      </c>
      <c r="C146" s="11" t="s">
        <v>2621</v>
      </c>
      <c r="D146" s="7"/>
      <c r="E146" s="7" t="s">
        <v>1612</v>
      </c>
      <c r="F146" s="7" t="s">
        <v>19</v>
      </c>
      <c r="G146" s="7" t="s">
        <v>1613</v>
      </c>
      <c r="H146" s="7" t="s">
        <v>17</v>
      </c>
      <c r="I146" s="7" t="s">
        <v>17</v>
      </c>
      <c r="J146" s="7" t="s">
        <v>1614</v>
      </c>
    </row>
    <row r="147" spans="1:10" x14ac:dyDescent="0.25" outlineLevel="1" collapsed="1">
      <c r="A147" s="7" t="s">
        <v>19</v>
      </c>
      <c r="B147" s="7" t="s">
        <v>16</v>
      </c>
      <c r="C147" s="7" t="s">
        <v>17</v>
      </c>
      <c r="D147" s="7"/>
      <c r="E147" s="7" t="s">
        <v>1681</v>
      </c>
      <c r="F147" s="7" t="s">
        <v>19</v>
      </c>
      <c r="G147" s="7" t="s">
        <v>31</v>
      </c>
      <c r="H147" s="7" t="s">
        <v>17</v>
      </c>
      <c r="I147" s="7" t="s">
        <v>17</v>
      </c>
      <c r="J147" s="7" t="s">
        <v>1682</v>
      </c>
    </row>
    <row r="148" spans="1:10" x14ac:dyDescent="0.25" outlineLevel="1" collapsed="1">
      <c r="A148" s="7" t="s">
        <v>19</v>
      </c>
      <c r="B148" s="7" t="s">
        <v>16</v>
      </c>
      <c r="C148" s="7" t="s">
        <v>17</v>
      </c>
      <c r="D148" s="7"/>
      <c r="E148" s="7" t="s">
        <v>1615</v>
      </c>
      <c r="F148" s="7" t="s">
        <v>19</v>
      </c>
      <c r="G148" s="7" t="s">
        <v>31</v>
      </c>
      <c r="H148" s="7" t="s">
        <v>17</v>
      </c>
      <c r="I148" s="7" t="s">
        <v>17</v>
      </c>
      <c r="J148" s="7" t="s">
        <v>1616</v>
      </c>
    </row>
    <row r="149" spans="1:10" x14ac:dyDescent="0.25">
      <c r="A149" s="5" t="s">
        <v>19</v>
      </c>
      <c r="B149" s="6" t="s">
        <v>2617</v>
      </c>
      <c r="C149" s="5" t="s">
        <v>17</v>
      </c>
      <c r="D149" s="5"/>
      <c r="E149" s="5" t="s">
        <v>1756</v>
      </c>
      <c r="F149" s="5" t="s">
        <v>19</v>
      </c>
      <c r="G149" s="5" t="s">
        <v>17</v>
      </c>
      <c r="H149" s="5" t="s">
        <v>17</v>
      </c>
      <c r="I149" s="5" t="s">
        <v>17</v>
      </c>
      <c r="J149" s="5" t="s">
        <v>1757</v>
      </c>
    </row>
    <row r="150" spans="1:10" x14ac:dyDescent="0.25" outlineLevel="1" collapsed="1">
      <c r="A150" s="7" t="s">
        <v>15</v>
      </c>
      <c r="B150" s="7" t="s">
        <v>16</v>
      </c>
      <c r="C150" s="7" t="s">
        <v>17</v>
      </c>
      <c r="D150" s="7"/>
      <c r="E150" s="7" t="s">
        <v>1670</v>
      </c>
      <c r="F150" s="7" t="s">
        <v>19</v>
      </c>
      <c r="G150" s="7" t="s">
        <v>31</v>
      </c>
      <c r="H150" s="7" t="s">
        <v>17</v>
      </c>
      <c r="I150" s="7" t="s">
        <v>17</v>
      </c>
      <c r="J150" s="7" t="s">
        <v>637</v>
      </c>
    </row>
    <row r="151" spans="1:10" x14ac:dyDescent="0.25" outlineLevel="1" collapsed="1">
      <c r="A151" s="7" t="s">
        <v>15</v>
      </c>
      <c r="B151" s="7" t="s">
        <v>16</v>
      </c>
      <c r="C151" s="7" t="s">
        <v>17</v>
      </c>
      <c r="D151" s="7"/>
      <c r="E151" s="7" t="s">
        <v>638</v>
      </c>
      <c r="F151" s="7" t="s">
        <v>19</v>
      </c>
      <c r="G151" s="7" t="s">
        <v>31</v>
      </c>
      <c r="H151" s="7" t="s">
        <v>17</v>
      </c>
      <c r="I151" s="7" t="s">
        <v>17</v>
      </c>
      <c r="J151" s="7" t="s">
        <v>640</v>
      </c>
    </row>
    <row r="152" spans="1:10" x14ac:dyDescent="0.25" outlineLevel="1" collapsed="1">
      <c r="A152" s="7" t="s">
        <v>15</v>
      </c>
      <c r="B152" s="7" t="s">
        <v>16</v>
      </c>
      <c r="C152" s="7" t="s">
        <v>17</v>
      </c>
      <c r="D152" s="7"/>
      <c r="E152" s="7" t="s">
        <v>9</v>
      </c>
      <c r="F152" s="7" t="s">
        <v>19</v>
      </c>
      <c r="G152" s="7" t="s">
        <v>31</v>
      </c>
      <c r="H152" s="7" t="s">
        <v>17</v>
      </c>
      <c r="I152" s="7" t="s">
        <v>17</v>
      </c>
      <c r="J152" s="7" t="s">
        <v>843</v>
      </c>
    </row>
    <row r="153" spans="1:10" x14ac:dyDescent="0.25" outlineLevel="1" collapsed="1">
      <c r="A153" s="7" t="s">
        <v>19</v>
      </c>
      <c r="B153" s="7" t="s">
        <v>16</v>
      </c>
      <c r="C153" s="7" t="s">
        <v>17</v>
      </c>
      <c r="D153" s="7"/>
      <c r="E153" s="7" t="s">
        <v>1600</v>
      </c>
      <c r="F153" s="7" t="s">
        <v>19</v>
      </c>
      <c r="G153" s="7" t="s">
        <v>31</v>
      </c>
      <c r="H153" s="7" t="s">
        <v>17</v>
      </c>
      <c r="I153" s="7" t="s">
        <v>17</v>
      </c>
      <c r="J153" s="7" t="s">
        <v>1424</v>
      </c>
    </row>
    <row r="154" spans="1:10" x14ac:dyDescent="0.25" outlineLevel="1" collapsed="1">
      <c r="A154" s="7" t="s">
        <v>15</v>
      </c>
      <c r="B154" s="7" t="s">
        <v>16</v>
      </c>
      <c r="C154" s="7" t="s">
        <v>17</v>
      </c>
      <c r="D154" s="7"/>
      <c r="E154" s="7" t="s">
        <v>1601</v>
      </c>
      <c r="F154" s="7" t="s">
        <v>19</v>
      </c>
      <c r="G154" s="7" t="s">
        <v>31</v>
      </c>
      <c r="H154" s="7" t="s">
        <v>17</v>
      </c>
      <c r="I154" s="7" t="s">
        <v>17</v>
      </c>
      <c r="J154" s="7" t="s">
        <v>1602</v>
      </c>
    </row>
    <row r="155" spans="1:10" x14ac:dyDescent="0.25" outlineLevel="1" collapsed="1">
      <c r="A155" s="7" t="s">
        <v>15</v>
      </c>
      <c r="B155" s="7" t="s">
        <v>16</v>
      </c>
      <c r="C155" s="7" t="s">
        <v>17</v>
      </c>
      <c r="D155" s="7"/>
      <c r="E155" s="7" t="s">
        <v>1671</v>
      </c>
      <c r="F155" s="7" t="s">
        <v>19</v>
      </c>
      <c r="G155" s="7" t="s">
        <v>31</v>
      </c>
      <c r="H155" s="7" t="s">
        <v>17</v>
      </c>
      <c r="I155" s="7" t="s">
        <v>17</v>
      </c>
      <c r="J155" s="7" t="s">
        <v>1672</v>
      </c>
    </row>
    <row r="156" spans="1:10" x14ac:dyDescent="0.25" outlineLevel="1" collapsed="1">
      <c r="A156" s="7" t="s">
        <v>15</v>
      </c>
      <c r="B156" s="7" t="s">
        <v>16</v>
      </c>
      <c r="C156" s="7" t="s">
        <v>17</v>
      </c>
      <c r="D156" s="7"/>
      <c r="E156" s="7" t="s">
        <v>1673</v>
      </c>
      <c r="F156" s="7" t="s">
        <v>19</v>
      </c>
      <c r="G156" s="7" t="s">
        <v>31</v>
      </c>
      <c r="H156" s="7" t="s">
        <v>17</v>
      </c>
      <c r="I156" s="7" t="s">
        <v>17</v>
      </c>
      <c r="J156" s="7" t="s">
        <v>1674</v>
      </c>
    </row>
    <row r="157" spans="1:10" x14ac:dyDescent="0.25" outlineLevel="1" collapsed="1">
      <c r="A157" s="7" t="s">
        <v>15</v>
      </c>
      <c r="B157" s="7" t="s">
        <v>16</v>
      </c>
      <c r="C157" s="7" t="s">
        <v>17</v>
      </c>
      <c r="D157" s="7"/>
      <c r="E157" s="7" t="s">
        <v>2618</v>
      </c>
      <c r="F157" s="7" t="s">
        <v>19</v>
      </c>
      <c r="G157" s="7" t="s">
        <v>31</v>
      </c>
      <c r="H157" s="7" t="s">
        <v>17</v>
      </c>
      <c r="I157" s="7" t="s">
        <v>17</v>
      </c>
      <c r="J157" s="7" t="s">
        <v>1422</v>
      </c>
    </row>
    <row r="158" spans="1:10" x14ac:dyDescent="0.25" outlineLevel="1" collapsed="1">
      <c r="A158" s="7" t="s">
        <v>15</v>
      </c>
      <c r="B158" s="7" t="s">
        <v>284</v>
      </c>
      <c r="C158" s="11" t="s">
        <v>2619</v>
      </c>
      <c r="D158" s="7"/>
      <c r="E158" s="7" t="s">
        <v>1605</v>
      </c>
      <c r="F158" s="7" t="s">
        <v>19</v>
      </c>
      <c r="G158" s="7" t="s">
        <v>1606</v>
      </c>
      <c r="H158" s="7" t="s">
        <v>17</v>
      </c>
      <c r="I158" s="7" t="s">
        <v>17</v>
      </c>
      <c r="J158" s="7" t="s">
        <v>1607</v>
      </c>
    </row>
    <row r="159" spans="1:10" x14ac:dyDescent="0.25" outlineLevel="1" collapsed="1">
      <c r="A159" s="7" t="s">
        <v>19</v>
      </c>
      <c r="B159" s="7" t="s">
        <v>63</v>
      </c>
      <c r="C159" s="7" t="s">
        <v>17</v>
      </c>
      <c r="D159" s="7">
        <f>EXACT(G158,"Single value")</f>
      </c>
      <c r="E159" s="7" t="s">
        <v>2620</v>
      </c>
      <c r="F159" s="7" t="s">
        <v>19</v>
      </c>
      <c r="G159" s="7">
        <v>1</v>
      </c>
      <c r="H159" s="7" t="s">
        <v>17</v>
      </c>
      <c r="I159" s="7" t="s">
        <v>17</v>
      </c>
      <c r="J159" s="7" t="s">
        <v>1609</v>
      </c>
    </row>
    <row r="160" spans="1:10" x14ac:dyDescent="0.25" outlineLevel="1" collapsed="1">
      <c r="A160" s="7" t="s">
        <v>19</v>
      </c>
      <c r="B160" s="7" t="s">
        <v>16</v>
      </c>
      <c r="C160" s="7" t="s">
        <v>17</v>
      </c>
      <c r="D160" s="7"/>
      <c r="E160" s="7" t="s">
        <v>1677</v>
      </c>
      <c r="F160" s="7" t="s">
        <v>19</v>
      </c>
      <c r="G160" s="7" t="s">
        <v>31</v>
      </c>
      <c r="H160" s="7" t="s">
        <v>17</v>
      </c>
      <c r="I160" s="7" t="s">
        <v>17</v>
      </c>
      <c r="J160" s="7" t="s">
        <v>1678</v>
      </c>
    </row>
    <row r="161" spans="1:10" x14ac:dyDescent="0.25" outlineLevel="1" collapsed="1">
      <c r="A161" s="7" t="s">
        <v>15</v>
      </c>
      <c r="B161" s="7" t="s">
        <v>16</v>
      </c>
      <c r="C161" s="7" t="s">
        <v>17</v>
      </c>
      <c r="D161" s="7"/>
      <c r="E161" s="7" t="s">
        <v>1679</v>
      </c>
      <c r="F161" s="7" t="s">
        <v>19</v>
      </c>
      <c r="G161" s="7" t="s">
        <v>31</v>
      </c>
      <c r="H161" s="7" t="s">
        <v>17</v>
      </c>
      <c r="I161" s="7" t="s">
        <v>17</v>
      </c>
      <c r="J161" s="7" t="s">
        <v>1680</v>
      </c>
    </row>
    <row r="162" spans="1:10" x14ac:dyDescent="0.25" outlineLevel="1" collapsed="1">
      <c r="A162" s="7" t="s">
        <v>15</v>
      </c>
      <c r="B162" s="7" t="s">
        <v>284</v>
      </c>
      <c r="C162" s="11" t="s">
        <v>2621</v>
      </c>
      <c r="D162" s="7"/>
      <c r="E162" s="7" t="s">
        <v>1612</v>
      </c>
      <c r="F162" s="7" t="s">
        <v>19</v>
      </c>
      <c r="G162" s="7" t="s">
        <v>1613</v>
      </c>
      <c r="H162" s="7" t="s">
        <v>17</v>
      </c>
      <c r="I162" s="7" t="s">
        <v>17</v>
      </c>
      <c r="J162" s="7" t="s">
        <v>1614</v>
      </c>
    </row>
    <row r="163" spans="1:10" x14ac:dyDescent="0.25" outlineLevel="1" collapsed="1">
      <c r="A163" s="7" t="s">
        <v>19</v>
      </c>
      <c r="B163" s="7" t="s">
        <v>16</v>
      </c>
      <c r="C163" s="7" t="s">
        <v>17</v>
      </c>
      <c r="D163" s="7"/>
      <c r="E163" s="7" t="s">
        <v>1681</v>
      </c>
      <c r="F163" s="7" t="s">
        <v>19</v>
      </c>
      <c r="G163" s="7" t="s">
        <v>31</v>
      </c>
      <c r="H163" s="7" t="s">
        <v>17</v>
      </c>
      <c r="I163" s="7" t="s">
        <v>17</v>
      </c>
      <c r="J163" s="7" t="s">
        <v>1682</v>
      </c>
    </row>
    <row r="164" spans="1:10" x14ac:dyDescent="0.25" outlineLevel="1" collapsed="1">
      <c r="A164" s="7" t="s">
        <v>19</v>
      </c>
      <c r="B164" s="7" t="s">
        <v>16</v>
      </c>
      <c r="C164" s="7" t="s">
        <v>17</v>
      </c>
      <c r="D164" s="7"/>
      <c r="E164" s="7" t="s">
        <v>1615</v>
      </c>
      <c r="F164" s="7" t="s">
        <v>19</v>
      </c>
      <c r="G164" s="7" t="s">
        <v>31</v>
      </c>
      <c r="H164" s="7" t="s">
        <v>17</v>
      </c>
      <c r="I164" s="7" t="s">
        <v>17</v>
      </c>
      <c r="J164" s="7" t="s">
        <v>1616</v>
      </c>
    </row>
    <row r="165" spans="1:10" x14ac:dyDescent="0.25">
      <c r="A165" s="5" t="s">
        <v>19</v>
      </c>
      <c r="B165" s="6" t="s">
        <v>2617</v>
      </c>
      <c r="C165" s="5" t="s">
        <v>17</v>
      </c>
      <c r="D165" s="5"/>
      <c r="E165" s="5" t="s">
        <v>1758</v>
      </c>
      <c r="F165" s="5" t="s">
        <v>19</v>
      </c>
      <c r="G165" s="5" t="s">
        <v>17</v>
      </c>
      <c r="H165" s="5" t="s">
        <v>17</v>
      </c>
      <c r="I165" s="5" t="s">
        <v>17</v>
      </c>
      <c r="J165" s="5" t="s">
        <v>1759</v>
      </c>
    </row>
    <row r="166" spans="1:10" x14ac:dyDescent="0.25" outlineLevel="1" collapsed="1">
      <c r="A166" s="7" t="s">
        <v>15</v>
      </c>
      <c r="B166" s="7" t="s">
        <v>16</v>
      </c>
      <c r="C166" s="7" t="s">
        <v>17</v>
      </c>
      <c r="D166" s="7"/>
      <c r="E166" s="7" t="s">
        <v>1670</v>
      </c>
      <c r="F166" s="7" t="s">
        <v>19</v>
      </c>
      <c r="G166" s="7" t="s">
        <v>31</v>
      </c>
      <c r="H166" s="7" t="s">
        <v>17</v>
      </c>
      <c r="I166" s="7" t="s">
        <v>17</v>
      </c>
      <c r="J166" s="7" t="s">
        <v>637</v>
      </c>
    </row>
    <row r="167" spans="1:10" x14ac:dyDescent="0.25" outlineLevel="1" collapsed="1">
      <c r="A167" s="7" t="s">
        <v>15</v>
      </c>
      <c r="B167" s="7" t="s">
        <v>16</v>
      </c>
      <c r="C167" s="7" t="s">
        <v>17</v>
      </c>
      <c r="D167" s="7"/>
      <c r="E167" s="7" t="s">
        <v>638</v>
      </c>
      <c r="F167" s="7" t="s">
        <v>19</v>
      </c>
      <c r="G167" s="7" t="s">
        <v>31</v>
      </c>
      <c r="H167" s="7" t="s">
        <v>17</v>
      </c>
      <c r="I167" s="7" t="s">
        <v>17</v>
      </c>
      <c r="J167" s="7" t="s">
        <v>640</v>
      </c>
    </row>
    <row r="168" spans="1:10" x14ac:dyDescent="0.25" outlineLevel="1" collapsed="1">
      <c r="A168" s="7" t="s">
        <v>15</v>
      </c>
      <c r="B168" s="7" t="s">
        <v>16</v>
      </c>
      <c r="C168" s="7" t="s">
        <v>17</v>
      </c>
      <c r="D168" s="7"/>
      <c r="E168" s="7" t="s">
        <v>9</v>
      </c>
      <c r="F168" s="7" t="s">
        <v>19</v>
      </c>
      <c r="G168" s="7" t="s">
        <v>31</v>
      </c>
      <c r="H168" s="7" t="s">
        <v>17</v>
      </c>
      <c r="I168" s="7" t="s">
        <v>17</v>
      </c>
      <c r="J168" s="7" t="s">
        <v>843</v>
      </c>
    </row>
    <row r="169" spans="1:10" x14ac:dyDescent="0.25" outlineLevel="1" collapsed="1">
      <c r="A169" s="7" t="s">
        <v>19</v>
      </c>
      <c r="B169" s="7" t="s">
        <v>16</v>
      </c>
      <c r="C169" s="7" t="s">
        <v>17</v>
      </c>
      <c r="D169" s="7"/>
      <c r="E169" s="7" t="s">
        <v>1600</v>
      </c>
      <c r="F169" s="7" t="s">
        <v>19</v>
      </c>
      <c r="G169" s="7" t="s">
        <v>31</v>
      </c>
      <c r="H169" s="7" t="s">
        <v>17</v>
      </c>
      <c r="I169" s="7" t="s">
        <v>17</v>
      </c>
      <c r="J169" s="7" t="s">
        <v>1424</v>
      </c>
    </row>
    <row r="170" spans="1:10" x14ac:dyDescent="0.25" outlineLevel="1" collapsed="1">
      <c r="A170" s="7" t="s">
        <v>15</v>
      </c>
      <c r="B170" s="7" t="s">
        <v>16</v>
      </c>
      <c r="C170" s="7" t="s">
        <v>17</v>
      </c>
      <c r="D170" s="7"/>
      <c r="E170" s="7" t="s">
        <v>1601</v>
      </c>
      <c r="F170" s="7" t="s">
        <v>19</v>
      </c>
      <c r="G170" s="7" t="s">
        <v>31</v>
      </c>
      <c r="H170" s="7" t="s">
        <v>17</v>
      </c>
      <c r="I170" s="7" t="s">
        <v>17</v>
      </c>
      <c r="J170" s="7" t="s">
        <v>1602</v>
      </c>
    </row>
    <row r="171" spans="1:10" x14ac:dyDescent="0.25" outlineLevel="1" collapsed="1">
      <c r="A171" s="7" t="s">
        <v>15</v>
      </c>
      <c r="B171" s="7" t="s">
        <v>16</v>
      </c>
      <c r="C171" s="7" t="s">
        <v>17</v>
      </c>
      <c r="D171" s="7"/>
      <c r="E171" s="7" t="s">
        <v>1671</v>
      </c>
      <c r="F171" s="7" t="s">
        <v>19</v>
      </c>
      <c r="G171" s="7" t="s">
        <v>31</v>
      </c>
      <c r="H171" s="7" t="s">
        <v>17</v>
      </c>
      <c r="I171" s="7" t="s">
        <v>17</v>
      </c>
      <c r="J171" s="7" t="s">
        <v>1672</v>
      </c>
    </row>
    <row r="172" spans="1:10" x14ac:dyDescent="0.25" outlineLevel="1" collapsed="1">
      <c r="A172" s="7" t="s">
        <v>15</v>
      </c>
      <c r="B172" s="7" t="s">
        <v>16</v>
      </c>
      <c r="C172" s="7" t="s">
        <v>17</v>
      </c>
      <c r="D172" s="7"/>
      <c r="E172" s="7" t="s">
        <v>1673</v>
      </c>
      <c r="F172" s="7" t="s">
        <v>19</v>
      </c>
      <c r="G172" s="7" t="s">
        <v>31</v>
      </c>
      <c r="H172" s="7" t="s">
        <v>17</v>
      </c>
      <c r="I172" s="7" t="s">
        <v>17</v>
      </c>
      <c r="J172" s="7" t="s">
        <v>1674</v>
      </c>
    </row>
    <row r="173" spans="1:10" x14ac:dyDescent="0.25" outlineLevel="1" collapsed="1">
      <c r="A173" s="7" t="s">
        <v>15</v>
      </c>
      <c r="B173" s="7" t="s">
        <v>16</v>
      </c>
      <c r="C173" s="7" t="s">
        <v>17</v>
      </c>
      <c r="D173" s="7"/>
      <c r="E173" s="7" t="s">
        <v>2618</v>
      </c>
      <c r="F173" s="7" t="s">
        <v>19</v>
      </c>
      <c r="G173" s="7" t="s">
        <v>31</v>
      </c>
      <c r="H173" s="7" t="s">
        <v>17</v>
      </c>
      <c r="I173" s="7" t="s">
        <v>17</v>
      </c>
      <c r="J173" s="7" t="s">
        <v>1422</v>
      </c>
    </row>
    <row r="174" spans="1:10" x14ac:dyDescent="0.25" outlineLevel="1" collapsed="1">
      <c r="A174" s="7" t="s">
        <v>15</v>
      </c>
      <c r="B174" s="7" t="s">
        <v>284</v>
      </c>
      <c r="C174" s="11" t="s">
        <v>2619</v>
      </c>
      <c r="D174" s="7"/>
      <c r="E174" s="7" t="s">
        <v>1605</v>
      </c>
      <c r="F174" s="7" t="s">
        <v>19</v>
      </c>
      <c r="G174" s="7" t="s">
        <v>1606</v>
      </c>
      <c r="H174" s="7" t="s">
        <v>17</v>
      </c>
      <c r="I174" s="7" t="s">
        <v>17</v>
      </c>
      <c r="J174" s="7" t="s">
        <v>1607</v>
      </c>
    </row>
    <row r="175" spans="1:10" x14ac:dyDescent="0.25" outlineLevel="1" collapsed="1">
      <c r="A175" s="7" t="s">
        <v>19</v>
      </c>
      <c r="B175" s="7" t="s">
        <v>63</v>
      </c>
      <c r="C175" s="7" t="s">
        <v>17</v>
      </c>
      <c r="D175" s="7">
        <f>EXACT(G174,"Single value")</f>
      </c>
      <c r="E175" s="7" t="s">
        <v>2620</v>
      </c>
      <c r="F175" s="7" t="s">
        <v>19</v>
      </c>
      <c r="G175" s="7">
        <v>1</v>
      </c>
      <c r="H175" s="7" t="s">
        <v>17</v>
      </c>
      <c r="I175" s="7" t="s">
        <v>17</v>
      </c>
      <c r="J175" s="7" t="s">
        <v>1609</v>
      </c>
    </row>
    <row r="176" spans="1:10" x14ac:dyDescent="0.25" outlineLevel="1" collapsed="1">
      <c r="A176" s="7" t="s">
        <v>19</v>
      </c>
      <c r="B176" s="7" t="s">
        <v>16</v>
      </c>
      <c r="C176" s="7" t="s">
        <v>17</v>
      </c>
      <c r="D176" s="7"/>
      <c r="E176" s="7" t="s">
        <v>1677</v>
      </c>
      <c r="F176" s="7" t="s">
        <v>19</v>
      </c>
      <c r="G176" s="7" t="s">
        <v>31</v>
      </c>
      <c r="H176" s="7" t="s">
        <v>17</v>
      </c>
      <c r="I176" s="7" t="s">
        <v>17</v>
      </c>
      <c r="J176" s="7" t="s">
        <v>1678</v>
      </c>
    </row>
    <row r="177" spans="1:10" x14ac:dyDescent="0.25" outlineLevel="1" collapsed="1">
      <c r="A177" s="7" t="s">
        <v>15</v>
      </c>
      <c r="B177" s="7" t="s">
        <v>16</v>
      </c>
      <c r="C177" s="7" t="s">
        <v>17</v>
      </c>
      <c r="D177" s="7"/>
      <c r="E177" s="7" t="s">
        <v>1679</v>
      </c>
      <c r="F177" s="7" t="s">
        <v>19</v>
      </c>
      <c r="G177" s="7" t="s">
        <v>31</v>
      </c>
      <c r="H177" s="7" t="s">
        <v>17</v>
      </c>
      <c r="I177" s="7" t="s">
        <v>17</v>
      </c>
      <c r="J177" s="7" t="s">
        <v>1680</v>
      </c>
    </row>
    <row r="178" spans="1:10" x14ac:dyDescent="0.25" outlineLevel="1" collapsed="1">
      <c r="A178" s="7" t="s">
        <v>15</v>
      </c>
      <c r="B178" s="7" t="s">
        <v>284</v>
      </c>
      <c r="C178" s="11" t="s">
        <v>2621</v>
      </c>
      <c r="D178" s="7"/>
      <c r="E178" s="7" t="s">
        <v>1612</v>
      </c>
      <c r="F178" s="7" t="s">
        <v>19</v>
      </c>
      <c r="G178" s="7" t="s">
        <v>1613</v>
      </c>
      <c r="H178" s="7" t="s">
        <v>17</v>
      </c>
      <c r="I178" s="7" t="s">
        <v>17</v>
      </c>
      <c r="J178" s="7" t="s">
        <v>1614</v>
      </c>
    </row>
    <row r="179" spans="1:10" x14ac:dyDescent="0.25" outlineLevel="1" collapsed="1">
      <c r="A179" s="7" t="s">
        <v>19</v>
      </c>
      <c r="B179" s="7" t="s">
        <v>16</v>
      </c>
      <c r="C179" s="7" t="s">
        <v>17</v>
      </c>
      <c r="D179" s="7"/>
      <c r="E179" s="7" t="s">
        <v>1681</v>
      </c>
      <c r="F179" s="7" t="s">
        <v>19</v>
      </c>
      <c r="G179" s="7" t="s">
        <v>31</v>
      </c>
      <c r="H179" s="7" t="s">
        <v>17</v>
      </c>
      <c r="I179" s="7" t="s">
        <v>17</v>
      </c>
      <c r="J179" s="7" t="s">
        <v>1682</v>
      </c>
    </row>
    <row r="180" spans="1:10" x14ac:dyDescent="0.25" outlineLevel="1" collapsed="1">
      <c r="A180" s="7" t="s">
        <v>19</v>
      </c>
      <c r="B180" s="7" t="s">
        <v>16</v>
      </c>
      <c r="C180" s="7" t="s">
        <v>17</v>
      </c>
      <c r="D180" s="7"/>
      <c r="E180" s="7" t="s">
        <v>1615</v>
      </c>
      <c r="F180" s="7" t="s">
        <v>19</v>
      </c>
      <c r="G180" s="7" t="s">
        <v>31</v>
      </c>
      <c r="H180" s="7" t="s">
        <v>17</v>
      </c>
      <c r="I180" s="7" t="s">
        <v>17</v>
      </c>
      <c r="J180" s="7" t="s">
        <v>1616</v>
      </c>
    </row>
    <row r="181" spans="1:10" x14ac:dyDescent="0.25">
      <c r="A181" s="5" t="s">
        <v>19</v>
      </c>
      <c r="B181" s="6" t="s">
        <v>2617</v>
      </c>
      <c r="C181" s="5" t="s">
        <v>17</v>
      </c>
      <c r="D181" s="5"/>
      <c r="E181" s="5" t="s">
        <v>1760</v>
      </c>
      <c r="F181" s="5" t="s">
        <v>19</v>
      </c>
      <c r="G181" s="5" t="s">
        <v>17</v>
      </c>
      <c r="H181" s="5" t="s">
        <v>17</v>
      </c>
      <c r="I181" s="5" t="s">
        <v>17</v>
      </c>
      <c r="J181" s="5" t="s">
        <v>1761</v>
      </c>
    </row>
    <row r="182" spans="1:10" x14ac:dyDescent="0.25" outlineLevel="1" collapsed="1">
      <c r="A182" s="7" t="s">
        <v>15</v>
      </c>
      <c r="B182" s="7" t="s">
        <v>16</v>
      </c>
      <c r="C182" s="7" t="s">
        <v>17</v>
      </c>
      <c r="D182" s="7"/>
      <c r="E182" s="7" t="s">
        <v>1670</v>
      </c>
      <c r="F182" s="7" t="s">
        <v>19</v>
      </c>
      <c r="G182" s="7" t="s">
        <v>31</v>
      </c>
      <c r="H182" s="7" t="s">
        <v>17</v>
      </c>
      <c r="I182" s="7" t="s">
        <v>17</v>
      </c>
      <c r="J182" s="7" t="s">
        <v>637</v>
      </c>
    </row>
    <row r="183" spans="1:10" x14ac:dyDescent="0.25" outlineLevel="1" collapsed="1">
      <c r="A183" s="7" t="s">
        <v>15</v>
      </c>
      <c r="B183" s="7" t="s">
        <v>16</v>
      </c>
      <c r="C183" s="7" t="s">
        <v>17</v>
      </c>
      <c r="D183" s="7"/>
      <c r="E183" s="7" t="s">
        <v>638</v>
      </c>
      <c r="F183" s="7" t="s">
        <v>19</v>
      </c>
      <c r="G183" s="7" t="s">
        <v>31</v>
      </c>
      <c r="H183" s="7" t="s">
        <v>17</v>
      </c>
      <c r="I183" s="7" t="s">
        <v>17</v>
      </c>
      <c r="J183" s="7" t="s">
        <v>640</v>
      </c>
    </row>
    <row r="184" spans="1:10" x14ac:dyDescent="0.25" outlineLevel="1" collapsed="1">
      <c r="A184" s="7" t="s">
        <v>15</v>
      </c>
      <c r="B184" s="7" t="s">
        <v>16</v>
      </c>
      <c r="C184" s="7" t="s">
        <v>17</v>
      </c>
      <c r="D184" s="7"/>
      <c r="E184" s="7" t="s">
        <v>9</v>
      </c>
      <c r="F184" s="7" t="s">
        <v>19</v>
      </c>
      <c r="G184" s="7" t="s">
        <v>31</v>
      </c>
      <c r="H184" s="7" t="s">
        <v>17</v>
      </c>
      <c r="I184" s="7" t="s">
        <v>17</v>
      </c>
      <c r="J184" s="7" t="s">
        <v>843</v>
      </c>
    </row>
    <row r="185" spans="1:10" x14ac:dyDescent="0.25" outlineLevel="1" collapsed="1">
      <c r="A185" s="7" t="s">
        <v>19</v>
      </c>
      <c r="B185" s="7" t="s">
        <v>16</v>
      </c>
      <c r="C185" s="7" t="s">
        <v>17</v>
      </c>
      <c r="D185" s="7"/>
      <c r="E185" s="7" t="s">
        <v>1600</v>
      </c>
      <c r="F185" s="7" t="s">
        <v>19</v>
      </c>
      <c r="G185" s="7" t="s">
        <v>31</v>
      </c>
      <c r="H185" s="7" t="s">
        <v>17</v>
      </c>
      <c r="I185" s="7" t="s">
        <v>17</v>
      </c>
      <c r="J185" s="7" t="s">
        <v>1424</v>
      </c>
    </row>
    <row r="186" spans="1:10" x14ac:dyDescent="0.25" outlineLevel="1" collapsed="1">
      <c r="A186" s="7" t="s">
        <v>15</v>
      </c>
      <c r="B186" s="7" t="s">
        <v>16</v>
      </c>
      <c r="C186" s="7" t="s">
        <v>17</v>
      </c>
      <c r="D186" s="7"/>
      <c r="E186" s="7" t="s">
        <v>1601</v>
      </c>
      <c r="F186" s="7" t="s">
        <v>19</v>
      </c>
      <c r="G186" s="7" t="s">
        <v>31</v>
      </c>
      <c r="H186" s="7" t="s">
        <v>17</v>
      </c>
      <c r="I186" s="7" t="s">
        <v>17</v>
      </c>
      <c r="J186" s="7" t="s">
        <v>1602</v>
      </c>
    </row>
    <row r="187" spans="1:10" x14ac:dyDescent="0.25" outlineLevel="1" collapsed="1">
      <c r="A187" s="7" t="s">
        <v>15</v>
      </c>
      <c r="B187" s="7" t="s">
        <v>16</v>
      </c>
      <c r="C187" s="7" t="s">
        <v>17</v>
      </c>
      <c r="D187" s="7"/>
      <c r="E187" s="7" t="s">
        <v>1671</v>
      </c>
      <c r="F187" s="7" t="s">
        <v>19</v>
      </c>
      <c r="G187" s="7" t="s">
        <v>31</v>
      </c>
      <c r="H187" s="7" t="s">
        <v>17</v>
      </c>
      <c r="I187" s="7" t="s">
        <v>17</v>
      </c>
      <c r="J187" s="7" t="s">
        <v>1672</v>
      </c>
    </row>
    <row r="188" spans="1:10" x14ac:dyDescent="0.25" outlineLevel="1" collapsed="1">
      <c r="A188" s="7" t="s">
        <v>15</v>
      </c>
      <c r="B188" s="7" t="s">
        <v>16</v>
      </c>
      <c r="C188" s="7" t="s">
        <v>17</v>
      </c>
      <c r="D188" s="7"/>
      <c r="E188" s="7" t="s">
        <v>1673</v>
      </c>
      <c r="F188" s="7" t="s">
        <v>19</v>
      </c>
      <c r="G188" s="7" t="s">
        <v>31</v>
      </c>
      <c r="H188" s="7" t="s">
        <v>17</v>
      </c>
      <c r="I188" s="7" t="s">
        <v>17</v>
      </c>
      <c r="J188" s="7" t="s">
        <v>1674</v>
      </c>
    </row>
    <row r="189" spans="1:10" x14ac:dyDescent="0.25" outlineLevel="1" collapsed="1">
      <c r="A189" s="7" t="s">
        <v>15</v>
      </c>
      <c r="B189" s="7" t="s">
        <v>16</v>
      </c>
      <c r="C189" s="7" t="s">
        <v>17</v>
      </c>
      <c r="D189" s="7"/>
      <c r="E189" s="7" t="s">
        <v>2618</v>
      </c>
      <c r="F189" s="7" t="s">
        <v>19</v>
      </c>
      <c r="G189" s="7" t="s">
        <v>31</v>
      </c>
      <c r="H189" s="7" t="s">
        <v>17</v>
      </c>
      <c r="I189" s="7" t="s">
        <v>17</v>
      </c>
      <c r="J189" s="7" t="s">
        <v>1422</v>
      </c>
    </row>
    <row r="190" spans="1:10" x14ac:dyDescent="0.25" outlineLevel="1" collapsed="1">
      <c r="A190" s="7" t="s">
        <v>15</v>
      </c>
      <c r="B190" s="7" t="s">
        <v>284</v>
      </c>
      <c r="C190" s="11" t="s">
        <v>2619</v>
      </c>
      <c r="D190" s="7"/>
      <c r="E190" s="7" t="s">
        <v>1605</v>
      </c>
      <c r="F190" s="7" t="s">
        <v>19</v>
      </c>
      <c r="G190" s="7" t="s">
        <v>1606</v>
      </c>
      <c r="H190" s="7" t="s">
        <v>17</v>
      </c>
      <c r="I190" s="7" t="s">
        <v>17</v>
      </c>
      <c r="J190" s="7" t="s">
        <v>1607</v>
      </c>
    </row>
    <row r="191" spans="1:10" x14ac:dyDescent="0.25" outlineLevel="1" collapsed="1">
      <c r="A191" s="7" t="s">
        <v>19</v>
      </c>
      <c r="B191" s="7" t="s">
        <v>63</v>
      </c>
      <c r="C191" s="7" t="s">
        <v>17</v>
      </c>
      <c r="D191" s="7">
        <f>EXACT(G190,"Single value")</f>
      </c>
      <c r="E191" s="7" t="s">
        <v>2620</v>
      </c>
      <c r="F191" s="7" t="s">
        <v>19</v>
      </c>
      <c r="G191" s="7">
        <v>1</v>
      </c>
      <c r="H191" s="7" t="s">
        <v>17</v>
      </c>
      <c r="I191" s="7" t="s">
        <v>17</v>
      </c>
      <c r="J191" s="7" t="s">
        <v>1609</v>
      </c>
    </row>
    <row r="192" spans="1:10" x14ac:dyDescent="0.25" outlineLevel="1" collapsed="1">
      <c r="A192" s="7" t="s">
        <v>19</v>
      </c>
      <c r="B192" s="7" t="s">
        <v>16</v>
      </c>
      <c r="C192" s="7" t="s">
        <v>17</v>
      </c>
      <c r="D192" s="7"/>
      <c r="E192" s="7" t="s">
        <v>1677</v>
      </c>
      <c r="F192" s="7" t="s">
        <v>19</v>
      </c>
      <c r="G192" s="7" t="s">
        <v>31</v>
      </c>
      <c r="H192" s="7" t="s">
        <v>17</v>
      </c>
      <c r="I192" s="7" t="s">
        <v>17</v>
      </c>
      <c r="J192" s="7" t="s">
        <v>1678</v>
      </c>
    </row>
    <row r="193" spans="1:10" x14ac:dyDescent="0.25" outlineLevel="1" collapsed="1">
      <c r="A193" s="7" t="s">
        <v>15</v>
      </c>
      <c r="B193" s="7" t="s">
        <v>16</v>
      </c>
      <c r="C193" s="7" t="s">
        <v>17</v>
      </c>
      <c r="D193" s="7"/>
      <c r="E193" s="7" t="s">
        <v>1679</v>
      </c>
      <c r="F193" s="7" t="s">
        <v>19</v>
      </c>
      <c r="G193" s="7" t="s">
        <v>31</v>
      </c>
      <c r="H193" s="7" t="s">
        <v>17</v>
      </c>
      <c r="I193" s="7" t="s">
        <v>17</v>
      </c>
      <c r="J193" s="7" t="s">
        <v>1680</v>
      </c>
    </row>
    <row r="194" spans="1:10" x14ac:dyDescent="0.25" outlineLevel="1" collapsed="1">
      <c r="A194" s="7" t="s">
        <v>15</v>
      </c>
      <c r="B194" s="7" t="s">
        <v>284</v>
      </c>
      <c r="C194" s="11" t="s">
        <v>2621</v>
      </c>
      <c r="D194" s="7"/>
      <c r="E194" s="7" t="s">
        <v>1612</v>
      </c>
      <c r="F194" s="7" t="s">
        <v>19</v>
      </c>
      <c r="G194" s="7" t="s">
        <v>1613</v>
      </c>
      <c r="H194" s="7" t="s">
        <v>17</v>
      </c>
      <c r="I194" s="7" t="s">
        <v>17</v>
      </c>
      <c r="J194" s="7" t="s">
        <v>1614</v>
      </c>
    </row>
    <row r="195" spans="1:10" x14ac:dyDescent="0.25" outlineLevel="1" collapsed="1">
      <c r="A195" s="7" t="s">
        <v>19</v>
      </c>
      <c r="B195" s="7" t="s">
        <v>16</v>
      </c>
      <c r="C195" s="7" t="s">
        <v>17</v>
      </c>
      <c r="D195" s="7"/>
      <c r="E195" s="7" t="s">
        <v>1681</v>
      </c>
      <c r="F195" s="7" t="s">
        <v>19</v>
      </c>
      <c r="G195" s="7" t="s">
        <v>31</v>
      </c>
      <c r="H195" s="7" t="s">
        <v>17</v>
      </c>
      <c r="I195" s="7" t="s">
        <v>17</v>
      </c>
      <c r="J195" s="7" t="s">
        <v>1682</v>
      </c>
    </row>
    <row r="196" spans="1:10" x14ac:dyDescent="0.25" outlineLevel="1" collapsed="1">
      <c r="A196" s="7" t="s">
        <v>19</v>
      </c>
      <c r="B196" s="7" t="s">
        <v>16</v>
      </c>
      <c r="C196" s="7" t="s">
        <v>17</v>
      </c>
      <c r="D196" s="7"/>
      <c r="E196" s="7" t="s">
        <v>1615</v>
      </c>
      <c r="F196" s="7" t="s">
        <v>19</v>
      </c>
      <c r="G196" s="7" t="s">
        <v>31</v>
      </c>
      <c r="H196" s="7" t="s">
        <v>17</v>
      </c>
      <c r="I196" s="7" t="s">
        <v>17</v>
      </c>
      <c r="J196" s="7" t="s">
        <v>1616</v>
      </c>
    </row>
    <row r="197" spans="1:10" x14ac:dyDescent="0.25">
      <c r="A197" s="5" t="s">
        <v>19</v>
      </c>
      <c r="B197" s="6" t="s">
        <v>2617</v>
      </c>
      <c r="C197" s="5" t="s">
        <v>17</v>
      </c>
      <c r="D197" s="5"/>
      <c r="E197" s="5" t="s">
        <v>1762</v>
      </c>
      <c r="F197" s="5" t="s">
        <v>19</v>
      </c>
      <c r="G197" s="5" t="s">
        <v>17</v>
      </c>
      <c r="H197" s="5" t="s">
        <v>17</v>
      </c>
      <c r="I197" s="5" t="s">
        <v>17</v>
      </c>
      <c r="J197" s="5" t="s">
        <v>1763</v>
      </c>
    </row>
    <row r="198" spans="1:10" x14ac:dyDescent="0.25" outlineLevel="1" collapsed="1">
      <c r="A198" s="7" t="s">
        <v>15</v>
      </c>
      <c r="B198" s="7" t="s">
        <v>16</v>
      </c>
      <c r="C198" s="7" t="s">
        <v>17</v>
      </c>
      <c r="D198" s="7"/>
      <c r="E198" s="7" t="s">
        <v>1670</v>
      </c>
      <c r="F198" s="7" t="s">
        <v>19</v>
      </c>
      <c r="G198" s="7" t="s">
        <v>31</v>
      </c>
      <c r="H198" s="7" t="s">
        <v>17</v>
      </c>
      <c r="I198" s="7" t="s">
        <v>17</v>
      </c>
      <c r="J198" s="7" t="s">
        <v>637</v>
      </c>
    </row>
    <row r="199" spans="1:10" x14ac:dyDescent="0.25" outlineLevel="1" collapsed="1">
      <c r="A199" s="7" t="s">
        <v>15</v>
      </c>
      <c r="B199" s="7" t="s">
        <v>16</v>
      </c>
      <c r="C199" s="7" t="s">
        <v>17</v>
      </c>
      <c r="D199" s="7"/>
      <c r="E199" s="7" t="s">
        <v>638</v>
      </c>
      <c r="F199" s="7" t="s">
        <v>19</v>
      </c>
      <c r="G199" s="7" t="s">
        <v>31</v>
      </c>
      <c r="H199" s="7" t="s">
        <v>17</v>
      </c>
      <c r="I199" s="7" t="s">
        <v>17</v>
      </c>
      <c r="J199" s="7" t="s">
        <v>640</v>
      </c>
    </row>
    <row r="200" spans="1:10" x14ac:dyDescent="0.25" outlineLevel="1" collapsed="1">
      <c r="A200" s="7" t="s">
        <v>15</v>
      </c>
      <c r="B200" s="7" t="s">
        <v>16</v>
      </c>
      <c r="C200" s="7" t="s">
        <v>17</v>
      </c>
      <c r="D200" s="7"/>
      <c r="E200" s="7" t="s">
        <v>9</v>
      </c>
      <c r="F200" s="7" t="s">
        <v>19</v>
      </c>
      <c r="G200" s="7" t="s">
        <v>31</v>
      </c>
      <c r="H200" s="7" t="s">
        <v>17</v>
      </c>
      <c r="I200" s="7" t="s">
        <v>17</v>
      </c>
      <c r="J200" s="7" t="s">
        <v>843</v>
      </c>
    </row>
    <row r="201" spans="1:10" x14ac:dyDescent="0.25" outlineLevel="1" collapsed="1">
      <c r="A201" s="7" t="s">
        <v>19</v>
      </c>
      <c r="B201" s="7" t="s">
        <v>16</v>
      </c>
      <c r="C201" s="7" t="s">
        <v>17</v>
      </c>
      <c r="D201" s="7"/>
      <c r="E201" s="7" t="s">
        <v>1600</v>
      </c>
      <c r="F201" s="7" t="s">
        <v>19</v>
      </c>
      <c r="G201" s="7" t="s">
        <v>31</v>
      </c>
      <c r="H201" s="7" t="s">
        <v>17</v>
      </c>
      <c r="I201" s="7" t="s">
        <v>17</v>
      </c>
      <c r="J201" s="7" t="s">
        <v>1424</v>
      </c>
    </row>
    <row r="202" spans="1:10" x14ac:dyDescent="0.25" outlineLevel="1" collapsed="1">
      <c r="A202" s="7" t="s">
        <v>15</v>
      </c>
      <c r="B202" s="7" t="s">
        <v>16</v>
      </c>
      <c r="C202" s="7" t="s">
        <v>17</v>
      </c>
      <c r="D202" s="7"/>
      <c r="E202" s="7" t="s">
        <v>1601</v>
      </c>
      <c r="F202" s="7" t="s">
        <v>19</v>
      </c>
      <c r="G202" s="7" t="s">
        <v>31</v>
      </c>
      <c r="H202" s="7" t="s">
        <v>17</v>
      </c>
      <c r="I202" s="7" t="s">
        <v>17</v>
      </c>
      <c r="J202" s="7" t="s">
        <v>1602</v>
      </c>
    </row>
    <row r="203" spans="1:10" x14ac:dyDescent="0.25" outlineLevel="1" collapsed="1">
      <c r="A203" s="7" t="s">
        <v>15</v>
      </c>
      <c r="B203" s="7" t="s">
        <v>16</v>
      </c>
      <c r="C203" s="7" t="s">
        <v>17</v>
      </c>
      <c r="D203" s="7"/>
      <c r="E203" s="7" t="s">
        <v>1671</v>
      </c>
      <c r="F203" s="7" t="s">
        <v>19</v>
      </c>
      <c r="G203" s="7" t="s">
        <v>31</v>
      </c>
      <c r="H203" s="7" t="s">
        <v>17</v>
      </c>
      <c r="I203" s="7" t="s">
        <v>17</v>
      </c>
      <c r="J203" s="7" t="s">
        <v>1672</v>
      </c>
    </row>
    <row r="204" spans="1:10" x14ac:dyDescent="0.25" outlineLevel="1" collapsed="1">
      <c r="A204" s="7" t="s">
        <v>15</v>
      </c>
      <c r="B204" s="7" t="s">
        <v>16</v>
      </c>
      <c r="C204" s="7" t="s">
        <v>17</v>
      </c>
      <c r="D204" s="7"/>
      <c r="E204" s="7" t="s">
        <v>1673</v>
      </c>
      <c r="F204" s="7" t="s">
        <v>19</v>
      </c>
      <c r="G204" s="7" t="s">
        <v>31</v>
      </c>
      <c r="H204" s="7" t="s">
        <v>17</v>
      </c>
      <c r="I204" s="7" t="s">
        <v>17</v>
      </c>
      <c r="J204" s="7" t="s">
        <v>1674</v>
      </c>
    </row>
    <row r="205" spans="1:10" x14ac:dyDescent="0.25" outlineLevel="1" collapsed="1">
      <c r="A205" s="7" t="s">
        <v>15</v>
      </c>
      <c r="B205" s="7" t="s">
        <v>16</v>
      </c>
      <c r="C205" s="7" t="s">
        <v>17</v>
      </c>
      <c r="D205" s="7"/>
      <c r="E205" s="7" t="s">
        <v>2618</v>
      </c>
      <c r="F205" s="7" t="s">
        <v>19</v>
      </c>
      <c r="G205" s="7" t="s">
        <v>31</v>
      </c>
      <c r="H205" s="7" t="s">
        <v>17</v>
      </c>
      <c r="I205" s="7" t="s">
        <v>17</v>
      </c>
      <c r="J205" s="7" t="s">
        <v>1422</v>
      </c>
    </row>
    <row r="206" spans="1:10" x14ac:dyDescent="0.25" outlineLevel="1" collapsed="1">
      <c r="A206" s="7" t="s">
        <v>15</v>
      </c>
      <c r="B206" s="7" t="s">
        <v>284</v>
      </c>
      <c r="C206" s="11" t="s">
        <v>2619</v>
      </c>
      <c r="D206" s="7"/>
      <c r="E206" s="7" t="s">
        <v>1605</v>
      </c>
      <c r="F206" s="7" t="s">
        <v>19</v>
      </c>
      <c r="G206" s="7" t="s">
        <v>1606</v>
      </c>
      <c r="H206" s="7" t="s">
        <v>17</v>
      </c>
      <c r="I206" s="7" t="s">
        <v>17</v>
      </c>
      <c r="J206" s="7" t="s">
        <v>1607</v>
      </c>
    </row>
    <row r="207" spans="1:10" x14ac:dyDescent="0.25" outlineLevel="1" collapsed="1">
      <c r="A207" s="7" t="s">
        <v>19</v>
      </c>
      <c r="B207" s="7" t="s">
        <v>63</v>
      </c>
      <c r="C207" s="7" t="s">
        <v>17</v>
      </c>
      <c r="D207" s="7">
        <f>EXACT(G206,"Single value")</f>
      </c>
      <c r="E207" s="7" t="s">
        <v>2620</v>
      </c>
      <c r="F207" s="7" t="s">
        <v>19</v>
      </c>
      <c r="G207" s="7">
        <v>1</v>
      </c>
      <c r="H207" s="7" t="s">
        <v>17</v>
      </c>
      <c r="I207" s="7" t="s">
        <v>17</v>
      </c>
      <c r="J207" s="7" t="s">
        <v>1609</v>
      </c>
    </row>
    <row r="208" spans="1:10" x14ac:dyDescent="0.25" outlineLevel="1" collapsed="1">
      <c r="A208" s="7" t="s">
        <v>19</v>
      </c>
      <c r="B208" s="7" t="s">
        <v>16</v>
      </c>
      <c r="C208" s="7" t="s">
        <v>17</v>
      </c>
      <c r="D208" s="7"/>
      <c r="E208" s="7" t="s">
        <v>1677</v>
      </c>
      <c r="F208" s="7" t="s">
        <v>19</v>
      </c>
      <c r="G208" s="7" t="s">
        <v>31</v>
      </c>
      <c r="H208" s="7" t="s">
        <v>17</v>
      </c>
      <c r="I208" s="7" t="s">
        <v>17</v>
      </c>
      <c r="J208" s="7" t="s">
        <v>1678</v>
      </c>
    </row>
    <row r="209" spans="1:10" x14ac:dyDescent="0.25" outlineLevel="1" collapsed="1">
      <c r="A209" s="7" t="s">
        <v>15</v>
      </c>
      <c r="B209" s="7" t="s">
        <v>16</v>
      </c>
      <c r="C209" s="7" t="s">
        <v>17</v>
      </c>
      <c r="D209" s="7"/>
      <c r="E209" s="7" t="s">
        <v>1679</v>
      </c>
      <c r="F209" s="7" t="s">
        <v>19</v>
      </c>
      <c r="G209" s="7" t="s">
        <v>31</v>
      </c>
      <c r="H209" s="7" t="s">
        <v>17</v>
      </c>
      <c r="I209" s="7" t="s">
        <v>17</v>
      </c>
      <c r="J209" s="7" t="s">
        <v>1680</v>
      </c>
    </row>
    <row r="210" spans="1:10" x14ac:dyDescent="0.25" outlineLevel="1" collapsed="1">
      <c r="A210" s="7" t="s">
        <v>15</v>
      </c>
      <c r="B210" s="7" t="s">
        <v>284</v>
      </c>
      <c r="C210" s="11" t="s">
        <v>2621</v>
      </c>
      <c r="D210" s="7"/>
      <c r="E210" s="7" t="s">
        <v>1612</v>
      </c>
      <c r="F210" s="7" t="s">
        <v>19</v>
      </c>
      <c r="G210" s="7" t="s">
        <v>1613</v>
      </c>
      <c r="H210" s="7" t="s">
        <v>17</v>
      </c>
      <c r="I210" s="7" t="s">
        <v>17</v>
      </c>
      <c r="J210" s="7" t="s">
        <v>1614</v>
      </c>
    </row>
    <row r="211" spans="1:10" x14ac:dyDescent="0.25" outlineLevel="1" collapsed="1">
      <c r="A211" s="7" t="s">
        <v>19</v>
      </c>
      <c r="B211" s="7" t="s">
        <v>16</v>
      </c>
      <c r="C211" s="7" t="s">
        <v>17</v>
      </c>
      <c r="D211" s="7"/>
      <c r="E211" s="7" t="s">
        <v>1681</v>
      </c>
      <c r="F211" s="7" t="s">
        <v>19</v>
      </c>
      <c r="G211" s="7" t="s">
        <v>31</v>
      </c>
      <c r="H211" s="7" t="s">
        <v>17</v>
      </c>
      <c r="I211" s="7" t="s">
        <v>17</v>
      </c>
      <c r="J211" s="7" t="s">
        <v>1682</v>
      </c>
    </row>
    <row r="212" spans="1:10" x14ac:dyDescent="0.25" outlineLevel="1" collapsed="1">
      <c r="A212" s="7" t="s">
        <v>19</v>
      </c>
      <c r="B212" s="7" t="s">
        <v>16</v>
      </c>
      <c r="C212" s="7" t="s">
        <v>17</v>
      </c>
      <c r="D212" s="7"/>
      <c r="E212" s="7" t="s">
        <v>1615</v>
      </c>
      <c r="F212" s="7" t="s">
        <v>19</v>
      </c>
      <c r="G212" s="7" t="s">
        <v>31</v>
      </c>
      <c r="H212" s="7" t="s">
        <v>17</v>
      </c>
      <c r="I212" s="7" t="s">
        <v>17</v>
      </c>
      <c r="J212" s="7" t="s">
        <v>1616</v>
      </c>
    </row>
    <row r="213" spans="1:10" x14ac:dyDescent="0.25">
      <c r="A213" s="5" t="s">
        <v>19</v>
      </c>
      <c r="B213" s="6" t="s">
        <v>2617</v>
      </c>
      <c r="C213" s="5" t="s">
        <v>17</v>
      </c>
      <c r="D213" s="5"/>
      <c r="E213" s="5" t="s">
        <v>1764</v>
      </c>
      <c r="F213" s="5" t="s">
        <v>19</v>
      </c>
      <c r="G213" s="5" t="s">
        <v>17</v>
      </c>
      <c r="H213" s="5" t="s">
        <v>17</v>
      </c>
      <c r="I213" s="5" t="s">
        <v>17</v>
      </c>
      <c r="J213" s="5" t="s">
        <v>1765</v>
      </c>
    </row>
    <row r="214" spans="1:10" x14ac:dyDescent="0.25" outlineLevel="1" collapsed="1">
      <c r="A214" s="7" t="s">
        <v>15</v>
      </c>
      <c r="B214" s="7" t="s">
        <v>16</v>
      </c>
      <c r="C214" s="7" t="s">
        <v>17</v>
      </c>
      <c r="D214" s="7"/>
      <c r="E214" s="7" t="s">
        <v>1670</v>
      </c>
      <c r="F214" s="7" t="s">
        <v>19</v>
      </c>
      <c r="G214" s="7" t="s">
        <v>31</v>
      </c>
      <c r="H214" s="7" t="s">
        <v>17</v>
      </c>
      <c r="I214" s="7" t="s">
        <v>17</v>
      </c>
      <c r="J214" s="7" t="s">
        <v>637</v>
      </c>
    </row>
    <row r="215" spans="1:10" x14ac:dyDescent="0.25" outlineLevel="1" collapsed="1">
      <c r="A215" s="7" t="s">
        <v>15</v>
      </c>
      <c r="B215" s="7" t="s">
        <v>16</v>
      </c>
      <c r="C215" s="7" t="s">
        <v>17</v>
      </c>
      <c r="D215" s="7"/>
      <c r="E215" s="7" t="s">
        <v>638</v>
      </c>
      <c r="F215" s="7" t="s">
        <v>19</v>
      </c>
      <c r="G215" s="7" t="s">
        <v>31</v>
      </c>
      <c r="H215" s="7" t="s">
        <v>17</v>
      </c>
      <c r="I215" s="7" t="s">
        <v>17</v>
      </c>
      <c r="J215" s="7" t="s">
        <v>640</v>
      </c>
    </row>
    <row r="216" spans="1:10" x14ac:dyDescent="0.25" outlineLevel="1" collapsed="1">
      <c r="A216" s="7" t="s">
        <v>15</v>
      </c>
      <c r="B216" s="7" t="s">
        <v>16</v>
      </c>
      <c r="C216" s="7" t="s">
        <v>17</v>
      </c>
      <c r="D216" s="7"/>
      <c r="E216" s="7" t="s">
        <v>9</v>
      </c>
      <c r="F216" s="7" t="s">
        <v>19</v>
      </c>
      <c r="G216" s="7" t="s">
        <v>31</v>
      </c>
      <c r="H216" s="7" t="s">
        <v>17</v>
      </c>
      <c r="I216" s="7" t="s">
        <v>17</v>
      </c>
      <c r="J216" s="7" t="s">
        <v>843</v>
      </c>
    </row>
    <row r="217" spans="1:10" x14ac:dyDescent="0.25" outlineLevel="1" collapsed="1">
      <c r="A217" s="7" t="s">
        <v>19</v>
      </c>
      <c r="B217" s="7" t="s">
        <v>16</v>
      </c>
      <c r="C217" s="7" t="s">
        <v>17</v>
      </c>
      <c r="D217" s="7"/>
      <c r="E217" s="7" t="s">
        <v>1600</v>
      </c>
      <c r="F217" s="7" t="s">
        <v>19</v>
      </c>
      <c r="G217" s="7" t="s">
        <v>31</v>
      </c>
      <c r="H217" s="7" t="s">
        <v>17</v>
      </c>
      <c r="I217" s="7" t="s">
        <v>17</v>
      </c>
      <c r="J217" s="7" t="s">
        <v>1424</v>
      </c>
    </row>
    <row r="218" spans="1:10" x14ac:dyDescent="0.25" outlineLevel="1" collapsed="1">
      <c r="A218" s="7" t="s">
        <v>15</v>
      </c>
      <c r="B218" s="7" t="s">
        <v>16</v>
      </c>
      <c r="C218" s="7" t="s">
        <v>17</v>
      </c>
      <c r="D218" s="7"/>
      <c r="E218" s="7" t="s">
        <v>1601</v>
      </c>
      <c r="F218" s="7" t="s">
        <v>19</v>
      </c>
      <c r="G218" s="7" t="s">
        <v>31</v>
      </c>
      <c r="H218" s="7" t="s">
        <v>17</v>
      </c>
      <c r="I218" s="7" t="s">
        <v>17</v>
      </c>
      <c r="J218" s="7" t="s">
        <v>1602</v>
      </c>
    </row>
    <row r="219" spans="1:10" x14ac:dyDescent="0.25" outlineLevel="1" collapsed="1">
      <c r="A219" s="7" t="s">
        <v>15</v>
      </c>
      <c r="B219" s="7" t="s">
        <v>16</v>
      </c>
      <c r="C219" s="7" t="s">
        <v>17</v>
      </c>
      <c r="D219" s="7"/>
      <c r="E219" s="7" t="s">
        <v>1671</v>
      </c>
      <c r="F219" s="7" t="s">
        <v>19</v>
      </c>
      <c r="G219" s="7" t="s">
        <v>31</v>
      </c>
      <c r="H219" s="7" t="s">
        <v>17</v>
      </c>
      <c r="I219" s="7" t="s">
        <v>17</v>
      </c>
      <c r="J219" s="7" t="s">
        <v>1672</v>
      </c>
    </row>
    <row r="220" spans="1:10" x14ac:dyDescent="0.25" outlineLevel="1" collapsed="1">
      <c r="A220" s="7" t="s">
        <v>15</v>
      </c>
      <c r="B220" s="7" t="s">
        <v>16</v>
      </c>
      <c r="C220" s="7" t="s">
        <v>17</v>
      </c>
      <c r="D220" s="7"/>
      <c r="E220" s="7" t="s">
        <v>1673</v>
      </c>
      <c r="F220" s="7" t="s">
        <v>19</v>
      </c>
      <c r="G220" s="7" t="s">
        <v>31</v>
      </c>
      <c r="H220" s="7" t="s">
        <v>17</v>
      </c>
      <c r="I220" s="7" t="s">
        <v>17</v>
      </c>
      <c r="J220" s="7" t="s">
        <v>1674</v>
      </c>
    </row>
    <row r="221" spans="1:10" x14ac:dyDescent="0.25" outlineLevel="1" collapsed="1">
      <c r="A221" s="7" t="s">
        <v>15</v>
      </c>
      <c r="B221" s="7" t="s">
        <v>16</v>
      </c>
      <c r="C221" s="7" t="s">
        <v>17</v>
      </c>
      <c r="D221" s="7"/>
      <c r="E221" s="7" t="s">
        <v>2618</v>
      </c>
      <c r="F221" s="7" t="s">
        <v>19</v>
      </c>
      <c r="G221" s="7" t="s">
        <v>31</v>
      </c>
      <c r="H221" s="7" t="s">
        <v>17</v>
      </c>
      <c r="I221" s="7" t="s">
        <v>17</v>
      </c>
      <c r="J221" s="7" t="s">
        <v>1422</v>
      </c>
    </row>
    <row r="222" spans="1:10" x14ac:dyDescent="0.25" outlineLevel="1" collapsed="1">
      <c r="A222" s="7" t="s">
        <v>15</v>
      </c>
      <c r="B222" s="7" t="s">
        <v>284</v>
      </c>
      <c r="C222" s="11" t="s">
        <v>2619</v>
      </c>
      <c r="D222" s="7"/>
      <c r="E222" s="7" t="s">
        <v>1605</v>
      </c>
      <c r="F222" s="7" t="s">
        <v>19</v>
      </c>
      <c r="G222" s="7" t="s">
        <v>1606</v>
      </c>
      <c r="H222" s="7" t="s">
        <v>17</v>
      </c>
      <c r="I222" s="7" t="s">
        <v>17</v>
      </c>
      <c r="J222" s="7" t="s">
        <v>1607</v>
      </c>
    </row>
    <row r="223" spans="1:10" x14ac:dyDescent="0.25" outlineLevel="1" collapsed="1">
      <c r="A223" s="7" t="s">
        <v>19</v>
      </c>
      <c r="B223" s="7" t="s">
        <v>63</v>
      </c>
      <c r="C223" s="7" t="s">
        <v>17</v>
      </c>
      <c r="D223" s="7">
        <f>EXACT(G222,"Single value")</f>
      </c>
      <c r="E223" s="7" t="s">
        <v>2620</v>
      </c>
      <c r="F223" s="7" t="s">
        <v>19</v>
      </c>
      <c r="G223" s="7">
        <v>1</v>
      </c>
      <c r="H223" s="7" t="s">
        <v>17</v>
      </c>
      <c r="I223" s="7" t="s">
        <v>17</v>
      </c>
      <c r="J223" s="7" t="s">
        <v>1609</v>
      </c>
    </row>
    <row r="224" spans="1:10" x14ac:dyDescent="0.25" outlineLevel="1" collapsed="1">
      <c r="A224" s="7" t="s">
        <v>19</v>
      </c>
      <c r="B224" s="7" t="s">
        <v>16</v>
      </c>
      <c r="C224" s="7" t="s">
        <v>17</v>
      </c>
      <c r="D224" s="7"/>
      <c r="E224" s="7" t="s">
        <v>1677</v>
      </c>
      <c r="F224" s="7" t="s">
        <v>19</v>
      </c>
      <c r="G224" s="7" t="s">
        <v>31</v>
      </c>
      <c r="H224" s="7" t="s">
        <v>17</v>
      </c>
      <c r="I224" s="7" t="s">
        <v>17</v>
      </c>
      <c r="J224" s="7" t="s">
        <v>1678</v>
      </c>
    </row>
    <row r="225" spans="1:10" x14ac:dyDescent="0.25" outlineLevel="1" collapsed="1">
      <c r="A225" s="7" t="s">
        <v>15</v>
      </c>
      <c r="B225" s="7" t="s">
        <v>16</v>
      </c>
      <c r="C225" s="7" t="s">
        <v>17</v>
      </c>
      <c r="D225" s="7"/>
      <c r="E225" s="7" t="s">
        <v>1679</v>
      </c>
      <c r="F225" s="7" t="s">
        <v>19</v>
      </c>
      <c r="G225" s="7" t="s">
        <v>31</v>
      </c>
      <c r="H225" s="7" t="s">
        <v>17</v>
      </c>
      <c r="I225" s="7" t="s">
        <v>17</v>
      </c>
      <c r="J225" s="7" t="s">
        <v>1680</v>
      </c>
    </row>
    <row r="226" spans="1:10" x14ac:dyDescent="0.25" outlineLevel="1" collapsed="1">
      <c r="A226" s="7" t="s">
        <v>15</v>
      </c>
      <c r="B226" s="7" t="s">
        <v>284</v>
      </c>
      <c r="C226" s="11" t="s">
        <v>2621</v>
      </c>
      <c r="D226" s="7"/>
      <c r="E226" s="7" t="s">
        <v>1612</v>
      </c>
      <c r="F226" s="7" t="s">
        <v>19</v>
      </c>
      <c r="G226" s="7" t="s">
        <v>1613</v>
      </c>
      <c r="H226" s="7" t="s">
        <v>17</v>
      </c>
      <c r="I226" s="7" t="s">
        <v>17</v>
      </c>
      <c r="J226" s="7" t="s">
        <v>1614</v>
      </c>
    </row>
    <row r="227" spans="1:10" x14ac:dyDescent="0.25" outlineLevel="1" collapsed="1">
      <c r="A227" s="7" t="s">
        <v>19</v>
      </c>
      <c r="B227" s="7" t="s">
        <v>16</v>
      </c>
      <c r="C227" s="7" t="s">
        <v>17</v>
      </c>
      <c r="D227" s="7"/>
      <c r="E227" s="7" t="s">
        <v>1681</v>
      </c>
      <c r="F227" s="7" t="s">
        <v>19</v>
      </c>
      <c r="G227" s="7" t="s">
        <v>31</v>
      </c>
      <c r="H227" s="7" t="s">
        <v>17</v>
      </c>
      <c r="I227" s="7" t="s">
        <v>17</v>
      </c>
      <c r="J227" s="7" t="s">
        <v>1682</v>
      </c>
    </row>
    <row r="228" spans="1:10" x14ac:dyDescent="0.25" outlineLevel="1" collapsed="1">
      <c r="A228" s="7" t="s">
        <v>19</v>
      </c>
      <c r="B228" s="7" t="s">
        <v>16</v>
      </c>
      <c r="C228" s="7" t="s">
        <v>17</v>
      </c>
      <c r="D228" s="7"/>
      <c r="E228" s="7" t="s">
        <v>1615</v>
      </c>
      <c r="F228" s="7" t="s">
        <v>19</v>
      </c>
      <c r="G228" s="7" t="s">
        <v>31</v>
      </c>
      <c r="H228" s="7" t="s">
        <v>17</v>
      </c>
      <c r="I228" s="7" t="s">
        <v>17</v>
      </c>
      <c r="J228" s="7" t="s">
        <v>1616</v>
      </c>
    </row>
    <row r="229" spans="1:10" x14ac:dyDescent="0.25">
      <c r="A229" s="5" t="s">
        <v>19</v>
      </c>
      <c r="B229" s="6" t="s">
        <v>1766</v>
      </c>
      <c r="C229" s="5" t="s">
        <v>17</v>
      </c>
      <c r="D229" s="5"/>
      <c r="E229" s="5" t="s">
        <v>1767</v>
      </c>
      <c r="F229" s="5" t="s">
        <v>15</v>
      </c>
      <c r="G229" s="5" t="s">
        <v>17</v>
      </c>
      <c r="H229" s="5" t="s">
        <v>17</v>
      </c>
      <c r="I229" s="5" t="s">
        <v>17</v>
      </c>
      <c r="J229" s="5" t="s">
        <v>1768</v>
      </c>
    </row>
    <row r="230" spans="1:10" x14ac:dyDescent="0.25" outlineLevel="1" collapsed="1">
      <c r="A230" s="7" t="s">
        <v>15</v>
      </c>
      <c r="B230" s="7" t="s">
        <v>16</v>
      </c>
      <c r="C230" s="7" t="s">
        <v>17</v>
      </c>
      <c r="D230" s="7"/>
      <c r="E230" s="7" t="s">
        <v>1769</v>
      </c>
      <c r="F230" s="7" t="s">
        <v>19</v>
      </c>
      <c r="G230" s="7" t="s">
        <v>31</v>
      </c>
      <c r="H230" s="7" t="s">
        <v>17</v>
      </c>
      <c r="I230" s="7" t="s">
        <v>17</v>
      </c>
      <c r="J230" s="7" t="s">
        <v>1770</v>
      </c>
    </row>
    <row r="231" spans="1:10" x14ac:dyDescent="0.25" outlineLevel="1" collapsed="1">
      <c r="A231" s="7" t="s">
        <v>15</v>
      </c>
      <c r="B231" s="7" t="s">
        <v>63</v>
      </c>
      <c r="C231" s="7" t="s">
        <v>17</v>
      </c>
      <c r="D231" s="7"/>
      <c r="E231" s="7" t="s">
        <v>1771</v>
      </c>
      <c r="F231" s="7" t="s">
        <v>19</v>
      </c>
      <c r="G231" s="7">
        <v>1</v>
      </c>
      <c r="H231" s="7" t="s">
        <v>17</v>
      </c>
      <c r="I231" s="7" t="s">
        <v>17</v>
      </c>
      <c r="J231" s="7" t="s">
        <v>1739</v>
      </c>
    </row>
    <row r="232" spans="1:10" x14ac:dyDescent="0.25" outlineLevel="1" collapsed="1">
      <c r="A232" s="7" t="s">
        <v>19</v>
      </c>
      <c r="B232" s="7" t="s">
        <v>63</v>
      </c>
      <c r="C232" s="7" t="s">
        <v>17</v>
      </c>
      <c r="D232" s="7"/>
      <c r="E232" s="7" t="s">
        <v>1772</v>
      </c>
      <c r="F232" s="7" t="s">
        <v>19</v>
      </c>
      <c r="G232" s="7">
        <v>1</v>
      </c>
      <c r="H232" s="7" t="s">
        <v>17</v>
      </c>
      <c r="I232" s="7" t="s">
        <v>17</v>
      </c>
      <c r="J232" s="7" t="s">
        <v>1656</v>
      </c>
    </row>
    <row r="233" spans="1:10" x14ac:dyDescent="0.25" outlineLevel="1" collapsed="1">
      <c r="A233" s="7" t="s">
        <v>15</v>
      </c>
      <c r="B233" s="7" t="s">
        <v>63</v>
      </c>
      <c r="C233" s="7" t="s">
        <v>17</v>
      </c>
      <c r="D233" s="7"/>
      <c r="E233" s="7" t="s">
        <v>1773</v>
      </c>
      <c r="F233" s="7" t="s">
        <v>19</v>
      </c>
      <c r="G233" s="7">
        <v>1</v>
      </c>
      <c r="H233" s="7" t="s">
        <v>17</v>
      </c>
      <c r="I233" s="7" t="s">
        <v>17</v>
      </c>
      <c r="J233" s="7" t="s">
        <v>1741</v>
      </c>
    </row>
    <row r="234" spans="1:10" x14ac:dyDescent="0.25" outlineLevel="1" collapsed="1">
      <c r="A234" s="7" t="s">
        <v>19</v>
      </c>
      <c r="B234" s="7" t="s">
        <v>63</v>
      </c>
      <c r="C234" s="7" t="s">
        <v>17</v>
      </c>
      <c r="D234" s="7"/>
      <c r="E234" s="7" t="s">
        <v>1774</v>
      </c>
      <c r="F234" s="7" t="s">
        <v>19</v>
      </c>
      <c r="G234" s="7">
        <v>1</v>
      </c>
      <c r="H234" s="7" t="s">
        <v>17</v>
      </c>
      <c r="I234" s="7" t="s">
        <v>17</v>
      </c>
      <c r="J234" s="7" t="s">
        <v>1761</v>
      </c>
    </row>
    <row r="235" spans="1:10" x14ac:dyDescent="0.25" outlineLevel="1" collapsed="1">
      <c r="A235" s="7" t="s">
        <v>19</v>
      </c>
      <c r="B235" s="7" t="s">
        <v>63</v>
      </c>
      <c r="C235" s="7" t="s">
        <v>17</v>
      </c>
      <c r="D235" s="7"/>
      <c r="E235" s="7" t="s">
        <v>1775</v>
      </c>
      <c r="F235" s="7" t="s">
        <v>19</v>
      </c>
      <c r="G235" s="7">
        <v>1</v>
      </c>
      <c r="H235" s="7" t="s">
        <v>17</v>
      </c>
      <c r="I235" s="7" t="s">
        <v>17</v>
      </c>
      <c r="J235" s="7" t="s">
        <v>1765</v>
      </c>
    </row>
    <row r="236" spans="1:10" x14ac:dyDescent="0.25" outlineLevel="1" collapsed="1">
      <c r="A236" s="7" t="s">
        <v>19</v>
      </c>
      <c r="B236" s="7" t="s">
        <v>63</v>
      </c>
      <c r="C236" s="7" t="s">
        <v>17</v>
      </c>
      <c r="D236" s="7"/>
      <c r="E236" s="7" t="s">
        <v>1776</v>
      </c>
      <c r="F236" s="7" t="s">
        <v>19</v>
      </c>
      <c r="G236" s="7">
        <v>1</v>
      </c>
      <c r="H236" s="7" t="s">
        <v>17</v>
      </c>
      <c r="I236" s="7" t="s">
        <v>17</v>
      </c>
      <c r="J236" s="7" t="s">
        <v>1763</v>
      </c>
    </row>
    <row r="237" spans="1:10" x14ac:dyDescent="0.25">
      <c r="A237" s="5" t="s">
        <v>19</v>
      </c>
      <c r="B237" s="6" t="s">
        <v>1777</v>
      </c>
      <c r="C237" s="5" t="s">
        <v>17</v>
      </c>
      <c r="D237" s="5"/>
      <c r="E237" s="5" t="s">
        <v>1778</v>
      </c>
      <c r="F237" s="5" t="s">
        <v>15</v>
      </c>
      <c r="G237" s="5" t="s">
        <v>17</v>
      </c>
      <c r="H237" s="5" t="s">
        <v>17</v>
      </c>
      <c r="I237" s="5" t="s">
        <v>17</v>
      </c>
      <c r="J237" s="5" t="s">
        <v>1779</v>
      </c>
    </row>
    <row r="238" spans="1:10" x14ac:dyDescent="0.25" outlineLevel="1" collapsed="1">
      <c r="A238" s="7" t="s">
        <v>15</v>
      </c>
      <c r="B238" s="7" t="s">
        <v>16</v>
      </c>
      <c r="C238" s="7" t="s">
        <v>17</v>
      </c>
      <c r="D238" s="7"/>
      <c r="E238" s="7" t="s">
        <v>1780</v>
      </c>
      <c r="F238" s="7" t="s">
        <v>19</v>
      </c>
      <c r="G238" s="7" t="s">
        <v>31</v>
      </c>
      <c r="H238" s="7" t="s">
        <v>17</v>
      </c>
      <c r="I238" s="7" t="s">
        <v>17</v>
      </c>
      <c r="J238" s="7" t="s">
        <v>1781</v>
      </c>
    </row>
    <row r="239" spans="1:10" x14ac:dyDescent="0.25" outlineLevel="1" collapsed="1">
      <c r="A239" s="7" t="s">
        <v>19</v>
      </c>
      <c r="B239" s="7" t="s">
        <v>63</v>
      </c>
      <c r="C239" s="7" t="s">
        <v>17</v>
      </c>
      <c r="D239" s="7"/>
      <c r="E239" s="7" t="s">
        <v>1782</v>
      </c>
      <c r="F239" s="7" t="s">
        <v>19</v>
      </c>
      <c r="G239" s="7">
        <v>1</v>
      </c>
      <c r="H239" s="7" t="s">
        <v>17</v>
      </c>
      <c r="I239" s="7" t="s">
        <v>17</v>
      </c>
      <c r="J239" s="7" t="s">
        <v>1745</v>
      </c>
    </row>
    <row r="240" spans="1:10" x14ac:dyDescent="0.25" outlineLevel="1" collapsed="1">
      <c r="A240" s="7" t="s">
        <v>19</v>
      </c>
      <c r="B240" s="7" t="s">
        <v>63</v>
      </c>
      <c r="C240" s="7" t="s">
        <v>17</v>
      </c>
      <c r="D240" s="7"/>
      <c r="E240" s="7" t="s">
        <v>1783</v>
      </c>
      <c r="F240" s="7" t="s">
        <v>19</v>
      </c>
      <c r="G240" s="7">
        <v>1</v>
      </c>
      <c r="H240" s="7" t="s">
        <v>17</v>
      </c>
      <c r="I240" s="7" t="s">
        <v>17</v>
      </c>
      <c r="J240" s="7" t="s">
        <v>1755</v>
      </c>
    </row>
    <row r="241" spans="1:10" x14ac:dyDescent="0.25" outlineLevel="1" collapsed="1">
      <c r="A241" s="7" t="s">
        <v>19</v>
      </c>
      <c r="B241" s="7" t="s">
        <v>63</v>
      </c>
      <c r="C241" s="7" t="s">
        <v>17</v>
      </c>
      <c r="D241" s="7"/>
      <c r="E241" s="7" t="s">
        <v>1784</v>
      </c>
      <c r="F241" s="7" t="s">
        <v>19</v>
      </c>
      <c r="G241" s="7">
        <v>1</v>
      </c>
      <c r="H241" s="7" t="s">
        <v>17</v>
      </c>
      <c r="I241" s="7" t="s">
        <v>17</v>
      </c>
      <c r="J241" s="7" t="s">
        <v>1759</v>
      </c>
    </row>
    <row r="242" spans="1:10" x14ac:dyDescent="0.25" outlineLevel="1" collapsed="1">
      <c r="A242" s="7" t="s">
        <v>19</v>
      </c>
      <c r="B242" s="7" t="s">
        <v>63</v>
      </c>
      <c r="C242" s="7" t="s">
        <v>17</v>
      </c>
      <c r="D242" s="7"/>
      <c r="E242" s="7" t="s">
        <v>1785</v>
      </c>
      <c r="F242" s="7" t="s">
        <v>19</v>
      </c>
      <c r="G242" s="7">
        <v>1</v>
      </c>
      <c r="H242" s="7" t="s">
        <v>17</v>
      </c>
      <c r="I242" s="7" t="s">
        <v>17</v>
      </c>
      <c r="J242" s="7" t="s">
        <v>1658</v>
      </c>
    </row>
    <row r="243" spans="1:10" x14ac:dyDescent="0.25" outlineLevel="1" collapsed="1">
      <c r="A243" s="7" t="s">
        <v>19</v>
      </c>
      <c r="B243" s="7" t="s">
        <v>63</v>
      </c>
      <c r="C243" s="7" t="s">
        <v>17</v>
      </c>
      <c r="D243" s="7"/>
      <c r="E243" s="7" t="s">
        <v>1786</v>
      </c>
      <c r="F243" s="7" t="s">
        <v>19</v>
      </c>
      <c r="G243" s="7">
        <v>1</v>
      </c>
      <c r="H243" s="7" t="s">
        <v>17</v>
      </c>
      <c r="I243" s="7" t="s">
        <v>17</v>
      </c>
      <c r="J243" s="7" t="s">
        <v>1747</v>
      </c>
    </row>
    <row r="244" spans="1:10" x14ac:dyDescent="0.25" outlineLevel="1" collapsed="1">
      <c r="A244" s="7" t="s">
        <v>15</v>
      </c>
      <c r="B244" s="7" t="s">
        <v>16</v>
      </c>
      <c r="C244" s="7" t="s">
        <v>17</v>
      </c>
      <c r="D244" s="7"/>
      <c r="E244" s="7" t="s">
        <v>1787</v>
      </c>
      <c r="F244" s="7" t="s">
        <v>19</v>
      </c>
      <c r="G244" s="7" t="s">
        <v>31</v>
      </c>
      <c r="H244" s="7" t="s">
        <v>17</v>
      </c>
      <c r="I244" s="7" t="s">
        <v>17</v>
      </c>
      <c r="J244" s="7" t="s">
        <v>1725</v>
      </c>
    </row>
    <row r="245" spans="1:10" x14ac:dyDescent="0.25" outlineLevel="1" collapsed="1">
      <c r="A245" s="7" t="s">
        <v>19</v>
      </c>
      <c r="B245" s="7" t="s">
        <v>63</v>
      </c>
      <c r="C245" s="7" t="s">
        <v>17</v>
      </c>
      <c r="D245" s="7"/>
      <c r="E245" s="7" t="s">
        <v>1788</v>
      </c>
      <c r="F245" s="7" t="s">
        <v>19</v>
      </c>
      <c r="G245" s="7">
        <v>1</v>
      </c>
      <c r="H245" s="7" t="s">
        <v>17</v>
      </c>
      <c r="I245" s="7" t="s">
        <v>17</v>
      </c>
      <c r="J245" s="7" t="s">
        <v>1749</v>
      </c>
    </row>
    <row r="246" spans="1:10" x14ac:dyDescent="0.25" outlineLevel="1" collapsed="1">
      <c r="A246" s="7" t="s">
        <v>19</v>
      </c>
      <c r="B246" s="7" t="s">
        <v>63</v>
      </c>
      <c r="C246" s="7" t="s">
        <v>17</v>
      </c>
      <c r="D246" s="7"/>
      <c r="E246" s="7" t="s">
        <v>1789</v>
      </c>
      <c r="F246" s="7" t="s">
        <v>19</v>
      </c>
      <c r="G246" s="7">
        <v>1</v>
      </c>
      <c r="H246" s="7" t="s">
        <v>17</v>
      </c>
      <c r="I246" s="7" t="s">
        <v>17</v>
      </c>
      <c r="J246" s="7" t="s">
        <v>1751</v>
      </c>
    </row>
    <row r="247" spans="1:10" x14ac:dyDescent="0.25" outlineLevel="1" collapsed="1">
      <c r="A247" s="7" t="s">
        <v>19</v>
      </c>
      <c r="B247" s="7" t="s">
        <v>63</v>
      </c>
      <c r="C247" s="7" t="s">
        <v>17</v>
      </c>
      <c r="D247" s="7"/>
      <c r="E247" s="7" t="s">
        <v>1790</v>
      </c>
      <c r="F247" s="7" t="s">
        <v>19</v>
      </c>
      <c r="G247" s="7">
        <v>1</v>
      </c>
      <c r="H247" s="7" t="s">
        <v>17</v>
      </c>
      <c r="I247" s="7" t="s">
        <v>17</v>
      </c>
      <c r="J247" s="7" t="s">
        <v>1753</v>
      </c>
    </row>
  </sheetData>
  <mergeCells count="3">
    <mergeCell ref="A1:J1"/>
    <mergeCell ref="B2:J2"/>
    <mergeCell ref="B3:J3"/>
  </mergeCells>
  <dataValidations count="28">
    <dataValidation type="list" allowBlank="1" sqref="G110:I110">
      <formula1>'Enums'!C587:C588</formula1>
    </dataValidation>
    <dataValidation type="list" allowBlank="1" sqref="G114:I114">
      <formula1>'Enums'!C589:C593</formula1>
    </dataValidation>
    <dataValidation type="list" allowBlank="1" sqref="G126:I126">
      <formula1>'Enums'!C587:C588</formula1>
    </dataValidation>
    <dataValidation type="list" allowBlank="1" sqref="G130:I130">
      <formula1>'Enums'!C589:C593</formula1>
    </dataValidation>
    <dataValidation type="list" allowBlank="1" sqref="G14:I14">
      <formula1>'Enums'!C587:C588</formula1>
    </dataValidation>
    <dataValidation type="list" allowBlank="1" sqref="G142:I142">
      <formula1>'Enums'!C587:C588</formula1>
    </dataValidation>
    <dataValidation type="list" allowBlank="1" sqref="G146:I146">
      <formula1>'Enums'!C589:C593</formula1>
    </dataValidation>
    <dataValidation type="list" allowBlank="1" sqref="G158:I158">
      <formula1>'Enums'!C587:C588</formula1>
    </dataValidation>
    <dataValidation type="list" allowBlank="1" sqref="G162:I162">
      <formula1>'Enums'!C589:C593</formula1>
    </dataValidation>
    <dataValidation type="list" allowBlank="1" sqref="G174:I174">
      <formula1>'Enums'!C587:C588</formula1>
    </dataValidation>
    <dataValidation type="list" allowBlank="1" sqref="G178:I178">
      <formula1>'Enums'!C589:C593</formula1>
    </dataValidation>
    <dataValidation type="list" allowBlank="1" sqref="G18:I18">
      <formula1>'Enums'!C589:C593</formula1>
    </dataValidation>
    <dataValidation type="list" allowBlank="1" sqref="G190:I190">
      <formula1>'Enums'!C587:C588</formula1>
    </dataValidation>
    <dataValidation type="list" allowBlank="1" sqref="G194:I194">
      <formula1>'Enums'!C589:C593</formula1>
    </dataValidation>
    <dataValidation type="list" allowBlank="1" sqref="G206:I206">
      <formula1>'Enums'!C587:C588</formula1>
    </dataValidation>
    <dataValidation type="list" allowBlank="1" sqref="G210:I210">
      <formula1>'Enums'!C589:C593</formula1>
    </dataValidation>
    <dataValidation type="list" allowBlank="1" sqref="G222:I222">
      <formula1>'Enums'!C587:C588</formula1>
    </dataValidation>
    <dataValidation type="list" allowBlank="1" sqref="G226:I226">
      <formula1>'Enums'!C589:C593</formula1>
    </dataValidation>
    <dataValidation type="list" allowBlank="1" sqref="G30:I30">
      <formula1>'Enums'!C587:C588</formula1>
    </dataValidation>
    <dataValidation type="list" allowBlank="1" sqref="G34:I34">
      <formula1>'Enums'!C589:C593</formula1>
    </dataValidation>
    <dataValidation type="list" allowBlank="1" sqref="G46:I46">
      <formula1>'Enums'!C587:C588</formula1>
    </dataValidation>
    <dataValidation type="list" allowBlank="1" sqref="G50:I50">
      <formula1>'Enums'!C589:C593</formula1>
    </dataValidation>
    <dataValidation type="list" allowBlank="1" sqref="G62:I62">
      <formula1>'Enums'!C587:C588</formula1>
    </dataValidation>
    <dataValidation type="list" allowBlank="1" sqref="G66:I66">
      <formula1>'Enums'!C589:C593</formula1>
    </dataValidation>
    <dataValidation type="list" allowBlank="1" sqref="G78:I78">
      <formula1>'Enums'!C587:C588</formula1>
    </dataValidation>
    <dataValidation type="list" allowBlank="1" sqref="G82:I82">
      <formula1>'Enums'!C589:C593</formula1>
    </dataValidation>
    <dataValidation type="list" allowBlank="1" sqref="G94:I94">
      <formula1>'Enums'!C587:C588</formula1>
    </dataValidation>
    <dataValidation type="list" allowBlank="1" sqref="G98:I98">
      <formula1>'Enums'!C589:C593</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5" r:id="rId6" location="#'VMR0015 A2.2 DataParameter Mon'!A1"/>
    <hyperlink ref="B101" r:id="rId7" location="#'VMR0015 A2.2 DataParameter Mon'!A1"/>
    <hyperlink ref="B117" r:id="rId8" location="#'VMR0015 A2.2 DataParameter Mon'!A1"/>
    <hyperlink ref="B133" r:id="rId9" location="#'VMR0015 A2.2 DataParameter Mon'!A1"/>
    <hyperlink ref="B149" r:id="rId10" location="#'VMR0015 A2.2 DataParameter Mon'!A1"/>
    <hyperlink ref="B165" r:id="rId11" location="#'VMR0015 A2.2 DataParameter Mon'!A1"/>
    <hyperlink ref="B181" r:id="rId12" location="#'VMR0015 A2.2 DataParameter Mon'!A1"/>
    <hyperlink ref="B197" r:id="rId13" location="#'VMR0015 A2.2 DataParameter Mon'!A1"/>
    <hyperlink ref="B213" r:id="rId14" location="#'VMR0015 A2.2 DataParameter Mon'!A1"/>
    <hyperlink ref="B229" r:id="rId15" location="#'VT0010 grid load row (load L;'!A1"/>
    <hyperlink ref="B237" r:id="rId16" location="#'VT0010 shared plant fuel row ('!A1"/>
  </hyperlinks>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3436</v>
      </c>
      <c r="B1" s="1"/>
      <c r="C1" s="1"/>
      <c r="D1" s="1"/>
      <c r="E1" s="1"/>
      <c r="F1" s="1"/>
      <c r="G1" s="1"/>
      <c r="H1" s="1"/>
      <c r="I1" s="1"/>
      <c r="J1" s="1"/>
    </row>
    <row r="2" spans="1:10" x14ac:dyDescent="0.25">
      <c r="A2" s="2" t="s">
        <v>1</v>
      </c>
      <c r="B2" s="3" t="s">
        <v>3437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2617</v>
      </c>
      <c r="C5" s="5" t="s">
        <v>17</v>
      </c>
      <c r="D5" s="5"/>
      <c r="E5" s="5" t="s">
        <v>1794</v>
      </c>
      <c r="F5" s="5" t="s">
        <v>19</v>
      </c>
      <c r="G5" s="5" t="s">
        <v>17</v>
      </c>
      <c r="H5" s="5" t="s">
        <v>17</v>
      </c>
      <c r="I5" s="5" t="s">
        <v>17</v>
      </c>
      <c r="J5" s="5" t="s">
        <v>1795</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2618</v>
      </c>
      <c r="F13" s="7" t="s">
        <v>19</v>
      </c>
      <c r="G13" s="7" t="s">
        <v>31</v>
      </c>
      <c r="H13" s="7" t="s">
        <v>17</v>
      </c>
      <c r="I13" s="7" t="s">
        <v>17</v>
      </c>
      <c r="J13" s="7" t="s">
        <v>1422</v>
      </c>
    </row>
    <row r="14" spans="1:10" x14ac:dyDescent="0.25" outlineLevel="1" collapsed="1">
      <c r="A14" s="7" t="s">
        <v>15</v>
      </c>
      <c r="B14" s="7" t="s">
        <v>284</v>
      </c>
      <c r="C14" s="11" t="s">
        <v>2619</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2620</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2621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sheetData>
  <mergeCells count="3">
    <mergeCell ref="A1:J1"/>
    <mergeCell ref="B2:J2"/>
    <mergeCell ref="B3:J3"/>
  </mergeCells>
  <dataValidations count="2">
    <dataValidation type="list" allowBlank="1" sqref="G14:I14">
      <formula1>'Enums'!C587:C588</formula1>
    </dataValidation>
    <dataValidation type="list" allowBlank="1" sqref="G18:I18">
      <formula1>'Enums'!C589:C593</formula1>
    </dataValidation>
  </dataValidations>
  <hyperlinks>
    <hyperlink ref="B5" r:id="rId1" location="#'VMR0015 A2.2 DataParameter Mon'!A1"/>
  </hyperlinks>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3438</v>
      </c>
      <c r="B1" s="1"/>
      <c r="C1" s="1"/>
      <c r="D1" s="1"/>
      <c r="E1" s="1"/>
      <c r="F1" s="1"/>
      <c r="G1" s="1"/>
      <c r="H1" s="1"/>
      <c r="I1" s="1"/>
      <c r="J1" s="1"/>
    </row>
    <row r="2" spans="1:10" x14ac:dyDescent="0.25">
      <c r="A2" s="2" t="s">
        <v>1</v>
      </c>
      <c r="B2" s="3" t="s">
        <v>3431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1667</v>
      </c>
      <c r="C5" s="5" t="s">
        <v>17</v>
      </c>
      <c r="D5" s="5"/>
      <c r="E5" s="5" t="s">
        <v>1668</v>
      </c>
      <c r="F5" s="5" t="s">
        <v>19</v>
      </c>
      <c r="G5" s="5" t="s">
        <v>17</v>
      </c>
      <c r="H5" s="5" t="s">
        <v>17</v>
      </c>
      <c r="I5" s="5" t="s">
        <v>17</v>
      </c>
      <c r="J5" s="5" t="s">
        <v>1669</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1675</v>
      </c>
      <c r="F13" s="7" t="s">
        <v>19</v>
      </c>
      <c r="G13" s="7" t="s">
        <v>31</v>
      </c>
      <c r="H13" s="7" t="s">
        <v>17</v>
      </c>
      <c r="I13" s="7" t="s">
        <v>17</v>
      </c>
      <c r="J13" s="7" t="s">
        <v>1422</v>
      </c>
    </row>
    <row r="14" spans="1:10" x14ac:dyDescent="0.25" outlineLevel="1" collapsed="1">
      <c r="A14" s="7" t="s">
        <v>15</v>
      </c>
      <c r="B14" s="7" t="s">
        <v>284</v>
      </c>
      <c r="C14" s="11" t="s">
        <v>1604</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1676</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1611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15</v>
      </c>
      <c r="B21" s="6" t="s">
        <v>1667</v>
      </c>
      <c r="C21" s="5" t="s">
        <v>17</v>
      </c>
      <c r="D21" s="5"/>
      <c r="E21" s="5" t="s">
        <v>1683</v>
      </c>
      <c r="F21" s="5" t="s">
        <v>19</v>
      </c>
      <c r="G21" s="5" t="s">
        <v>17</v>
      </c>
      <c r="H21" s="5" t="s">
        <v>17</v>
      </c>
      <c r="I21" s="5" t="s">
        <v>17</v>
      </c>
      <c r="J21" s="5" t="s">
        <v>1684</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1675</v>
      </c>
      <c r="F29" s="7" t="s">
        <v>19</v>
      </c>
      <c r="G29" s="7" t="s">
        <v>31</v>
      </c>
      <c r="H29" s="7" t="s">
        <v>17</v>
      </c>
      <c r="I29" s="7" t="s">
        <v>17</v>
      </c>
      <c r="J29" s="7" t="s">
        <v>1422</v>
      </c>
    </row>
    <row r="30" spans="1:10" x14ac:dyDescent="0.25" outlineLevel="1" collapsed="1">
      <c r="A30" s="7" t="s">
        <v>15</v>
      </c>
      <c r="B30" s="7" t="s">
        <v>284</v>
      </c>
      <c r="C30" s="11" t="s">
        <v>1604</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1676</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1611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15</v>
      </c>
      <c r="B37" s="6" t="s">
        <v>1667</v>
      </c>
      <c r="C37" s="5" t="s">
        <v>17</v>
      </c>
      <c r="D37" s="5"/>
      <c r="E37" s="5" t="s">
        <v>1685</v>
      </c>
      <c r="F37" s="5" t="s">
        <v>19</v>
      </c>
      <c r="G37" s="5" t="s">
        <v>17</v>
      </c>
      <c r="H37" s="5" t="s">
        <v>17</v>
      </c>
      <c r="I37" s="5" t="s">
        <v>17</v>
      </c>
      <c r="J37" s="5" t="s">
        <v>636</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1675</v>
      </c>
      <c r="F45" s="7" t="s">
        <v>19</v>
      </c>
      <c r="G45" s="7" t="s">
        <v>31</v>
      </c>
      <c r="H45" s="7" t="s">
        <v>17</v>
      </c>
      <c r="I45" s="7" t="s">
        <v>17</v>
      </c>
      <c r="J45" s="7" t="s">
        <v>1422</v>
      </c>
    </row>
    <row r="46" spans="1:10" x14ac:dyDescent="0.25" outlineLevel="1" collapsed="1">
      <c r="A46" s="7" t="s">
        <v>15</v>
      </c>
      <c r="B46" s="7" t="s">
        <v>284</v>
      </c>
      <c r="C46" s="11" t="s">
        <v>1604</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1676</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1611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15</v>
      </c>
      <c r="B53" s="6" t="s">
        <v>1667</v>
      </c>
      <c r="C53" s="5" t="s">
        <v>17</v>
      </c>
      <c r="D53" s="5"/>
      <c r="E53" s="5" t="s">
        <v>1686</v>
      </c>
      <c r="F53" s="5" t="s">
        <v>19</v>
      </c>
      <c r="G53" s="5" t="s">
        <v>17</v>
      </c>
      <c r="H53" s="5" t="s">
        <v>17</v>
      </c>
      <c r="I53" s="5" t="s">
        <v>17</v>
      </c>
      <c r="J53" s="5" t="s">
        <v>1687</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1675</v>
      </c>
      <c r="F61" s="7" t="s">
        <v>19</v>
      </c>
      <c r="G61" s="7" t="s">
        <v>31</v>
      </c>
      <c r="H61" s="7" t="s">
        <v>17</v>
      </c>
      <c r="I61" s="7" t="s">
        <v>17</v>
      </c>
      <c r="J61" s="7" t="s">
        <v>1422</v>
      </c>
    </row>
    <row r="62" spans="1:10" x14ac:dyDescent="0.25" outlineLevel="1" collapsed="1">
      <c r="A62" s="7" t="s">
        <v>15</v>
      </c>
      <c r="B62" s="7" t="s">
        <v>284</v>
      </c>
      <c r="C62" s="11" t="s">
        <v>1604</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1676</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1611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15</v>
      </c>
      <c r="B69" s="6" t="s">
        <v>1667</v>
      </c>
      <c r="C69" s="5" t="s">
        <v>17</v>
      </c>
      <c r="D69" s="5"/>
      <c r="E69" s="5" t="s">
        <v>1688</v>
      </c>
      <c r="F69" s="5" t="s">
        <v>19</v>
      </c>
      <c r="G69" s="5" t="s">
        <v>17</v>
      </c>
      <c r="H69" s="5" t="s">
        <v>17</v>
      </c>
      <c r="I69" s="5" t="s">
        <v>17</v>
      </c>
      <c r="J69" s="5" t="s">
        <v>1689</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1675</v>
      </c>
      <c r="F77" s="7" t="s">
        <v>19</v>
      </c>
      <c r="G77" s="7" t="s">
        <v>31</v>
      </c>
      <c r="H77" s="7" t="s">
        <v>17</v>
      </c>
      <c r="I77" s="7" t="s">
        <v>17</v>
      </c>
      <c r="J77" s="7" t="s">
        <v>1422</v>
      </c>
    </row>
    <row r="78" spans="1:10" x14ac:dyDescent="0.25" outlineLevel="1" collapsed="1">
      <c r="A78" s="7" t="s">
        <v>15</v>
      </c>
      <c r="B78" s="7" t="s">
        <v>284</v>
      </c>
      <c r="C78" s="11" t="s">
        <v>1604</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1676</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1611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6" t="s">
        <v>1667</v>
      </c>
      <c r="C85" s="5" t="s">
        <v>17</v>
      </c>
      <c r="D85" s="5"/>
      <c r="E85" s="5" t="s">
        <v>1690</v>
      </c>
      <c r="F85" s="5" t="s">
        <v>19</v>
      </c>
      <c r="G85" s="5" t="s">
        <v>17</v>
      </c>
      <c r="H85" s="5" t="s">
        <v>17</v>
      </c>
      <c r="I85" s="5" t="s">
        <v>17</v>
      </c>
      <c r="J85" s="5" t="s">
        <v>1691</v>
      </c>
    </row>
    <row r="86" spans="1:10" x14ac:dyDescent="0.25" outlineLevel="1" collapsed="1">
      <c r="A86" s="7" t="s">
        <v>15</v>
      </c>
      <c r="B86" s="7" t="s">
        <v>16</v>
      </c>
      <c r="C86" s="7" t="s">
        <v>17</v>
      </c>
      <c r="D86" s="7"/>
      <c r="E86" s="7" t="s">
        <v>1670</v>
      </c>
      <c r="F86" s="7" t="s">
        <v>19</v>
      </c>
      <c r="G86" s="7" t="s">
        <v>31</v>
      </c>
      <c r="H86" s="7" t="s">
        <v>17</v>
      </c>
      <c r="I86" s="7" t="s">
        <v>17</v>
      </c>
      <c r="J86" s="7" t="s">
        <v>637</v>
      </c>
    </row>
    <row r="87" spans="1:10" x14ac:dyDescent="0.25" outlineLevel="1" collapsed="1">
      <c r="A87" s="7" t="s">
        <v>15</v>
      </c>
      <c r="B87" s="7" t="s">
        <v>16</v>
      </c>
      <c r="C87" s="7" t="s">
        <v>17</v>
      </c>
      <c r="D87" s="7"/>
      <c r="E87" s="7" t="s">
        <v>638</v>
      </c>
      <c r="F87" s="7" t="s">
        <v>19</v>
      </c>
      <c r="G87" s="7" t="s">
        <v>31</v>
      </c>
      <c r="H87" s="7" t="s">
        <v>17</v>
      </c>
      <c r="I87" s="7" t="s">
        <v>17</v>
      </c>
      <c r="J87" s="7" t="s">
        <v>640</v>
      </c>
    </row>
    <row r="88" spans="1:10" x14ac:dyDescent="0.25" outlineLevel="1" collapsed="1">
      <c r="A88" s="7" t="s">
        <v>15</v>
      </c>
      <c r="B88" s="7" t="s">
        <v>16</v>
      </c>
      <c r="C88" s="7" t="s">
        <v>17</v>
      </c>
      <c r="D88" s="7"/>
      <c r="E88" s="7" t="s">
        <v>9</v>
      </c>
      <c r="F88" s="7" t="s">
        <v>19</v>
      </c>
      <c r="G88" s="7" t="s">
        <v>31</v>
      </c>
      <c r="H88" s="7" t="s">
        <v>17</v>
      </c>
      <c r="I88" s="7" t="s">
        <v>17</v>
      </c>
      <c r="J88" s="7" t="s">
        <v>843</v>
      </c>
    </row>
    <row r="89" spans="1:10" x14ac:dyDescent="0.25" outlineLevel="1" collapsed="1">
      <c r="A89" s="7" t="s">
        <v>19</v>
      </c>
      <c r="B89" s="7" t="s">
        <v>16</v>
      </c>
      <c r="C89" s="7" t="s">
        <v>17</v>
      </c>
      <c r="D89" s="7"/>
      <c r="E89" s="7" t="s">
        <v>1600</v>
      </c>
      <c r="F89" s="7" t="s">
        <v>19</v>
      </c>
      <c r="G89" s="7" t="s">
        <v>31</v>
      </c>
      <c r="H89" s="7" t="s">
        <v>17</v>
      </c>
      <c r="I89" s="7" t="s">
        <v>17</v>
      </c>
      <c r="J89" s="7" t="s">
        <v>1424</v>
      </c>
    </row>
    <row r="90" spans="1:10" x14ac:dyDescent="0.25" outlineLevel="1" collapsed="1">
      <c r="A90" s="7" t="s">
        <v>15</v>
      </c>
      <c r="B90" s="7" t="s">
        <v>16</v>
      </c>
      <c r="C90" s="7" t="s">
        <v>17</v>
      </c>
      <c r="D90" s="7"/>
      <c r="E90" s="7" t="s">
        <v>1601</v>
      </c>
      <c r="F90" s="7" t="s">
        <v>19</v>
      </c>
      <c r="G90" s="7" t="s">
        <v>31</v>
      </c>
      <c r="H90" s="7" t="s">
        <v>17</v>
      </c>
      <c r="I90" s="7" t="s">
        <v>17</v>
      </c>
      <c r="J90" s="7" t="s">
        <v>1602</v>
      </c>
    </row>
    <row r="91" spans="1:10" x14ac:dyDescent="0.25" outlineLevel="1" collapsed="1">
      <c r="A91" s="7" t="s">
        <v>15</v>
      </c>
      <c r="B91" s="7" t="s">
        <v>16</v>
      </c>
      <c r="C91" s="7" t="s">
        <v>17</v>
      </c>
      <c r="D91" s="7"/>
      <c r="E91" s="7" t="s">
        <v>1671</v>
      </c>
      <c r="F91" s="7" t="s">
        <v>19</v>
      </c>
      <c r="G91" s="7" t="s">
        <v>31</v>
      </c>
      <c r="H91" s="7" t="s">
        <v>17</v>
      </c>
      <c r="I91" s="7" t="s">
        <v>17</v>
      </c>
      <c r="J91" s="7" t="s">
        <v>1672</v>
      </c>
    </row>
    <row r="92" spans="1:10" x14ac:dyDescent="0.25" outlineLevel="1" collapsed="1">
      <c r="A92" s="7" t="s">
        <v>15</v>
      </c>
      <c r="B92" s="7" t="s">
        <v>16</v>
      </c>
      <c r="C92" s="7" t="s">
        <v>17</v>
      </c>
      <c r="D92" s="7"/>
      <c r="E92" s="7" t="s">
        <v>1673</v>
      </c>
      <c r="F92" s="7" t="s">
        <v>19</v>
      </c>
      <c r="G92" s="7" t="s">
        <v>31</v>
      </c>
      <c r="H92" s="7" t="s">
        <v>17</v>
      </c>
      <c r="I92" s="7" t="s">
        <v>17</v>
      </c>
      <c r="J92" s="7" t="s">
        <v>1674</v>
      </c>
    </row>
    <row r="93" spans="1:10" x14ac:dyDescent="0.25" outlineLevel="1" collapsed="1">
      <c r="A93" s="7" t="s">
        <v>15</v>
      </c>
      <c r="B93" s="7" t="s">
        <v>16</v>
      </c>
      <c r="C93" s="7" t="s">
        <v>17</v>
      </c>
      <c r="D93" s="7"/>
      <c r="E93" s="7" t="s">
        <v>1675</v>
      </c>
      <c r="F93" s="7" t="s">
        <v>19</v>
      </c>
      <c r="G93" s="7" t="s">
        <v>31</v>
      </c>
      <c r="H93" s="7" t="s">
        <v>17</v>
      </c>
      <c r="I93" s="7" t="s">
        <v>17</v>
      </c>
      <c r="J93" s="7" t="s">
        <v>1422</v>
      </c>
    </row>
    <row r="94" spans="1:10" x14ac:dyDescent="0.25" outlineLevel="1" collapsed="1">
      <c r="A94" s="7" t="s">
        <v>15</v>
      </c>
      <c r="B94" s="7" t="s">
        <v>284</v>
      </c>
      <c r="C94" s="11" t="s">
        <v>1604</v>
      </c>
      <c r="D94" s="7"/>
      <c r="E94" s="7" t="s">
        <v>1605</v>
      </c>
      <c r="F94" s="7" t="s">
        <v>19</v>
      </c>
      <c r="G94" s="7" t="s">
        <v>1606</v>
      </c>
      <c r="H94" s="7" t="s">
        <v>17</v>
      </c>
      <c r="I94" s="7" t="s">
        <v>17</v>
      </c>
      <c r="J94" s="7" t="s">
        <v>1607</v>
      </c>
    </row>
    <row r="95" spans="1:10" x14ac:dyDescent="0.25" outlineLevel="1" collapsed="1">
      <c r="A95" s="7" t="s">
        <v>19</v>
      </c>
      <c r="B95" s="7" t="s">
        <v>63</v>
      </c>
      <c r="C95" s="7" t="s">
        <v>17</v>
      </c>
      <c r="D95" s="7">
        <f>EXACT(G94,"Single value")</f>
      </c>
      <c r="E95" s="7" t="s">
        <v>1676</v>
      </c>
      <c r="F95" s="7" t="s">
        <v>19</v>
      </c>
      <c r="G95" s="7">
        <v>1</v>
      </c>
      <c r="H95" s="7" t="s">
        <v>17</v>
      </c>
      <c r="I95" s="7" t="s">
        <v>17</v>
      </c>
      <c r="J95" s="7" t="s">
        <v>1609</v>
      </c>
    </row>
    <row r="96" spans="1:10" x14ac:dyDescent="0.25" outlineLevel="1" collapsed="1">
      <c r="A96" s="7" t="s">
        <v>19</v>
      </c>
      <c r="B96" s="7" t="s">
        <v>16</v>
      </c>
      <c r="C96" s="7" t="s">
        <v>17</v>
      </c>
      <c r="D96" s="7"/>
      <c r="E96" s="7" t="s">
        <v>1677</v>
      </c>
      <c r="F96" s="7" t="s">
        <v>19</v>
      </c>
      <c r="G96" s="7" t="s">
        <v>31</v>
      </c>
      <c r="H96" s="7" t="s">
        <v>17</v>
      </c>
      <c r="I96" s="7" t="s">
        <v>17</v>
      </c>
      <c r="J96" s="7" t="s">
        <v>1678</v>
      </c>
    </row>
    <row r="97" spans="1:10" x14ac:dyDescent="0.25" outlineLevel="1" collapsed="1">
      <c r="A97" s="7" t="s">
        <v>15</v>
      </c>
      <c r="B97" s="7" t="s">
        <v>16</v>
      </c>
      <c r="C97" s="7" t="s">
        <v>17</v>
      </c>
      <c r="D97" s="7"/>
      <c r="E97" s="7" t="s">
        <v>1679</v>
      </c>
      <c r="F97" s="7" t="s">
        <v>19</v>
      </c>
      <c r="G97" s="7" t="s">
        <v>31</v>
      </c>
      <c r="H97" s="7" t="s">
        <v>17</v>
      </c>
      <c r="I97" s="7" t="s">
        <v>17</v>
      </c>
      <c r="J97" s="7" t="s">
        <v>1680</v>
      </c>
    </row>
    <row r="98" spans="1:10" x14ac:dyDescent="0.25" outlineLevel="1" collapsed="1">
      <c r="A98" s="7" t="s">
        <v>15</v>
      </c>
      <c r="B98" s="7" t="s">
        <v>284</v>
      </c>
      <c r="C98" s="11" t="s">
        <v>1611</v>
      </c>
      <c r="D98" s="7"/>
      <c r="E98" s="7" t="s">
        <v>1612</v>
      </c>
      <c r="F98" s="7" t="s">
        <v>19</v>
      </c>
      <c r="G98" s="7" t="s">
        <v>1613</v>
      </c>
      <c r="H98" s="7" t="s">
        <v>17</v>
      </c>
      <c r="I98" s="7" t="s">
        <v>17</v>
      </c>
      <c r="J98" s="7" t="s">
        <v>1614</v>
      </c>
    </row>
    <row r="99" spans="1:10" x14ac:dyDescent="0.25" outlineLevel="1" collapsed="1">
      <c r="A99" s="7" t="s">
        <v>19</v>
      </c>
      <c r="B99" s="7" t="s">
        <v>16</v>
      </c>
      <c r="C99" s="7" t="s">
        <v>17</v>
      </c>
      <c r="D99" s="7"/>
      <c r="E99" s="7" t="s">
        <v>1681</v>
      </c>
      <c r="F99" s="7" t="s">
        <v>19</v>
      </c>
      <c r="G99" s="7" t="s">
        <v>31</v>
      </c>
      <c r="H99" s="7" t="s">
        <v>17</v>
      </c>
      <c r="I99" s="7" t="s">
        <v>17</v>
      </c>
      <c r="J99" s="7" t="s">
        <v>1682</v>
      </c>
    </row>
    <row r="100" spans="1:10" x14ac:dyDescent="0.25" outlineLevel="1" collapsed="1">
      <c r="A100" s="7" t="s">
        <v>19</v>
      </c>
      <c r="B100" s="7" t="s">
        <v>16</v>
      </c>
      <c r="C100" s="7" t="s">
        <v>17</v>
      </c>
      <c r="D100" s="7"/>
      <c r="E100" s="7" t="s">
        <v>1615</v>
      </c>
      <c r="F100" s="7" t="s">
        <v>19</v>
      </c>
      <c r="G100" s="7" t="s">
        <v>31</v>
      </c>
      <c r="H100" s="7" t="s">
        <v>17</v>
      </c>
      <c r="I100" s="7" t="s">
        <v>17</v>
      </c>
      <c r="J100" s="7" t="s">
        <v>1616</v>
      </c>
    </row>
    <row r="101" spans="1:10" x14ac:dyDescent="0.25">
      <c r="A101" s="5" t="s">
        <v>19</v>
      </c>
      <c r="B101" s="6" t="s">
        <v>1667</v>
      </c>
      <c r="C101" s="5" t="s">
        <v>17</v>
      </c>
      <c r="D101" s="5"/>
      <c r="E101" s="5" t="s">
        <v>1692</v>
      </c>
      <c r="F101" s="5" t="s">
        <v>19</v>
      </c>
      <c r="G101" s="5" t="s">
        <v>17</v>
      </c>
      <c r="H101" s="5" t="s">
        <v>17</v>
      </c>
      <c r="I101" s="5" t="s">
        <v>17</v>
      </c>
      <c r="J101" s="5" t="s">
        <v>1693</v>
      </c>
    </row>
    <row r="102" spans="1:10" x14ac:dyDescent="0.25" outlineLevel="1" collapsed="1">
      <c r="A102" s="7" t="s">
        <v>15</v>
      </c>
      <c r="B102" s="7" t="s">
        <v>16</v>
      </c>
      <c r="C102" s="7" t="s">
        <v>17</v>
      </c>
      <c r="D102" s="7"/>
      <c r="E102" s="7" t="s">
        <v>1670</v>
      </c>
      <c r="F102" s="7" t="s">
        <v>19</v>
      </c>
      <c r="G102" s="7" t="s">
        <v>31</v>
      </c>
      <c r="H102" s="7" t="s">
        <v>17</v>
      </c>
      <c r="I102" s="7" t="s">
        <v>17</v>
      </c>
      <c r="J102" s="7" t="s">
        <v>637</v>
      </c>
    </row>
    <row r="103" spans="1:10" x14ac:dyDescent="0.25" outlineLevel="1" collapsed="1">
      <c r="A103" s="7" t="s">
        <v>15</v>
      </c>
      <c r="B103" s="7" t="s">
        <v>16</v>
      </c>
      <c r="C103" s="7" t="s">
        <v>17</v>
      </c>
      <c r="D103" s="7"/>
      <c r="E103" s="7" t="s">
        <v>638</v>
      </c>
      <c r="F103" s="7" t="s">
        <v>19</v>
      </c>
      <c r="G103" s="7" t="s">
        <v>31</v>
      </c>
      <c r="H103" s="7" t="s">
        <v>17</v>
      </c>
      <c r="I103" s="7" t="s">
        <v>17</v>
      </c>
      <c r="J103" s="7" t="s">
        <v>640</v>
      </c>
    </row>
    <row r="104" spans="1:10" x14ac:dyDescent="0.25" outlineLevel="1" collapsed="1">
      <c r="A104" s="7" t="s">
        <v>15</v>
      </c>
      <c r="B104" s="7" t="s">
        <v>16</v>
      </c>
      <c r="C104" s="7" t="s">
        <v>17</v>
      </c>
      <c r="D104" s="7"/>
      <c r="E104" s="7" t="s">
        <v>9</v>
      </c>
      <c r="F104" s="7" t="s">
        <v>19</v>
      </c>
      <c r="G104" s="7" t="s">
        <v>31</v>
      </c>
      <c r="H104" s="7" t="s">
        <v>17</v>
      </c>
      <c r="I104" s="7" t="s">
        <v>17</v>
      </c>
      <c r="J104" s="7" t="s">
        <v>843</v>
      </c>
    </row>
    <row r="105" spans="1:10" x14ac:dyDescent="0.25" outlineLevel="1" collapsed="1">
      <c r="A105" s="7" t="s">
        <v>19</v>
      </c>
      <c r="B105" s="7" t="s">
        <v>16</v>
      </c>
      <c r="C105" s="7" t="s">
        <v>17</v>
      </c>
      <c r="D105" s="7"/>
      <c r="E105" s="7" t="s">
        <v>1600</v>
      </c>
      <c r="F105" s="7" t="s">
        <v>19</v>
      </c>
      <c r="G105" s="7" t="s">
        <v>31</v>
      </c>
      <c r="H105" s="7" t="s">
        <v>17</v>
      </c>
      <c r="I105" s="7" t="s">
        <v>17</v>
      </c>
      <c r="J105" s="7" t="s">
        <v>1424</v>
      </c>
    </row>
    <row r="106" spans="1:10" x14ac:dyDescent="0.25" outlineLevel="1" collapsed="1">
      <c r="A106" s="7" t="s">
        <v>15</v>
      </c>
      <c r="B106" s="7" t="s">
        <v>16</v>
      </c>
      <c r="C106" s="7" t="s">
        <v>17</v>
      </c>
      <c r="D106" s="7"/>
      <c r="E106" s="7" t="s">
        <v>1601</v>
      </c>
      <c r="F106" s="7" t="s">
        <v>19</v>
      </c>
      <c r="G106" s="7" t="s">
        <v>31</v>
      </c>
      <c r="H106" s="7" t="s">
        <v>17</v>
      </c>
      <c r="I106" s="7" t="s">
        <v>17</v>
      </c>
      <c r="J106" s="7" t="s">
        <v>1602</v>
      </c>
    </row>
    <row r="107" spans="1:10" x14ac:dyDescent="0.25" outlineLevel="1" collapsed="1">
      <c r="A107" s="7" t="s">
        <v>15</v>
      </c>
      <c r="B107" s="7" t="s">
        <v>16</v>
      </c>
      <c r="C107" s="7" t="s">
        <v>17</v>
      </c>
      <c r="D107" s="7"/>
      <c r="E107" s="7" t="s">
        <v>1671</v>
      </c>
      <c r="F107" s="7" t="s">
        <v>19</v>
      </c>
      <c r="G107" s="7" t="s">
        <v>31</v>
      </c>
      <c r="H107" s="7" t="s">
        <v>17</v>
      </c>
      <c r="I107" s="7" t="s">
        <v>17</v>
      </c>
      <c r="J107" s="7" t="s">
        <v>1672</v>
      </c>
    </row>
    <row r="108" spans="1:10" x14ac:dyDescent="0.25" outlineLevel="1" collapsed="1">
      <c r="A108" s="7" t="s">
        <v>15</v>
      </c>
      <c r="B108" s="7" t="s">
        <v>16</v>
      </c>
      <c r="C108" s="7" t="s">
        <v>17</v>
      </c>
      <c r="D108" s="7"/>
      <c r="E108" s="7" t="s">
        <v>1673</v>
      </c>
      <c r="F108" s="7" t="s">
        <v>19</v>
      </c>
      <c r="G108" s="7" t="s">
        <v>31</v>
      </c>
      <c r="H108" s="7" t="s">
        <v>17</v>
      </c>
      <c r="I108" s="7" t="s">
        <v>17</v>
      </c>
      <c r="J108" s="7" t="s">
        <v>1674</v>
      </c>
    </row>
    <row r="109" spans="1:10" x14ac:dyDescent="0.25" outlineLevel="1" collapsed="1">
      <c r="A109" s="7" t="s">
        <v>15</v>
      </c>
      <c r="B109" s="7" t="s">
        <v>16</v>
      </c>
      <c r="C109" s="7" t="s">
        <v>17</v>
      </c>
      <c r="D109" s="7"/>
      <c r="E109" s="7" t="s">
        <v>1675</v>
      </c>
      <c r="F109" s="7" t="s">
        <v>19</v>
      </c>
      <c r="G109" s="7" t="s">
        <v>31</v>
      </c>
      <c r="H109" s="7" t="s">
        <v>17</v>
      </c>
      <c r="I109" s="7" t="s">
        <v>17</v>
      </c>
      <c r="J109" s="7" t="s">
        <v>1422</v>
      </c>
    </row>
    <row r="110" spans="1:10" x14ac:dyDescent="0.25" outlineLevel="1" collapsed="1">
      <c r="A110" s="7" t="s">
        <v>15</v>
      </c>
      <c r="B110" s="7" t="s">
        <v>284</v>
      </c>
      <c r="C110" s="11" t="s">
        <v>1604</v>
      </c>
      <c r="D110" s="7"/>
      <c r="E110" s="7" t="s">
        <v>1605</v>
      </c>
      <c r="F110" s="7" t="s">
        <v>19</v>
      </c>
      <c r="G110" s="7" t="s">
        <v>1606</v>
      </c>
      <c r="H110" s="7" t="s">
        <v>17</v>
      </c>
      <c r="I110" s="7" t="s">
        <v>17</v>
      </c>
      <c r="J110" s="7" t="s">
        <v>1607</v>
      </c>
    </row>
    <row r="111" spans="1:10" x14ac:dyDescent="0.25" outlineLevel="1" collapsed="1">
      <c r="A111" s="7" t="s">
        <v>19</v>
      </c>
      <c r="B111" s="7" t="s">
        <v>63</v>
      </c>
      <c r="C111" s="7" t="s">
        <v>17</v>
      </c>
      <c r="D111" s="7">
        <f>EXACT(G110,"Single value")</f>
      </c>
      <c r="E111" s="7" t="s">
        <v>1676</v>
      </c>
      <c r="F111" s="7" t="s">
        <v>19</v>
      </c>
      <c r="G111" s="7">
        <v>1</v>
      </c>
      <c r="H111" s="7" t="s">
        <v>17</v>
      </c>
      <c r="I111" s="7" t="s">
        <v>17</v>
      </c>
      <c r="J111" s="7" t="s">
        <v>1609</v>
      </c>
    </row>
    <row r="112" spans="1:10" x14ac:dyDescent="0.25" outlineLevel="1" collapsed="1">
      <c r="A112" s="7" t="s">
        <v>19</v>
      </c>
      <c r="B112" s="7" t="s">
        <v>16</v>
      </c>
      <c r="C112" s="7" t="s">
        <v>17</v>
      </c>
      <c r="D112" s="7"/>
      <c r="E112" s="7" t="s">
        <v>1677</v>
      </c>
      <c r="F112" s="7" t="s">
        <v>19</v>
      </c>
      <c r="G112" s="7" t="s">
        <v>31</v>
      </c>
      <c r="H112" s="7" t="s">
        <v>17</v>
      </c>
      <c r="I112" s="7" t="s">
        <v>17</v>
      </c>
      <c r="J112" s="7" t="s">
        <v>1678</v>
      </c>
    </row>
    <row r="113" spans="1:10" x14ac:dyDescent="0.25" outlineLevel="1" collapsed="1">
      <c r="A113" s="7" t="s">
        <v>15</v>
      </c>
      <c r="B113" s="7" t="s">
        <v>16</v>
      </c>
      <c r="C113" s="7" t="s">
        <v>17</v>
      </c>
      <c r="D113" s="7"/>
      <c r="E113" s="7" t="s">
        <v>1679</v>
      </c>
      <c r="F113" s="7" t="s">
        <v>19</v>
      </c>
      <c r="G113" s="7" t="s">
        <v>31</v>
      </c>
      <c r="H113" s="7" t="s">
        <v>17</v>
      </c>
      <c r="I113" s="7" t="s">
        <v>17</v>
      </c>
      <c r="J113" s="7" t="s">
        <v>1680</v>
      </c>
    </row>
    <row r="114" spans="1:10" x14ac:dyDescent="0.25" outlineLevel="1" collapsed="1">
      <c r="A114" s="7" t="s">
        <v>15</v>
      </c>
      <c r="B114" s="7" t="s">
        <v>284</v>
      </c>
      <c r="C114" s="11" t="s">
        <v>1611</v>
      </c>
      <c r="D114" s="7"/>
      <c r="E114" s="7" t="s">
        <v>1612</v>
      </c>
      <c r="F114" s="7" t="s">
        <v>19</v>
      </c>
      <c r="G114" s="7" t="s">
        <v>1613</v>
      </c>
      <c r="H114" s="7" t="s">
        <v>17</v>
      </c>
      <c r="I114" s="7" t="s">
        <v>17</v>
      </c>
      <c r="J114" s="7" t="s">
        <v>1614</v>
      </c>
    </row>
    <row r="115" spans="1:10" x14ac:dyDescent="0.25" outlineLevel="1" collapsed="1">
      <c r="A115" s="7" t="s">
        <v>19</v>
      </c>
      <c r="B115" s="7" t="s">
        <v>16</v>
      </c>
      <c r="C115" s="7" t="s">
        <v>17</v>
      </c>
      <c r="D115" s="7"/>
      <c r="E115" s="7" t="s">
        <v>1681</v>
      </c>
      <c r="F115" s="7" t="s">
        <v>19</v>
      </c>
      <c r="G115" s="7" t="s">
        <v>31</v>
      </c>
      <c r="H115" s="7" t="s">
        <v>17</v>
      </c>
      <c r="I115" s="7" t="s">
        <v>17</v>
      </c>
      <c r="J115" s="7" t="s">
        <v>1682</v>
      </c>
    </row>
    <row r="116" spans="1:10" x14ac:dyDescent="0.25" outlineLevel="1" collapsed="1">
      <c r="A116" s="7" t="s">
        <v>19</v>
      </c>
      <c r="B116" s="7" t="s">
        <v>16</v>
      </c>
      <c r="C116" s="7" t="s">
        <v>17</v>
      </c>
      <c r="D116" s="7"/>
      <c r="E116" s="7" t="s">
        <v>1615</v>
      </c>
      <c r="F116" s="7" t="s">
        <v>19</v>
      </c>
      <c r="G116" s="7" t="s">
        <v>31</v>
      </c>
      <c r="H116" s="7" t="s">
        <v>17</v>
      </c>
      <c r="I116" s="7" t="s">
        <v>17</v>
      </c>
      <c r="J116" s="7" t="s">
        <v>1616</v>
      </c>
    </row>
  </sheetData>
  <mergeCells count="3">
    <mergeCell ref="A1:J1"/>
    <mergeCell ref="B2:J2"/>
    <mergeCell ref="B3:J3"/>
  </mergeCells>
  <dataValidations count="14">
    <dataValidation type="list" allowBlank="1" sqref="G110:I110">
      <formula1>'Enums'!C607:C608</formula1>
    </dataValidation>
    <dataValidation type="list" allowBlank="1" sqref="G114:I114">
      <formula1>'Enums'!C609:C613</formula1>
    </dataValidation>
    <dataValidation type="list" allowBlank="1" sqref="G14:I14">
      <formula1>'Enums'!C607:C608</formula1>
    </dataValidation>
    <dataValidation type="list" allowBlank="1" sqref="G18:I18">
      <formula1>'Enums'!C609:C613</formula1>
    </dataValidation>
    <dataValidation type="list" allowBlank="1" sqref="G30:I30">
      <formula1>'Enums'!C607:C608</formula1>
    </dataValidation>
    <dataValidation type="list" allowBlank="1" sqref="G34:I34">
      <formula1>'Enums'!C609:C613</formula1>
    </dataValidation>
    <dataValidation type="list" allowBlank="1" sqref="G46:I46">
      <formula1>'Enums'!C607:C608</formula1>
    </dataValidation>
    <dataValidation type="list" allowBlank="1" sqref="G50:I50">
      <formula1>'Enums'!C609:C613</formula1>
    </dataValidation>
    <dataValidation type="list" allowBlank="1" sqref="G62:I62">
      <formula1>'Enums'!C607:C608</formula1>
    </dataValidation>
    <dataValidation type="list" allowBlank="1" sqref="G66:I66">
      <formula1>'Enums'!C609:C613</formula1>
    </dataValidation>
    <dataValidation type="list" allowBlank="1" sqref="G78:I78">
      <formula1>'Enums'!C607:C608</formula1>
    </dataValidation>
    <dataValidation type="list" allowBlank="1" sqref="G82:I82">
      <formula1>'Enums'!C609:C613</formula1>
    </dataValidation>
    <dataValidation type="list" allowBlank="1" sqref="G94:I94">
      <formula1>'Enums'!C607:C608</formula1>
    </dataValidation>
    <dataValidation type="list" allowBlank="1" sqref="G98:I98">
      <formula1>'Enums'!C609:C613</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5" r:id="rId6" location="#'VMR0015 A2.2 DataParameter  2'!A1"/>
    <hyperlink ref="B101" r:id="rId7" location="#'VMR0015 A2.2 DataParameter  2'!A1"/>
  </hyperlinks>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3439</v>
      </c>
      <c r="B1" s="1"/>
      <c r="C1" s="1"/>
      <c r="D1" s="1"/>
      <c r="E1" s="1"/>
      <c r="F1" s="1"/>
      <c r="G1" s="1"/>
      <c r="H1" s="1"/>
      <c r="I1" s="1"/>
      <c r="J1" s="1"/>
    </row>
    <row r="2" spans="1:10" x14ac:dyDescent="0.25">
      <c r="A2" s="2" t="s">
        <v>1</v>
      </c>
      <c r="B2" s="3" t="s">
        <v>3440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1667</v>
      </c>
      <c r="C5" s="5" t="s">
        <v>17</v>
      </c>
      <c r="D5" s="5"/>
      <c r="E5" s="5" t="s">
        <v>1697</v>
      </c>
      <c r="F5" s="5" t="s">
        <v>19</v>
      </c>
      <c r="G5" s="5" t="s">
        <v>17</v>
      </c>
      <c r="H5" s="5" t="s">
        <v>17</v>
      </c>
      <c r="I5" s="5" t="s">
        <v>17</v>
      </c>
      <c r="J5" s="5" t="s">
        <v>1698</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1675</v>
      </c>
      <c r="F13" s="7" t="s">
        <v>19</v>
      </c>
      <c r="G13" s="7" t="s">
        <v>31</v>
      </c>
      <c r="H13" s="7" t="s">
        <v>17</v>
      </c>
      <c r="I13" s="7" t="s">
        <v>17</v>
      </c>
      <c r="J13" s="7" t="s">
        <v>1422</v>
      </c>
    </row>
    <row r="14" spans="1:10" x14ac:dyDescent="0.25" outlineLevel="1" collapsed="1">
      <c r="A14" s="7" t="s">
        <v>15</v>
      </c>
      <c r="B14" s="7" t="s">
        <v>284</v>
      </c>
      <c r="C14" s="11" t="s">
        <v>1604</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1676</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1611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19</v>
      </c>
      <c r="B21" s="6" t="s">
        <v>1667</v>
      </c>
      <c r="C21" s="5" t="s">
        <v>17</v>
      </c>
      <c r="D21" s="5"/>
      <c r="E21" s="5" t="s">
        <v>1699</v>
      </c>
      <c r="F21" s="5" t="s">
        <v>19</v>
      </c>
      <c r="G21" s="5" t="s">
        <v>17</v>
      </c>
      <c r="H21" s="5" t="s">
        <v>17</v>
      </c>
      <c r="I21" s="5" t="s">
        <v>17</v>
      </c>
      <c r="J21" s="5" t="s">
        <v>1700</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1675</v>
      </c>
      <c r="F29" s="7" t="s">
        <v>19</v>
      </c>
      <c r="G29" s="7" t="s">
        <v>31</v>
      </c>
      <c r="H29" s="7" t="s">
        <v>17</v>
      </c>
      <c r="I29" s="7" t="s">
        <v>17</v>
      </c>
      <c r="J29" s="7" t="s">
        <v>1422</v>
      </c>
    </row>
    <row r="30" spans="1:10" x14ac:dyDescent="0.25" outlineLevel="1" collapsed="1">
      <c r="A30" s="7" t="s">
        <v>15</v>
      </c>
      <c r="B30" s="7" t="s">
        <v>284</v>
      </c>
      <c r="C30" s="11" t="s">
        <v>1604</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1676</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1611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19</v>
      </c>
      <c r="B37" s="6" t="s">
        <v>1667</v>
      </c>
      <c r="C37" s="5" t="s">
        <v>17</v>
      </c>
      <c r="D37" s="5"/>
      <c r="E37" s="5" t="s">
        <v>1701</v>
      </c>
      <c r="F37" s="5" t="s">
        <v>19</v>
      </c>
      <c r="G37" s="5" t="s">
        <v>17</v>
      </c>
      <c r="H37" s="5" t="s">
        <v>17</v>
      </c>
      <c r="I37" s="5" t="s">
        <v>17</v>
      </c>
      <c r="J37" s="5" t="s">
        <v>1702</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1675</v>
      </c>
      <c r="F45" s="7" t="s">
        <v>19</v>
      </c>
      <c r="G45" s="7" t="s">
        <v>31</v>
      </c>
      <c r="H45" s="7" t="s">
        <v>17</v>
      </c>
      <c r="I45" s="7" t="s">
        <v>17</v>
      </c>
      <c r="J45" s="7" t="s">
        <v>1422</v>
      </c>
    </row>
    <row r="46" spans="1:10" x14ac:dyDescent="0.25" outlineLevel="1" collapsed="1">
      <c r="A46" s="7" t="s">
        <v>15</v>
      </c>
      <c r="B46" s="7" t="s">
        <v>284</v>
      </c>
      <c r="C46" s="11" t="s">
        <v>1604</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1676</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1611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19</v>
      </c>
      <c r="B53" s="6" t="s">
        <v>1667</v>
      </c>
      <c r="C53" s="5" t="s">
        <v>17</v>
      </c>
      <c r="D53" s="5"/>
      <c r="E53" s="5" t="s">
        <v>1703</v>
      </c>
      <c r="F53" s="5" t="s">
        <v>19</v>
      </c>
      <c r="G53" s="5" t="s">
        <v>17</v>
      </c>
      <c r="H53" s="5" t="s">
        <v>17</v>
      </c>
      <c r="I53" s="5" t="s">
        <v>17</v>
      </c>
      <c r="J53" s="5" t="s">
        <v>1704</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1675</v>
      </c>
      <c r="F61" s="7" t="s">
        <v>19</v>
      </c>
      <c r="G61" s="7" t="s">
        <v>31</v>
      </c>
      <c r="H61" s="7" t="s">
        <v>17</v>
      </c>
      <c r="I61" s="7" t="s">
        <v>17</v>
      </c>
      <c r="J61" s="7" t="s">
        <v>1422</v>
      </c>
    </row>
    <row r="62" spans="1:10" x14ac:dyDescent="0.25" outlineLevel="1" collapsed="1">
      <c r="A62" s="7" t="s">
        <v>15</v>
      </c>
      <c r="B62" s="7" t="s">
        <v>284</v>
      </c>
      <c r="C62" s="11" t="s">
        <v>1604</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1676</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1611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19</v>
      </c>
      <c r="B69" s="6" t="s">
        <v>1667</v>
      </c>
      <c r="C69" s="5" t="s">
        <v>17</v>
      </c>
      <c r="D69" s="5"/>
      <c r="E69" s="5" t="s">
        <v>1705</v>
      </c>
      <c r="F69" s="5" t="s">
        <v>19</v>
      </c>
      <c r="G69" s="5" t="s">
        <v>17</v>
      </c>
      <c r="H69" s="5" t="s">
        <v>17</v>
      </c>
      <c r="I69" s="5" t="s">
        <v>17</v>
      </c>
      <c r="J69" s="5" t="s">
        <v>1706</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1675</v>
      </c>
      <c r="F77" s="7" t="s">
        <v>19</v>
      </c>
      <c r="G77" s="7" t="s">
        <v>31</v>
      </c>
      <c r="H77" s="7" t="s">
        <v>17</v>
      </c>
      <c r="I77" s="7" t="s">
        <v>17</v>
      </c>
      <c r="J77" s="7" t="s">
        <v>1422</v>
      </c>
    </row>
    <row r="78" spans="1:10" x14ac:dyDescent="0.25" outlineLevel="1" collapsed="1">
      <c r="A78" s="7" t="s">
        <v>15</v>
      </c>
      <c r="B78" s="7" t="s">
        <v>284</v>
      </c>
      <c r="C78" s="11" t="s">
        <v>1604</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1676</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1611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5" t="s">
        <v>284</v>
      </c>
      <c r="C85" s="10" t="s">
        <v>1707</v>
      </c>
      <c r="D85" s="5"/>
      <c r="E85" s="5" t="s">
        <v>1708</v>
      </c>
      <c r="F85" s="5" t="s">
        <v>19</v>
      </c>
      <c r="G85" s="5" t="s">
        <v>1709</v>
      </c>
      <c r="H85" s="5" t="s">
        <v>17</v>
      </c>
      <c r="I85" s="5" t="s">
        <v>17</v>
      </c>
      <c r="J85" s="5" t="s">
        <v>1710</v>
      </c>
    </row>
    <row r="86" spans="1:10" x14ac:dyDescent="0.25">
      <c r="A86" s="5" t="s">
        <v>19</v>
      </c>
      <c r="B86" s="5" t="s">
        <v>284</v>
      </c>
      <c r="C86" s="10" t="s">
        <v>1711</v>
      </c>
      <c r="D86" s="5"/>
      <c r="E86" s="5" t="s">
        <v>1712</v>
      </c>
      <c r="F86" s="5" t="s">
        <v>19</v>
      </c>
      <c r="G86" s="5" t="s">
        <v>1713</v>
      </c>
      <c r="H86" s="5" t="s">
        <v>17</v>
      </c>
      <c r="I86" s="5" t="s">
        <v>17</v>
      </c>
      <c r="J86" s="5" t="s">
        <v>1714</v>
      </c>
    </row>
    <row r="87" spans="1:10" x14ac:dyDescent="0.25">
      <c r="A87" s="5" t="s">
        <v>19</v>
      </c>
      <c r="B87" s="6" t="s">
        <v>1715</v>
      </c>
      <c r="C87" s="5" t="s">
        <v>17</v>
      </c>
      <c r="D87" s="5"/>
      <c r="E87" s="5" t="s">
        <v>1716</v>
      </c>
      <c r="F87" s="5" t="s">
        <v>15</v>
      </c>
      <c r="G87" s="5" t="s">
        <v>17</v>
      </c>
      <c r="H87" s="5" t="s">
        <v>17</v>
      </c>
      <c r="I87" s="5" t="s">
        <v>17</v>
      </c>
      <c r="J87" s="5" t="s">
        <v>1717</v>
      </c>
    </row>
    <row r="88" spans="1:10" x14ac:dyDescent="0.25" outlineLevel="1" collapsed="1">
      <c r="A88" s="7" t="s">
        <v>15</v>
      </c>
      <c r="B88" s="7" t="s">
        <v>16</v>
      </c>
      <c r="C88" s="7" t="s">
        <v>17</v>
      </c>
      <c r="D88" s="7"/>
      <c r="E88" s="7" t="s">
        <v>1718</v>
      </c>
      <c r="F88" s="7" t="s">
        <v>19</v>
      </c>
      <c r="G88" s="7" t="s">
        <v>31</v>
      </c>
      <c r="H88" s="7" t="s">
        <v>17</v>
      </c>
      <c r="I88" s="7" t="s">
        <v>17</v>
      </c>
      <c r="J88" s="7" t="s">
        <v>1719</v>
      </c>
    </row>
    <row r="89" spans="1:10" x14ac:dyDescent="0.25" outlineLevel="1" collapsed="1">
      <c r="A89" s="7" t="s">
        <v>15</v>
      </c>
      <c r="B89" s="7" t="s">
        <v>284</v>
      </c>
      <c r="C89" s="11" t="s">
        <v>1720</v>
      </c>
      <c r="D89" s="7"/>
      <c r="E89" s="7" t="s">
        <v>1721</v>
      </c>
      <c r="F89" s="7" t="s">
        <v>19</v>
      </c>
      <c r="G89" s="7" t="s">
        <v>1722</v>
      </c>
      <c r="H89" s="7" t="s">
        <v>17</v>
      </c>
      <c r="I89" s="7" t="s">
        <v>17</v>
      </c>
      <c r="J89" s="7" t="s">
        <v>1723</v>
      </c>
    </row>
    <row r="90" spans="1:10" x14ac:dyDescent="0.25" outlineLevel="1" collapsed="1">
      <c r="A90" s="7" t="s">
        <v>15</v>
      </c>
      <c r="B90" s="7" t="s">
        <v>16</v>
      </c>
      <c r="C90" s="7" t="s">
        <v>17</v>
      </c>
      <c r="D90" s="7"/>
      <c r="E90" s="7" t="s">
        <v>1724</v>
      </c>
      <c r="F90" s="7" t="s">
        <v>19</v>
      </c>
      <c r="G90" s="7" t="s">
        <v>31</v>
      </c>
      <c r="H90" s="7" t="s">
        <v>17</v>
      </c>
      <c r="I90" s="7" t="s">
        <v>17</v>
      </c>
      <c r="J90" s="7" t="s">
        <v>1725</v>
      </c>
    </row>
    <row r="91" spans="1:10" x14ac:dyDescent="0.25" outlineLevel="1" collapsed="1">
      <c r="A91" s="7" t="s">
        <v>15</v>
      </c>
      <c r="B91" s="7" t="s">
        <v>284</v>
      </c>
      <c r="C91" s="11" t="s">
        <v>1726</v>
      </c>
      <c r="D91" s="7"/>
      <c r="E91" s="7" t="s">
        <v>1727</v>
      </c>
      <c r="F91" s="7" t="s">
        <v>19</v>
      </c>
      <c r="G91" s="7" t="s">
        <v>1709</v>
      </c>
      <c r="H91" s="7" t="s">
        <v>17</v>
      </c>
      <c r="I91" s="7" t="s">
        <v>17</v>
      </c>
      <c r="J91" s="7" t="s">
        <v>1710</v>
      </c>
    </row>
    <row r="92" spans="1:10" x14ac:dyDescent="0.25" outlineLevel="1" collapsed="1">
      <c r="A92" s="7" t="s">
        <v>15</v>
      </c>
      <c r="B92" s="7" t="s">
        <v>284</v>
      </c>
      <c r="C92" s="11" t="s">
        <v>1728</v>
      </c>
      <c r="D92" s="7"/>
      <c r="E92" s="7" t="s">
        <v>1729</v>
      </c>
      <c r="F92" s="7" t="s">
        <v>19</v>
      </c>
      <c r="G92" s="7" t="s">
        <v>1713</v>
      </c>
      <c r="H92" s="7" t="s">
        <v>17</v>
      </c>
      <c r="I92" s="7" t="s">
        <v>17</v>
      </c>
      <c r="J92" s="7" t="s">
        <v>1714</v>
      </c>
    </row>
    <row r="93" spans="1:10" x14ac:dyDescent="0.25" outlineLevel="1" collapsed="1">
      <c r="A93" s="7" t="s">
        <v>15</v>
      </c>
      <c r="B93" s="7" t="s">
        <v>63</v>
      </c>
      <c r="C93" s="7" t="s">
        <v>17</v>
      </c>
      <c r="D93" s="7"/>
      <c r="E93" s="7" t="s">
        <v>1730</v>
      </c>
      <c r="F93" s="7" t="s">
        <v>19</v>
      </c>
      <c r="G93" s="7">
        <v>1</v>
      </c>
      <c r="H93" s="7" t="s">
        <v>17</v>
      </c>
      <c r="I93" s="7" t="s">
        <v>17</v>
      </c>
      <c r="J93" s="7" t="s">
        <v>1698</v>
      </c>
    </row>
    <row r="94" spans="1:10" x14ac:dyDescent="0.25" outlineLevel="1" collapsed="1">
      <c r="A94" s="7" t="s">
        <v>19</v>
      </c>
      <c r="B94" s="7" t="s">
        <v>63</v>
      </c>
      <c r="C94" s="7" t="s">
        <v>17</v>
      </c>
      <c r="D94" s="7"/>
      <c r="E94" s="7" t="s">
        <v>1731</v>
      </c>
      <c r="F94" s="7" t="s">
        <v>19</v>
      </c>
      <c r="G94" s="7">
        <v>1</v>
      </c>
      <c r="H94" s="7" t="s">
        <v>17</v>
      </c>
      <c r="I94" s="7" t="s">
        <v>17</v>
      </c>
      <c r="J94" s="7" t="s">
        <v>1700</v>
      </c>
    </row>
    <row r="95" spans="1:10" x14ac:dyDescent="0.25" outlineLevel="1" collapsed="1">
      <c r="A95" s="7" t="s">
        <v>19</v>
      </c>
      <c r="B95" s="7" t="s">
        <v>63</v>
      </c>
      <c r="C95" s="7" t="s">
        <v>17</v>
      </c>
      <c r="D95" s="7"/>
      <c r="E95" s="7" t="s">
        <v>1732</v>
      </c>
      <c r="F95" s="7" t="s">
        <v>19</v>
      </c>
      <c r="G95" s="7">
        <v>1</v>
      </c>
      <c r="H95" s="7" t="s">
        <v>17</v>
      </c>
      <c r="I95" s="7" t="s">
        <v>17</v>
      </c>
      <c r="J95" s="7" t="s">
        <v>1702</v>
      </c>
    </row>
    <row r="96" spans="1:10" x14ac:dyDescent="0.25" outlineLevel="1" collapsed="1">
      <c r="A96" s="7" t="s">
        <v>19</v>
      </c>
      <c r="B96" s="7" t="s">
        <v>63</v>
      </c>
      <c r="C96" s="7" t="s">
        <v>17</v>
      </c>
      <c r="D96" s="7"/>
      <c r="E96" s="7" t="s">
        <v>1733</v>
      </c>
      <c r="F96" s="7" t="s">
        <v>19</v>
      </c>
      <c r="G96" s="7">
        <v>1</v>
      </c>
      <c r="H96" s="7" t="s">
        <v>17</v>
      </c>
      <c r="I96" s="7" t="s">
        <v>17</v>
      </c>
      <c r="J96" s="7" t="s">
        <v>1704</v>
      </c>
    </row>
    <row r="97" spans="1:10" x14ac:dyDescent="0.25" outlineLevel="1" collapsed="1">
      <c r="A97" s="7" t="s">
        <v>19</v>
      </c>
      <c r="B97" s="7" t="s">
        <v>63</v>
      </c>
      <c r="C97" s="7" t="s">
        <v>17</v>
      </c>
      <c r="D97" s="7"/>
      <c r="E97" s="7" t="s">
        <v>1734</v>
      </c>
      <c r="F97" s="7" t="s">
        <v>19</v>
      </c>
      <c r="G97" s="7">
        <v>1</v>
      </c>
      <c r="H97" s="7" t="s">
        <v>17</v>
      </c>
      <c r="I97" s="7" t="s">
        <v>17</v>
      </c>
      <c r="J97" s="7" t="s">
        <v>1706</v>
      </c>
    </row>
  </sheetData>
  <mergeCells count="3">
    <mergeCell ref="A1:J1"/>
    <mergeCell ref="B2:J2"/>
    <mergeCell ref="B3:J3"/>
  </mergeCells>
  <dataValidations count="15">
    <dataValidation type="list" allowBlank="1" sqref="G14:I14">
      <formula1>'Enums'!C607:C608</formula1>
    </dataValidation>
    <dataValidation type="list" allowBlank="1" sqref="G18:I18">
      <formula1>'Enums'!C609:C613</formula1>
    </dataValidation>
    <dataValidation type="list" allowBlank="1" sqref="G30:I30">
      <formula1>'Enums'!C607:C608</formula1>
    </dataValidation>
    <dataValidation type="list" allowBlank="1" sqref="G34:I34">
      <formula1>'Enums'!C609:C613</formula1>
    </dataValidation>
    <dataValidation type="list" allowBlank="1" sqref="G46:I46">
      <formula1>'Enums'!C607:C608</formula1>
    </dataValidation>
    <dataValidation type="list" allowBlank="1" sqref="G50:I50">
      <formula1>'Enums'!C609:C613</formula1>
    </dataValidation>
    <dataValidation type="list" allowBlank="1" sqref="G62:I62">
      <formula1>'Enums'!C607:C608</formula1>
    </dataValidation>
    <dataValidation type="list" allowBlank="1" sqref="G66:I66">
      <formula1>'Enums'!C609:C613</formula1>
    </dataValidation>
    <dataValidation type="list" allowBlank="1" sqref="G78:I78">
      <formula1>'Enums'!C607:C608</formula1>
    </dataValidation>
    <dataValidation type="list" allowBlank="1" sqref="G82:I82">
      <formula1>'Enums'!C609:C613</formula1>
    </dataValidation>
    <dataValidation type="list" allowBlank="1" sqref="G85:I85">
      <formula1>'Enums'!C616:C617</formula1>
    </dataValidation>
    <dataValidation type="list" allowBlank="1" sqref="G86:I86">
      <formula1>'Enums'!C618:C619</formula1>
    </dataValidation>
    <dataValidation type="list" allowBlank="1" sqref="G89:I89">
      <formula1>'Enums'!C813:C815</formula1>
    </dataValidation>
    <dataValidation type="list" allowBlank="1" sqref="G91:I91">
      <formula1>'Enums'!C816:C817</formula1>
    </dataValidation>
    <dataValidation type="list" allowBlank="1" sqref="G92:I92">
      <formula1>'Enums'!C818:C819</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7" r:id="rId6" location="#'TOOL03 fuel combustion row (fu'!A1"/>
  </hyperlinks>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3441</v>
      </c>
      <c r="B1" s="1"/>
      <c r="C1" s="1"/>
      <c r="D1" s="1"/>
      <c r="E1" s="1"/>
      <c r="F1" s="1"/>
      <c r="G1" s="1"/>
      <c r="H1" s="1"/>
      <c r="I1" s="1"/>
      <c r="J1" s="1"/>
    </row>
    <row r="2" spans="1:10" x14ac:dyDescent="0.25">
      <c r="A2" s="2" t="s">
        <v>1</v>
      </c>
      <c r="B2" s="3" t="s">
        <v>3442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1667</v>
      </c>
      <c r="C5" s="5" t="s">
        <v>17</v>
      </c>
      <c r="D5" s="5"/>
      <c r="E5" s="5" t="s">
        <v>1738</v>
      </c>
      <c r="F5" s="5" t="s">
        <v>19</v>
      </c>
      <c r="G5" s="5" t="s">
        <v>17</v>
      </c>
      <c r="H5" s="5" t="s">
        <v>17</v>
      </c>
      <c r="I5" s="5" t="s">
        <v>17</v>
      </c>
      <c r="J5" s="5" t="s">
        <v>1739</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1675</v>
      </c>
      <c r="F13" s="7" t="s">
        <v>19</v>
      </c>
      <c r="G13" s="7" t="s">
        <v>31</v>
      </c>
      <c r="H13" s="7" t="s">
        <v>17</v>
      </c>
      <c r="I13" s="7" t="s">
        <v>17</v>
      </c>
      <c r="J13" s="7" t="s">
        <v>1422</v>
      </c>
    </row>
    <row r="14" spans="1:10" x14ac:dyDescent="0.25" outlineLevel="1" collapsed="1">
      <c r="A14" s="7" t="s">
        <v>15</v>
      </c>
      <c r="B14" s="7" t="s">
        <v>284</v>
      </c>
      <c r="C14" s="11" t="s">
        <v>1604</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1676</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1611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19</v>
      </c>
      <c r="B21" s="6" t="s">
        <v>1667</v>
      </c>
      <c r="C21" s="5" t="s">
        <v>17</v>
      </c>
      <c r="D21" s="5"/>
      <c r="E21" s="5" t="s">
        <v>1740</v>
      </c>
      <c r="F21" s="5" t="s">
        <v>19</v>
      </c>
      <c r="G21" s="5" t="s">
        <v>17</v>
      </c>
      <c r="H21" s="5" t="s">
        <v>17</v>
      </c>
      <c r="I21" s="5" t="s">
        <v>17</v>
      </c>
      <c r="J21" s="5" t="s">
        <v>1741</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1675</v>
      </c>
      <c r="F29" s="7" t="s">
        <v>19</v>
      </c>
      <c r="G29" s="7" t="s">
        <v>31</v>
      </c>
      <c r="H29" s="7" t="s">
        <v>17</v>
      </c>
      <c r="I29" s="7" t="s">
        <v>17</v>
      </c>
      <c r="J29" s="7" t="s">
        <v>1422</v>
      </c>
    </row>
    <row r="30" spans="1:10" x14ac:dyDescent="0.25" outlineLevel="1" collapsed="1">
      <c r="A30" s="7" t="s">
        <v>15</v>
      </c>
      <c r="B30" s="7" t="s">
        <v>284</v>
      </c>
      <c r="C30" s="11" t="s">
        <v>1604</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1676</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1611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19</v>
      </c>
      <c r="B37" s="6" t="s">
        <v>1667</v>
      </c>
      <c r="C37" s="5" t="s">
        <v>17</v>
      </c>
      <c r="D37" s="5"/>
      <c r="E37" s="5" t="s">
        <v>1742</v>
      </c>
      <c r="F37" s="5" t="s">
        <v>19</v>
      </c>
      <c r="G37" s="5" t="s">
        <v>17</v>
      </c>
      <c r="H37" s="5" t="s">
        <v>17</v>
      </c>
      <c r="I37" s="5" t="s">
        <v>17</v>
      </c>
      <c r="J37" s="5" t="s">
        <v>1743</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1675</v>
      </c>
      <c r="F45" s="7" t="s">
        <v>19</v>
      </c>
      <c r="G45" s="7" t="s">
        <v>31</v>
      </c>
      <c r="H45" s="7" t="s">
        <v>17</v>
      </c>
      <c r="I45" s="7" t="s">
        <v>17</v>
      </c>
      <c r="J45" s="7" t="s">
        <v>1422</v>
      </c>
    </row>
    <row r="46" spans="1:10" x14ac:dyDescent="0.25" outlineLevel="1" collapsed="1">
      <c r="A46" s="7" t="s">
        <v>15</v>
      </c>
      <c r="B46" s="7" t="s">
        <v>284</v>
      </c>
      <c r="C46" s="11" t="s">
        <v>1604</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1676</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1611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19</v>
      </c>
      <c r="B53" s="6" t="s">
        <v>1667</v>
      </c>
      <c r="C53" s="5" t="s">
        <v>17</v>
      </c>
      <c r="D53" s="5"/>
      <c r="E53" s="5" t="s">
        <v>1744</v>
      </c>
      <c r="F53" s="5" t="s">
        <v>19</v>
      </c>
      <c r="G53" s="5" t="s">
        <v>17</v>
      </c>
      <c r="H53" s="5" t="s">
        <v>17</v>
      </c>
      <c r="I53" s="5" t="s">
        <v>17</v>
      </c>
      <c r="J53" s="5" t="s">
        <v>1745</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1675</v>
      </c>
      <c r="F61" s="7" t="s">
        <v>19</v>
      </c>
      <c r="G61" s="7" t="s">
        <v>31</v>
      </c>
      <c r="H61" s="7" t="s">
        <v>17</v>
      </c>
      <c r="I61" s="7" t="s">
        <v>17</v>
      </c>
      <c r="J61" s="7" t="s">
        <v>1422</v>
      </c>
    </row>
    <row r="62" spans="1:10" x14ac:dyDescent="0.25" outlineLevel="1" collapsed="1">
      <c r="A62" s="7" t="s">
        <v>15</v>
      </c>
      <c r="B62" s="7" t="s">
        <v>284</v>
      </c>
      <c r="C62" s="11" t="s">
        <v>1604</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1676</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1611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19</v>
      </c>
      <c r="B69" s="6" t="s">
        <v>1667</v>
      </c>
      <c r="C69" s="5" t="s">
        <v>17</v>
      </c>
      <c r="D69" s="5"/>
      <c r="E69" s="5" t="s">
        <v>1746</v>
      </c>
      <c r="F69" s="5" t="s">
        <v>19</v>
      </c>
      <c r="G69" s="5" t="s">
        <v>17</v>
      </c>
      <c r="H69" s="5" t="s">
        <v>17</v>
      </c>
      <c r="I69" s="5" t="s">
        <v>17</v>
      </c>
      <c r="J69" s="5" t="s">
        <v>1747</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1675</v>
      </c>
      <c r="F77" s="7" t="s">
        <v>19</v>
      </c>
      <c r="G77" s="7" t="s">
        <v>31</v>
      </c>
      <c r="H77" s="7" t="s">
        <v>17</v>
      </c>
      <c r="I77" s="7" t="s">
        <v>17</v>
      </c>
      <c r="J77" s="7" t="s">
        <v>1422</v>
      </c>
    </row>
    <row r="78" spans="1:10" x14ac:dyDescent="0.25" outlineLevel="1" collapsed="1">
      <c r="A78" s="7" t="s">
        <v>15</v>
      </c>
      <c r="B78" s="7" t="s">
        <v>284</v>
      </c>
      <c r="C78" s="11" t="s">
        <v>1604</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1676</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1611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6" t="s">
        <v>1667</v>
      </c>
      <c r="C85" s="5" t="s">
        <v>17</v>
      </c>
      <c r="D85" s="5"/>
      <c r="E85" s="5" t="s">
        <v>1748</v>
      </c>
      <c r="F85" s="5" t="s">
        <v>19</v>
      </c>
      <c r="G85" s="5" t="s">
        <v>17</v>
      </c>
      <c r="H85" s="5" t="s">
        <v>17</v>
      </c>
      <c r="I85" s="5" t="s">
        <v>17</v>
      </c>
      <c r="J85" s="5" t="s">
        <v>1749</v>
      </c>
    </row>
    <row r="86" spans="1:10" x14ac:dyDescent="0.25" outlineLevel="1" collapsed="1">
      <c r="A86" s="7" t="s">
        <v>15</v>
      </c>
      <c r="B86" s="7" t="s">
        <v>16</v>
      </c>
      <c r="C86" s="7" t="s">
        <v>17</v>
      </c>
      <c r="D86" s="7"/>
      <c r="E86" s="7" t="s">
        <v>1670</v>
      </c>
      <c r="F86" s="7" t="s">
        <v>19</v>
      </c>
      <c r="G86" s="7" t="s">
        <v>31</v>
      </c>
      <c r="H86" s="7" t="s">
        <v>17</v>
      </c>
      <c r="I86" s="7" t="s">
        <v>17</v>
      </c>
      <c r="J86" s="7" t="s">
        <v>637</v>
      </c>
    </row>
    <row r="87" spans="1:10" x14ac:dyDescent="0.25" outlineLevel="1" collapsed="1">
      <c r="A87" s="7" t="s">
        <v>15</v>
      </c>
      <c r="B87" s="7" t="s">
        <v>16</v>
      </c>
      <c r="C87" s="7" t="s">
        <v>17</v>
      </c>
      <c r="D87" s="7"/>
      <c r="E87" s="7" t="s">
        <v>638</v>
      </c>
      <c r="F87" s="7" t="s">
        <v>19</v>
      </c>
      <c r="G87" s="7" t="s">
        <v>31</v>
      </c>
      <c r="H87" s="7" t="s">
        <v>17</v>
      </c>
      <c r="I87" s="7" t="s">
        <v>17</v>
      </c>
      <c r="J87" s="7" t="s">
        <v>640</v>
      </c>
    </row>
    <row r="88" spans="1:10" x14ac:dyDescent="0.25" outlineLevel="1" collapsed="1">
      <c r="A88" s="7" t="s">
        <v>15</v>
      </c>
      <c r="B88" s="7" t="s">
        <v>16</v>
      </c>
      <c r="C88" s="7" t="s">
        <v>17</v>
      </c>
      <c r="D88" s="7"/>
      <c r="E88" s="7" t="s">
        <v>9</v>
      </c>
      <c r="F88" s="7" t="s">
        <v>19</v>
      </c>
      <c r="G88" s="7" t="s">
        <v>31</v>
      </c>
      <c r="H88" s="7" t="s">
        <v>17</v>
      </c>
      <c r="I88" s="7" t="s">
        <v>17</v>
      </c>
      <c r="J88" s="7" t="s">
        <v>843</v>
      </c>
    </row>
    <row r="89" spans="1:10" x14ac:dyDescent="0.25" outlineLevel="1" collapsed="1">
      <c r="A89" s="7" t="s">
        <v>19</v>
      </c>
      <c r="B89" s="7" t="s">
        <v>16</v>
      </c>
      <c r="C89" s="7" t="s">
        <v>17</v>
      </c>
      <c r="D89" s="7"/>
      <c r="E89" s="7" t="s">
        <v>1600</v>
      </c>
      <c r="F89" s="7" t="s">
        <v>19</v>
      </c>
      <c r="G89" s="7" t="s">
        <v>31</v>
      </c>
      <c r="H89" s="7" t="s">
        <v>17</v>
      </c>
      <c r="I89" s="7" t="s">
        <v>17</v>
      </c>
      <c r="J89" s="7" t="s">
        <v>1424</v>
      </c>
    </row>
    <row r="90" spans="1:10" x14ac:dyDescent="0.25" outlineLevel="1" collapsed="1">
      <c r="A90" s="7" t="s">
        <v>15</v>
      </c>
      <c r="B90" s="7" t="s">
        <v>16</v>
      </c>
      <c r="C90" s="7" t="s">
        <v>17</v>
      </c>
      <c r="D90" s="7"/>
      <c r="E90" s="7" t="s">
        <v>1601</v>
      </c>
      <c r="F90" s="7" t="s">
        <v>19</v>
      </c>
      <c r="G90" s="7" t="s">
        <v>31</v>
      </c>
      <c r="H90" s="7" t="s">
        <v>17</v>
      </c>
      <c r="I90" s="7" t="s">
        <v>17</v>
      </c>
      <c r="J90" s="7" t="s">
        <v>1602</v>
      </c>
    </row>
    <row r="91" spans="1:10" x14ac:dyDescent="0.25" outlineLevel="1" collapsed="1">
      <c r="A91" s="7" t="s">
        <v>15</v>
      </c>
      <c r="B91" s="7" t="s">
        <v>16</v>
      </c>
      <c r="C91" s="7" t="s">
        <v>17</v>
      </c>
      <c r="D91" s="7"/>
      <c r="E91" s="7" t="s">
        <v>1671</v>
      </c>
      <c r="F91" s="7" t="s">
        <v>19</v>
      </c>
      <c r="G91" s="7" t="s">
        <v>31</v>
      </c>
      <c r="H91" s="7" t="s">
        <v>17</v>
      </c>
      <c r="I91" s="7" t="s">
        <v>17</v>
      </c>
      <c r="J91" s="7" t="s">
        <v>1672</v>
      </c>
    </row>
    <row r="92" spans="1:10" x14ac:dyDescent="0.25" outlineLevel="1" collapsed="1">
      <c r="A92" s="7" t="s">
        <v>15</v>
      </c>
      <c r="B92" s="7" t="s">
        <v>16</v>
      </c>
      <c r="C92" s="7" t="s">
        <v>17</v>
      </c>
      <c r="D92" s="7"/>
      <c r="E92" s="7" t="s">
        <v>1673</v>
      </c>
      <c r="F92" s="7" t="s">
        <v>19</v>
      </c>
      <c r="G92" s="7" t="s">
        <v>31</v>
      </c>
      <c r="H92" s="7" t="s">
        <v>17</v>
      </c>
      <c r="I92" s="7" t="s">
        <v>17</v>
      </c>
      <c r="J92" s="7" t="s">
        <v>1674</v>
      </c>
    </row>
    <row r="93" spans="1:10" x14ac:dyDescent="0.25" outlineLevel="1" collapsed="1">
      <c r="A93" s="7" t="s">
        <v>15</v>
      </c>
      <c r="B93" s="7" t="s">
        <v>16</v>
      </c>
      <c r="C93" s="7" t="s">
        <v>17</v>
      </c>
      <c r="D93" s="7"/>
      <c r="E93" s="7" t="s">
        <v>1675</v>
      </c>
      <c r="F93" s="7" t="s">
        <v>19</v>
      </c>
      <c r="G93" s="7" t="s">
        <v>31</v>
      </c>
      <c r="H93" s="7" t="s">
        <v>17</v>
      </c>
      <c r="I93" s="7" t="s">
        <v>17</v>
      </c>
      <c r="J93" s="7" t="s">
        <v>1422</v>
      </c>
    </row>
    <row r="94" spans="1:10" x14ac:dyDescent="0.25" outlineLevel="1" collapsed="1">
      <c r="A94" s="7" t="s">
        <v>15</v>
      </c>
      <c r="B94" s="7" t="s">
        <v>284</v>
      </c>
      <c r="C94" s="11" t="s">
        <v>1604</v>
      </c>
      <c r="D94" s="7"/>
      <c r="E94" s="7" t="s">
        <v>1605</v>
      </c>
      <c r="F94" s="7" t="s">
        <v>19</v>
      </c>
      <c r="G94" s="7" t="s">
        <v>1606</v>
      </c>
      <c r="H94" s="7" t="s">
        <v>17</v>
      </c>
      <c r="I94" s="7" t="s">
        <v>17</v>
      </c>
      <c r="J94" s="7" t="s">
        <v>1607</v>
      </c>
    </row>
    <row r="95" spans="1:10" x14ac:dyDescent="0.25" outlineLevel="1" collapsed="1">
      <c r="A95" s="7" t="s">
        <v>19</v>
      </c>
      <c r="B95" s="7" t="s">
        <v>63</v>
      </c>
      <c r="C95" s="7" t="s">
        <v>17</v>
      </c>
      <c r="D95" s="7">
        <f>EXACT(G94,"Single value")</f>
      </c>
      <c r="E95" s="7" t="s">
        <v>1676</v>
      </c>
      <c r="F95" s="7" t="s">
        <v>19</v>
      </c>
      <c r="G95" s="7">
        <v>1</v>
      </c>
      <c r="H95" s="7" t="s">
        <v>17</v>
      </c>
      <c r="I95" s="7" t="s">
        <v>17</v>
      </c>
      <c r="J95" s="7" t="s">
        <v>1609</v>
      </c>
    </row>
    <row r="96" spans="1:10" x14ac:dyDescent="0.25" outlineLevel="1" collapsed="1">
      <c r="A96" s="7" t="s">
        <v>19</v>
      </c>
      <c r="B96" s="7" t="s">
        <v>16</v>
      </c>
      <c r="C96" s="7" t="s">
        <v>17</v>
      </c>
      <c r="D96" s="7"/>
      <c r="E96" s="7" t="s">
        <v>1677</v>
      </c>
      <c r="F96" s="7" t="s">
        <v>19</v>
      </c>
      <c r="G96" s="7" t="s">
        <v>31</v>
      </c>
      <c r="H96" s="7" t="s">
        <v>17</v>
      </c>
      <c r="I96" s="7" t="s">
        <v>17</v>
      </c>
      <c r="J96" s="7" t="s">
        <v>1678</v>
      </c>
    </row>
    <row r="97" spans="1:10" x14ac:dyDescent="0.25" outlineLevel="1" collapsed="1">
      <c r="A97" s="7" t="s">
        <v>15</v>
      </c>
      <c r="B97" s="7" t="s">
        <v>16</v>
      </c>
      <c r="C97" s="7" t="s">
        <v>17</v>
      </c>
      <c r="D97" s="7"/>
      <c r="E97" s="7" t="s">
        <v>1679</v>
      </c>
      <c r="F97" s="7" t="s">
        <v>19</v>
      </c>
      <c r="G97" s="7" t="s">
        <v>31</v>
      </c>
      <c r="H97" s="7" t="s">
        <v>17</v>
      </c>
      <c r="I97" s="7" t="s">
        <v>17</v>
      </c>
      <c r="J97" s="7" t="s">
        <v>1680</v>
      </c>
    </row>
    <row r="98" spans="1:10" x14ac:dyDescent="0.25" outlineLevel="1" collapsed="1">
      <c r="A98" s="7" t="s">
        <v>15</v>
      </c>
      <c r="B98" s="7" t="s">
        <v>284</v>
      </c>
      <c r="C98" s="11" t="s">
        <v>1611</v>
      </c>
      <c r="D98" s="7"/>
      <c r="E98" s="7" t="s">
        <v>1612</v>
      </c>
      <c r="F98" s="7" t="s">
        <v>19</v>
      </c>
      <c r="G98" s="7" t="s">
        <v>1613</v>
      </c>
      <c r="H98" s="7" t="s">
        <v>17</v>
      </c>
      <c r="I98" s="7" t="s">
        <v>17</v>
      </c>
      <c r="J98" s="7" t="s">
        <v>1614</v>
      </c>
    </row>
    <row r="99" spans="1:10" x14ac:dyDescent="0.25" outlineLevel="1" collapsed="1">
      <c r="A99" s="7" t="s">
        <v>19</v>
      </c>
      <c r="B99" s="7" t="s">
        <v>16</v>
      </c>
      <c r="C99" s="7" t="s">
        <v>17</v>
      </c>
      <c r="D99" s="7"/>
      <c r="E99" s="7" t="s">
        <v>1681</v>
      </c>
      <c r="F99" s="7" t="s">
        <v>19</v>
      </c>
      <c r="G99" s="7" t="s">
        <v>31</v>
      </c>
      <c r="H99" s="7" t="s">
        <v>17</v>
      </c>
      <c r="I99" s="7" t="s">
        <v>17</v>
      </c>
      <c r="J99" s="7" t="s">
        <v>1682</v>
      </c>
    </row>
    <row r="100" spans="1:10" x14ac:dyDescent="0.25" outlineLevel="1" collapsed="1">
      <c r="A100" s="7" t="s">
        <v>19</v>
      </c>
      <c r="B100" s="7" t="s">
        <v>16</v>
      </c>
      <c r="C100" s="7" t="s">
        <v>17</v>
      </c>
      <c r="D100" s="7"/>
      <c r="E100" s="7" t="s">
        <v>1615</v>
      </c>
      <c r="F100" s="7" t="s">
        <v>19</v>
      </c>
      <c r="G100" s="7" t="s">
        <v>31</v>
      </c>
      <c r="H100" s="7" t="s">
        <v>17</v>
      </c>
      <c r="I100" s="7" t="s">
        <v>17</v>
      </c>
      <c r="J100" s="7" t="s">
        <v>1616</v>
      </c>
    </row>
    <row r="101" spans="1:10" x14ac:dyDescent="0.25">
      <c r="A101" s="5" t="s">
        <v>19</v>
      </c>
      <c r="B101" s="6" t="s">
        <v>1667</v>
      </c>
      <c r="C101" s="5" t="s">
        <v>17</v>
      </c>
      <c r="D101" s="5"/>
      <c r="E101" s="5" t="s">
        <v>1750</v>
      </c>
      <c r="F101" s="5" t="s">
        <v>19</v>
      </c>
      <c r="G101" s="5" t="s">
        <v>17</v>
      </c>
      <c r="H101" s="5" t="s">
        <v>17</v>
      </c>
      <c r="I101" s="5" t="s">
        <v>17</v>
      </c>
      <c r="J101" s="5" t="s">
        <v>1751</v>
      </c>
    </row>
    <row r="102" spans="1:10" x14ac:dyDescent="0.25" outlineLevel="1" collapsed="1">
      <c r="A102" s="7" t="s">
        <v>15</v>
      </c>
      <c r="B102" s="7" t="s">
        <v>16</v>
      </c>
      <c r="C102" s="7" t="s">
        <v>17</v>
      </c>
      <c r="D102" s="7"/>
      <c r="E102" s="7" t="s">
        <v>1670</v>
      </c>
      <c r="F102" s="7" t="s">
        <v>19</v>
      </c>
      <c r="G102" s="7" t="s">
        <v>31</v>
      </c>
      <c r="H102" s="7" t="s">
        <v>17</v>
      </c>
      <c r="I102" s="7" t="s">
        <v>17</v>
      </c>
      <c r="J102" s="7" t="s">
        <v>637</v>
      </c>
    </row>
    <row r="103" spans="1:10" x14ac:dyDescent="0.25" outlineLevel="1" collapsed="1">
      <c r="A103" s="7" t="s">
        <v>15</v>
      </c>
      <c r="B103" s="7" t="s">
        <v>16</v>
      </c>
      <c r="C103" s="7" t="s">
        <v>17</v>
      </c>
      <c r="D103" s="7"/>
      <c r="E103" s="7" t="s">
        <v>638</v>
      </c>
      <c r="F103" s="7" t="s">
        <v>19</v>
      </c>
      <c r="G103" s="7" t="s">
        <v>31</v>
      </c>
      <c r="H103" s="7" t="s">
        <v>17</v>
      </c>
      <c r="I103" s="7" t="s">
        <v>17</v>
      </c>
      <c r="J103" s="7" t="s">
        <v>640</v>
      </c>
    </row>
    <row r="104" spans="1:10" x14ac:dyDescent="0.25" outlineLevel="1" collapsed="1">
      <c r="A104" s="7" t="s">
        <v>15</v>
      </c>
      <c r="B104" s="7" t="s">
        <v>16</v>
      </c>
      <c r="C104" s="7" t="s">
        <v>17</v>
      </c>
      <c r="D104" s="7"/>
      <c r="E104" s="7" t="s">
        <v>9</v>
      </c>
      <c r="F104" s="7" t="s">
        <v>19</v>
      </c>
      <c r="G104" s="7" t="s">
        <v>31</v>
      </c>
      <c r="H104" s="7" t="s">
        <v>17</v>
      </c>
      <c r="I104" s="7" t="s">
        <v>17</v>
      </c>
      <c r="J104" s="7" t="s">
        <v>843</v>
      </c>
    </row>
    <row r="105" spans="1:10" x14ac:dyDescent="0.25" outlineLevel="1" collapsed="1">
      <c r="A105" s="7" t="s">
        <v>19</v>
      </c>
      <c r="B105" s="7" t="s">
        <v>16</v>
      </c>
      <c r="C105" s="7" t="s">
        <v>17</v>
      </c>
      <c r="D105" s="7"/>
      <c r="E105" s="7" t="s">
        <v>1600</v>
      </c>
      <c r="F105" s="7" t="s">
        <v>19</v>
      </c>
      <c r="G105" s="7" t="s">
        <v>31</v>
      </c>
      <c r="H105" s="7" t="s">
        <v>17</v>
      </c>
      <c r="I105" s="7" t="s">
        <v>17</v>
      </c>
      <c r="J105" s="7" t="s">
        <v>1424</v>
      </c>
    </row>
    <row r="106" spans="1:10" x14ac:dyDescent="0.25" outlineLevel="1" collapsed="1">
      <c r="A106" s="7" t="s">
        <v>15</v>
      </c>
      <c r="B106" s="7" t="s">
        <v>16</v>
      </c>
      <c r="C106" s="7" t="s">
        <v>17</v>
      </c>
      <c r="D106" s="7"/>
      <c r="E106" s="7" t="s">
        <v>1601</v>
      </c>
      <c r="F106" s="7" t="s">
        <v>19</v>
      </c>
      <c r="G106" s="7" t="s">
        <v>31</v>
      </c>
      <c r="H106" s="7" t="s">
        <v>17</v>
      </c>
      <c r="I106" s="7" t="s">
        <v>17</v>
      </c>
      <c r="J106" s="7" t="s">
        <v>1602</v>
      </c>
    </row>
    <row r="107" spans="1:10" x14ac:dyDescent="0.25" outlineLevel="1" collapsed="1">
      <c r="A107" s="7" t="s">
        <v>15</v>
      </c>
      <c r="B107" s="7" t="s">
        <v>16</v>
      </c>
      <c r="C107" s="7" t="s">
        <v>17</v>
      </c>
      <c r="D107" s="7"/>
      <c r="E107" s="7" t="s">
        <v>1671</v>
      </c>
      <c r="F107" s="7" t="s">
        <v>19</v>
      </c>
      <c r="G107" s="7" t="s">
        <v>31</v>
      </c>
      <c r="H107" s="7" t="s">
        <v>17</v>
      </c>
      <c r="I107" s="7" t="s">
        <v>17</v>
      </c>
      <c r="J107" s="7" t="s">
        <v>1672</v>
      </c>
    </row>
    <row r="108" spans="1:10" x14ac:dyDescent="0.25" outlineLevel="1" collapsed="1">
      <c r="A108" s="7" t="s">
        <v>15</v>
      </c>
      <c r="B108" s="7" t="s">
        <v>16</v>
      </c>
      <c r="C108" s="7" t="s">
        <v>17</v>
      </c>
      <c r="D108" s="7"/>
      <c r="E108" s="7" t="s">
        <v>1673</v>
      </c>
      <c r="F108" s="7" t="s">
        <v>19</v>
      </c>
      <c r="G108" s="7" t="s">
        <v>31</v>
      </c>
      <c r="H108" s="7" t="s">
        <v>17</v>
      </c>
      <c r="I108" s="7" t="s">
        <v>17</v>
      </c>
      <c r="J108" s="7" t="s">
        <v>1674</v>
      </c>
    </row>
    <row r="109" spans="1:10" x14ac:dyDescent="0.25" outlineLevel="1" collapsed="1">
      <c r="A109" s="7" t="s">
        <v>15</v>
      </c>
      <c r="B109" s="7" t="s">
        <v>16</v>
      </c>
      <c r="C109" s="7" t="s">
        <v>17</v>
      </c>
      <c r="D109" s="7"/>
      <c r="E109" s="7" t="s">
        <v>1675</v>
      </c>
      <c r="F109" s="7" t="s">
        <v>19</v>
      </c>
      <c r="G109" s="7" t="s">
        <v>31</v>
      </c>
      <c r="H109" s="7" t="s">
        <v>17</v>
      </c>
      <c r="I109" s="7" t="s">
        <v>17</v>
      </c>
      <c r="J109" s="7" t="s">
        <v>1422</v>
      </c>
    </row>
    <row r="110" spans="1:10" x14ac:dyDescent="0.25" outlineLevel="1" collapsed="1">
      <c r="A110" s="7" t="s">
        <v>15</v>
      </c>
      <c r="B110" s="7" t="s">
        <v>284</v>
      </c>
      <c r="C110" s="11" t="s">
        <v>1604</v>
      </c>
      <c r="D110" s="7"/>
      <c r="E110" s="7" t="s">
        <v>1605</v>
      </c>
      <c r="F110" s="7" t="s">
        <v>19</v>
      </c>
      <c r="G110" s="7" t="s">
        <v>1606</v>
      </c>
      <c r="H110" s="7" t="s">
        <v>17</v>
      </c>
      <c r="I110" s="7" t="s">
        <v>17</v>
      </c>
      <c r="J110" s="7" t="s">
        <v>1607</v>
      </c>
    </row>
    <row r="111" spans="1:10" x14ac:dyDescent="0.25" outlineLevel="1" collapsed="1">
      <c r="A111" s="7" t="s">
        <v>19</v>
      </c>
      <c r="B111" s="7" t="s">
        <v>63</v>
      </c>
      <c r="C111" s="7" t="s">
        <v>17</v>
      </c>
      <c r="D111" s="7">
        <f>EXACT(G110,"Single value")</f>
      </c>
      <c r="E111" s="7" t="s">
        <v>1676</v>
      </c>
      <c r="F111" s="7" t="s">
        <v>19</v>
      </c>
      <c r="G111" s="7">
        <v>1</v>
      </c>
      <c r="H111" s="7" t="s">
        <v>17</v>
      </c>
      <c r="I111" s="7" t="s">
        <v>17</v>
      </c>
      <c r="J111" s="7" t="s">
        <v>1609</v>
      </c>
    </row>
    <row r="112" spans="1:10" x14ac:dyDescent="0.25" outlineLevel="1" collapsed="1">
      <c r="A112" s="7" t="s">
        <v>19</v>
      </c>
      <c r="B112" s="7" t="s">
        <v>16</v>
      </c>
      <c r="C112" s="7" t="s">
        <v>17</v>
      </c>
      <c r="D112" s="7"/>
      <c r="E112" s="7" t="s">
        <v>1677</v>
      </c>
      <c r="F112" s="7" t="s">
        <v>19</v>
      </c>
      <c r="G112" s="7" t="s">
        <v>31</v>
      </c>
      <c r="H112" s="7" t="s">
        <v>17</v>
      </c>
      <c r="I112" s="7" t="s">
        <v>17</v>
      </c>
      <c r="J112" s="7" t="s">
        <v>1678</v>
      </c>
    </row>
    <row r="113" spans="1:10" x14ac:dyDescent="0.25" outlineLevel="1" collapsed="1">
      <c r="A113" s="7" t="s">
        <v>15</v>
      </c>
      <c r="B113" s="7" t="s">
        <v>16</v>
      </c>
      <c r="C113" s="7" t="s">
        <v>17</v>
      </c>
      <c r="D113" s="7"/>
      <c r="E113" s="7" t="s">
        <v>1679</v>
      </c>
      <c r="F113" s="7" t="s">
        <v>19</v>
      </c>
      <c r="G113" s="7" t="s">
        <v>31</v>
      </c>
      <c r="H113" s="7" t="s">
        <v>17</v>
      </c>
      <c r="I113" s="7" t="s">
        <v>17</v>
      </c>
      <c r="J113" s="7" t="s">
        <v>1680</v>
      </c>
    </row>
    <row r="114" spans="1:10" x14ac:dyDescent="0.25" outlineLevel="1" collapsed="1">
      <c r="A114" s="7" t="s">
        <v>15</v>
      </c>
      <c r="B114" s="7" t="s">
        <v>284</v>
      </c>
      <c r="C114" s="11" t="s">
        <v>1611</v>
      </c>
      <c r="D114" s="7"/>
      <c r="E114" s="7" t="s">
        <v>1612</v>
      </c>
      <c r="F114" s="7" t="s">
        <v>19</v>
      </c>
      <c r="G114" s="7" t="s">
        <v>1613</v>
      </c>
      <c r="H114" s="7" t="s">
        <v>17</v>
      </c>
      <c r="I114" s="7" t="s">
        <v>17</v>
      </c>
      <c r="J114" s="7" t="s">
        <v>1614</v>
      </c>
    </row>
    <row r="115" spans="1:10" x14ac:dyDescent="0.25" outlineLevel="1" collapsed="1">
      <c r="A115" s="7" t="s">
        <v>19</v>
      </c>
      <c r="B115" s="7" t="s">
        <v>16</v>
      </c>
      <c r="C115" s="7" t="s">
        <v>17</v>
      </c>
      <c r="D115" s="7"/>
      <c r="E115" s="7" t="s">
        <v>1681</v>
      </c>
      <c r="F115" s="7" t="s">
        <v>19</v>
      </c>
      <c r="G115" s="7" t="s">
        <v>31</v>
      </c>
      <c r="H115" s="7" t="s">
        <v>17</v>
      </c>
      <c r="I115" s="7" t="s">
        <v>17</v>
      </c>
      <c r="J115" s="7" t="s">
        <v>1682</v>
      </c>
    </row>
    <row r="116" spans="1:10" x14ac:dyDescent="0.25" outlineLevel="1" collapsed="1">
      <c r="A116" s="7" t="s">
        <v>19</v>
      </c>
      <c r="B116" s="7" t="s">
        <v>16</v>
      </c>
      <c r="C116" s="7" t="s">
        <v>17</v>
      </c>
      <c r="D116" s="7"/>
      <c r="E116" s="7" t="s">
        <v>1615</v>
      </c>
      <c r="F116" s="7" t="s">
        <v>19</v>
      </c>
      <c r="G116" s="7" t="s">
        <v>31</v>
      </c>
      <c r="H116" s="7" t="s">
        <v>17</v>
      </c>
      <c r="I116" s="7" t="s">
        <v>17</v>
      </c>
      <c r="J116" s="7" t="s">
        <v>1616</v>
      </c>
    </row>
    <row r="117" spans="1:10" x14ac:dyDescent="0.25">
      <c r="A117" s="5" t="s">
        <v>19</v>
      </c>
      <c r="B117" s="6" t="s">
        <v>1667</v>
      </c>
      <c r="C117" s="5" t="s">
        <v>17</v>
      </c>
      <c r="D117" s="5"/>
      <c r="E117" s="5" t="s">
        <v>1752</v>
      </c>
      <c r="F117" s="5" t="s">
        <v>19</v>
      </c>
      <c r="G117" s="5" t="s">
        <v>17</v>
      </c>
      <c r="H117" s="5" t="s">
        <v>17</v>
      </c>
      <c r="I117" s="5" t="s">
        <v>17</v>
      </c>
      <c r="J117" s="5" t="s">
        <v>1753</v>
      </c>
    </row>
    <row r="118" spans="1:10" x14ac:dyDescent="0.25" outlineLevel="1" collapsed="1">
      <c r="A118" s="7" t="s">
        <v>15</v>
      </c>
      <c r="B118" s="7" t="s">
        <v>16</v>
      </c>
      <c r="C118" s="7" t="s">
        <v>17</v>
      </c>
      <c r="D118" s="7"/>
      <c r="E118" s="7" t="s">
        <v>1670</v>
      </c>
      <c r="F118" s="7" t="s">
        <v>19</v>
      </c>
      <c r="G118" s="7" t="s">
        <v>31</v>
      </c>
      <c r="H118" s="7" t="s">
        <v>17</v>
      </c>
      <c r="I118" s="7" t="s">
        <v>17</v>
      </c>
      <c r="J118" s="7" t="s">
        <v>637</v>
      </c>
    </row>
    <row r="119" spans="1:10" x14ac:dyDescent="0.25" outlineLevel="1" collapsed="1">
      <c r="A119" s="7" t="s">
        <v>15</v>
      </c>
      <c r="B119" s="7" t="s">
        <v>16</v>
      </c>
      <c r="C119" s="7" t="s">
        <v>17</v>
      </c>
      <c r="D119" s="7"/>
      <c r="E119" s="7" t="s">
        <v>638</v>
      </c>
      <c r="F119" s="7" t="s">
        <v>19</v>
      </c>
      <c r="G119" s="7" t="s">
        <v>31</v>
      </c>
      <c r="H119" s="7" t="s">
        <v>17</v>
      </c>
      <c r="I119" s="7" t="s">
        <v>17</v>
      </c>
      <c r="J119" s="7" t="s">
        <v>640</v>
      </c>
    </row>
    <row r="120" spans="1:10" x14ac:dyDescent="0.25" outlineLevel="1" collapsed="1">
      <c r="A120" s="7" t="s">
        <v>15</v>
      </c>
      <c r="B120" s="7" t="s">
        <v>16</v>
      </c>
      <c r="C120" s="7" t="s">
        <v>17</v>
      </c>
      <c r="D120" s="7"/>
      <c r="E120" s="7" t="s">
        <v>9</v>
      </c>
      <c r="F120" s="7" t="s">
        <v>19</v>
      </c>
      <c r="G120" s="7" t="s">
        <v>31</v>
      </c>
      <c r="H120" s="7" t="s">
        <v>17</v>
      </c>
      <c r="I120" s="7" t="s">
        <v>17</v>
      </c>
      <c r="J120" s="7" t="s">
        <v>843</v>
      </c>
    </row>
    <row r="121" spans="1:10" x14ac:dyDescent="0.25" outlineLevel="1" collapsed="1">
      <c r="A121" s="7" t="s">
        <v>19</v>
      </c>
      <c r="B121" s="7" t="s">
        <v>16</v>
      </c>
      <c r="C121" s="7" t="s">
        <v>17</v>
      </c>
      <c r="D121" s="7"/>
      <c r="E121" s="7" t="s">
        <v>1600</v>
      </c>
      <c r="F121" s="7" t="s">
        <v>19</v>
      </c>
      <c r="G121" s="7" t="s">
        <v>31</v>
      </c>
      <c r="H121" s="7" t="s">
        <v>17</v>
      </c>
      <c r="I121" s="7" t="s">
        <v>17</v>
      </c>
      <c r="J121" s="7" t="s">
        <v>1424</v>
      </c>
    </row>
    <row r="122" spans="1:10" x14ac:dyDescent="0.25" outlineLevel="1" collapsed="1">
      <c r="A122" s="7" t="s">
        <v>15</v>
      </c>
      <c r="B122" s="7" t="s">
        <v>16</v>
      </c>
      <c r="C122" s="7" t="s">
        <v>17</v>
      </c>
      <c r="D122" s="7"/>
      <c r="E122" s="7" t="s">
        <v>1601</v>
      </c>
      <c r="F122" s="7" t="s">
        <v>19</v>
      </c>
      <c r="G122" s="7" t="s">
        <v>31</v>
      </c>
      <c r="H122" s="7" t="s">
        <v>17</v>
      </c>
      <c r="I122" s="7" t="s">
        <v>17</v>
      </c>
      <c r="J122" s="7" t="s">
        <v>1602</v>
      </c>
    </row>
    <row r="123" spans="1:10" x14ac:dyDescent="0.25" outlineLevel="1" collapsed="1">
      <c r="A123" s="7" t="s">
        <v>15</v>
      </c>
      <c r="B123" s="7" t="s">
        <v>16</v>
      </c>
      <c r="C123" s="7" t="s">
        <v>17</v>
      </c>
      <c r="D123" s="7"/>
      <c r="E123" s="7" t="s">
        <v>1671</v>
      </c>
      <c r="F123" s="7" t="s">
        <v>19</v>
      </c>
      <c r="G123" s="7" t="s">
        <v>31</v>
      </c>
      <c r="H123" s="7" t="s">
        <v>17</v>
      </c>
      <c r="I123" s="7" t="s">
        <v>17</v>
      </c>
      <c r="J123" s="7" t="s">
        <v>1672</v>
      </c>
    </row>
    <row r="124" spans="1:10" x14ac:dyDescent="0.25" outlineLevel="1" collapsed="1">
      <c r="A124" s="7" t="s">
        <v>15</v>
      </c>
      <c r="B124" s="7" t="s">
        <v>16</v>
      </c>
      <c r="C124" s="7" t="s">
        <v>17</v>
      </c>
      <c r="D124" s="7"/>
      <c r="E124" s="7" t="s">
        <v>1673</v>
      </c>
      <c r="F124" s="7" t="s">
        <v>19</v>
      </c>
      <c r="G124" s="7" t="s">
        <v>31</v>
      </c>
      <c r="H124" s="7" t="s">
        <v>17</v>
      </c>
      <c r="I124" s="7" t="s">
        <v>17</v>
      </c>
      <c r="J124" s="7" t="s">
        <v>1674</v>
      </c>
    </row>
    <row r="125" spans="1:10" x14ac:dyDescent="0.25" outlineLevel="1" collapsed="1">
      <c r="A125" s="7" t="s">
        <v>15</v>
      </c>
      <c r="B125" s="7" t="s">
        <v>16</v>
      </c>
      <c r="C125" s="7" t="s">
        <v>17</v>
      </c>
      <c r="D125" s="7"/>
      <c r="E125" s="7" t="s">
        <v>1675</v>
      </c>
      <c r="F125" s="7" t="s">
        <v>19</v>
      </c>
      <c r="G125" s="7" t="s">
        <v>31</v>
      </c>
      <c r="H125" s="7" t="s">
        <v>17</v>
      </c>
      <c r="I125" s="7" t="s">
        <v>17</v>
      </c>
      <c r="J125" s="7" t="s">
        <v>1422</v>
      </c>
    </row>
    <row r="126" spans="1:10" x14ac:dyDescent="0.25" outlineLevel="1" collapsed="1">
      <c r="A126" s="7" t="s">
        <v>15</v>
      </c>
      <c r="B126" s="7" t="s">
        <v>284</v>
      </c>
      <c r="C126" s="11" t="s">
        <v>1604</v>
      </c>
      <c r="D126" s="7"/>
      <c r="E126" s="7" t="s">
        <v>1605</v>
      </c>
      <c r="F126" s="7" t="s">
        <v>19</v>
      </c>
      <c r="G126" s="7" t="s">
        <v>1606</v>
      </c>
      <c r="H126" s="7" t="s">
        <v>17</v>
      </c>
      <c r="I126" s="7" t="s">
        <v>17</v>
      </c>
      <c r="J126" s="7" t="s">
        <v>1607</v>
      </c>
    </row>
    <row r="127" spans="1:10" x14ac:dyDescent="0.25" outlineLevel="1" collapsed="1">
      <c r="A127" s="7" t="s">
        <v>19</v>
      </c>
      <c r="B127" s="7" t="s">
        <v>63</v>
      </c>
      <c r="C127" s="7" t="s">
        <v>17</v>
      </c>
      <c r="D127" s="7">
        <f>EXACT(G126,"Single value")</f>
      </c>
      <c r="E127" s="7" t="s">
        <v>1676</v>
      </c>
      <c r="F127" s="7" t="s">
        <v>19</v>
      </c>
      <c r="G127" s="7">
        <v>1</v>
      </c>
      <c r="H127" s="7" t="s">
        <v>17</v>
      </c>
      <c r="I127" s="7" t="s">
        <v>17</v>
      </c>
      <c r="J127" s="7" t="s">
        <v>1609</v>
      </c>
    </row>
    <row r="128" spans="1:10" x14ac:dyDescent="0.25" outlineLevel="1" collapsed="1">
      <c r="A128" s="7" t="s">
        <v>19</v>
      </c>
      <c r="B128" s="7" t="s">
        <v>16</v>
      </c>
      <c r="C128" s="7" t="s">
        <v>17</v>
      </c>
      <c r="D128" s="7"/>
      <c r="E128" s="7" t="s">
        <v>1677</v>
      </c>
      <c r="F128" s="7" t="s">
        <v>19</v>
      </c>
      <c r="G128" s="7" t="s">
        <v>31</v>
      </c>
      <c r="H128" s="7" t="s">
        <v>17</v>
      </c>
      <c r="I128" s="7" t="s">
        <v>17</v>
      </c>
      <c r="J128" s="7" t="s">
        <v>1678</v>
      </c>
    </row>
    <row r="129" spans="1:10" x14ac:dyDescent="0.25" outlineLevel="1" collapsed="1">
      <c r="A129" s="7" t="s">
        <v>15</v>
      </c>
      <c r="B129" s="7" t="s">
        <v>16</v>
      </c>
      <c r="C129" s="7" t="s">
        <v>17</v>
      </c>
      <c r="D129" s="7"/>
      <c r="E129" s="7" t="s">
        <v>1679</v>
      </c>
      <c r="F129" s="7" t="s">
        <v>19</v>
      </c>
      <c r="G129" s="7" t="s">
        <v>31</v>
      </c>
      <c r="H129" s="7" t="s">
        <v>17</v>
      </c>
      <c r="I129" s="7" t="s">
        <v>17</v>
      </c>
      <c r="J129" s="7" t="s">
        <v>1680</v>
      </c>
    </row>
    <row r="130" spans="1:10" x14ac:dyDescent="0.25" outlineLevel="1" collapsed="1">
      <c r="A130" s="7" t="s">
        <v>15</v>
      </c>
      <c r="B130" s="7" t="s">
        <v>284</v>
      </c>
      <c r="C130" s="11" t="s">
        <v>1611</v>
      </c>
      <c r="D130" s="7"/>
      <c r="E130" s="7" t="s">
        <v>1612</v>
      </c>
      <c r="F130" s="7" t="s">
        <v>19</v>
      </c>
      <c r="G130" s="7" t="s">
        <v>1613</v>
      </c>
      <c r="H130" s="7" t="s">
        <v>17</v>
      </c>
      <c r="I130" s="7" t="s">
        <v>17</v>
      </c>
      <c r="J130" s="7" t="s">
        <v>1614</v>
      </c>
    </row>
    <row r="131" spans="1:10" x14ac:dyDescent="0.25" outlineLevel="1" collapsed="1">
      <c r="A131" s="7" t="s">
        <v>19</v>
      </c>
      <c r="B131" s="7" t="s">
        <v>16</v>
      </c>
      <c r="C131" s="7" t="s">
        <v>17</v>
      </c>
      <c r="D131" s="7"/>
      <c r="E131" s="7" t="s">
        <v>1681</v>
      </c>
      <c r="F131" s="7" t="s">
        <v>19</v>
      </c>
      <c r="G131" s="7" t="s">
        <v>31</v>
      </c>
      <c r="H131" s="7" t="s">
        <v>17</v>
      </c>
      <c r="I131" s="7" t="s">
        <v>17</v>
      </c>
      <c r="J131" s="7" t="s">
        <v>1682</v>
      </c>
    </row>
    <row r="132" spans="1:10" x14ac:dyDescent="0.25" outlineLevel="1" collapsed="1">
      <c r="A132" s="7" t="s">
        <v>19</v>
      </c>
      <c r="B132" s="7" t="s">
        <v>16</v>
      </c>
      <c r="C132" s="7" t="s">
        <v>17</v>
      </c>
      <c r="D132" s="7"/>
      <c r="E132" s="7" t="s">
        <v>1615</v>
      </c>
      <c r="F132" s="7" t="s">
        <v>19</v>
      </c>
      <c r="G132" s="7" t="s">
        <v>31</v>
      </c>
      <c r="H132" s="7" t="s">
        <v>17</v>
      </c>
      <c r="I132" s="7" t="s">
        <v>17</v>
      </c>
      <c r="J132" s="7" t="s">
        <v>1616</v>
      </c>
    </row>
    <row r="133" spans="1:10" x14ac:dyDescent="0.25">
      <c r="A133" s="5" t="s">
        <v>19</v>
      </c>
      <c r="B133" s="6" t="s">
        <v>1667</v>
      </c>
      <c r="C133" s="5" t="s">
        <v>17</v>
      </c>
      <c r="D133" s="5"/>
      <c r="E133" s="5" t="s">
        <v>1754</v>
      </c>
      <c r="F133" s="5" t="s">
        <v>19</v>
      </c>
      <c r="G133" s="5" t="s">
        <v>17</v>
      </c>
      <c r="H133" s="5" t="s">
        <v>17</v>
      </c>
      <c r="I133" s="5" t="s">
        <v>17</v>
      </c>
      <c r="J133" s="5" t="s">
        <v>1755</v>
      </c>
    </row>
    <row r="134" spans="1:10" x14ac:dyDescent="0.25" outlineLevel="1" collapsed="1">
      <c r="A134" s="7" t="s">
        <v>15</v>
      </c>
      <c r="B134" s="7" t="s">
        <v>16</v>
      </c>
      <c r="C134" s="7" t="s">
        <v>17</v>
      </c>
      <c r="D134" s="7"/>
      <c r="E134" s="7" t="s">
        <v>1670</v>
      </c>
      <c r="F134" s="7" t="s">
        <v>19</v>
      </c>
      <c r="G134" s="7" t="s">
        <v>31</v>
      </c>
      <c r="H134" s="7" t="s">
        <v>17</v>
      </c>
      <c r="I134" s="7" t="s">
        <v>17</v>
      </c>
      <c r="J134" s="7" t="s">
        <v>637</v>
      </c>
    </row>
    <row r="135" spans="1:10" x14ac:dyDescent="0.25" outlineLevel="1" collapsed="1">
      <c r="A135" s="7" t="s">
        <v>15</v>
      </c>
      <c r="B135" s="7" t="s">
        <v>16</v>
      </c>
      <c r="C135" s="7" t="s">
        <v>17</v>
      </c>
      <c r="D135" s="7"/>
      <c r="E135" s="7" t="s">
        <v>638</v>
      </c>
      <c r="F135" s="7" t="s">
        <v>19</v>
      </c>
      <c r="G135" s="7" t="s">
        <v>31</v>
      </c>
      <c r="H135" s="7" t="s">
        <v>17</v>
      </c>
      <c r="I135" s="7" t="s">
        <v>17</v>
      </c>
      <c r="J135" s="7" t="s">
        <v>640</v>
      </c>
    </row>
    <row r="136" spans="1:10" x14ac:dyDescent="0.25" outlineLevel="1" collapsed="1">
      <c r="A136" s="7" t="s">
        <v>15</v>
      </c>
      <c r="B136" s="7" t="s">
        <v>16</v>
      </c>
      <c r="C136" s="7" t="s">
        <v>17</v>
      </c>
      <c r="D136" s="7"/>
      <c r="E136" s="7" t="s">
        <v>9</v>
      </c>
      <c r="F136" s="7" t="s">
        <v>19</v>
      </c>
      <c r="G136" s="7" t="s">
        <v>31</v>
      </c>
      <c r="H136" s="7" t="s">
        <v>17</v>
      </c>
      <c r="I136" s="7" t="s">
        <v>17</v>
      </c>
      <c r="J136" s="7" t="s">
        <v>843</v>
      </c>
    </row>
    <row r="137" spans="1:10" x14ac:dyDescent="0.25" outlineLevel="1" collapsed="1">
      <c r="A137" s="7" t="s">
        <v>19</v>
      </c>
      <c r="B137" s="7" t="s">
        <v>16</v>
      </c>
      <c r="C137" s="7" t="s">
        <v>17</v>
      </c>
      <c r="D137" s="7"/>
      <c r="E137" s="7" t="s">
        <v>1600</v>
      </c>
      <c r="F137" s="7" t="s">
        <v>19</v>
      </c>
      <c r="G137" s="7" t="s">
        <v>31</v>
      </c>
      <c r="H137" s="7" t="s">
        <v>17</v>
      </c>
      <c r="I137" s="7" t="s">
        <v>17</v>
      </c>
      <c r="J137" s="7" t="s">
        <v>1424</v>
      </c>
    </row>
    <row r="138" spans="1:10" x14ac:dyDescent="0.25" outlineLevel="1" collapsed="1">
      <c r="A138" s="7" t="s">
        <v>15</v>
      </c>
      <c r="B138" s="7" t="s">
        <v>16</v>
      </c>
      <c r="C138" s="7" t="s">
        <v>17</v>
      </c>
      <c r="D138" s="7"/>
      <c r="E138" s="7" t="s">
        <v>1601</v>
      </c>
      <c r="F138" s="7" t="s">
        <v>19</v>
      </c>
      <c r="G138" s="7" t="s">
        <v>31</v>
      </c>
      <c r="H138" s="7" t="s">
        <v>17</v>
      </c>
      <c r="I138" s="7" t="s">
        <v>17</v>
      </c>
      <c r="J138" s="7" t="s">
        <v>1602</v>
      </c>
    </row>
    <row r="139" spans="1:10" x14ac:dyDescent="0.25" outlineLevel="1" collapsed="1">
      <c r="A139" s="7" t="s">
        <v>15</v>
      </c>
      <c r="B139" s="7" t="s">
        <v>16</v>
      </c>
      <c r="C139" s="7" t="s">
        <v>17</v>
      </c>
      <c r="D139" s="7"/>
      <c r="E139" s="7" t="s">
        <v>1671</v>
      </c>
      <c r="F139" s="7" t="s">
        <v>19</v>
      </c>
      <c r="G139" s="7" t="s">
        <v>31</v>
      </c>
      <c r="H139" s="7" t="s">
        <v>17</v>
      </c>
      <c r="I139" s="7" t="s">
        <v>17</v>
      </c>
      <c r="J139" s="7" t="s">
        <v>1672</v>
      </c>
    </row>
    <row r="140" spans="1:10" x14ac:dyDescent="0.25" outlineLevel="1" collapsed="1">
      <c r="A140" s="7" t="s">
        <v>15</v>
      </c>
      <c r="B140" s="7" t="s">
        <v>16</v>
      </c>
      <c r="C140" s="7" t="s">
        <v>17</v>
      </c>
      <c r="D140" s="7"/>
      <c r="E140" s="7" t="s">
        <v>1673</v>
      </c>
      <c r="F140" s="7" t="s">
        <v>19</v>
      </c>
      <c r="G140" s="7" t="s">
        <v>31</v>
      </c>
      <c r="H140" s="7" t="s">
        <v>17</v>
      </c>
      <c r="I140" s="7" t="s">
        <v>17</v>
      </c>
      <c r="J140" s="7" t="s">
        <v>1674</v>
      </c>
    </row>
    <row r="141" spans="1:10" x14ac:dyDescent="0.25" outlineLevel="1" collapsed="1">
      <c r="A141" s="7" t="s">
        <v>15</v>
      </c>
      <c r="B141" s="7" t="s">
        <v>16</v>
      </c>
      <c r="C141" s="7" t="s">
        <v>17</v>
      </c>
      <c r="D141" s="7"/>
      <c r="E141" s="7" t="s">
        <v>1675</v>
      </c>
      <c r="F141" s="7" t="s">
        <v>19</v>
      </c>
      <c r="G141" s="7" t="s">
        <v>31</v>
      </c>
      <c r="H141" s="7" t="s">
        <v>17</v>
      </c>
      <c r="I141" s="7" t="s">
        <v>17</v>
      </c>
      <c r="J141" s="7" t="s">
        <v>1422</v>
      </c>
    </row>
    <row r="142" spans="1:10" x14ac:dyDescent="0.25" outlineLevel="1" collapsed="1">
      <c r="A142" s="7" t="s">
        <v>15</v>
      </c>
      <c r="B142" s="7" t="s">
        <v>284</v>
      </c>
      <c r="C142" s="11" t="s">
        <v>1604</v>
      </c>
      <c r="D142" s="7"/>
      <c r="E142" s="7" t="s">
        <v>1605</v>
      </c>
      <c r="F142" s="7" t="s">
        <v>19</v>
      </c>
      <c r="G142" s="7" t="s">
        <v>1606</v>
      </c>
      <c r="H142" s="7" t="s">
        <v>17</v>
      </c>
      <c r="I142" s="7" t="s">
        <v>17</v>
      </c>
      <c r="J142" s="7" t="s">
        <v>1607</v>
      </c>
    </row>
    <row r="143" spans="1:10" x14ac:dyDescent="0.25" outlineLevel="1" collapsed="1">
      <c r="A143" s="7" t="s">
        <v>19</v>
      </c>
      <c r="B143" s="7" t="s">
        <v>63</v>
      </c>
      <c r="C143" s="7" t="s">
        <v>17</v>
      </c>
      <c r="D143" s="7">
        <f>EXACT(G142,"Single value")</f>
      </c>
      <c r="E143" s="7" t="s">
        <v>1676</v>
      </c>
      <c r="F143" s="7" t="s">
        <v>19</v>
      </c>
      <c r="G143" s="7">
        <v>1</v>
      </c>
      <c r="H143" s="7" t="s">
        <v>17</v>
      </c>
      <c r="I143" s="7" t="s">
        <v>17</v>
      </c>
      <c r="J143" s="7" t="s">
        <v>1609</v>
      </c>
    </row>
    <row r="144" spans="1:10" x14ac:dyDescent="0.25" outlineLevel="1" collapsed="1">
      <c r="A144" s="7" t="s">
        <v>19</v>
      </c>
      <c r="B144" s="7" t="s">
        <v>16</v>
      </c>
      <c r="C144" s="7" t="s">
        <v>17</v>
      </c>
      <c r="D144" s="7"/>
      <c r="E144" s="7" t="s">
        <v>1677</v>
      </c>
      <c r="F144" s="7" t="s">
        <v>19</v>
      </c>
      <c r="G144" s="7" t="s">
        <v>31</v>
      </c>
      <c r="H144" s="7" t="s">
        <v>17</v>
      </c>
      <c r="I144" s="7" t="s">
        <v>17</v>
      </c>
      <c r="J144" s="7" t="s">
        <v>1678</v>
      </c>
    </row>
    <row r="145" spans="1:10" x14ac:dyDescent="0.25" outlineLevel="1" collapsed="1">
      <c r="A145" s="7" t="s">
        <v>15</v>
      </c>
      <c r="B145" s="7" t="s">
        <v>16</v>
      </c>
      <c r="C145" s="7" t="s">
        <v>17</v>
      </c>
      <c r="D145" s="7"/>
      <c r="E145" s="7" t="s">
        <v>1679</v>
      </c>
      <c r="F145" s="7" t="s">
        <v>19</v>
      </c>
      <c r="G145" s="7" t="s">
        <v>31</v>
      </c>
      <c r="H145" s="7" t="s">
        <v>17</v>
      </c>
      <c r="I145" s="7" t="s">
        <v>17</v>
      </c>
      <c r="J145" s="7" t="s">
        <v>1680</v>
      </c>
    </row>
    <row r="146" spans="1:10" x14ac:dyDescent="0.25" outlineLevel="1" collapsed="1">
      <c r="A146" s="7" t="s">
        <v>15</v>
      </c>
      <c r="B146" s="7" t="s">
        <v>284</v>
      </c>
      <c r="C146" s="11" t="s">
        <v>1611</v>
      </c>
      <c r="D146" s="7"/>
      <c r="E146" s="7" t="s">
        <v>1612</v>
      </c>
      <c r="F146" s="7" t="s">
        <v>19</v>
      </c>
      <c r="G146" s="7" t="s">
        <v>1613</v>
      </c>
      <c r="H146" s="7" t="s">
        <v>17</v>
      </c>
      <c r="I146" s="7" t="s">
        <v>17</v>
      </c>
      <c r="J146" s="7" t="s">
        <v>1614</v>
      </c>
    </row>
    <row r="147" spans="1:10" x14ac:dyDescent="0.25" outlineLevel="1" collapsed="1">
      <c r="A147" s="7" t="s">
        <v>19</v>
      </c>
      <c r="B147" s="7" t="s">
        <v>16</v>
      </c>
      <c r="C147" s="7" t="s">
        <v>17</v>
      </c>
      <c r="D147" s="7"/>
      <c r="E147" s="7" t="s">
        <v>1681</v>
      </c>
      <c r="F147" s="7" t="s">
        <v>19</v>
      </c>
      <c r="G147" s="7" t="s">
        <v>31</v>
      </c>
      <c r="H147" s="7" t="s">
        <v>17</v>
      </c>
      <c r="I147" s="7" t="s">
        <v>17</v>
      </c>
      <c r="J147" s="7" t="s">
        <v>1682</v>
      </c>
    </row>
    <row r="148" spans="1:10" x14ac:dyDescent="0.25" outlineLevel="1" collapsed="1">
      <c r="A148" s="7" t="s">
        <v>19</v>
      </c>
      <c r="B148" s="7" t="s">
        <v>16</v>
      </c>
      <c r="C148" s="7" t="s">
        <v>17</v>
      </c>
      <c r="D148" s="7"/>
      <c r="E148" s="7" t="s">
        <v>1615</v>
      </c>
      <c r="F148" s="7" t="s">
        <v>19</v>
      </c>
      <c r="G148" s="7" t="s">
        <v>31</v>
      </c>
      <c r="H148" s="7" t="s">
        <v>17</v>
      </c>
      <c r="I148" s="7" t="s">
        <v>17</v>
      </c>
      <c r="J148" s="7" t="s">
        <v>1616</v>
      </c>
    </row>
    <row r="149" spans="1:10" x14ac:dyDescent="0.25">
      <c r="A149" s="5" t="s">
        <v>19</v>
      </c>
      <c r="B149" s="6" t="s">
        <v>1667</v>
      </c>
      <c r="C149" s="5" t="s">
        <v>17</v>
      </c>
      <c r="D149" s="5"/>
      <c r="E149" s="5" t="s">
        <v>1756</v>
      </c>
      <c r="F149" s="5" t="s">
        <v>19</v>
      </c>
      <c r="G149" s="5" t="s">
        <v>17</v>
      </c>
      <c r="H149" s="5" t="s">
        <v>17</v>
      </c>
      <c r="I149" s="5" t="s">
        <v>17</v>
      </c>
      <c r="J149" s="5" t="s">
        <v>1757</v>
      </c>
    </row>
    <row r="150" spans="1:10" x14ac:dyDescent="0.25" outlineLevel="1" collapsed="1">
      <c r="A150" s="7" t="s">
        <v>15</v>
      </c>
      <c r="B150" s="7" t="s">
        <v>16</v>
      </c>
      <c r="C150" s="7" t="s">
        <v>17</v>
      </c>
      <c r="D150" s="7"/>
      <c r="E150" s="7" t="s">
        <v>1670</v>
      </c>
      <c r="F150" s="7" t="s">
        <v>19</v>
      </c>
      <c r="G150" s="7" t="s">
        <v>31</v>
      </c>
      <c r="H150" s="7" t="s">
        <v>17</v>
      </c>
      <c r="I150" s="7" t="s">
        <v>17</v>
      </c>
      <c r="J150" s="7" t="s">
        <v>637</v>
      </c>
    </row>
    <row r="151" spans="1:10" x14ac:dyDescent="0.25" outlineLevel="1" collapsed="1">
      <c r="A151" s="7" t="s">
        <v>15</v>
      </c>
      <c r="B151" s="7" t="s">
        <v>16</v>
      </c>
      <c r="C151" s="7" t="s">
        <v>17</v>
      </c>
      <c r="D151" s="7"/>
      <c r="E151" s="7" t="s">
        <v>638</v>
      </c>
      <c r="F151" s="7" t="s">
        <v>19</v>
      </c>
      <c r="G151" s="7" t="s">
        <v>31</v>
      </c>
      <c r="H151" s="7" t="s">
        <v>17</v>
      </c>
      <c r="I151" s="7" t="s">
        <v>17</v>
      </c>
      <c r="J151" s="7" t="s">
        <v>640</v>
      </c>
    </row>
    <row r="152" spans="1:10" x14ac:dyDescent="0.25" outlineLevel="1" collapsed="1">
      <c r="A152" s="7" t="s">
        <v>15</v>
      </c>
      <c r="B152" s="7" t="s">
        <v>16</v>
      </c>
      <c r="C152" s="7" t="s">
        <v>17</v>
      </c>
      <c r="D152" s="7"/>
      <c r="E152" s="7" t="s">
        <v>9</v>
      </c>
      <c r="F152" s="7" t="s">
        <v>19</v>
      </c>
      <c r="G152" s="7" t="s">
        <v>31</v>
      </c>
      <c r="H152" s="7" t="s">
        <v>17</v>
      </c>
      <c r="I152" s="7" t="s">
        <v>17</v>
      </c>
      <c r="J152" s="7" t="s">
        <v>843</v>
      </c>
    </row>
    <row r="153" spans="1:10" x14ac:dyDescent="0.25" outlineLevel="1" collapsed="1">
      <c r="A153" s="7" t="s">
        <v>19</v>
      </c>
      <c r="B153" s="7" t="s">
        <v>16</v>
      </c>
      <c r="C153" s="7" t="s">
        <v>17</v>
      </c>
      <c r="D153" s="7"/>
      <c r="E153" s="7" t="s">
        <v>1600</v>
      </c>
      <c r="F153" s="7" t="s">
        <v>19</v>
      </c>
      <c r="G153" s="7" t="s">
        <v>31</v>
      </c>
      <c r="H153" s="7" t="s">
        <v>17</v>
      </c>
      <c r="I153" s="7" t="s">
        <v>17</v>
      </c>
      <c r="J153" s="7" t="s">
        <v>1424</v>
      </c>
    </row>
    <row r="154" spans="1:10" x14ac:dyDescent="0.25" outlineLevel="1" collapsed="1">
      <c r="A154" s="7" t="s">
        <v>15</v>
      </c>
      <c r="B154" s="7" t="s">
        <v>16</v>
      </c>
      <c r="C154" s="7" t="s">
        <v>17</v>
      </c>
      <c r="D154" s="7"/>
      <c r="E154" s="7" t="s">
        <v>1601</v>
      </c>
      <c r="F154" s="7" t="s">
        <v>19</v>
      </c>
      <c r="G154" s="7" t="s">
        <v>31</v>
      </c>
      <c r="H154" s="7" t="s">
        <v>17</v>
      </c>
      <c r="I154" s="7" t="s">
        <v>17</v>
      </c>
      <c r="J154" s="7" t="s">
        <v>1602</v>
      </c>
    </row>
    <row r="155" spans="1:10" x14ac:dyDescent="0.25" outlineLevel="1" collapsed="1">
      <c r="A155" s="7" t="s">
        <v>15</v>
      </c>
      <c r="B155" s="7" t="s">
        <v>16</v>
      </c>
      <c r="C155" s="7" t="s">
        <v>17</v>
      </c>
      <c r="D155" s="7"/>
      <c r="E155" s="7" t="s">
        <v>1671</v>
      </c>
      <c r="F155" s="7" t="s">
        <v>19</v>
      </c>
      <c r="G155" s="7" t="s">
        <v>31</v>
      </c>
      <c r="H155" s="7" t="s">
        <v>17</v>
      </c>
      <c r="I155" s="7" t="s">
        <v>17</v>
      </c>
      <c r="J155" s="7" t="s">
        <v>1672</v>
      </c>
    </row>
    <row r="156" spans="1:10" x14ac:dyDescent="0.25" outlineLevel="1" collapsed="1">
      <c r="A156" s="7" t="s">
        <v>15</v>
      </c>
      <c r="B156" s="7" t="s">
        <v>16</v>
      </c>
      <c r="C156" s="7" t="s">
        <v>17</v>
      </c>
      <c r="D156" s="7"/>
      <c r="E156" s="7" t="s">
        <v>1673</v>
      </c>
      <c r="F156" s="7" t="s">
        <v>19</v>
      </c>
      <c r="G156" s="7" t="s">
        <v>31</v>
      </c>
      <c r="H156" s="7" t="s">
        <v>17</v>
      </c>
      <c r="I156" s="7" t="s">
        <v>17</v>
      </c>
      <c r="J156" s="7" t="s">
        <v>1674</v>
      </c>
    </row>
    <row r="157" spans="1:10" x14ac:dyDescent="0.25" outlineLevel="1" collapsed="1">
      <c r="A157" s="7" t="s">
        <v>15</v>
      </c>
      <c r="B157" s="7" t="s">
        <v>16</v>
      </c>
      <c r="C157" s="7" t="s">
        <v>17</v>
      </c>
      <c r="D157" s="7"/>
      <c r="E157" s="7" t="s">
        <v>1675</v>
      </c>
      <c r="F157" s="7" t="s">
        <v>19</v>
      </c>
      <c r="G157" s="7" t="s">
        <v>31</v>
      </c>
      <c r="H157" s="7" t="s">
        <v>17</v>
      </c>
      <c r="I157" s="7" t="s">
        <v>17</v>
      </c>
      <c r="J157" s="7" t="s">
        <v>1422</v>
      </c>
    </row>
    <row r="158" spans="1:10" x14ac:dyDescent="0.25" outlineLevel="1" collapsed="1">
      <c r="A158" s="7" t="s">
        <v>15</v>
      </c>
      <c r="B158" s="7" t="s">
        <v>284</v>
      </c>
      <c r="C158" s="11" t="s">
        <v>1604</v>
      </c>
      <c r="D158" s="7"/>
      <c r="E158" s="7" t="s">
        <v>1605</v>
      </c>
      <c r="F158" s="7" t="s">
        <v>19</v>
      </c>
      <c r="G158" s="7" t="s">
        <v>1606</v>
      </c>
      <c r="H158" s="7" t="s">
        <v>17</v>
      </c>
      <c r="I158" s="7" t="s">
        <v>17</v>
      </c>
      <c r="J158" s="7" t="s">
        <v>1607</v>
      </c>
    </row>
    <row r="159" spans="1:10" x14ac:dyDescent="0.25" outlineLevel="1" collapsed="1">
      <c r="A159" s="7" t="s">
        <v>19</v>
      </c>
      <c r="B159" s="7" t="s">
        <v>63</v>
      </c>
      <c r="C159" s="7" t="s">
        <v>17</v>
      </c>
      <c r="D159" s="7">
        <f>EXACT(G158,"Single value")</f>
      </c>
      <c r="E159" s="7" t="s">
        <v>1676</v>
      </c>
      <c r="F159" s="7" t="s">
        <v>19</v>
      </c>
      <c r="G159" s="7">
        <v>1</v>
      </c>
      <c r="H159" s="7" t="s">
        <v>17</v>
      </c>
      <c r="I159" s="7" t="s">
        <v>17</v>
      </c>
      <c r="J159" s="7" t="s">
        <v>1609</v>
      </c>
    </row>
    <row r="160" spans="1:10" x14ac:dyDescent="0.25" outlineLevel="1" collapsed="1">
      <c r="A160" s="7" t="s">
        <v>19</v>
      </c>
      <c r="B160" s="7" t="s">
        <v>16</v>
      </c>
      <c r="C160" s="7" t="s">
        <v>17</v>
      </c>
      <c r="D160" s="7"/>
      <c r="E160" s="7" t="s">
        <v>1677</v>
      </c>
      <c r="F160" s="7" t="s">
        <v>19</v>
      </c>
      <c r="G160" s="7" t="s">
        <v>31</v>
      </c>
      <c r="H160" s="7" t="s">
        <v>17</v>
      </c>
      <c r="I160" s="7" t="s">
        <v>17</v>
      </c>
      <c r="J160" s="7" t="s">
        <v>1678</v>
      </c>
    </row>
    <row r="161" spans="1:10" x14ac:dyDescent="0.25" outlineLevel="1" collapsed="1">
      <c r="A161" s="7" t="s">
        <v>15</v>
      </c>
      <c r="B161" s="7" t="s">
        <v>16</v>
      </c>
      <c r="C161" s="7" t="s">
        <v>17</v>
      </c>
      <c r="D161" s="7"/>
      <c r="E161" s="7" t="s">
        <v>1679</v>
      </c>
      <c r="F161" s="7" t="s">
        <v>19</v>
      </c>
      <c r="G161" s="7" t="s">
        <v>31</v>
      </c>
      <c r="H161" s="7" t="s">
        <v>17</v>
      </c>
      <c r="I161" s="7" t="s">
        <v>17</v>
      </c>
      <c r="J161" s="7" t="s">
        <v>1680</v>
      </c>
    </row>
    <row r="162" spans="1:10" x14ac:dyDescent="0.25" outlineLevel="1" collapsed="1">
      <c r="A162" s="7" t="s">
        <v>15</v>
      </c>
      <c r="B162" s="7" t="s">
        <v>284</v>
      </c>
      <c r="C162" s="11" t="s">
        <v>1611</v>
      </c>
      <c r="D162" s="7"/>
      <c r="E162" s="7" t="s">
        <v>1612</v>
      </c>
      <c r="F162" s="7" t="s">
        <v>19</v>
      </c>
      <c r="G162" s="7" t="s">
        <v>1613</v>
      </c>
      <c r="H162" s="7" t="s">
        <v>17</v>
      </c>
      <c r="I162" s="7" t="s">
        <v>17</v>
      </c>
      <c r="J162" s="7" t="s">
        <v>1614</v>
      </c>
    </row>
    <row r="163" spans="1:10" x14ac:dyDescent="0.25" outlineLevel="1" collapsed="1">
      <c r="A163" s="7" t="s">
        <v>19</v>
      </c>
      <c r="B163" s="7" t="s">
        <v>16</v>
      </c>
      <c r="C163" s="7" t="s">
        <v>17</v>
      </c>
      <c r="D163" s="7"/>
      <c r="E163" s="7" t="s">
        <v>1681</v>
      </c>
      <c r="F163" s="7" t="s">
        <v>19</v>
      </c>
      <c r="G163" s="7" t="s">
        <v>31</v>
      </c>
      <c r="H163" s="7" t="s">
        <v>17</v>
      </c>
      <c r="I163" s="7" t="s">
        <v>17</v>
      </c>
      <c r="J163" s="7" t="s">
        <v>1682</v>
      </c>
    </row>
    <row r="164" spans="1:10" x14ac:dyDescent="0.25" outlineLevel="1" collapsed="1">
      <c r="A164" s="7" t="s">
        <v>19</v>
      </c>
      <c r="B164" s="7" t="s">
        <v>16</v>
      </c>
      <c r="C164" s="7" t="s">
        <v>17</v>
      </c>
      <c r="D164" s="7"/>
      <c r="E164" s="7" t="s">
        <v>1615</v>
      </c>
      <c r="F164" s="7" t="s">
        <v>19</v>
      </c>
      <c r="G164" s="7" t="s">
        <v>31</v>
      </c>
      <c r="H164" s="7" t="s">
        <v>17</v>
      </c>
      <c r="I164" s="7" t="s">
        <v>17</v>
      </c>
      <c r="J164" s="7" t="s">
        <v>1616</v>
      </c>
    </row>
    <row r="165" spans="1:10" x14ac:dyDescent="0.25">
      <c r="A165" s="5" t="s">
        <v>19</v>
      </c>
      <c r="B165" s="6" t="s">
        <v>1667</v>
      </c>
      <c r="C165" s="5" t="s">
        <v>17</v>
      </c>
      <c r="D165" s="5"/>
      <c r="E165" s="5" t="s">
        <v>1758</v>
      </c>
      <c r="F165" s="5" t="s">
        <v>19</v>
      </c>
      <c r="G165" s="5" t="s">
        <v>17</v>
      </c>
      <c r="H165" s="5" t="s">
        <v>17</v>
      </c>
      <c r="I165" s="5" t="s">
        <v>17</v>
      </c>
      <c r="J165" s="5" t="s">
        <v>1759</v>
      </c>
    </row>
    <row r="166" spans="1:10" x14ac:dyDescent="0.25" outlineLevel="1" collapsed="1">
      <c r="A166" s="7" t="s">
        <v>15</v>
      </c>
      <c r="B166" s="7" t="s">
        <v>16</v>
      </c>
      <c r="C166" s="7" t="s">
        <v>17</v>
      </c>
      <c r="D166" s="7"/>
      <c r="E166" s="7" t="s">
        <v>1670</v>
      </c>
      <c r="F166" s="7" t="s">
        <v>19</v>
      </c>
      <c r="G166" s="7" t="s">
        <v>31</v>
      </c>
      <c r="H166" s="7" t="s">
        <v>17</v>
      </c>
      <c r="I166" s="7" t="s">
        <v>17</v>
      </c>
      <c r="J166" s="7" t="s">
        <v>637</v>
      </c>
    </row>
    <row r="167" spans="1:10" x14ac:dyDescent="0.25" outlineLevel="1" collapsed="1">
      <c r="A167" s="7" t="s">
        <v>15</v>
      </c>
      <c r="B167" s="7" t="s">
        <v>16</v>
      </c>
      <c r="C167" s="7" t="s">
        <v>17</v>
      </c>
      <c r="D167" s="7"/>
      <c r="E167" s="7" t="s">
        <v>638</v>
      </c>
      <c r="F167" s="7" t="s">
        <v>19</v>
      </c>
      <c r="G167" s="7" t="s">
        <v>31</v>
      </c>
      <c r="H167" s="7" t="s">
        <v>17</v>
      </c>
      <c r="I167" s="7" t="s">
        <v>17</v>
      </c>
      <c r="J167" s="7" t="s">
        <v>640</v>
      </c>
    </row>
    <row r="168" spans="1:10" x14ac:dyDescent="0.25" outlineLevel="1" collapsed="1">
      <c r="A168" s="7" t="s">
        <v>15</v>
      </c>
      <c r="B168" s="7" t="s">
        <v>16</v>
      </c>
      <c r="C168" s="7" t="s">
        <v>17</v>
      </c>
      <c r="D168" s="7"/>
      <c r="E168" s="7" t="s">
        <v>9</v>
      </c>
      <c r="F168" s="7" t="s">
        <v>19</v>
      </c>
      <c r="G168" s="7" t="s">
        <v>31</v>
      </c>
      <c r="H168" s="7" t="s">
        <v>17</v>
      </c>
      <c r="I168" s="7" t="s">
        <v>17</v>
      </c>
      <c r="J168" s="7" t="s">
        <v>843</v>
      </c>
    </row>
    <row r="169" spans="1:10" x14ac:dyDescent="0.25" outlineLevel="1" collapsed="1">
      <c r="A169" s="7" t="s">
        <v>19</v>
      </c>
      <c r="B169" s="7" t="s">
        <v>16</v>
      </c>
      <c r="C169" s="7" t="s">
        <v>17</v>
      </c>
      <c r="D169" s="7"/>
      <c r="E169" s="7" t="s">
        <v>1600</v>
      </c>
      <c r="F169" s="7" t="s">
        <v>19</v>
      </c>
      <c r="G169" s="7" t="s">
        <v>31</v>
      </c>
      <c r="H169" s="7" t="s">
        <v>17</v>
      </c>
      <c r="I169" s="7" t="s">
        <v>17</v>
      </c>
      <c r="J169" s="7" t="s">
        <v>1424</v>
      </c>
    </row>
    <row r="170" spans="1:10" x14ac:dyDescent="0.25" outlineLevel="1" collapsed="1">
      <c r="A170" s="7" t="s">
        <v>15</v>
      </c>
      <c r="B170" s="7" t="s">
        <v>16</v>
      </c>
      <c r="C170" s="7" t="s">
        <v>17</v>
      </c>
      <c r="D170" s="7"/>
      <c r="E170" s="7" t="s">
        <v>1601</v>
      </c>
      <c r="F170" s="7" t="s">
        <v>19</v>
      </c>
      <c r="G170" s="7" t="s">
        <v>31</v>
      </c>
      <c r="H170" s="7" t="s">
        <v>17</v>
      </c>
      <c r="I170" s="7" t="s">
        <v>17</v>
      </c>
      <c r="J170" s="7" t="s">
        <v>1602</v>
      </c>
    </row>
    <row r="171" spans="1:10" x14ac:dyDescent="0.25" outlineLevel="1" collapsed="1">
      <c r="A171" s="7" t="s">
        <v>15</v>
      </c>
      <c r="B171" s="7" t="s">
        <v>16</v>
      </c>
      <c r="C171" s="7" t="s">
        <v>17</v>
      </c>
      <c r="D171" s="7"/>
      <c r="E171" s="7" t="s">
        <v>1671</v>
      </c>
      <c r="F171" s="7" t="s">
        <v>19</v>
      </c>
      <c r="G171" s="7" t="s">
        <v>31</v>
      </c>
      <c r="H171" s="7" t="s">
        <v>17</v>
      </c>
      <c r="I171" s="7" t="s">
        <v>17</v>
      </c>
      <c r="J171" s="7" t="s">
        <v>1672</v>
      </c>
    </row>
    <row r="172" spans="1:10" x14ac:dyDescent="0.25" outlineLevel="1" collapsed="1">
      <c r="A172" s="7" t="s">
        <v>15</v>
      </c>
      <c r="B172" s="7" t="s">
        <v>16</v>
      </c>
      <c r="C172" s="7" t="s">
        <v>17</v>
      </c>
      <c r="D172" s="7"/>
      <c r="E172" s="7" t="s">
        <v>1673</v>
      </c>
      <c r="F172" s="7" t="s">
        <v>19</v>
      </c>
      <c r="G172" s="7" t="s">
        <v>31</v>
      </c>
      <c r="H172" s="7" t="s">
        <v>17</v>
      </c>
      <c r="I172" s="7" t="s">
        <v>17</v>
      </c>
      <c r="J172" s="7" t="s">
        <v>1674</v>
      </c>
    </row>
    <row r="173" spans="1:10" x14ac:dyDescent="0.25" outlineLevel="1" collapsed="1">
      <c r="A173" s="7" t="s">
        <v>15</v>
      </c>
      <c r="B173" s="7" t="s">
        <v>16</v>
      </c>
      <c r="C173" s="7" t="s">
        <v>17</v>
      </c>
      <c r="D173" s="7"/>
      <c r="E173" s="7" t="s">
        <v>1675</v>
      </c>
      <c r="F173" s="7" t="s">
        <v>19</v>
      </c>
      <c r="G173" s="7" t="s">
        <v>31</v>
      </c>
      <c r="H173" s="7" t="s">
        <v>17</v>
      </c>
      <c r="I173" s="7" t="s">
        <v>17</v>
      </c>
      <c r="J173" s="7" t="s">
        <v>1422</v>
      </c>
    </row>
    <row r="174" spans="1:10" x14ac:dyDescent="0.25" outlineLevel="1" collapsed="1">
      <c r="A174" s="7" t="s">
        <v>15</v>
      </c>
      <c r="B174" s="7" t="s">
        <v>284</v>
      </c>
      <c r="C174" s="11" t="s">
        <v>1604</v>
      </c>
      <c r="D174" s="7"/>
      <c r="E174" s="7" t="s">
        <v>1605</v>
      </c>
      <c r="F174" s="7" t="s">
        <v>19</v>
      </c>
      <c r="G174" s="7" t="s">
        <v>1606</v>
      </c>
      <c r="H174" s="7" t="s">
        <v>17</v>
      </c>
      <c r="I174" s="7" t="s">
        <v>17</v>
      </c>
      <c r="J174" s="7" t="s">
        <v>1607</v>
      </c>
    </row>
    <row r="175" spans="1:10" x14ac:dyDescent="0.25" outlineLevel="1" collapsed="1">
      <c r="A175" s="7" t="s">
        <v>19</v>
      </c>
      <c r="B175" s="7" t="s">
        <v>63</v>
      </c>
      <c r="C175" s="7" t="s">
        <v>17</v>
      </c>
      <c r="D175" s="7">
        <f>EXACT(G174,"Single value")</f>
      </c>
      <c r="E175" s="7" t="s">
        <v>1676</v>
      </c>
      <c r="F175" s="7" t="s">
        <v>19</v>
      </c>
      <c r="G175" s="7">
        <v>1</v>
      </c>
      <c r="H175" s="7" t="s">
        <v>17</v>
      </c>
      <c r="I175" s="7" t="s">
        <v>17</v>
      </c>
      <c r="J175" s="7" t="s">
        <v>1609</v>
      </c>
    </row>
    <row r="176" spans="1:10" x14ac:dyDescent="0.25" outlineLevel="1" collapsed="1">
      <c r="A176" s="7" t="s">
        <v>19</v>
      </c>
      <c r="B176" s="7" t="s">
        <v>16</v>
      </c>
      <c r="C176" s="7" t="s">
        <v>17</v>
      </c>
      <c r="D176" s="7"/>
      <c r="E176" s="7" t="s">
        <v>1677</v>
      </c>
      <c r="F176" s="7" t="s">
        <v>19</v>
      </c>
      <c r="G176" s="7" t="s">
        <v>31</v>
      </c>
      <c r="H176" s="7" t="s">
        <v>17</v>
      </c>
      <c r="I176" s="7" t="s">
        <v>17</v>
      </c>
      <c r="J176" s="7" t="s">
        <v>1678</v>
      </c>
    </row>
    <row r="177" spans="1:10" x14ac:dyDescent="0.25" outlineLevel="1" collapsed="1">
      <c r="A177" s="7" t="s">
        <v>15</v>
      </c>
      <c r="B177" s="7" t="s">
        <v>16</v>
      </c>
      <c r="C177" s="7" t="s">
        <v>17</v>
      </c>
      <c r="D177" s="7"/>
      <c r="E177" s="7" t="s">
        <v>1679</v>
      </c>
      <c r="F177" s="7" t="s">
        <v>19</v>
      </c>
      <c r="G177" s="7" t="s">
        <v>31</v>
      </c>
      <c r="H177" s="7" t="s">
        <v>17</v>
      </c>
      <c r="I177" s="7" t="s">
        <v>17</v>
      </c>
      <c r="J177" s="7" t="s">
        <v>1680</v>
      </c>
    </row>
    <row r="178" spans="1:10" x14ac:dyDescent="0.25" outlineLevel="1" collapsed="1">
      <c r="A178" s="7" t="s">
        <v>15</v>
      </c>
      <c r="B178" s="7" t="s">
        <v>284</v>
      </c>
      <c r="C178" s="11" t="s">
        <v>1611</v>
      </c>
      <c r="D178" s="7"/>
      <c r="E178" s="7" t="s">
        <v>1612</v>
      </c>
      <c r="F178" s="7" t="s">
        <v>19</v>
      </c>
      <c r="G178" s="7" t="s">
        <v>1613</v>
      </c>
      <c r="H178" s="7" t="s">
        <v>17</v>
      </c>
      <c r="I178" s="7" t="s">
        <v>17</v>
      </c>
      <c r="J178" s="7" t="s">
        <v>1614</v>
      </c>
    </row>
    <row r="179" spans="1:10" x14ac:dyDescent="0.25" outlineLevel="1" collapsed="1">
      <c r="A179" s="7" t="s">
        <v>19</v>
      </c>
      <c r="B179" s="7" t="s">
        <v>16</v>
      </c>
      <c r="C179" s="7" t="s">
        <v>17</v>
      </c>
      <c r="D179" s="7"/>
      <c r="E179" s="7" t="s">
        <v>1681</v>
      </c>
      <c r="F179" s="7" t="s">
        <v>19</v>
      </c>
      <c r="G179" s="7" t="s">
        <v>31</v>
      </c>
      <c r="H179" s="7" t="s">
        <v>17</v>
      </c>
      <c r="I179" s="7" t="s">
        <v>17</v>
      </c>
      <c r="J179" s="7" t="s">
        <v>1682</v>
      </c>
    </row>
    <row r="180" spans="1:10" x14ac:dyDescent="0.25" outlineLevel="1" collapsed="1">
      <c r="A180" s="7" t="s">
        <v>19</v>
      </c>
      <c r="B180" s="7" t="s">
        <v>16</v>
      </c>
      <c r="C180" s="7" t="s">
        <v>17</v>
      </c>
      <c r="D180" s="7"/>
      <c r="E180" s="7" t="s">
        <v>1615</v>
      </c>
      <c r="F180" s="7" t="s">
        <v>19</v>
      </c>
      <c r="G180" s="7" t="s">
        <v>31</v>
      </c>
      <c r="H180" s="7" t="s">
        <v>17</v>
      </c>
      <c r="I180" s="7" t="s">
        <v>17</v>
      </c>
      <c r="J180" s="7" t="s">
        <v>1616</v>
      </c>
    </row>
    <row r="181" spans="1:10" x14ac:dyDescent="0.25">
      <c r="A181" s="5" t="s">
        <v>19</v>
      </c>
      <c r="B181" s="6" t="s">
        <v>1667</v>
      </c>
      <c r="C181" s="5" t="s">
        <v>17</v>
      </c>
      <c r="D181" s="5"/>
      <c r="E181" s="5" t="s">
        <v>1760</v>
      </c>
      <c r="F181" s="5" t="s">
        <v>19</v>
      </c>
      <c r="G181" s="5" t="s">
        <v>17</v>
      </c>
      <c r="H181" s="5" t="s">
        <v>17</v>
      </c>
      <c r="I181" s="5" t="s">
        <v>17</v>
      </c>
      <c r="J181" s="5" t="s">
        <v>1761</v>
      </c>
    </row>
    <row r="182" spans="1:10" x14ac:dyDescent="0.25" outlineLevel="1" collapsed="1">
      <c r="A182" s="7" t="s">
        <v>15</v>
      </c>
      <c r="B182" s="7" t="s">
        <v>16</v>
      </c>
      <c r="C182" s="7" t="s">
        <v>17</v>
      </c>
      <c r="D182" s="7"/>
      <c r="E182" s="7" t="s">
        <v>1670</v>
      </c>
      <c r="F182" s="7" t="s">
        <v>19</v>
      </c>
      <c r="G182" s="7" t="s">
        <v>31</v>
      </c>
      <c r="H182" s="7" t="s">
        <v>17</v>
      </c>
      <c r="I182" s="7" t="s">
        <v>17</v>
      </c>
      <c r="J182" s="7" t="s">
        <v>637</v>
      </c>
    </row>
    <row r="183" spans="1:10" x14ac:dyDescent="0.25" outlineLevel="1" collapsed="1">
      <c r="A183" s="7" t="s">
        <v>15</v>
      </c>
      <c r="B183" s="7" t="s">
        <v>16</v>
      </c>
      <c r="C183" s="7" t="s">
        <v>17</v>
      </c>
      <c r="D183" s="7"/>
      <c r="E183" s="7" t="s">
        <v>638</v>
      </c>
      <c r="F183" s="7" t="s">
        <v>19</v>
      </c>
      <c r="G183" s="7" t="s">
        <v>31</v>
      </c>
      <c r="H183" s="7" t="s">
        <v>17</v>
      </c>
      <c r="I183" s="7" t="s">
        <v>17</v>
      </c>
      <c r="J183" s="7" t="s">
        <v>640</v>
      </c>
    </row>
    <row r="184" spans="1:10" x14ac:dyDescent="0.25" outlineLevel="1" collapsed="1">
      <c r="A184" s="7" t="s">
        <v>15</v>
      </c>
      <c r="B184" s="7" t="s">
        <v>16</v>
      </c>
      <c r="C184" s="7" t="s">
        <v>17</v>
      </c>
      <c r="D184" s="7"/>
      <c r="E184" s="7" t="s">
        <v>9</v>
      </c>
      <c r="F184" s="7" t="s">
        <v>19</v>
      </c>
      <c r="G184" s="7" t="s">
        <v>31</v>
      </c>
      <c r="H184" s="7" t="s">
        <v>17</v>
      </c>
      <c r="I184" s="7" t="s">
        <v>17</v>
      </c>
      <c r="J184" s="7" t="s">
        <v>843</v>
      </c>
    </row>
    <row r="185" spans="1:10" x14ac:dyDescent="0.25" outlineLevel="1" collapsed="1">
      <c r="A185" s="7" t="s">
        <v>19</v>
      </c>
      <c r="B185" s="7" t="s">
        <v>16</v>
      </c>
      <c r="C185" s="7" t="s">
        <v>17</v>
      </c>
      <c r="D185" s="7"/>
      <c r="E185" s="7" t="s">
        <v>1600</v>
      </c>
      <c r="F185" s="7" t="s">
        <v>19</v>
      </c>
      <c r="G185" s="7" t="s">
        <v>31</v>
      </c>
      <c r="H185" s="7" t="s">
        <v>17</v>
      </c>
      <c r="I185" s="7" t="s">
        <v>17</v>
      </c>
      <c r="J185" s="7" t="s">
        <v>1424</v>
      </c>
    </row>
    <row r="186" spans="1:10" x14ac:dyDescent="0.25" outlineLevel="1" collapsed="1">
      <c r="A186" s="7" t="s">
        <v>15</v>
      </c>
      <c r="B186" s="7" t="s">
        <v>16</v>
      </c>
      <c r="C186" s="7" t="s">
        <v>17</v>
      </c>
      <c r="D186" s="7"/>
      <c r="E186" s="7" t="s">
        <v>1601</v>
      </c>
      <c r="F186" s="7" t="s">
        <v>19</v>
      </c>
      <c r="G186" s="7" t="s">
        <v>31</v>
      </c>
      <c r="H186" s="7" t="s">
        <v>17</v>
      </c>
      <c r="I186" s="7" t="s">
        <v>17</v>
      </c>
      <c r="J186" s="7" t="s">
        <v>1602</v>
      </c>
    </row>
    <row r="187" spans="1:10" x14ac:dyDescent="0.25" outlineLevel="1" collapsed="1">
      <c r="A187" s="7" t="s">
        <v>15</v>
      </c>
      <c r="B187" s="7" t="s">
        <v>16</v>
      </c>
      <c r="C187" s="7" t="s">
        <v>17</v>
      </c>
      <c r="D187" s="7"/>
      <c r="E187" s="7" t="s">
        <v>1671</v>
      </c>
      <c r="F187" s="7" t="s">
        <v>19</v>
      </c>
      <c r="G187" s="7" t="s">
        <v>31</v>
      </c>
      <c r="H187" s="7" t="s">
        <v>17</v>
      </c>
      <c r="I187" s="7" t="s">
        <v>17</v>
      </c>
      <c r="J187" s="7" t="s">
        <v>1672</v>
      </c>
    </row>
    <row r="188" spans="1:10" x14ac:dyDescent="0.25" outlineLevel="1" collapsed="1">
      <c r="A188" s="7" t="s">
        <v>15</v>
      </c>
      <c r="B188" s="7" t="s">
        <v>16</v>
      </c>
      <c r="C188" s="7" t="s">
        <v>17</v>
      </c>
      <c r="D188" s="7"/>
      <c r="E188" s="7" t="s">
        <v>1673</v>
      </c>
      <c r="F188" s="7" t="s">
        <v>19</v>
      </c>
      <c r="G188" s="7" t="s">
        <v>31</v>
      </c>
      <c r="H188" s="7" t="s">
        <v>17</v>
      </c>
      <c r="I188" s="7" t="s">
        <v>17</v>
      </c>
      <c r="J188" s="7" t="s">
        <v>1674</v>
      </c>
    </row>
    <row r="189" spans="1:10" x14ac:dyDescent="0.25" outlineLevel="1" collapsed="1">
      <c r="A189" s="7" t="s">
        <v>15</v>
      </c>
      <c r="B189" s="7" t="s">
        <v>16</v>
      </c>
      <c r="C189" s="7" t="s">
        <v>17</v>
      </c>
      <c r="D189" s="7"/>
      <c r="E189" s="7" t="s">
        <v>1675</v>
      </c>
      <c r="F189" s="7" t="s">
        <v>19</v>
      </c>
      <c r="G189" s="7" t="s">
        <v>31</v>
      </c>
      <c r="H189" s="7" t="s">
        <v>17</v>
      </c>
      <c r="I189" s="7" t="s">
        <v>17</v>
      </c>
      <c r="J189" s="7" t="s">
        <v>1422</v>
      </c>
    </row>
    <row r="190" spans="1:10" x14ac:dyDescent="0.25" outlineLevel="1" collapsed="1">
      <c r="A190" s="7" t="s">
        <v>15</v>
      </c>
      <c r="B190" s="7" t="s">
        <v>284</v>
      </c>
      <c r="C190" s="11" t="s">
        <v>1604</v>
      </c>
      <c r="D190" s="7"/>
      <c r="E190" s="7" t="s">
        <v>1605</v>
      </c>
      <c r="F190" s="7" t="s">
        <v>19</v>
      </c>
      <c r="G190" s="7" t="s">
        <v>1606</v>
      </c>
      <c r="H190" s="7" t="s">
        <v>17</v>
      </c>
      <c r="I190" s="7" t="s">
        <v>17</v>
      </c>
      <c r="J190" s="7" t="s">
        <v>1607</v>
      </c>
    </row>
    <row r="191" spans="1:10" x14ac:dyDescent="0.25" outlineLevel="1" collapsed="1">
      <c r="A191" s="7" t="s">
        <v>19</v>
      </c>
      <c r="B191" s="7" t="s">
        <v>63</v>
      </c>
      <c r="C191" s="7" t="s">
        <v>17</v>
      </c>
      <c r="D191" s="7">
        <f>EXACT(G190,"Single value")</f>
      </c>
      <c r="E191" s="7" t="s">
        <v>1676</v>
      </c>
      <c r="F191" s="7" t="s">
        <v>19</v>
      </c>
      <c r="G191" s="7">
        <v>1</v>
      </c>
      <c r="H191" s="7" t="s">
        <v>17</v>
      </c>
      <c r="I191" s="7" t="s">
        <v>17</v>
      </c>
      <c r="J191" s="7" t="s">
        <v>1609</v>
      </c>
    </row>
    <row r="192" spans="1:10" x14ac:dyDescent="0.25" outlineLevel="1" collapsed="1">
      <c r="A192" s="7" t="s">
        <v>19</v>
      </c>
      <c r="B192" s="7" t="s">
        <v>16</v>
      </c>
      <c r="C192" s="7" t="s">
        <v>17</v>
      </c>
      <c r="D192" s="7"/>
      <c r="E192" s="7" t="s">
        <v>1677</v>
      </c>
      <c r="F192" s="7" t="s">
        <v>19</v>
      </c>
      <c r="G192" s="7" t="s">
        <v>31</v>
      </c>
      <c r="H192" s="7" t="s">
        <v>17</v>
      </c>
      <c r="I192" s="7" t="s">
        <v>17</v>
      </c>
      <c r="J192" s="7" t="s">
        <v>1678</v>
      </c>
    </row>
    <row r="193" spans="1:10" x14ac:dyDescent="0.25" outlineLevel="1" collapsed="1">
      <c r="A193" s="7" t="s">
        <v>15</v>
      </c>
      <c r="B193" s="7" t="s">
        <v>16</v>
      </c>
      <c r="C193" s="7" t="s">
        <v>17</v>
      </c>
      <c r="D193" s="7"/>
      <c r="E193" s="7" t="s">
        <v>1679</v>
      </c>
      <c r="F193" s="7" t="s">
        <v>19</v>
      </c>
      <c r="G193" s="7" t="s">
        <v>31</v>
      </c>
      <c r="H193" s="7" t="s">
        <v>17</v>
      </c>
      <c r="I193" s="7" t="s">
        <v>17</v>
      </c>
      <c r="J193" s="7" t="s">
        <v>1680</v>
      </c>
    </row>
    <row r="194" spans="1:10" x14ac:dyDescent="0.25" outlineLevel="1" collapsed="1">
      <c r="A194" s="7" t="s">
        <v>15</v>
      </c>
      <c r="B194" s="7" t="s">
        <v>284</v>
      </c>
      <c r="C194" s="11" t="s">
        <v>1611</v>
      </c>
      <c r="D194" s="7"/>
      <c r="E194" s="7" t="s">
        <v>1612</v>
      </c>
      <c r="F194" s="7" t="s">
        <v>19</v>
      </c>
      <c r="G194" s="7" t="s">
        <v>1613</v>
      </c>
      <c r="H194" s="7" t="s">
        <v>17</v>
      </c>
      <c r="I194" s="7" t="s">
        <v>17</v>
      </c>
      <c r="J194" s="7" t="s">
        <v>1614</v>
      </c>
    </row>
    <row r="195" spans="1:10" x14ac:dyDescent="0.25" outlineLevel="1" collapsed="1">
      <c r="A195" s="7" t="s">
        <v>19</v>
      </c>
      <c r="B195" s="7" t="s">
        <v>16</v>
      </c>
      <c r="C195" s="7" t="s">
        <v>17</v>
      </c>
      <c r="D195" s="7"/>
      <c r="E195" s="7" t="s">
        <v>1681</v>
      </c>
      <c r="F195" s="7" t="s">
        <v>19</v>
      </c>
      <c r="G195" s="7" t="s">
        <v>31</v>
      </c>
      <c r="H195" s="7" t="s">
        <v>17</v>
      </c>
      <c r="I195" s="7" t="s">
        <v>17</v>
      </c>
      <c r="J195" s="7" t="s">
        <v>1682</v>
      </c>
    </row>
    <row r="196" spans="1:10" x14ac:dyDescent="0.25" outlineLevel="1" collapsed="1">
      <c r="A196" s="7" t="s">
        <v>19</v>
      </c>
      <c r="B196" s="7" t="s">
        <v>16</v>
      </c>
      <c r="C196" s="7" t="s">
        <v>17</v>
      </c>
      <c r="D196" s="7"/>
      <c r="E196" s="7" t="s">
        <v>1615</v>
      </c>
      <c r="F196" s="7" t="s">
        <v>19</v>
      </c>
      <c r="G196" s="7" t="s">
        <v>31</v>
      </c>
      <c r="H196" s="7" t="s">
        <v>17</v>
      </c>
      <c r="I196" s="7" t="s">
        <v>17</v>
      </c>
      <c r="J196" s="7" t="s">
        <v>1616</v>
      </c>
    </row>
    <row r="197" spans="1:10" x14ac:dyDescent="0.25">
      <c r="A197" s="5" t="s">
        <v>19</v>
      </c>
      <c r="B197" s="6" t="s">
        <v>1667</v>
      </c>
      <c r="C197" s="5" t="s">
        <v>17</v>
      </c>
      <c r="D197" s="5"/>
      <c r="E197" s="5" t="s">
        <v>1762</v>
      </c>
      <c r="F197" s="5" t="s">
        <v>19</v>
      </c>
      <c r="G197" s="5" t="s">
        <v>17</v>
      </c>
      <c r="H197" s="5" t="s">
        <v>17</v>
      </c>
      <c r="I197" s="5" t="s">
        <v>17</v>
      </c>
      <c r="J197" s="5" t="s">
        <v>1763</v>
      </c>
    </row>
    <row r="198" spans="1:10" x14ac:dyDescent="0.25" outlineLevel="1" collapsed="1">
      <c r="A198" s="7" t="s">
        <v>15</v>
      </c>
      <c r="B198" s="7" t="s">
        <v>16</v>
      </c>
      <c r="C198" s="7" t="s">
        <v>17</v>
      </c>
      <c r="D198" s="7"/>
      <c r="E198" s="7" t="s">
        <v>1670</v>
      </c>
      <c r="F198" s="7" t="s">
        <v>19</v>
      </c>
      <c r="G198" s="7" t="s">
        <v>31</v>
      </c>
      <c r="H198" s="7" t="s">
        <v>17</v>
      </c>
      <c r="I198" s="7" t="s">
        <v>17</v>
      </c>
      <c r="J198" s="7" t="s">
        <v>637</v>
      </c>
    </row>
    <row r="199" spans="1:10" x14ac:dyDescent="0.25" outlineLevel="1" collapsed="1">
      <c r="A199" s="7" t="s">
        <v>15</v>
      </c>
      <c r="B199" s="7" t="s">
        <v>16</v>
      </c>
      <c r="C199" s="7" t="s">
        <v>17</v>
      </c>
      <c r="D199" s="7"/>
      <c r="E199" s="7" t="s">
        <v>638</v>
      </c>
      <c r="F199" s="7" t="s">
        <v>19</v>
      </c>
      <c r="G199" s="7" t="s">
        <v>31</v>
      </c>
      <c r="H199" s="7" t="s">
        <v>17</v>
      </c>
      <c r="I199" s="7" t="s">
        <v>17</v>
      </c>
      <c r="J199" s="7" t="s">
        <v>640</v>
      </c>
    </row>
    <row r="200" spans="1:10" x14ac:dyDescent="0.25" outlineLevel="1" collapsed="1">
      <c r="A200" s="7" t="s">
        <v>15</v>
      </c>
      <c r="B200" s="7" t="s">
        <v>16</v>
      </c>
      <c r="C200" s="7" t="s">
        <v>17</v>
      </c>
      <c r="D200" s="7"/>
      <c r="E200" s="7" t="s">
        <v>9</v>
      </c>
      <c r="F200" s="7" t="s">
        <v>19</v>
      </c>
      <c r="G200" s="7" t="s">
        <v>31</v>
      </c>
      <c r="H200" s="7" t="s">
        <v>17</v>
      </c>
      <c r="I200" s="7" t="s">
        <v>17</v>
      </c>
      <c r="J200" s="7" t="s">
        <v>843</v>
      </c>
    </row>
    <row r="201" spans="1:10" x14ac:dyDescent="0.25" outlineLevel="1" collapsed="1">
      <c r="A201" s="7" t="s">
        <v>19</v>
      </c>
      <c r="B201" s="7" t="s">
        <v>16</v>
      </c>
      <c r="C201" s="7" t="s">
        <v>17</v>
      </c>
      <c r="D201" s="7"/>
      <c r="E201" s="7" t="s">
        <v>1600</v>
      </c>
      <c r="F201" s="7" t="s">
        <v>19</v>
      </c>
      <c r="G201" s="7" t="s">
        <v>31</v>
      </c>
      <c r="H201" s="7" t="s">
        <v>17</v>
      </c>
      <c r="I201" s="7" t="s">
        <v>17</v>
      </c>
      <c r="J201" s="7" t="s">
        <v>1424</v>
      </c>
    </row>
    <row r="202" spans="1:10" x14ac:dyDescent="0.25" outlineLevel="1" collapsed="1">
      <c r="A202" s="7" t="s">
        <v>15</v>
      </c>
      <c r="B202" s="7" t="s">
        <v>16</v>
      </c>
      <c r="C202" s="7" t="s">
        <v>17</v>
      </c>
      <c r="D202" s="7"/>
      <c r="E202" s="7" t="s">
        <v>1601</v>
      </c>
      <c r="F202" s="7" t="s">
        <v>19</v>
      </c>
      <c r="G202" s="7" t="s">
        <v>31</v>
      </c>
      <c r="H202" s="7" t="s">
        <v>17</v>
      </c>
      <c r="I202" s="7" t="s">
        <v>17</v>
      </c>
      <c r="J202" s="7" t="s">
        <v>1602</v>
      </c>
    </row>
    <row r="203" spans="1:10" x14ac:dyDescent="0.25" outlineLevel="1" collapsed="1">
      <c r="A203" s="7" t="s">
        <v>15</v>
      </c>
      <c r="B203" s="7" t="s">
        <v>16</v>
      </c>
      <c r="C203" s="7" t="s">
        <v>17</v>
      </c>
      <c r="D203" s="7"/>
      <c r="E203" s="7" t="s">
        <v>1671</v>
      </c>
      <c r="F203" s="7" t="s">
        <v>19</v>
      </c>
      <c r="G203" s="7" t="s">
        <v>31</v>
      </c>
      <c r="H203" s="7" t="s">
        <v>17</v>
      </c>
      <c r="I203" s="7" t="s">
        <v>17</v>
      </c>
      <c r="J203" s="7" t="s">
        <v>1672</v>
      </c>
    </row>
    <row r="204" spans="1:10" x14ac:dyDescent="0.25" outlineLevel="1" collapsed="1">
      <c r="A204" s="7" t="s">
        <v>15</v>
      </c>
      <c r="B204" s="7" t="s">
        <v>16</v>
      </c>
      <c r="C204" s="7" t="s">
        <v>17</v>
      </c>
      <c r="D204" s="7"/>
      <c r="E204" s="7" t="s">
        <v>1673</v>
      </c>
      <c r="F204" s="7" t="s">
        <v>19</v>
      </c>
      <c r="G204" s="7" t="s">
        <v>31</v>
      </c>
      <c r="H204" s="7" t="s">
        <v>17</v>
      </c>
      <c r="I204" s="7" t="s">
        <v>17</v>
      </c>
      <c r="J204" s="7" t="s">
        <v>1674</v>
      </c>
    </row>
    <row r="205" spans="1:10" x14ac:dyDescent="0.25" outlineLevel="1" collapsed="1">
      <c r="A205" s="7" t="s">
        <v>15</v>
      </c>
      <c r="B205" s="7" t="s">
        <v>16</v>
      </c>
      <c r="C205" s="7" t="s">
        <v>17</v>
      </c>
      <c r="D205" s="7"/>
      <c r="E205" s="7" t="s">
        <v>1675</v>
      </c>
      <c r="F205" s="7" t="s">
        <v>19</v>
      </c>
      <c r="G205" s="7" t="s">
        <v>31</v>
      </c>
      <c r="H205" s="7" t="s">
        <v>17</v>
      </c>
      <c r="I205" s="7" t="s">
        <v>17</v>
      </c>
      <c r="J205" s="7" t="s">
        <v>1422</v>
      </c>
    </row>
    <row r="206" spans="1:10" x14ac:dyDescent="0.25" outlineLevel="1" collapsed="1">
      <c r="A206" s="7" t="s">
        <v>15</v>
      </c>
      <c r="B206" s="7" t="s">
        <v>284</v>
      </c>
      <c r="C206" s="11" t="s">
        <v>1604</v>
      </c>
      <c r="D206" s="7"/>
      <c r="E206" s="7" t="s">
        <v>1605</v>
      </c>
      <c r="F206" s="7" t="s">
        <v>19</v>
      </c>
      <c r="G206" s="7" t="s">
        <v>1606</v>
      </c>
      <c r="H206" s="7" t="s">
        <v>17</v>
      </c>
      <c r="I206" s="7" t="s">
        <v>17</v>
      </c>
      <c r="J206" s="7" t="s">
        <v>1607</v>
      </c>
    </row>
    <row r="207" spans="1:10" x14ac:dyDescent="0.25" outlineLevel="1" collapsed="1">
      <c r="A207" s="7" t="s">
        <v>19</v>
      </c>
      <c r="B207" s="7" t="s">
        <v>63</v>
      </c>
      <c r="C207" s="7" t="s">
        <v>17</v>
      </c>
      <c r="D207" s="7">
        <f>EXACT(G206,"Single value")</f>
      </c>
      <c r="E207" s="7" t="s">
        <v>1676</v>
      </c>
      <c r="F207" s="7" t="s">
        <v>19</v>
      </c>
      <c r="G207" s="7">
        <v>1</v>
      </c>
      <c r="H207" s="7" t="s">
        <v>17</v>
      </c>
      <c r="I207" s="7" t="s">
        <v>17</v>
      </c>
      <c r="J207" s="7" t="s">
        <v>1609</v>
      </c>
    </row>
    <row r="208" spans="1:10" x14ac:dyDescent="0.25" outlineLevel="1" collapsed="1">
      <c r="A208" s="7" t="s">
        <v>19</v>
      </c>
      <c r="B208" s="7" t="s">
        <v>16</v>
      </c>
      <c r="C208" s="7" t="s">
        <v>17</v>
      </c>
      <c r="D208" s="7"/>
      <c r="E208" s="7" t="s">
        <v>1677</v>
      </c>
      <c r="F208" s="7" t="s">
        <v>19</v>
      </c>
      <c r="G208" s="7" t="s">
        <v>31</v>
      </c>
      <c r="H208" s="7" t="s">
        <v>17</v>
      </c>
      <c r="I208" s="7" t="s">
        <v>17</v>
      </c>
      <c r="J208" s="7" t="s">
        <v>1678</v>
      </c>
    </row>
    <row r="209" spans="1:10" x14ac:dyDescent="0.25" outlineLevel="1" collapsed="1">
      <c r="A209" s="7" t="s">
        <v>15</v>
      </c>
      <c r="B209" s="7" t="s">
        <v>16</v>
      </c>
      <c r="C209" s="7" t="s">
        <v>17</v>
      </c>
      <c r="D209" s="7"/>
      <c r="E209" s="7" t="s">
        <v>1679</v>
      </c>
      <c r="F209" s="7" t="s">
        <v>19</v>
      </c>
      <c r="G209" s="7" t="s">
        <v>31</v>
      </c>
      <c r="H209" s="7" t="s">
        <v>17</v>
      </c>
      <c r="I209" s="7" t="s">
        <v>17</v>
      </c>
      <c r="J209" s="7" t="s">
        <v>1680</v>
      </c>
    </row>
    <row r="210" spans="1:10" x14ac:dyDescent="0.25" outlineLevel="1" collapsed="1">
      <c r="A210" s="7" t="s">
        <v>15</v>
      </c>
      <c r="B210" s="7" t="s">
        <v>284</v>
      </c>
      <c r="C210" s="11" t="s">
        <v>1611</v>
      </c>
      <c r="D210" s="7"/>
      <c r="E210" s="7" t="s">
        <v>1612</v>
      </c>
      <c r="F210" s="7" t="s">
        <v>19</v>
      </c>
      <c r="G210" s="7" t="s">
        <v>1613</v>
      </c>
      <c r="H210" s="7" t="s">
        <v>17</v>
      </c>
      <c r="I210" s="7" t="s">
        <v>17</v>
      </c>
      <c r="J210" s="7" t="s">
        <v>1614</v>
      </c>
    </row>
    <row r="211" spans="1:10" x14ac:dyDescent="0.25" outlineLevel="1" collapsed="1">
      <c r="A211" s="7" t="s">
        <v>19</v>
      </c>
      <c r="B211" s="7" t="s">
        <v>16</v>
      </c>
      <c r="C211" s="7" t="s">
        <v>17</v>
      </c>
      <c r="D211" s="7"/>
      <c r="E211" s="7" t="s">
        <v>1681</v>
      </c>
      <c r="F211" s="7" t="s">
        <v>19</v>
      </c>
      <c r="G211" s="7" t="s">
        <v>31</v>
      </c>
      <c r="H211" s="7" t="s">
        <v>17</v>
      </c>
      <c r="I211" s="7" t="s">
        <v>17</v>
      </c>
      <c r="J211" s="7" t="s">
        <v>1682</v>
      </c>
    </row>
    <row r="212" spans="1:10" x14ac:dyDescent="0.25" outlineLevel="1" collapsed="1">
      <c r="A212" s="7" t="s">
        <v>19</v>
      </c>
      <c r="B212" s="7" t="s">
        <v>16</v>
      </c>
      <c r="C212" s="7" t="s">
        <v>17</v>
      </c>
      <c r="D212" s="7"/>
      <c r="E212" s="7" t="s">
        <v>1615</v>
      </c>
      <c r="F212" s="7" t="s">
        <v>19</v>
      </c>
      <c r="G212" s="7" t="s">
        <v>31</v>
      </c>
      <c r="H212" s="7" t="s">
        <v>17</v>
      </c>
      <c r="I212" s="7" t="s">
        <v>17</v>
      </c>
      <c r="J212" s="7" t="s">
        <v>1616</v>
      </c>
    </row>
    <row r="213" spans="1:10" x14ac:dyDescent="0.25">
      <c r="A213" s="5" t="s">
        <v>19</v>
      </c>
      <c r="B213" s="6" t="s">
        <v>1667</v>
      </c>
      <c r="C213" s="5" t="s">
        <v>17</v>
      </c>
      <c r="D213" s="5"/>
      <c r="E213" s="5" t="s">
        <v>1764</v>
      </c>
      <c r="F213" s="5" t="s">
        <v>19</v>
      </c>
      <c r="G213" s="5" t="s">
        <v>17</v>
      </c>
      <c r="H213" s="5" t="s">
        <v>17</v>
      </c>
      <c r="I213" s="5" t="s">
        <v>17</v>
      </c>
      <c r="J213" s="5" t="s">
        <v>1765</v>
      </c>
    </row>
    <row r="214" spans="1:10" x14ac:dyDescent="0.25" outlineLevel="1" collapsed="1">
      <c r="A214" s="7" t="s">
        <v>15</v>
      </c>
      <c r="B214" s="7" t="s">
        <v>16</v>
      </c>
      <c r="C214" s="7" t="s">
        <v>17</v>
      </c>
      <c r="D214" s="7"/>
      <c r="E214" s="7" t="s">
        <v>1670</v>
      </c>
      <c r="F214" s="7" t="s">
        <v>19</v>
      </c>
      <c r="G214" s="7" t="s">
        <v>31</v>
      </c>
      <c r="H214" s="7" t="s">
        <v>17</v>
      </c>
      <c r="I214" s="7" t="s">
        <v>17</v>
      </c>
      <c r="J214" s="7" t="s">
        <v>637</v>
      </c>
    </row>
    <row r="215" spans="1:10" x14ac:dyDescent="0.25" outlineLevel="1" collapsed="1">
      <c r="A215" s="7" t="s">
        <v>15</v>
      </c>
      <c r="B215" s="7" t="s">
        <v>16</v>
      </c>
      <c r="C215" s="7" t="s">
        <v>17</v>
      </c>
      <c r="D215" s="7"/>
      <c r="E215" s="7" t="s">
        <v>638</v>
      </c>
      <c r="F215" s="7" t="s">
        <v>19</v>
      </c>
      <c r="G215" s="7" t="s">
        <v>31</v>
      </c>
      <c r="H215" s="7" t="s">
        <v>17</v>
      </c>
      <c r="I215" s="7" t="s">
        <v>17</v>
      </c>
      <c r="J215" s="7" t="s">
        <v>640</v>
      </c>
    </row>
    <row r="216" spans="1:10" x14ac:dyDescent="0.25" outlineLevel="1" collapsed="1">
      <c r="A216" s="7" t="s">
        <v>15</v>
      </c>
      <c r="B216" s="7" t="s">
        <v>16</v>
      </c>
      <c r="C216" s="7" t="s">
        <v>17</v>
      </c>
      <c r="D216" s="7"/>
      <c r="E216" s="7" t="s">
        <v>9</v>
      </c>
      <c r="F216" s="7" t="s">
        <v>19</v>
      </c>
      <c r="G216" s="7" t="s">
        <v>31</v>
      </c>
      <c r="H216" s="7" t="s">
        <v>17</v>
      </c>
      <c r="I216" s="7" t="s">
        <v>17</v>
      </c>
      <c r="J216" s="7" t="s">
        <v>843</v>
      </c>
    </row>
    <row r="217" spans="1:10" x14ac:dyDescent="0.25" outlineLevel="1" collapsed="1">
      <c r="A217" s="7" t="s">
        <v>19</v>
      </c>
      <c r="B217" s="7" t="s">
        <v>16</v>
      </c>
      <c r="C217" s="7" t="s">
        <v>17</v>
      </c>
      <c r="D217" s="7"/>
      <c r="E217" s="7" t="s">
        <v>1600</v>
      </c>
      <c r="F217" s="7" t="s">
        <v>19</v>
      </c>
      <c r="G217" s="7" t="s">
        <v>31</v>
      </c>
      <c r="H217" s="7" t="s">
        <v>17</v>
      </c>
      <c r="I217" s="7" t="s">
        <v>17</v>
      </c>
      <c r="J217" s="7" t="s">
        <v>1424</v>
      </c>
    </row>
    <row r="218" spans="1:10" x14ac:dyDescent="0.25" outlineLevel="1" collapsed="1">
      <c r="A218" s="7" t="s">
        <v>15</v>
      </c>
      <c r="B218" s="7" t="s">
        <v>16</v>
      </c>
      <c r="C218" s="7" t="s">
        <v>17</v>
      </c>
      <c r="D218" s="7"/>
      <c r="E218" s="7" t="s">
        <v>1601</v>
      </c>
      <c r="F218" s="7" t="s">
        <v>19</v>
      </c>
      <c r="G218" s="7" t="s">
        <v>31</v>
      </c>
      <c r="H218" s="7" t="s">
        <v>17</v>
      </c>
      <c r="I218" s="7" t="s">
        <v>17</v>
      </c>
      <c r="J218" s="7" t="s">
        <v>1602</v>
      </c>
    </row>
    <row r="219" spans="1:10" x14ac:dyDescent="0.25" outlineLevel="1" collapsed="1">
      <c r="A219" s="7" t="s">
        <v>15</v>
      </c>
      <c r="B219" s="7" t="s">
        <v>16</v>
      </c>
      <c r="C219" s="7" t="s">
        <v>17</v>
      </c>
      <c r="D219" s="7"/>
      <c r="E219" s="7" t="s">
        <v>1671</v>
      </c>
      <c r="F219" s="7" t="s">
        <v>19</v>
      </c>
      <c r="G219" s="7" t="s">
        <v>31</v>
      </c>
      <c r="H219" s="7" t="s">
        <v>17</v>
      </c>
      <c r="I219" s="7" t="s">
        <v>17</v>
      </c>
      <c r="J219" s="7" t="s">
        <v>1672</v>
      </c>
    </row>
    <row r="220" spans="1:10" x14ac:dyDescent="0.25" outlineLevel="1" collapsed="1">
      <c r="A220" s="7" t="s">
        <v>15</v>
      </c>
      <c r="B220" s="7" t="s">
        <v>16</v>
      </c>
      <c r="C220" s="7" t="s">
        <v>17</v>
      </c>
      <c r="D220" s="7"/>
      <c r="E220" s="7" t="s">
        <v>1673</v>
      </c>
      <c r="F220" s="7" t="s">
        <v>19</v>
      </c>
      <c r="G220" s="7" t="s">
        <v>31</v>
      </c>
      <c r="H220" s="7" t="s">
        <v>17</v>
      </c>
      <c r="I220" s="7" t="s">
        <v>17</v>
      </c>
      <c r="J220" s="7" t="s">
        <v>1674</v>
      </c>
    </row>
    <row r="221" spans="1:10" x14ac:dyDescent="0.25" outlineLevel="1" collapsed="1">
      <c r="A221" s="7" t="s">
        <v>15</v>
      </c>
      <c r="B221" s="7" t="s">
        <v>16</v>
      </c>
      <c r="C221" s="7" t="s">
        <v>17</v>
      </c>
      <c r="D221" s="7"/>
      <c r="E221" s="7" t="s">
        <v>1675</v>
      </c>
      <c r="F221" s="7" t="s">
        <v>19</v>
      </c>
      <c r="G221" s="7" t="s">
        <v>31</v>
      </c>
      <c r="H221" s="7" t="s">
        <v>17</v>
      </c>
      <c r="I221" s="7" t="s">
        <v>17</v>
      </c>
      <c r="J221" s="7" t="s">
        <v>1422</v>
      </c>
    </row>
    <row r="222" spans="1:10" x14ac:dyDescent="0.25" outlineLevel="1" collapsed="1">
      <c r="A222" s="7" t="s">
        <v>15</v>
      </c>
      <c r="B222" s="7" t="s">
        <v>284</v>
      </c>
      <c r="C222" s="11" t="s">
        <v>1604</v>
      </c>
      <c r="D222" s="7"/>
      <c r="E222" s="7" t="s">
        <v>1605</v>
      </c>
      <c r="F222" s="7" t="s">
        <v>19</v>
      </c>
      <c r="G222" s="7" t="s">
        <v>1606</v>
      </c>
      <c r="H222" s="7" t="s">
        <v>17</v>
      </c>
      <c r="I222" s="7" t="s">
        <v>17</v>
      </c>
      <c r="J222" s="7" t="s">
        <v>1607</v>
      </c>
    </row>
    <row r="223" spans="1:10" x14ac:dyDescent="0.25" outlineLevel="1" collapsed="1">
      <c r="A223" s="7" t="s">
        <v>19</v>
      </c>
      <c r="B223" s="7" t="s">
        <v>63</v>
      </c>
      <c r="C223" s="7" t="s">
        <v>17</v>
      </c>
      <c r="D223" s="7">
        <f>EXACT(G222,"Single value")</f>
      </c>
      <c r="E223" s="7" t="s">
        <v>1676</v>
      </c>
      <c r="F223" s="7" t="s">
        <v>19</v>
      </c>
      <c r="G223" s="7">
        <v>1</v>
      </c>
      <c r="H223" s="7" t="s">
        <v>17</v>
      </c>
      <c r="I223" s="7" t="s">
        <v>17</v>
      </c>
      <c r="J223" s="7" t="s">
        <v>1609</v>
      </c>
    </row>
    <row r="224" spans="1:10" x14ac:dyDescent="0.25" outlineLevel="1" collapsed="1">
      <c r="A224" s="7" t="s">
        <v>19</v>
      </c>
      <c r="B224" s="7" t="s">
        <v>16</v>
      </c>
      <c r="C224" s="7" t="s">
        <v>17</v>
      </c>
      <c r="D224" s="7"/>
      <c r="E224" s="7" t="s">
        <v>1677</v>
      </c>
      <c r="F224" s="7" t="s">
        <v>19</v>
      </c>
      <c r="G224" s="7" t="s">
        <v>31</v>
      </c>
      <c r="H224" s="7" t="s">
        <v>17</v>
      </c>
      <c r="I224" s="7" t="s">
        <v>17</v>
      </c>
      <c r="J224" s="7" t="s">
        <v>1678</v>
      </c>
    </row>
    <row r="225" spans="1:10" x14ac:dyDescent="0.25" outlineLevel="1" collapsed="1">
      <c r="A225" s="7" t="s">
        <v>15</v>
      </c>
      <c r="B225" s="7" t="s">
        <v>16</v>
      </c>
      <c r="C225" s="7" t="s">
        <v>17</v>
      </c>
      <c r="D225" s="7"/>
      <c r="E225" s="7" t="s">
        <v>1679</v>
      </c>
      <c r="F225" s="7" t="s">
        <v>19</v>
      </c>
      <c r="G225" s="7" t="s">
        <v>31</v>
      </c>
      <c r="H225" s="7" t="s">
        <v>17</v>
      </c>
      <c r="I225" s="7" t="s">
        <v>17</v>
      </c>
      <c r="J225" s="7" t="s">
        <v>1680</v>
      </c>
    </row>
    <row r="226" spans="1:10" x14ac:dyDescent="0.25" outlineLevel="1" collapsed="1">
      <c r="A226" s="7" t="s">
        <v>15</v>
      </c>
      <c r="B226" s="7" t="s">
        <v>284</v>
      </c>
      <c r="C226" s="11" t="s">
        <v>1611</v>
      </c>
      <c r="D226" s="7"/>
      <c r="E226" s="7" t="s">
        <v>1612</v>
      </c>
      <c r="F226" s="7" t="s">
        <v>19</v>
      </c>
      <c r="G226" s="7" t="s">
        <v>1613</v>
      </c>
      <c r="H226" s="7" t="s">
        <v>17</v>
      </c>
      <c r="I226" s="7" t="s">
        <v>17</v>
      </c>
      <c r="J226" s="7" t="s">
        <v>1614</v>
      </c>
    </row>
    <row r="227" spans="1:10" x14ac:dyDescent="0.25" outlineLevel="1" collapsed="1">
      <c r="A227" s="7" t="s">
        <v>19</v>
      </c>
      <c r="B227" s="7" t="s">
        <v>16</v>
      </c>
      <c r="C227" s="7" t="s">
        <v>17</v>
      </c>
      <c r="D227" s="7"/>
      <c r="E227" s="7" t="s">
        <v>1681</v>
      </c>
      <c r="F227" s="7" t="s">
        <v>19</v>
      </c>
      <c r="G227" s="7" t="s">
        <v>31</v>
      </c>
      <c r="H227" s="7" t="s">
        <v>17</v>
      </c>
      <c r="I227" s="7" t="s">
        <v>17</v>
      </c>
      <c r="J227" s="7" t="s">
        <v>1682</v>
      </c>
    </row>
    <row r="228" spans="1:10" x14ac:dyDescent="0.25" outlineLevel="1" collapsed="1">
      <c r="A228" s="7" t="s">
        <v>19</v>
      </c>
      <c r="B228" s="7" t="s">
        <v>16</v>
      </c>
      <c r="C228" s="7" t="s">
        <v>17</v>
      </c>
      <c r="D228" s="7"/>
      <c r="E228" s="7" t="s">
        <v>1615</v>
      </c>
      <c r="F228" s="7" t="s">
        <v>19</v>
      </c>
      <c r="G228" s="7" t="s">
        <v>31</v>
      </c>
      <c r="H228" s="7" t="s">
        <v>17</v>
      </c>
      <c r="I228" s="7" t="s">
        <v>17</v>
      </c>
      <c r="J228" s="7" t="s">
        <v>1616</v>
      </c>
    </row>
    <row r="229" spans="1:10" x14ac:dyDescent="0.25">
      <c r="A229" s="5" t="s">
        <v>19</v>
      </c>
      <c r="B229" s="6" t="s">
        <v>1766</v>
      </c>
      <c r="C229" s="5" t="s">
        <v>17</v>
      </c>
      <c r="D229" s="5"/>
      <c r="E229" s="5" t="s">
        <v>1767</v>
      </c>
      <c r="F229" s="5" t="s">
        <v>15</v>
      </c>
      <c r="G229" s="5" t="s">
        <v>17</v>
      </c>
      <c r="H229" s="5" t="s">
        <v>17</v>
      </c>
      <c r="I229" s="5" t="s">
        <v>17</v>
      </c>
      <c r="J229" s="5" t="s">
        <v>1768</v>
      </c>
    </row>
    <row r="230" spans="1:10" x14ac:dyDescent="0.25" outlineLevel="1" collapsed="1">
      <c r="A230" s="7" t="s">
        <v>15</v>
      </c>
      <c r="B230" s="7" t="s">
        <v>16</v>
      </c>
      <c r="C230" s="7" t="s">
        <v>17</v>
      </c>
      <c r="D230" s="7"/>
      <c r="E230" s="7" t="s">
        <v>1769</v>
      </c>
      <c r="F230" s="7" t="s">
        <v>19</v>
      </c>
      <c r="G230" s="7" t="s">
        <v>31</v>
      </c>
      <c r="H230" s="7" t="s">
        <v>17</v>
      </c>
      <c r="I230" s="7" t="s">
        <v>17</v>
      </c>
      <c r="J230" s="7" t="s">
        <v>1770</v>
      </c>
    </row>
    <row r="231" spans="1:10" x14ac:dyDescent="0.25" outlineLevel="1" collapsed="1">
      <c r="A231" s="7" t="s">
        <v>15</v>
      </c>
      <c r="B231" s="7" t="s">
        <v>63</v>
      </c>
      <c r="C231" s="7" t="s">
        <v>17</v>
      </c>
      <c r="D231" s="7"/>
      <c r="E231" s="7" t="s">
        <v>1771</v>
      </c>
      <c r="F231" s="7" t="s">
        <v>19</v>
      </c>
      <c r="G231" s="7">
        <v>1</v>
      </c>
      <c r="H231" s="7" t="s">
        <v>17</v>
      </c>
      <c r="I231" s="7" t="s">
        <v>17</v>
      </c>
      <c r="J231" s="7" t="s">
        <v>1739</v>
      </c>
    </row>
    <row r="232" spans="1:10" x14ac:dyDescent="0.25" outlineLevel="1" collapsed="1">
      <c r="A232" s="7" t="s">
        <v>19</v>
      </c>
      <c r="B232" s="7" t="s">
        <v>63</v>
      </c>
      <c r="C232" s="7" t="s">
        <v>17</v>
      </c>
      <c r="D232" s="7"/>
      <c r="E232" s="7" t="s">
        <v>1772</v>
      </c>
      <c r="F232" s="7" t="s">
        <v>19</v>
      </c>
      <c r="G232" s="7">
        <v>1</v>
      </c>
      <c r="H232" s="7" t="s">
        <v>17</v>
      </c>
      <c r="I232" s="7" t="s">
        <v>17</v>
      </c>
      <c r="J232" s="7" t="s">
        <v>1656</v>
      </c>
    </row>
    <row r="233" spans="1:10" x14ac:dyDescent="0.25" outlineLevel="1" collapsed="1">
      <c r="A233" s="7" t="s">
        <v>15</v>
      </c>
      <c r="B233" s="7" t="s">
        <v>63</v>
      </c>
      <c r="C233" s="7" t="s">
        <v>17</v>
      </c>
      <c r="D233" s="7"/>
      <c r="E233" s="7" t="s">
        <v>1773</v>
      </c>
      <c r="F233" s="7" t="s">
        <v>19</v>
      </c>
      <c r="G233" s="7">
        <v>1</v>
      </c>
      <c r="H233" s="7" t="s">
        <v>17</v>
      </c>
      <c r="I233" s="7" t="s">
        <v>17</v>
      </c>
      <c r="J233" s="7" t="s">
        <v>1741</v>
      </c>
    </row>
    <row r="234" spans="1:10" x14ac:dyDescent="0.25" outlineLevel="1" collapsed="1">
      <c r="A234" s="7" t="s">
        <v>19</v>
      </c>
      <c r="B234" s="7" t="s">
        <v>63</v>
      </c>
      <c r="C234" s="7" t="s">
        <v>17</v>
      </c>
      <c r="D234" s="7"/>
      <c r="E234" s="7" t="s">
        <v>1774</v>
      </c>
      <c r="F234" s="7" t="s">
        <v>19</v>
      </c>
      <c r="G234" s="7">
        <v>1</v>
      </c>
      <c r="H234" s="7" t="s">
        <v>17</v>
      </c>
      <c r="I234" s="7" t="s">
        <v>17</v>
      </c>
      <c r="J234" s="7" t="s">
        <v>1761</v>
      </c>
    </row>
    <row r="235" spans="1:10" x14ac:dyDescent="0.25" outlineLevel="1" collapsed="1">
      <c r="A235" s="7" t="s">
        <v>19</v>
      </c>
      <c r="B235" s="7" t="s">
        <v>63</v>
      </c>
      <c r="C235" s="7" t="s">
        <v>17</v>
      </c>
      <c r="D235" s="7"/>
      <c r="E235" s="7" t="s">
        <v>1775</v>
      </c>
      <c r="F235" s="7" t="s">
        <v>19</v>
      </c>
      <c r="G235" s="7">
        <v>1</v>
      </c>
      <c r="H235" s="7" t="s">
        <v>17</v>
      </c>
      <c r="I235" s="7" t="s">
        <v>17</v>
      </c>
      <c r="J235" s="7" t="s">
        <v>1765</v>
      </c>
    </row>
    <row r="236" spans="1:10" x14ac:dyDescent="0.25" outlineLevel="1" collapsed="1">
      <c r="A236" s="7" t="s">
        <v>19</v>
      </c>
      <c r="B236" s="7" t="s">
        <v>63</v>
      </c>
      <c r="C236" s="7" t="s">
        <v>17</v>
      </c>
      <c r="D236" s="7"/>
      <c r="E236" s="7" t="s">
        <v>1776</v>
      </c>
      <c r="F236" s="7" t="s">
        <v>19</v>
      </c>
      <c r="G236" s="7">
        <v>1</v>
      </c>
      <c r="H236" s="7" t="s">
        <v>17</v>
      </c>
      <c r="I236" s="7" t="s">
        <v>17</v>
      </c>
      <c r="J236" s="7" t="s">
        <v>1763</v>
      </c>
    </row>
    <row r="237" spans="1:10" x14ac:dyDescent="0.25">
      <c r="A237" s="5" t="s">
        <v>19</v>
      </c>
      <c r="B237" s="6" t="s">
        <v>1777</v>
      </c>
      <c r="C237" s="5" t="s">
        <v>17</v>
      </c>
      <c r="D237" s="5"/>
      <c r="E237" s="5" t="s">
        <v>1778</v>
      </c>
      <c r="F237" s="5" t="s">
        <v>15</v>
      </c>
      <c r="G237" s="5" t="s">
        <v>17</v>
      </c>
      <c r="H237" s="5" t="s">
        <v>17</v>
      </c>
      <c r="I237" s="5" t="s">
        <v>17</v>
      </c>
      <c r="J237" s="5" t="s">
        <v>1779</v>
      </c>
    </row>
    <row r="238" spans="1:10" x14ac:dyDescent="0.25" outlineLevel="1" collapsed="1">
      <c r="A238" s="7" t="s">
        <v>15</v>
      </c>
      <c r="B238" s="7" t="s">
        <v>16</v>
      </c>
      <c r="C238" s="7" t="s">
        <v>17</v>
      </c>
      <c r="D238" s="7"/>
      <c r="E238" s="7" t="s">
        <v>1780</v>
      </c>
      <c r="F238" s="7" t="s">
        <v>19</v>
      </c>
      <c r="G238" s="7" t="s">
        <v>31</v>
      </c>
      <c r="H238" s="7" t="s">
        <v>17</v>
      </c>
      <c r="I238" s="7" t="s">
        <v>17</v>
      </c>
      <c r="J238" s="7" t="s">
        <v>1781</v>
      </c>
    </row>
    <row r="239" spans="1:10" x14ac:dyDescent="0.25" outlineLevel="1" collapsed="1">
      <c r="A239" s="7" t="s">
        <v>19</v>
      </c>
      <c r="B239" s="7" t="s">
        <v>63</v>
      </c>
      <c r="C239" s="7" t="s">
        <v>17</v>
      </c>
      <c r="D239" s="7"/>
      <c r="E239" s="7" t="s">
        <v>1782</v>
      </c>
      <c r="F239" s="7" t="s">
        <v>19</v>
      </c>
      <c r="G239" s="7">
        <v>1</v>
      </c>
      <c r="H239" s="7" t="s">
        <v>17</v>
      </c>
      <c r="I239" s="7" t="s">
        <v>17</v>
      </c>
      <c r="J239" s="7" t="s">
        <v>1745</v>
      </c>
    </row>
    <row r="240" spans="1:10" x14ac:dyDescent="0.25" outlineLevel="1" collapsed="1">
      <c r="A240" s="7" t="s">
        <v>19</v>
      </c>
      <c r="B240" s="7" t="s">
        <v>63</v>
      </c>
      <c r="C240" s="7" t="s">
        <v>17</v>
      </c>
      <c r="D240" s="7"/>
      <c r="E240" s="7" t="s">
        <v>1783</v>
      </c>
      <c r="F240" s="7" t="s">
        <v>19</v>
      </c>
      <c r="G240" s="7">
        <v>1</v>
      </c>
      <c r="H240" s="7" t="s">
        <v>17</v>
      </c>
      <c r="I240" s="7" t="s">
        <v>17</v>
      </c>
      <c r="J240" s="7" t="s">
        <v>1755</v>
      </c>
    </row>
    <row r="241" spans="1:10" x14ac:dyDescent="0.25" outlineLevel="1" collapsed="1">
      <c r="A241" s="7" t="s">
        <v>19</v>
      </c>
      <c r="B241" s="7" t="s">
        <v>63</v>
      </c>
      <c r="C241" s="7" t="s">
        <v>17</v>
      </c>
      <c r="D241" s="7"/>
      <c r="E241" s="7" t="s">
        <v>1784</v>
      </c>
      <c r="F241" s="7" t="s">
        <v>19</v>
      </c>
      <c r="G241" s="7">
        <v>1</v>
      </c>
      <c r="H241" s="7" t="s">
        <v>17</v>
      </c>
      <c r="I241" s="7" t="s">
        <v>17</v>
      </c>
      <c r="J241" s="7" t="s">
        <v>1759</v>
      </c>
    </row>
    <row r="242" spans="1:10" x14ac:dyDescent="0.25" outlineLevel="1" collapsed="1">
      <c r="A242" s="7" t="s">
        <v>19</v>
      </c>
      <c r="B242" s="7" t="s">
        <v>63</v>
      </c>
      <c r="C242" s="7" t="s">
        <v>17</v>
      </c>
      <c r="D242" s="7"/>
      <c r="E242" s="7" t="s">
        <v>1785</v>
      </c>
      <c r="F242" s="7" t="s">
        <v>19</v>
      </c>
      <c r="G242" s="7">
        <v>1</v>
      </c>
      <c r="H242" s="7" t="s">
        <v>17</v>
      </c>
      <c r="I242" s="7" t="s">
        <v>17</v>
      </c>
      <c r="J242" s="7" t="s">
        <v>1658</v>
      </c>
    </row>
    <row r="243" spans="1:10" x14ac:dyDescent="0.25" outlineLevel="1" collapsed="1">
      <c r="A243" s="7" t="s">
        <v>19</v>
      </c>
      <c r="B243" s="7" t="s">
        <v>63</v>
      </c>
      <c r="C243" s="7" t="s">
        <v>17</v>
      </c>
      <c r="D243" s="7"/>
      <c r="E243" s="7" t="s">
        <v>1786</v>
      </c>
      <c r="F243" s="7" t="s">
        <v>19</v>
      </c>
      <c r="G243" s="7">
        <v>1</v>
      </c>
      <c r="H243" s="7" t="s">
        <v>17</v>
      </c>
      <c r="I243" s="7" t="s">
        <v>17</v>
      </c>
      <c r="J243" s="7" t="s">
        <v>1747</v>
      </c>
    </row>
    <row r="244" spans="1:10" x14ac:dyDescent="0.25" outlineLevel="1" collapsed="1">
      <c r="A244" s="7" t="s">
        <v>15</v>
      </c>
      <c r="B244" s="7" t="s">
        <v>16</v>
      </c>
      <c r="C244" s="7" t="s">
        <v>17</v>
      </c>
      <c r="D244" s="7"/>
      <c r="E244" s="7" t="s">
        <v>1787</v>
      </c>
      <c r="F244" s="7" t="s">
        <v>19</v>
      </c>
      <c r="G244" s="7" t="s">
        <v>31</v>
      </c>
      <c r="H244" s="7" t="s">
        <v>17</v>
      </c>
      <c r="I244" s="7" t="s">
        <v>17</v>
      </c>
      <c r="J244" s="7" t="s">
        <v>1725</v>
      </c>
    </row>
    <row r="245" spans="1:10" x14ac:dyDescent="0.25" outlineLevel="1" collapsed="1">
      <c r="A245" s="7" t="s">
        <v>19</v>
      </c>
      <c r="B245" s="7" t="s">
        <v>63</v>
      </c>
      <c r="C245" s="7" t="s">
        <v>17</v>
      </c>
      <c r="D245" s="7"/>
      <c r="E245" s="7" t="s">
        <v>1788</v>
      </c>
      <c r="F245" s="7" t="s">
        <v>19</v>
      </c>
      <c r="G245" s="7">
        <v>1</v>
      </c>
      <c r="H245" s="7" t="s">
        <v>17</v>
      </c>
      <c r="I245" s="7" t="s">
        <v>17</v>
      </c>
      <c r="J245" s="7" t="s">
        <v>1749</v>
      </c>
    </row>
    <row r="246" spans="1:10" x14ac:dyDescent="0.25" outlineLevel="1" collapsed="1">
      <c r="A246" s="7" t="s">
        <v>19</v>
      </c>
      <c r="B246" s="7" t="s">
        <v>63</v>
      </c>
      <c r="C246" s="7" t="s">
        <v>17</v>
      </c>
      <c r="D246" s="7"/>
      <c r="E246" s="7" t="s">
        <v>1789</v>
      </c>
      <c r="F246" s="7" t="s">
        <v>19</v>
      </c>
      <c r="G246" s="7">
        <v>1</v>
      </c>
      <c r="H246" s="7" t="s">
        <v>17</v>
      </c>
      <c r="I246" s="7" t="s">
        <v>17</v>
      </c>
      <c r="J246" s="7" t="s">
        <v>1751</v>
      </c>
    </row>
    <row r="247" spans="1:10" x14ac:dyDescent="0.25" outlineLevel="1" collapsed="1">
      <c r="A247" s="7" t="s">
        <v>19</v>
      </c>
      <c r="B247" s="7" t="s">
        <v>63</v>
      </c>
      <c r="C247" s="7" t="s">
        <v>17</v>
      </c>
      <c r="D247" s="7"/>
      <c r="E247" s="7" t="s">
        <v>1790</v>
      </c>
      <c r="F247" s="7" t="s">
        <v>19</v>
      </c>
      <c r="G247" s="7">
        <v>1</v>
      </c>
      <c r="H247" s="7" t="s">
        <v>17</v>
      </c>
      <c r="I247" s="7" t="s">
        <v>17</v>
      </c>
      <c r="J247" s="7" t="s">
        <v>1753</v>
      </c>
    </row>
  </sheetData>
  <mergeCells count="3">
    <mergeCell ref="A1:J1"/>
    <mergeCell ref="B2:J2"/>
    <mergeCell ref="B3:J3"/>
  </mergeCells>
  <dataValidations count="28">
    <dataValidation type="list" allowBlank="1" sqref="G110:I110">
      <formula1>'Enums'!C607:C608</formula1>
    </dataValidation>
    <dataValidation type="list" allowBlank="1" sqref="G114:I114">
      <formula1>'Enums'!C609:C613</formula1>
    </dataValidation>
    <dataValidation type="list" allowBlank="1" sqref="G126:I126">
      <formula1>'Enums'!C607:C608</formula1>
    </dataValidation>
    <dataValidation type="list" allowBlank="1" sqref="G130:I130">
      <formula1>'Enums'!C609:C613</formula1>
    </dataValidation>
    <dataValidation type="list" allowBlank="1" sqref="G14:I14">
      <formula1>'Enums'!C607:C608</formula1>
    </dataValidation>
    <dataValidation type="list" allowBlank="1" sqref="G142:I142">
      <formula1>'Enums'!C607:C608</formula1>
    </dataValidation>
    <dataValidation type="list" allowBlank="1" sqref="G146:I146">
      <formula1>'Enums'!C609:C613</formula1>
    </dataValidation>
    <dataValidation type="list" allowBlank="1" sqref="G158:I158">
      <formula1>'Enums'!C607:C608</formula1>
    </dataValidation>
    <dataValidation type="list" allowBlank="1" sqref="G162:I162">
      <formula1>'Enums'!C609:C613</formula1>
    </dataValidation>
    <dataValidation type="list" allowBlank="1" sqref="G174:I174">
      <formula1>'Enums'!C607:C608</formula1>
    </dataValidation>
    <dataValidation type="list" allowBlank="1" sqref="G178:I178">
      <formula1>'Enums'!C609:C613</formula1>
    </dataValidation>
    <dataValidation type="list" allowBlank="1" sqref="G18:I18">
      <formula1>'Enums'!C609:C613</formula1>
    </dataValidation>
    <dataValidation type="list" allowBlank="1" sqref="G190:I190">
      <formula1>'Enums'!C607:C608</formula1>
    </dataValidation>
    <dataValidation type="list" allowBlank="1" sqref="G194:I194">
      <formula1>'Enums'!C609:C613</formula1>
    </dataValidation>
    <dataValidation type="list" allowBlank="1" sqref="G206:I206">
      <formula1>'Enums'!C607:C608</formula1>
    </dataValidation>
    <dataValidation type="list" allowBlank="1" sqref="G210:I210">
      <formula1>'Enums'!C609:C613</formula1>
    </dataValidation>
    <dataValidation type="list" allowBlank="1" sqref="G222:I222">
      <formula1>'Enums'!C607:C608</formula1>
    </dataValidation>
    <dataValidation type="list" allowBlank="1" sqref="G226:I226">
      <formula1>'Enums'!C609:C613</formula1>
    </dataValidation>
    <dataValidation type="list" allowBlank="1" sqref="G30:I30">
      <formula1>'Enums'!C607:C608</formula1>
    </dataValidation>
    <dataValidation type="list" allowBlank="1" sqref="G34:I34">
      <formula1>'Enums'!C609:C613</formula1>
    </dataValidation>
    <dataValidation type="list" allowBlank="1" sqref="G46:I46">
      <formula1>'Enums'!C607:C608</formula1>
    </dataValidation>
    <dataValidation type="list" allowBlank="1" sqref="G50:I50">
      <formula1>'Enums'!C609:C613</formula1>
    </dataValidation>
    <dataValidation type="list" allowBlank="1" sqref="G62:I62">
      <formula1>'Enums'!C607:C608</formula1>
    </dataValidation>
    <dataValidation type="list" allowBlank="1" sqref="G66:I66">
      <formula1>'Enums'!C609:C613</formula1>
    </dataValidation>
    <dataValidation type="list" allowBlank="1" sqref="G78:I78">
      <formula1>'Enums'!C607:C608</formula1>
    </dataValidation>
    <dataValidation type="list" allowBlank="1" sqref="G82:I82">
      <formula1>'Enums'!C609:C613</formula1>
    </dataValidation>
    <dataValidation type="list" allowBlank="1" sqref="G94:I94">
      <formula1>'Enums'!C607:C608</formula1>
    </dataValidation>
    <dataValidation type="list" allowBlank="1" sqref="G98:I98">
      <formula1>'Enums'!C609:C613</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5" r:id="rId6" location="#'VMR0015 A2.2 DataParameter  2'!A1"/>
    <hyperlink ref="B101" r:id="rId7" location="#'VMR0015 A2.2 DataParameter  2'!A1"/>
    <hyperlink ref="B117" r:id="rId8" location="#'VMR0015 A2.2 DataParameter  2'!A1"/>
    <hyperlink ref="B133" r:id="rId9" location="#'VMR0015 A2.2 DataParameter  2'!A1"/>
    <hyperlink ref="B149" r:id="rId10" location="#'VMR0015 A2.2 DataParameter  2'!A1"/>
    <hyperlink ref="B165" r:id="rId11" location="#'VMR0015 A2.2 DataParameter  2'!A1"/>
    <hyperlink ref="B181" r:id="rId12" location="#'VMR0015 A2.2 DataParameter  2'!A1"/>
    <hyperlink ref="B197" r:id="rId13" location="#'VMR0015 A2.2 DataParameter  2'!A1"/>
    <hyperlink ref="B213" r:id="rId14" location="#'VMR0015 A2.2 DataParameter  2'!A1"/>
    <hyperlink ref="B229" r:id="rId15" location="#'VT0010 grid load row (load L;'!A1"/>
    <hyperlink ref="B237" r:id="rId16" location="#'VT0010 shared plant fuel row ('!A1"/>
  </hyperlinks>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3443</v>
      </c>
      <c r="B1" s="1"/>
      <c r="C1" s="1"/>
      <c r="D1" s="1"/>
      <c r="E1" s="1"/>
      <c r="F1" s="1"/>
      <c r="G1" s="1"/>
      <c r="H1" s="1"/>
      <c r="I1" s="1"/>
      <c r="J1" s="1"/>
    </row>
    <row r="2" spans="1:10" x14ac:dyDescent="0.25">
      <c r="A2" s="2" t="s">
        <v>1</v>
      </c>
      <c r="B2" s="3" t="s">
        <v>3437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1667</v>
      </c>
      <c r="C5" s="5" t="s">
        <v>17</v>
      </c>
      <c r="D5" s="5"/>
      <c r="E5" s="5" t="s">
        <v>1794</v>
      </c>
      <c r="F5" s="5" t="s">
        <v>19</v>
      </c>
      <c r="G5" s="5" t="s">
        <v>17</v>
      </c>
      <c r="H5" s="5" t="s">
        <v>17</v>
      </c>
      <c r="I5" s="5" t="s">
        <v>17</v>
      </c>
      <c r="J5" s="5" t="s">
        <v>1795</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1675</v>
      </c>
      <c r="F13" s="7" t="s">
        <v>19</v>
      </c>
      <c r="G13" s="7" t="s">
        <v>31</v>
      </c>
      <c r="H13" s="7" t="s">
        <v>17</v>
      </c>
      <c r="I13" s="7" t="s">
        <v>17</v>
      </c>
      <c r="J13" s="7" t="s">
        <v>1422</v>
      </c>
    </row>
    <row r="14" spans="1:10" x14ac:dyDescent="0.25" outlineLevel="1" collapsed="1">
      <c r="A14" s="7" t="s">
        <v>15</v>
      </c>
      <c r="B14" s="7" t="s">
        <v>284</v>
      </c>
      <c r="C14" s="11" t="s">
        <v>1604</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1676</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1611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sheetData>
  <mergeCells count="3">
    <mergeCell ref="A1:J1"/>
    <mergeCell ref="B2:J2"/>
    <mergeCell ref="B3:J3"/>
  </mergeCells>
  <dataValidations count="2">
    <dataValidation type="list" allowBlank="1" sqref="G14:I14">
      <formula1>'Enums'!C607:C608</formula1>
    </dataValidation>
    <dataValidation type="list" allowBlank="1" sqref="G18:I18">
      <formula1>'Enums'!C609:C613</formula1>
    </dataValidation>
  </dataValidations>
  <hyperlinks>
    <hyperlink ref="B5" r:id="rId1" location="#'VMR0015 A2.2 DataParameter  2'!A1"/>
  </hyperlinks>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9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3444</v>
      </c>
      <c r="B1" s="1"/>
      <c r="C1" s="1"/>
      <c r="D1" s="1"/>
      <c r="E1" s="1"/>
      <c r="F1" s="1"/>
      <c r="G1" s="1"/>
      <c r="H1" s="1"/>
      <c r="I1" s="1"/>
      <c r="J1" s="1"/>
    </row>
    <row r="2" spans="1:10" x14ac:dyDescent="0.25">
      <c r="A2" s="2" t="s">
        <v>1</v>
      </c>
      <c r="B2" s="3" t="s">
        <v>3445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1594</v>
      </c>
      <c r="C5" s="5" t="s">
        <v>17</v>
      </c>
      <c r="D5" s="5"/>
      <c r="E5" s="5" t="s">
        <v>1595</v>
      </c>
      <c r="F5" s="5" t="s">
        <v>19</v>
      </c>
      <c r="G5" s="5" t="s">
        <v>17</v>
      </c>
      <c r="H5" s="5" t="s">
        <v>17</v>
      </c>
      <c r="I5" s="5" t="s">
        <v>17</v>
      </c>
      <c r="J5" s="5" t="s">
        <v>1596</v>
      </c>
    </row>
    <row r="6" spans="1:10" x14ac:dyDescent="0.25" outlineLevel="1" collapsed="1">
      <c r="A6" s="8" t="s">
        <v>15</v>
      </c>
      <c r="B6" s="9" t="s">
        <v>1597</v>
      </c>
      <c r="C6" s="8" t="s">
        <v>17</v>
      </c>
      <c r="D6" s="8"/>
      <c r="E6" s="8" t="s">
        <v>1598</v>
      </c>
      <c r="F6" s="8" t="s">
        <v>19</v>
      </c>
      <c r="G6" s="8" t="s">
        <v>17</v>
      </c>
      <c r="H6" s="8" t="s">
        <v>17</v>
      </c>
      <c r="I6" s="8" t="s">
        <v>17</v>
      </c>
      <c r="J6" s="8" t="s">
        <v>1599</v>
      </c>
    </row>
    <row r="7" spans="1:10" x14ac:dyDescent="0.25" outlineLevel="2" collapsed="1">
      <c r="A7" s="7" t="s">
        <v>15</v>
      </c>
      <c r="B7" s="7" t="s">
        <v>16</v>
      </c>
      <c r="C7" s="7" t="s">
        <v>17</v>
      </c>
      <c r="D7" s="7"/>
      <c r="E7" s="7" t="s">
        <v>1431</v>
      </c>
      <c r="F7" s="7" t="s">
        <v>19</v>
      </c>
      <c r="G7" s="7" t="s">
        <v>31</v>
      </c>
      <c r="H7" s="7" t="s">
        <v>17</v>
      </c>
      <c r="I7" s="7" t="s">
        <v>17</v>
      </c>
      <c r="J7" s="7" t="s">
        <v>637</v>
      </c>
    </row>
    <row r="8" spans="1:10" x14ac:dyDescent="0.25" outlineLevel="2" collapsed="1">
      <c r="A8" s="7" t="s">
        <v>15</v>
      </c>
      <c r="B8" s="7" t="s">
        <v>16</v>
      </c>
      <c r="C8" s="7" t="s">
        <v>17</v>
      </c>
      <c r="D8" s="7"/>
      <c r="E8" s="7" t="s">
        <v>638</v>
      </c>
      <c r="F8" s="7" t="s">
        <v>19</v>
      </c>
      <c r="G8" s="7" t="s">
        <v>31</v>
      </c>
      <c r="H8" s="7" t="s">
        <v>17</v>
      </c>
      <c r="I8" s="7" t="s">
        <v>17</v>
      </c>
      <c r="J8" s="7" t="s">
        <v>640</v>
      </c>
    </row>
    <row r="9" spans="1:10" x14ac:dyDescent="0.25" outlineLevel="2" collapsed="1">
      <c r="A9" s="7" t="s">
        <v>15</v>
      </c>
      <c r="B9" s="7" t="s">
        <v>16</v>
      </c>
      <c r="C9" s="7" t="s">
        <v>17</v>
      </c>
      <c r="D9" s="7"/>
      <c r="E9" s="7" t="s">
        <v>9</v>
      </c>
      <c r="F9" s="7" t="s">
        <v>19</v>
      </c>
      <c r="G9" s="7" t="s">
        <v>31</v>
      </c>
      <c r="H9" s="7" t="s">
        <v>17</v>
      </c>
      <c r="I9" s="7" t="s">
        <v>17</v>
      </c>
      <c r="J9" s="7" t="s">
        <v>843</v>
      </c>
    </row>
    <row r="10" spans="1:10" x14ac:dyDescent="0.25" outlineLevel="2" collapsed="1">
      <c r="A10" s="7" t="s">
        <v>19</v>
      </c>
      <c r="B10" s="7" t="s">
        <v>16</v>
      </c>
      <c r="C10" s="7" t="s">
        <v>17</v>
      </c>
      <c r="D10" s="7"/>
      <c r="E10" s="7" t="s">
        <v>1600</v>
      </c>
      <c r="F10" s="7" t="s">
        <v>19</v>
      </c>
      <c r="G10" s="7" t="s">
        <v>31</v>
      </c>
      <c r="H10" s="7" t="s">
        <v>17</v>
      </c>
      <c r="I10" s="7" t="s">
        <v>17</v>
      </c>
      <c r="J10" s="7" t="s">
        <v>1424</v>
      </c>
    </row>
    <row r="11" spans="1:10" x14ac:dyDescent="0.25" outlineLevel="2" collapsed="1">
      <c r="A11" s="7" t="s">
        <v>15</v>
      </c>
      <c r="B11" s="7" t="s">
        <v>16</v>
      </c>
      <c r="C11" s="7" t="s">
        <v>17</v>
      </c>
      <c r="D11" s="7"/>
      <c r="E11" s="7" t="s">
        <v>1601</v>
      </c>
      <c r="F11" s="7" t="s">
        <v>19</v>
      </c>
      <c r="G11" s="7" t="s">
        <v>31</v>
      </c>
      <c r="H11" s="7" t="s">
        <v>17</v>
      </c>
      <c r="I11" s="7" t="s">
        <v>17</v>
      </c>
      <c r="J11" s="7" t="s">
        <v>1602</v>
      </c>
    </row>
    <row r="12" spans="1:10" x14ac:dyDescent="0.25" outlineLevel="2" collapsed="1">
      <c r="A12" s="7" t="s">
        <v>15</v>
      </c>
      <c r="B12" s="7" t="s">
        <v>16</v>
      </c>
      <c r="C12" s="7" t="s">
        <v>17</v>
      </c>
      <c r="D12" s="7"/>
      <c r="E12" s="7" t="s">
        <v>1603</v>
      </c>
      <c r="F12" s="7" t="s">
        <v>19</v>
      </c>
      <c r="G12" s="7" t="s">
        <v>31</v>
      </c>
      <c r="H12" s="7" t="s">
        <v>17</v>
      </c>
      <c r="I12" s="7" t="s">
        <v>17</v>
      </c>
      <c r="J12" s="7" t="s">
        <v>1422</v>
      </c>
    </row>
    <row r="13" spans="1:10" x14ac:dyDescent="0.25" outlineLevel="2" collapsed="1">
      <c r="A13" s="7" t="s">
        <v>15</v>
      </c>
      <c r="B13" s="7" t="s">
        <v>284</v>
      </c>
      <c r="C13" s="11" t="s">
        <v>1604</v>
      </c>
      <c r="D13" s="7"/>
      <c r="E13" s="7" t="s">
        <v>1605</v>
      </c>
      <c r="F13" s="7" t="s">
        <v>19</v>
      </c>
      <c r="G13" s="7" t="s">
        <v>1606</v>
      </c>
      <c r="H13" s="7" t="s">
        <v>17</v>
      </c>
      <c r="I13" s="7" t="s">
        <v>17</v>
      </c>
      <c r="J13" s="7" t="s">
        <v>1607</v>
      </c>
    </row>
    <row r="14" spans="1:10" x14ac:dyDescent="0.25" outlineLevel="2" collapsed="1">
      <c r="A14" s="7" t="s">
        <v>19</v>
      </c>
      <c r="B14" s="7" t="s">
        <v>63</v>
      </c>
      <c r="C14" s="7" t="s">
        <v>17</v>
      </c>
      <c r="D14" s="7">
        <f>EXACT(G13,"Single value")</f>
      </c>
      <c r="E14" s="7" t="s">
        <v>1608</v>
      </c>
      <c r="F14" s="7" t="s">
        <v>19</v>
      </c>
      <c r="G14" s="7">
        <v>1</v>
      </c>
      <c r="H14" s="7" t="s">
        <v>17</v>
      </c>
      <c r="I14" s="7" t="s">
        <v>17</v>
      </c>
      <c r="J14" s="7" t="s">
        <v>1609</v>
      </c>
    </row>
    <row r="15" spans="1:10" x14ac:dyDescent="0.25" outlineLevel="2" collapsed="1">
      <c r="A15" s="7" t="s">
        <v>15</v>
      </c>
      <c r="B15" s="7" t="s">
        <v>16</v>
      </c>
      <c r="C15" s="7" t="s">
        <v>17</v>
      </c>
      <c r="D15" s="7"/>
      <c r="E15" s="7" t="s">
        <v>1610</v>
      </c>
      <c r="F15" s="7" t="s">
        <v>19</v>
      </c>
      <c r="G15" s="7" t="s">
        <v>31</v>
      </c>
      <c r="H15" s="7" t="s">
        <v>17</v>
      </c>
      <c r="I15" s="7" t="s">
        <v>17</v>
      </c>
      <c r="J15" s="7" t="s">
        <v>1191</v>
      </c>
    </row>
    <row r="16" spans="1:10" x14ac:dyDescent="0.25" outlineLevel="2" collapsed="1">
      <c r="A16" s="7" t="s">
        <v>15</v>
      </c>
      <c r="B16" s="7" t="s">
        <v>284</v>
      </c>
      <c r="C16" s="11" t="s">
        <v>1611</v>
      </c>
      <c r="D16" s="7"/>
      <c r="E16" s="7" t="s">
        <v>1612</v>
      </c>
      <c r="F16" s="7" t="s">
        <v>19</v>
      </c>
      <c r="G16" s="7" t="s">
        <v>1613</v>
      </c>
      <c r="H16" s="7" t="s">
        <v>17</v>
      </c>
      <c r="I16" s="7" t="s">
        <v>17</v>
      </c>
      <c r="J16" s="7" t="s">
        <v>1614</v>
      </c>
    </row>
    <row r="17" spans="1:10" x14ac:dyDescent="0.25" outlineLevel="2" collapsed="1">
      <c r="A17" s="7" t="s">
        <v>19</v>
      </c>
      <c r="B17" s="7" t="s">
        <v>16</v>
      </c>
      <c r="C17" s="7" t="s">
        <v>17</v>
      </c>
      <c r="D17" s="7"/>
      <c r="E17" s="7" t="s">
        <v>1615</v>
      </c>
      <c r="F17" s="7" t="s">
        <v>19</v>
      </c>
      <c r="G17" s="7" t="s">
        <v>31</v>
      </c>
      <c r="H17" s="7" t="s">
        <v>17</v>
      </c>
      <c r="I17" s="7" t="s">
        <v>17</v>
      </c>
      <c r="J17" s="7" t="s">
        <v>1616</v>
      </c>
    </row>
    <row r="18" spans="1:10" x14ac:dyDescent="0.25" outlineLevel="1" collapsed="1">
      <c r="A18" s="8" t="s">
        <v>15</v>
      </c>
      <c r="B18" s="9" t="s">
        <v>1597</v>
      </c>
      <c r="C18" s="8" t="s">
        <v>17</v>
      </c>
      <c r="D18" s="8"/>
      <c r="E18" s="8" t="s">
        <v>1617</v>
      </c>
      <c r="F18" s="8" t="s">
        <v>19</v>
      </c>
      <c r="G18" s="8" t="s">
        <v>17</v>
      </c>
      <c r="H18" s="8" t="s">
        <v>17</v>
      </c>
      <c r="I18" s="8" t="s">
        <v>17</v>
      </c>
      <c r="J18" s="8" t="s">
        <v>1618</v>
      </c>
    </row>
    <row r="19" spans="1:10" x14ac:dyDescent="0.25" outlineLevel="2" collapsed="1">
      <c r="A19" s="7" t="s">
        <v>15</v>
      </c>
      <c r="B19" s="7" t="s">
        <v>16</v>
      </c>
      <c r="C19" s="7" t="s">
        <v>17</v>
      </c>
      <c r="D19" s="7"/>
      <c r="E19" s="7" t="s">
        <v>1431</v>
      </c>
      <c r="F19" s="7" t="s">
        <v>19</v>
      </c>
      <c r="G19" s="7" t="s">
        <v>31</v>
      </c>
      <c r="H19" s="7" t="s">
        <v>17</v>
      </c>
      <c r="I19" s="7" t="s">
        <v>17</v>
      </c>
      <c r="J19" s="7" t="s">
        <v>637</v>
      </c>
    </row>
    <row r="20" spans="1:10" x14ac:dyDescent="0.25" outlineLevel="2" collapsed="1">
      <c r="A20" s="7" t="s">
        <v>15</v>
      </c>
      <c r="B20" s="7" t="s">
        <v>16</v>
      </c>
      <c r="C20" s="7" t="s">
        <v>17</v>
      </c>
      <c r="D20" s="7"/>
      <c r="E20" s="7" t="s">
        <v>638</v>
      </c>
      <c r="F20" s="7" t="s">
        <v>19</v>
      </c>
      <c r="G20" s="7" t="s">
        <v>31</v>
      </c>
      <c r="H20" s="7" t="s">
        <v>17</v>
      </c>
      <c r="I20" s="7" t="s">
        <v>17</v>
      </c>
      <c r="J20" s="7" t="s">
        <v>640</v>
      </c>
    </row>
    <row r="21" spans="1:10" x14ac:dyDescent="0.25" outlineLevel="2" collapsed="1">
      <c r="A21" s="7" t="s">
        <v>15</v>
      </c>
      <c r="B21" s="7" t="s">
        <v>16</v>
      </c>
      <c r="C21" s="7" t="s">
        <v>17</v>
      </c>
      <c r="D21" s="7"/>
      <c r="E21" s="7" t="s">
        <v>9</v>
      </c>
      <c r="F21" s="7" t="s">
        <v>19</v>
      </c>
      <c r="G21" s="7" t="s">
        <v>31</v>
      </c>
      <c r="H21" s="7" t="s">
        <v>17</v>
      </c>
      <c r="I21" s="7" t="s">
        <v>17</v>
      </c>
      <c r="J21" s="7" t="s">
        <v>843</v>
      </c>
    </row>
    <row r="22" spans="1:10" x14ac:dyDescent="0.25" outlineLevel="2" collapsed="1">
      <c r="A22" s="7" t="s">
        <v>19</v>
      </c>
      <c r="B22" s="7" t="s">
        <v>16</v>
      </c>
      <c r="C22" s="7" t="s">
        <v>17</v>
      </c>
      <c r="D22" s="7"/>
      <c r="E22" s="7" t="s">
        <v>1600</v>
      </c>
      <c r="F22" s="7" t="s">
        <v>19</v>
      </c>
      <c r="G22" s="7" t="s">
        <v>31</v>
      </c>
      <c r="H22" s="7" t="s">
        <v>17</v>
      </c>
      <c r="I22" s="7" t="s">
        <v>17</v>
      </c>
      <c r="J22" s="7" t="s">
        <v>1424</v>
      </c>
    </row>
    <row r="23" spans="1:10" x14ac:dyDescent="0.25" outlineLevel="2" collapsed="1">
      <c r="A23" s="7" t="s">
        <v>15</v>
      </c>
      <c r="B23" s="7" t="s">
        <v>16</v>
      </c>
      <c r="C23" s="7" t="s">
        <v>17</v>
      </c>
      <c r="D23" s="7"/>
      <c r="E23" s="7" t="s">
        <v>1601</v>
      </c>
      <c r="F23" s="7" t="s">
        <v>19</v>
      </c>
      <c r="G23" s="7" t="s">
        <v>31</v>
      </c>
      <c r="H23" s="7" t="s">
        <v>17</v>
      </c>
      <c r="I23" s="7" t="s">
        <v>17</v>
      </c>
      <c r="J23" s="7" t="s">
        <v>1602</v>
      </c>
    </row>
    <row r="24" spans="1:10" x14ac:dyDescent="0.25" outlineLevel="2" collapsed="1">
      <c r="A24" s="7" t="s">
        <v>15</v>
      </c>
      <c r="B24" s="7" t="s">
        <v>16</v>
      </c>
      <c r="C24" s="7" t="s">
        <v>17</v>
      </c>
      <c r="D24" s="7"/>
      <c r="E24" s="7" t="s">
        <v>1603</v>
      </c>
      <c r="F24" s="7" t="s">
        <v>19</v>
      </c>
      <c r="G24" s="7" t="s">
        <v>31</v>
      </c>
      <c r="H24" s="7" t="s">
        <v>17</v>
      </c>
      <c r="I24" s="7" t="s">
        <v>17</v>
      </c>
      <c r="J24" s="7" t="s">
        <v>1422</v>
      </c>
    </row>
    <row r="25" spans="1:10" x14ac:dyDescent="0.25" outlineLevel="2" collapsed="1">
      <c r="A25" s="7" t="s">
        <v>15</v>
      </c>
      <c r="B25" s="7" t="s">
        <v>284</v>
      </c>
      <c r="C25" s="11" t="s">
        <v>1604</v>
      </c>
      <c r="D25" s="7"/>
      <c r="E25" s="7" t="s">
        <v>1605</v>
      </c>
      <c r="F25" s="7" t="s">
        <v>19</v>
      </c>
      <c r="G25" s="7" t="s">
        <v>1606</v>
      </c>
      <c r="H25" s="7" t="s">
        <v>17</v>
      </c>
      <c r="I25" s="7" t="s">
        <v>17</v>
      </c>
      <c r="J25" s="7" t="s">
        <v>1607</v>
      </c>
    </row>
    <row r="26" spans="1:10" x14ac:dyDescent="0.25" outlineLevel="2" collapsed="1">
      <c r="A26" s="7" t="s">
        <v>19</v>
      </c>
      <c r="B26" s="7" t="s">
        <v>63</v>
      </c>
      <c r="C26" s="7" t="s">
        <v>17</v>
      </c>
      <c r="D26" s="7">
        <f>EXACT(G25,"Single value")</f>
      </c>
      <c r="E26" s="7" t="s">
        <v>1608</v>
      </c>
      <c r="F26" s="7" t="s">
        <v>19</v>
      </c>
      <c r="G26" s="7">
        <v>1</v>
      </c>
      <c r="H26" s="7" t="s">
        <v>17</v>
      </c>
      <c r="I26" s="7" t="s">
        <v>17</v>
      </c>
      <c r="J26" s="7" t="s">
        <v>1609</v>
      </c>
    </row>
    <row r="27" spans="1:10" x14ac:dyDescent="0.25" outlineLevel="2" collapsed="1">
      <c r="A27" s="7" t="s">
        <v>15</v>
      </c>
      <c r="B27" s="7" t="s">
        <v>16</v>
      </c>
      <c r="C27" s="7" t="s">
        <v>17</v>
      </c>
      <c r="D27" s="7"/>
      <c r="E27" s="7" t="s">
        <v>1610</v>
      </c>
      <c r="F27" s="7" t="s">
        <v>19</v>
      </c>
      <c r="G27" s="7" t="s">
        <v>31</v>
      </c>
      <c r="H27" s="7" t="s">
        <v>17</v>
      </c>
      <c r="I27" s="7" t="s">
        <v>17</v>
      </c>
      <c r="J27" s="7" t="s">
        <v>1191</v>
      </c>
    </row>
    <row r="28" spans="1:10" x14ac:dyDescent="0.25" outlineLevel="2" collapsed="1">
      <c r="A28" s="7" t="s">
        <v>15</v>
      </c>
      <c r="B28" s="7" t="s">
        <v>284</v>
      </c>
      <c r="C28" s="11" t="s">
        <v>1611</v>
      </c>
      <c r="D28" s="7"/>
      <c r="E28" s="7" t="s">
        <v>1612</v>
      </c>
      <c r="F28" s="7" t="s">
        <v>19</v>
      </c>
      <c r="G28" s="7" t="s">
        <v>1613</v>
      </c>
      <c r="H28" s="7" t="s">
        <v>17</v>
      </c>
      <c r="I28" s="7" t="s">
        <v>17</v>
      </c>
      <c r="J28" s="7" t="s">
        <v>1614</v>
      </c>
    </row>
    <row r="29" spans="1:10" x14ac:dyDescent="0.25" outlineLevel="2" collapsed="1">
      <c r="A29" s="7" t="s">
        <v>19</v>
      </c>
      <c r="B29" s="7" t="s">
        <v>16</v>
      </c>
      <c r="C29" s="7" t="s">
        <v>17</v>
      </c>
      <c r="D29" s="7"/>
      <c r="E29" s="7" t="s">
        <v>1615</v>
      </c>
      <c r="F29" s="7" t="s">
        <v>19</v>
      </c>
      <c r="G29" s="7" t="s">
        <v>31</v>
      </c>
      <c r="H29" s="7" t="s">
        <v>17</v>
      </c>
      <c r="I29" s="7" t="s">
        <v>17</v>
      </c>
      <c r="J29" s="7" t="s">
        <v>1616</v>
      </c>
    </row>
    <row r="30" spans="1:10" x14ac:dyDescent="0.25" outlineLevel="1" collapsed="1">
      <c r="A30" s="8" t="s">
        <v>15</v>
      </c>
      <c r="B30" s="9" t="s">
        <v>1597</v>
      </c>
      <c r="C30" s="8" t="s">
        <v>17</v>
      </c>
      <c r="D30" s="8"/>
      <c r="E30" s="8" t="s">
        <v>1619</v>
      </c>
      <c r="F30" s="8" t="s">
        <v>19</v>
      </c>
      <c r="G30" s="8" t="s">
        <v>17</v>
      </c>
      <c r="H30" s="8" t="s">
        <v>17</v>
      </c>
      <c r="I30" s="8" t="s">
        <v>17</v>
      </c>
      <c r="J30" s="8" t="s">
        <v>1620</v>
      </c>
    </row>
    <row r="31" spans="1:10" x14ac:dyDescent="0.25" outlineLevel="2" collapsed="1">
      <c r="A31" s="7" t="s">
        <v>15</v>
      </c>
      <c r="B31" s="7" t="s">
        <v>16</v>
      </c>
      <c r="C31" s="7" t="s">
        <v>17</v>
      </c>
      <c r="D31" s="7"/>
      <c r="E31" s="7" t="s">
        <v>1431</v>
      </c>
      <c r="F31" s="7" t="s">
        <v>19</v>
      </c>
      <c r="G31" s="7" t="s">
        <v>31</v>
      </c>
      <c r="H31" s="7" t="s">
        <v>17</v>
      </c>
      <c r="I31" s="7" t="s">
        <v>17</v>
      </c>
      <c r="J31" s="7" t="s">
        <v>637</v>
      </c>
    </row>
    <row r="32" spans="1:10" x14ac:dyDescent="0.25" outlineLevel="2" collapsed="1">
      <c r="A32" s="7" t="s">
        <v>15</v>
      </c>
      <c r="B32" s="7" t="s">
        <v>16</v>
      </c>
      <c r="C32" s="7" t="s">
        <v>17</v>
      </c>
      <c r="D32" s="7"/>
      <c r="E32" s="7" t="s">
        <v>638</v>
      </c>
      <c r="F32" s="7" t="s">
        <v>19</v>
      </c>
      <c r="G32" s="7" t="s">
        <v>31</v>
      </c>
      <c r="H32" s="7" t="s">
        <v>17</v>
      </c>
      <c r="I32" s="7" t="s">
        <v>17</v>
      </c>
      <c r="J32" s="7" t="s">
        <v>640</v>
      </c>
    </row>
    <row r="33" spans="1:10" x14ac:dyDescent="0.25" outlineLevel="2" collapsed="1">
      <c r="A33" s="7" t="s">
        <v>15</v>
      </c>
      <c r="B33" s="7" t="s">
        <v>16</v>
      </c>
      <c r="C33" s="7" t="s">
        <v>17</v>
      </c>
      <c r="D33" s="7"/>
      <c r="E33" s="7" t="s">
        <v>9</v>
      </c>
      <c r="F33" s="7" t="s">
        <v>19</v>
      </c>
      <c r="G33" s="7" t="s">
        <v>31</v>
      </c>
      <c r="H33" s="7" t="s">
        <v>17</v>
      </c>
      <c r="I33" s="7" t="s">
        <v>17</v>
      </c>
      <c r="J33" s="7" t="s">
        <v>843</v>
      </c>
    </row>
    <row r="34" spans="1:10" x14ac:dyDescent="0.25" outlineLevel="2" collapsed="1">
      <c r="A34" s="7" t="s">
        <v>19</v>
      </c>
      <c r="B34" s="7" t="s">
        <v>16</v>
      </c>
      <c r="C34" s="7" t="s">
        <v>17</v>
      </c>
      <c r="D34" s="7"/>
      <c r="E34" s="7" t="s">
        <v>1600</v>
      </c>
      <c r="F34" s="7" t="s">
        <v>19</v>
      </c>
      <c r="G34" s="7" t="s">
        <v>31</v>
      </c>
      <c r="H34" s="7" t="s">
        <v>17</v>
      </c>
      <c r="I34" s="7" t="s">
        <v>17</v>
      </c>
      <c r="J34" s="7" t="s">
        <v>1424</v>
      </c>
    </row>
    <row r="35" spans="1:10" x14ac:dyDescent="0.25" outlineLevel="2" collapsed="1">
      <c r="A35" s="7" t="s">
        <v>15</v>
      </c>
      <c r="B35" s="7" t="s">
        <v>16</v>
      </c>
      <c r="C35" s="7" t="s">
        <v>17</v>
      </c>
      <c r="D35" s="7"/>
      <c r="E35" s="7" t="s">
        <v>1601</v>
      </c>
      <c r="F35" s="7" t="s">
        <v>19</v>
      </c>
      <c r="G35" s="7" t="s">
        <v>31</v>
      </c>
      <c r="H35" s="7" t="s">
        <v>17</v>
      </c>
      <c r="I35" s="7" t="s">
        <v>17</v>
      </c>
      <c r="J35" s="7" t="s">
        <v>1602</v>
      </c>
    </row>
    <row r="36" spans="1:10" x14ac:dyDescent="0.25" outlineLevel="2" collapsed="1">
      <c r="A36" s="7" t="s">
        <v>15</v>
      </c>
      <c r="B36" s="7" t="s">
        <v>16</v>
      </c>
      <c r="C36" s="7" t="s">
        <v>17</v>
      </c>
      <c r="D36" s="7"/>
      <c r="E36" s="7" t="s">
        <v>1603</v>
      </c>
      <c r="F36" s="7" t="s">
        <v>19</v>
      </c>
      <c r="G36" s="7" t="s">
        <v>31</v>
      </c>
      <c r="H36" s="7" t="s">
        <v>17</v>
      </c>
      <c r="I36" s="7" t="s">
        <v>17</v>
      </c>
      <c r="J36" s="7" t="s">
        <v>1422</v>
      </c>
    </row>
    <row r="37" spans="1:10" x14ac:dyDescent="0.25" outlineLevel="2" collapsed="1">
      <c r="A37" s="7" t="s">
        <v>15</v>
      </c>
      <c r="B37" s="7" t="s">
        <v>284</v>
      </c>
      <c r="C37" s="11" t="s">
        <v>1604</v>
      </c>
      <c r="D37" s="7"/>
      <c r="E37" s="7" t="s">
        <v>1605</v>
      </c>
      <c r="F37" s="7" t="s">
        <v>19</v>
      </c>
      <c r="G37" s="7" t="s">
        <v>1606</v>
      </c>
      <c r="H37" s="7" t="s">
        <v>17</v>
      </c>
      <c r="I37" s="7" t="s">
        <v>17</v>
      </c>
      <c r="J37" s="7" t="s">
        <v>1607</v>
      </c>
    </row>
    <row r="38" spans="1:10" x14ac:dyDescent="0.25" outlineLevel="2" collapsed="1">
      <c r="A38" s="7" t="s">
        <v>19</v>
      </c>
      <c r="B38" s="7" t="s">
        <v>63</v>
      </c>
      <c r="C38" s="7" t="s">
        <v>17</v>
      </c>
      <c r="D38" s="7">
        <f>EXACT(G37,"Single value")</f>
      </c>
      <c r="E38" s="7" t="s">
        <v>1608</v>
      </c>
      <c r="F38" s="7" t="s">
        <v>19</v>
      </c>
      <c r="G38" s="7">
        <v>1</v>
      </c>
      <c r="H38" s="7" t="s">
        <v>17</v>
      </c>
      <c r="I38" s="7" t="s">
        <v>17</v>
      </c>
      <c r="J38" s="7" t="s">
        <v>1609</v>
      </c>
    </row>
    <row r="39" spans="1:10" x14ac:dyDescent="0.25" outlineLevel="2" collapsed="1">
      <c r="A39" s="7" t="s">
        <v>15</v>
      </c>
      <c r="B39" s="7" t="s">
        <v>16</v>
      </c>
      <c r="C39" s="7" t="s">
        <v>17</v>
      </c>
      <c r="D39" s="7"/>
      <c r="E39" s="7" t="s">
        <v>1610</v>
      </c>
      <c r="F39" s="7" t="s">
        <v>19</v>
      </c>
      <c r="G39" s="7" t="s">
        <v>31</v>
      </c>
      <c r="H39" s="7" t="s">
        <v>17</v>
      </c>
      <c r="I39" s="7" t="s">
        <v>17</v>
      </c>
      <c r="J39" s="7" t="s">
        <v>1191</v>
      </c>
    </row>
    <row r="40" spans="1:10" x14ac:dyDescent="0.25" outlineLevel="2" collapsed="1">
      <c r="A40" s="7" t="s">
        <v>15</v>
      </c>
      <c r="B40" s="7" t="s">
        <v>284</v>
      </c>
      <c r="C40" s="11" t="s">
        <v>1611</v>
      </c>
      <c r="D40" s="7"/>
      <c r="E40" s="7" t="s">
        <v>1612</v>
      </c>
      <c r="F40" s="7" t="s">
        <v>19</v>
      </c>
      <c r="G40" s="7" t="s">
        <v>1613</v>
      </c>
      <c r="H40" s="7" t="s">
        <v>17</v>
      </c>
      <c r="I40" s="7" t="s">
        <v>17</v>
      </c>
      <c r="J40" s="7" t="s">
        <v>1614</v>
      </c>
    </row>
    <row r="41" spans="1:10" x14ac:dyDescent="0.25" outlineLevel="2" collapsed="1">
      <c r="A41" s="7" t="s">
        <v>19</v>
      </c>
      <c r="B41" s="7" t="s">
        <v>16</v>
      </c>
      <c r="C41" s="7" t="s">
        <v>17</v>
      </c>
      <c r="D41" s="7"/>
      <c r="E41" s="7" t="s">
        <v>1615</v>
      </c>
      <c r="F41" s="7" t="s">
        <v>19</v>
      </c>
      <c r="G41" s="7" t="s">
        <v>31</v>
      </c>
      <c r="H41" s="7" t="s">
        <v>17</v>
      </c>
      <c r="I41" s="7" t="s">
        <v>17</v>
      </c>
      <c r="J41" s="7" t="s">
        <v>1616</v>
      </c>
    </row>
    <row r="42" spans="1:10" x14ac:dyDescent="0.25" outlineLevel="1" collapsed="1">
      <c r="A42" s="8" t="s">
        <v>19</v>
      </c>
      <c r="B42" s="9" t="s">
        <v>1597</v>
      </c>
      <c r="C42" s="8" t="s">
        <v>17</v>
      </c>
      <c r="D42" s="8"/>
      <c r="E42" s="8" t="s">
        <v>1621</v>
      </c>
      <c r="F42" s="8" t="s">
        <v>19</v>
      </c>
      <c r="G42" s="8" t="s">
        <v>17</v>
      </c>
      <c r="H42" s="8" t="s">
        <v>17</v>
      </c>
      <c r="I42" s="8" t="s">
        <v>17</v>
      </c>
      <c r="J42" s="8" t="s">
        <v>1622</v>
      </c>
    </row>
    <row r="43" spans="1:10" x14ac:dyDescent="0.25" outlineLevel="2" collapsed="1">
      <c r="A43" s="7" t="s">
        <v>15</v>
      </c>
      <c r="B43" s="7" t="s">
        <v>16</v>
      </c>
      <c r="C43" s="7" t="s">
        <v>17</v>
      </c>
      <c r="D43" s="7"/>
      <c r="E43" s="7" t="s">
        <v>1431</v>
      </c>
      <c r="F43" s="7" t="s">
        <v>19</v>
      </c>
      <c r="G43" s="7" t="s">
        <v>31</v>
      </c>
      <c r="H43" s="7" t="s">
        <v>17</v>
      </c>
      <c r="I43" s="7" t="s">
        <v>17</v>
      </c>
      <c r="J43" s="7" t="s">
        <v>637</v>
      </c>
    </row>
    <row r="44" spans="1:10" x14ac:dyDescent="0.25" outlineLevel="2" collapsed="1">
      <c r="A44" s="7" t="s">
        <v>15</v>
      </c>
      <c r="B44" s="7" t="s">
        <v>16</v>
      </c>
      <c r="C44" s="7" t="s">
        <v>17</v>
      </c>
      <c r="D44" s="7"/>
      <c r="E44" s="7" t="s">
        <v>638</v>
      </c>
      <c r="F44" s="7" t="s">
        <v>19</v>
      </c>
      <c r="G44" s="7" t="s">
        <v>31</v>
      </c>
      <c r="H44" s="7" t="s">
        <v>17</v>
      </c>
      <c r="I44" s="7" t="s">
        <v>17</v>
      </c>
      <c r="J44" s="7" t="s">
        <v>640</v>
      </c>
    </row>
    <row r="45" spans="1:10" x14ac:dyDescent="0.25" outlineLevel="2" collapsed="1">
      <c r="A45" s="7" t="s">
        <v>15</v>
      </c>
      <c r="B45" s="7" t="s">
        <v>16</v>
      </c>
      <c r="C45" s="7" t="s">
        <v>17</v>
      </c>
      <c r="D45" s="7"/>
      <c r="E45" s="7" t="s">
        <v>9</v>
      </c>
      <c r="F45" s="7" t="s">
        <v>19</v>
      </c>
      <c r="G45" s="7" t="s">
        <v>31</v>
      </c>
      <c r="H45" s="7" t="s">
        <v>17</v>
      </c>
      <c r="I45" s="7" t="s">
        <v>17</v>
      </c>
      <c r="J45" s="7" t="s">
        <v>843</v>
      </c>
    </row>
    <row r="46" spans="1:10" x14ac:dyDescent="0.25" outlineLevel="2" collapsed="1">
      <c r="A46" s="7" t="s">
        <v>19</v>
      </c>
      <c r="B46" s="7" t="s">
        <v>16</v>
      </c>
      <c r="C46" s="7" t="s">
        <v>17</v>
      </c>
      <c r="D46" s="7"/>
      <c r="E46" s="7" t="s">
        <v>1600</v>
      </c>
      <c r="F46" s="7" t="s">
        <v>19</v>
      </c>
      <c r="G46" s="7" t="s">
        <v>31</v>
      </c>
      <c r="H46" s="7" t="s">
        <v>17</v>
      </c>
      <c r="I46" s="7" t="s">
        <v>17</v>
      </c>
      <c r="J46" s="7" t="s">
        <v>1424</v>
      </c>
    </row>
    <row r="47" spans="1:10" x14ac:dyDescent="0.25" outlineLevel="2" collapsed="1">
      <c r="A47" s="7" t="s">
        <v>15</v>
      </c>
      <c r="B47" s="7" t="s">
        <v>16</v>
      </c>
      <c r="C47" s="7" t="s">
        <v>17</v>
      </c>
      <c r="D47" s="7"/>
      <c r="E47" s="7" t="s">
        <v>1601</v>
      </c>
      <c r="F47" s="7" t="s">
        <v>19</v>
      </c>
      <c r="G47" s="7" t="s">
        <v>31</v>
      </c>
      <c r="H47" s="7" t="s">
        <v>17</v>
      </c>
      <c r="I47" s="7" t="s">
        <v>17</v>
      </c>
      <c r="J47" s="7" t="s">
        <v>1602</v>
      </c>
    </row>
    <row r="48" spans="1:10" x14ac:dyDescent="0.25" outlineLevel="2" collapsed="1">
      <c r="A48" s="7" t="s">
        <v>15</v>
      </c>
      <c r="B48" s="7" t="s">
        <v>16</v>
      </c>
      <c r="C48" s="7" t="s">
        <v>17</v>
      </c>
      <c r="D48" s="7"/>
      <c r="E48" s="7" t="s">
        <v>1603</v>
      </c>
      <c r="F48" s="7" t="s">
        <v>19</v>
      </c>
      <c r="G48" s="7" t="s">
        <v>31</v>
      </c>
      <c r="H48" s="7" t="s">
        <v>17</v>
      </c>
      <c r="I48" s="7" t="s">
        <v>17</v>
      </c>
      <c r="J48" s="7" t="s">
        <v>1422</v>
      </c>
    </row>
    <row r="49" spans="1:10" x14ac:dyDescent="0.25" outlineLevel="2" collapsed="1">
      <c r="A49" s="7" t="s">
        <v>15</v>
      </c>
      <c r="B49" s="7" t="s">
        <v>284</v>
      </c>
      <c r="C49" s="11" t="s">
        <v>1604</v>
      </c>
      <c r="D49" s="7"/>
      <c r="E49" s="7" t="s">
        <v>1605</v>
      </c>
      <c r="F49" s="7" t="s">
        <v>19</v>
      </c>
      <c r="G49" s="7" t="s">
        <v>1606</v>
      </c>
      <c r="H49" s="7" t="s">
        <v>17</v>
      </c>
      <c r="I49" s="7" t="s">
        <v>17</v>
      </c>
      <c r="J49" s="7" t="s">
        <v>1607</v>
      </c>
    </row>
    <row r="50" spans="1:10" x14ac:dyDescent="0.25" outlineLevel="2" collapsed="1">
      <c r="A50" s="7" t="s">
        <v>19</v>
      </c>
      <c r="B50" s="7" t="s">
        <v>63</v>
      </c>
      <c r="C50" s="7" t="s">
        <v>17</v>
      </c>
      <c r="D50" s="7">
        <f>EXACT(G49,"Single value")</f>
      </c>
      <c r="E50" s="7" t="s">
        <v>1608</v>
      </c>
      <c r="F50" s="7" t="s">
        <v>19</v>
      </c>
      <c r="G50" s="7">
        <v>1</v>
      </c>
      <c r="H50" s="7" t="s">
        <v>17</v>
      </c>
      <c r="I50" s="7" t="s">
        <v>17</v>
      </c>
      <c r="J50" s="7" t="s">
        <v>1609</v>
      </c>
    </row>
    <row r="51" spans="1:10" x14ac:dyDescent="0.25" outlineLevel="2" collapsed="1">
      <c r="A51" s="7" t="s">
        <v>15</v>
      </c>
      <c r="B51" s="7" t="s">
        <v>16</v>
      </c>
      <c r="C51" s="7" t="s">
        <v>17</v>
      </c>
      <c r="D51" s="7"/>
      <c r="E51" s="7" t="s">
        <v>1610</v>
      </c>
      <c r="F51" s="7" t="s">
        <v>19</v>
      </c>
      <c r="G51" s="7" t="s">
        <v>31</v>
      </c>
      <c r="H51" s="7" t="s">
        <v>17</v>
      </c>
      <c r="I51" s="7" t="s">
        <v>17</v>
      </c>
      <c r="J51" s="7" t="s">
        <v>1191</v>
      </c>
    </row>
    <row r="52" spans="1:10" x14ac:dyDescent="0.25" outlineLevel="2" collapsed="1">
      <c r="A52" s="7" t="s">
        <v>15</v>
      </c>
      <c r="B52" s="7" t="s">
        <v>284</v>
      </c>
      <c r="C52" s="11" t="s">
        <v>1611</v>
      </c>
      <c r="D52" s="7"/>
      <c r="E52" s="7" t="s">
        <v>1612</v>
      </c>
      <c r="F52" s="7" t="s">
        <v>19</v>
      </c>
      <c r="G52" s="7" t="s">
        <v>1613</v>
      </c>
      <c r="H52" s="7" t="s">
        <v>17</v>
      </c>
      <c r="I52" s="7" t="s">
        <v>17</v>
      </c>
      <c r="J52" s="7" t="s">
        <v>1614</v>
      </c>
    </row>
    <row r="53" spans="1:10" x14ac:dyDescent="0.25" outlineLevel="2" collapsed="1">
      <c r="A53" s="7" t="s">
        <v>19</v>
      </c>
      <c r="B53" s="7" t="s">
        <v>16</v>
      </c>
      <c r="C53" s="7" t="s">
        <v>17</v>
      </c>
      <c r="D53" s="7"/>
      <c r="E53" s="7" t="s">
        <v>1615</v>
      </c>
      <c r="F53" s="7" t="s">
        <v>19</v>
      </c>
      <c r="G53" s="7" t="s">
        <v>31</v>
      </c>
      <c r="H53" s="7" t="s">
        <v>17</v>
      </c>
      <c r="I53" s="7" t="s">
        <v>17</v>
      </c>
      <c r="J53" s="7" t="s">
        <v>1616</v>
      </c>
    </row>
    <row r="54" spans="1:10" x14ac:dyDescent="0.25" outlineLevel="1" collapsed="1">
      <c r="A54" s="8" t="s">
        <v>15</v>
      </c>
      <c r="B54" s="9" t="s">
        <v>1597</v>
      </c>
      <c r="C54" s="8" t="s">
        <v>17</v>
      </c>
      <c r="D54" s="8"/>
      <c r="E54" s="8" t="s">
        <v>1623</v>
      </c>
      <c r="F54" s="8" t="s">
        <v>19</v>
      </c>
      <c r="G54" s="8" t="s">
        <v>17</v>
      </c>
      <c r="H54" s="8" t="s">
        <v>17</v>
      </c>
      <c r="I54" s="8" t="s">
        <v>17</v>
      </c>
      <c r="J54" s="8" t="s">
        <v>1624</v>
      </c>
    </row>
    <row r="55" spans="1:10" x14ac:dyDescent="0.25" outlineLevel="2" collapsed="1">
      <c r="A55" s="7" t="s">
        <v>15</v>
      </c>
      <c r="B55" s="7" t="s">
        <v>16</v>
      </c>
      <c r="C55" s="7" t="s">
        <v>17</v>
      </c>
      <c r="D55" s="7"/>
      <c r="E55" s="7" t="s">
        <v>1431</v>
      </c>
      <c r="F55" s="7" t="s">
        <v>19</v>
      </c>
      <c r="G55" s="7" t="s">
        <v>31</v>
      </c>
      <c r="H55" s="7" t="s">
        <v>17</v>
      </c>
      <c r="I55" s="7" t="s">
        <v>17</v>
      </c>
      <c r="J55" s="7" t="s">
        <v>637</v>
      </c>
    </row>
    <row r="56" spans="1:10" x14ac:dyDescent="0.25" outlineLevel="2" collapsed="1">
      <c r="A56" s="7" t="s">
        <v>15</v>
      </c>
      <c r="B56" s="7" t="s">
        <v>16</v>
      </c>
      <c r="C56" s="7" t="s">
        <v>17</v>
      </c>
      <c r="D56" s="7"/>
      <c r="E56" s="7" t="s">
        <v>638</v>
      </c>
      <c r="F56" s="7" t="s">
        <v>19</v>
      </c>
      <c r="G56" s="7" t="s">
        <v>31</v>
      </c>
      <c r="H56" s="7" t="s">
        <v>17</v>
      </c>
      <c r="I56" s="7" t="s">
        <v>17</v>
      </c>
      <c r="J56" s="7" t="s">
        <v>640</v>
      </c>
    </row>
    <row r="57" spans="1:10" x14ac:dyDescent="0.25" outlineLevel="2" collapsed="1">
      <c r="A57" s="7" t="s">
        <v>15</v>
      </c>
      <c r="B57" s="7" t="s">
        <v>16</v>
      </c>
      <c r="C57" s="7" t="s">
        <v>17</v>
      </c>
      <c r="D57" s="7"/>
      <c r="E57" s="7" t="s">
        <v>9</v>
      </c>
      <c r="F57" s="7" t="s">
        <v>19</v>
      </c>
      <c r="G57" s="7" t="s">
        <v>31</v>
      </c>
      <c r="H57" s="7" t="s">
        <v>17</v>
      </c>
      <c r="I57" s="7" t="s">
        <v>17</v>
      </c>
      <c r="J57" s="7" t="s">
        <v>843</v>
      </c>
    </row>
    <row r="58" spans="1:10" x14ac:dyDescent="0.25" outlineLevel="2" collapsed="1">
      <c r="A58" s="7" t="s">
        <v>19</v>
      </c>
      <c r="B58" s="7" t="s">
        <v>16</v>
      </c>
      <c r="C58" s="7" t="s">
        <v>17</v>
      </c>
      <c r="D58" s="7"/>
      <c r="E58" s="7" t="s">
        <v>1600</v>
      </c>
      <c r="F58" s="7" t="s">
        <v>19</v>
      </c>
      <c r="G58" s="7" t="s">
        <v>31</v>
      </c>
      <c r="H58" s="7" t="s">
        <v>17</v>
      </c>
      <c r="I58" s="7" t="s">
        <v>17</v>
      </c>
      <c r="J58" s="7" t="s">
        <v>1424</v>
      </c>
    </row>
    <row r="59" spans="1:10" x14ac:dyDescent="0.25" outlineLevel="2" collapsed="1">
      <c r="A59" s="7" t="s">
        <v>15</v>
      </c>
      <c r="B59" s="7" t="s">
        <v>16</v>
      </c>
      <c r="C59" s="7" t="s">
        <v>17</v>
      </c>
      <c r="D59" s="7"/>
      <c r="E59" s="7" t="s">
        <v>1601</v>
      </c>
      <c r="F59" s="7" t="s">
        <v>19</v>
      </c>
      <c r="G59" s="7" t="s">
        <v>31</v>
      </c>
      <c r="H59" s="7" t="s">
        <v>17</v>
      </c>
      <c r="I59" s="7" t="s">
        <v>17</v>
      </c>
      <c r="J59" s="7" t="s">
        <v>1602</v>
      </c>
    </row>
    <row r="60" spans="1:10" x14ac:dyDescent="0.25" outlineLevel="2" collapsed="1">
      <c r="A60" s="7" t="s">
        <v>15</v>
      </c>
      <c r="B60" s="7" t="s">
        <v>16</v>
      </c>
      <c r="C60" s="7" t="s">
        <v>17</v>
      </c>
      <c r="D60" s="7"/>
      <c r="E60" s="7" t="s">
        <v>1603</v>
      </c>
      <c r="F60" s="7" t="s">
        <v>19</v>
      </c>
      <c r="G60" s="7" t="s">
        <v>31</v>
      </c>
      <c r="H60" s="7" t="s">
        <v>17</v>
      </c>
      <c r="I60" s="7" t="s">
        <v>17</v>
      </c>
      <c r="J60" s="7" t="s">
        <v>1422</v>
      </c>
    </row>
    <row r="61" spans="1:10" x14ac:dyDescent="0.25" outlineLevel="2" collapsed="1">
      <c r="A61" s="7" t="s">
        <v>15</v>
      </c>
      <c r="B61" s="7" t="s">
        <v>284</v>
      </c>
      <c r="C61" s="11" t="s">
        <v>1604</v>
      </c>
      <c r="D61" s="7"/>
      <c r="E61" s="7" t="s">
        <v>1605</v>
      </c>
      <c r="F61" s="7" t="s">
        <v>19</v>
      </c>
      <c r="G61" s="7" t="s">
        <v>1606</v>
      </c>
      <c r="H61" s="7" t="s">
        <v>17</v>
      </c>
      <c r="I61" s="7" t="s">
        <v>17</v>
      </c>
      <c r="J61" s="7" t="s">
        <v>1607</v>
      </c>
    </row>
    <row r="62" spans="1:10" x14ac:dyDescent="0.25" outlineLevel="2" collapsed="1">
      <c r="A62" s="7" t="s">
        <v>19</v>
      </c>
      <c r="B62" s="7" t="s">
        <v>63</v>
      </c>
      <c r="C62" s="7" t="s">
        <v>17</v>
      </c>
      <c r="D62" s="7">
        <f>EXACT(G61,"Single value")</f>
      </c>
      <c r="E62" s="7" t="s">
        <v>1608</v>
      </c>
      <c r="F62" s="7" t="s">
        <v>19</v>
      </c>
      <c r="G62" s="7">
        <v>1</v>
      </c>
      <c r="H62" s="7" t="s">
        <v>17</v>
      </c>
      <c r="I62" s="7" t="s">
        <v>17</v>
      </c>
      <c r="J62" s="7" t="s">
        <v>1609</v>
      </c>
    </row>
    <row r="63" spans="1:10" x14ac:dyDescent="0.25" outlineLevel="2" collapsed="1">
      <c r="A63" s="7" t="s">
        <v>15</v>
      </c>
      <c r="B63" s="7" t="s">
        <v>16</v>
      </c>
      <c r="C63" s="7" t="s">
        <v>17</v>
      </c>
      <c r="D63" s="7"/>
      <c r="E63" s="7" t="s">
        <v>1610</v>
      </c>
      <c r="F63" s="7" t="s">
        <v>19</v>
      </c>
      <c r="G63" s="7" t="s">
        <v>31</v>
      </c>
      <c r="H63" s="7" t="s">
        <v>17</v>
      </c>
      <c r="I63" s="7" t="s">
        <v>17</v>
      </c>
      <c r="J63" s="7" t="s">
        <v>1191</v>
      </c>
    </row>
    <row r="64" spans="1:10" x14ac:dyDescent="0.25" outlineLevel="2" collapsed="1">
      <c r="A64" s="7" t="s">
        <v>15</v>
      </c>
      <c r="B64" s="7" t="s">
        <v>284</v>
      </c>
      <c r="C64" s="11" t="s">
        <v>1611</v>
      </c>
      <c r="D64" s="7"/>
      <c r="E64" s="7" t="s">
        <v>1612</v>
      </c>
      <c r="F64" s="7" t="s">
        <v>19</v>
      </c>
      <c r="G64" s="7" t="s">
        <v>1613</v>
      </c>
      <c r="H64" s="7" t="s">
        <v>17</v>
      </c>
      <c r="I64" s="7" t="s">
        <v>17</v>
      </c>
      <c r="J64" s="7" t="s">
        <v>1614</v>
      </c>
    </row>
    <row r="65" spans="1:10" x14ac:dyDescent="0.25" outlineLevel="2" collapsed="1">
      <c r="A65" s="7" t="s">
        <v>19</v>
      </c>
      <c r="B65" s="7" t="s">
        <v>16</v>
      </c>
      <c r="C65" s="7" t="s">
        <v>17</v>
      </c>
      <c r="D65" s="7"/>
      <c r="E65" s="7" t="s">
        <v>1615</v>
      </c>
      <c r="F65" s="7" t="s">
        <v>19</v>
      </c>
      <c r="G65" s="7" t="s">
        <v>31</v>
      </c>
      <c r="H65" s="7" t="s">
        <v>17</v>
      </c>
      <c r="I65" s="7" t="s">
        <v>17</v>
      </c>
      <c r="J65" s="7" t="s">
        <v>1616</v>
      </c>
    </row>
    <row r="66" spans="1:10" x14ac:dyDescent="0.25" outlineLevel="1" collapsed="1">
      <c r="A66" s="8" t="s">
        <v>15</v>
      </c>
      <c r="B66" s="9" t="s">
        <v>1597</v>
      </c>
      <c r="C66" s="8" t="s">
        <v>17</v>
      </c>
      <c r="D66" s="8"/>
      <c r="E66" s="8" t="s">
        <v>1625</v>
      </c>
      <c r="F66" s="8" t="s">
        <v>19</v>
      </c>
      <c r="G66" s="8" t="s">
        <v>17</v>
      </c>
      <c r="H66" s="8" t="s">
        <v>17</v>
      </c>
      <c r="I66" s="8" t="s">
        <v>17</v>
      </c>
      <c r="J66" s="8" t="s">
        <v>1626</v>
      </c>
    </row>
    <row r="67" spans="1:10" x14ac:dyDescent="0.25" outlineLevel="2" collapsed="1">
      <c r="A67" s="7" t="s">
        <v>15</v>
      </c>
      <c r="B67" s="7" t="s">
        <v>16</v>
      </c>
      <c r="C67" s="7" t="s">
        <v>17</v>
      </c>
      <c r="D67" s="7"/>
      <c r="E67" s="7" t="s">
        <v>1431</v>
      </c>
      <c r="F67" s="7" t="s">
        <v>19</v>
      </c>
      <c r="G67" s="7" t="s">
        <v>31</v>
      </c>
      <c r="H67" s="7" t="s">
        <v>17</v>
      </c>
      <c r="I67" s="7" t="s">
        <v>17</v>
      </c>
      <c r="J67" s="7" t="s">
        <v>637</v>
      </c>
    </row>
    <row r="68" spans="1:10" x14ac:dyDescent="0.25" outlineLevel="2" collapsed="1">
      <c r="A68" s="7" t="s">
        <v>15</v>
      </c>
      <c r="B68" s="7" t="s">
        <v>16</v>
      </c>
      <c r="C68" s="7" t="s">
        <v>17</v>
      </c>
      <c r="D68" s="7"/>
      <c r="E68" s="7" t="s">
        <v>638</v>
      </c>
      <c r="F68" s="7" t="s">
        <v>19</v>
      </c>
      <c r="G68" s="7" t="s">
        <v>31</v>
      </c>
      <c r="H68" s="7" t="s">
        <v>17</v>
      </c>
      <c r="I68" s="7" t="s">
        <v>17</v>
      </c>
      <c r="J68" s="7" t="s">
        <v>640</v>
      </c>
    </row>
    <row r="69" spans="1:10" x14ac:dyDescent="0.25" outlineLevel="2" collapsed="1">
      <c r="A69" s="7" t="s">
        <v>15</v>
      </c>
      <c r="B69" s="7" t="s">
        <v>16</v>
      </c>
      <c r="C69" s="7" t="s">
        <v>17</v>
      </c>
      <c r="D69" s="7"/>
      <c r="E69" s="7" t="s">
        <v>9</v>
      </c>
      <c r="F69" s="7" t="s">
        <v>19</v>
      </c>
      <c r="G69" s="7" t="s">
        <v>31</v>
      </c>
      <c r="H69" s="7" t="s">
        <v>17</v>
      </c>
      <c r="I69" s="7" t="s">
        <v>17</v>
      </c>
      <c r="J69" s="7" t="s">
        <v>843</v>
      </c>
    </row>
    <row r="70" spans="1:10" x14ac:dyDescent="0.25" outlineLevel="2" collapsed="1">
      <c r="A70" s="7" t="s">
        <v>19</v>
      </c>
      <c r="B70" s="7" t="s">
        <v>16</v>
      </c>
      <c r="C70" s="7" t="s">
        <v>17</v>
      </c>
      <c r="D70" s="7"/>
      <c r="E70" s="7" t="s">
        <v>1600</v>
      </c>
      <c r="F70" s="7" t="s">
        <v>19</v>
      </c>
      <c r="G70" s="7" t="s">
        <v>31</v>
      </c>
      <c r="H70" s="7" t="s">
        <v>17</v>
      </c>
      <c r="I70" s="7" t="s">
        <v>17</v>
      </c>
      <c r="J70" s="7" t="s">
        <v>1424</v>
      </c>
    </row>
    <row r="71" spans="1:10" x14ac:dyDescent="0.25" outlineLevel="2" collapsed="1">
      <c r="A71" s="7" t="s">
        <v>15</v>
      </c>
      <c r="B71" s="7" t="s">
        <v>16</v>
      </c>
      <c r="C71" s="7" t="s">
        <v>17</v>
      </c>
      <c r="D71" s="7"/>
      <c r="E71" s="7" t="s">
        <v>1601</v>
      </c>
      <c r="F71" s="7" t="s">
        <v>19</v>
      </c>
      <c r="G71" s="7" t="s">
        <v>31</v>
      </c>
      <c r="H71" s="7" t="s">
        <v>17</v>
      </c>
      <c r="I71" s="7" t="s">
        <v>17</v>
      </c>
      <c r="J71" s="7" t="s">
        <v>1602</v>
      </c>
    </row>
    <row r="72" spans="1:10" x14ac:dyDescent="0.25" outlineLevel="2" collapsed="1">
      <c r="A72" s="7" t="s">
        <v>15</v>
      </c>
      <c r="B72" s="7" t="s">
        <v>16</v>
      </c>
      <c r="C72" s="7" t="s">
        <v>17</v>
      </c>
      <c r="D72" s="7"/>
      <c r="E72" s="7" t="s">
        <v>1603</v>
      </c>
      <c r="F72" s="7" t="s">
        <v>19</v>
      </c>
      <c r="G72" s="7" t="s">
        <v>31</v>
      </c>
      <c r="H72" s="7" t="s">
        <v>17</v>
      </c>
      <c r="I72" s="7" t="s">
        <v>17</v>
      </c>
      <c r="J72" s="7" t="s">
        <v>1422</v>
      </c>
    </row>
    <row r="73" spans="1:10" x14ac:dyDescent="0.25" outlineLevel="2" collapsed="1">
      <c r="A73" s="7" t="s">
        <v>15</v>
      </c>
      <c r="B73" s="7" t="s">
        <v>284</v>
      </c>
      <c r="C73" s="11" t="s">
        <v>1604</v>
      </c>
      <c r="D73" s="7"/>
      <c r="E73" s="7" t="s">
        <v>1605</v>
      </c>
      <c r="F73" s="7" t="s">
        <v>19</v>
      </c>
      <c r="G73" s="7" t="s">
        <v>1606</v>
      </c>
      <c r="H73" s="7" t="s">
        <v>17</v>
      </c>
      <c r="I73" s="7" t="s">
        <v>17</v>
      </c>
      <c r="J73" s="7" t="s">
        <v>1607</v>
      </c>
    </row>
    <row r="74" spans="1:10" x14ac:dyDescent="0.25" outlineLevel="2" collapsed="1">
      <c r="A74" s="7" t="s">
        <v>19</v>
      </c>
      <c r="B74" s="7" t="s">
        <v>63</v>
      </c>
      <c r="C74" s="7" t="s">
        <v>17</v>
      </c>
      <c r="D74" s="7">
        <f>EXACT(G73,"Single value")</f>
      </c>
      <c r="E74" s="7" t="s">
        <v>1608</v>
      </c>
      <c r="F74" s="7" t="s">
        <v>19</v>
      </c>
      <c r="G74" s="7">
        <v>1</v>
      </c>
      <c r="H74" s="7" t="s">
        <v>17</v>
      </c>
      <c r="I74" s="7" t="s">
        <v>17</v>
      </c>
      <c r="J74" s="7" t="s">
        <v>1609</v>
      </c>
    </row>
    <row r="75" spans="1:10" x14ac:dyDescent="0.25" outlineLevel="2" collapsed="1">
      <c r="A75" s="7" t="s">
        <v>15</v>
      </c>
      <c r="B75" s="7" t="s">
        <v>16</v>
      </c>
      <c r="C75" s="7" t="s">
        <v>17</v>
      </c>
      <c r="D75" s="7"/>
      <c r="E75" s="7" t="s">
        <v>1610</v>
      </c>
      <c r="F75" s="7" t="s">
        <v>19</v>
      </c>
      <c r="G75" s="7" t="s">
        <v>31</v>
      </c>
      <c r="H75" s="7" t="s">
        <v>17</v>
      </c>
      <c r="I75" s="7" t="s">
        <v>17</v>
      </c>
      <c r="J75" s="7" t="s">
        <v>1191</v>
      </c>
    </row>
    <row r="76" spans="1:10" x14ac:dyDescent="0.25" outlineLevel="2" collapsed="1">
      <c r="A76" s="7" t="s">
        <v>15</v>
      </c>
      <c r="B76" s="7" t="s">
        <v>284</v>
      </c>
      <c r="C76" s="11" t="s">
        <v>1611</v>
      </c>
      <c r="D76" s="7"/>
      <c r="E76" s="7" t="s">
        <v>1612</v>
      </c>
      <c r="F76" s="7" t="s">
        <v>19</v>
      </c>
      <c r="G76" s="7" t="s">
        <v>1613</v>
      </c>
      <c r="H76" s="7" t="s">
        <v>17</v>
      </c>
      <c r="I76" s="7" t="s">
        <v>17</v>
      </c>
      <c r="J76" s="7" t="s">
        <v>1614</v>
      </c>
    </row>
    <row r="77" spans="1:10" x14ac:dyDescent="0.25" outlineLevel="2" collapsed="1">
      <c r="A77" s="7" t="s">
        <v>19</v>
      </c>
      <c r="B77" s="7" t="s">
        <v>16</v>
      </c>
      <c r="C77" s="7" t="s">
        <v>17</v>
      </c>
      <c r="D77" s="7"/>
      <c r="E77" s="7" t="s">
        <v>1615</v>
      </c>
      <c r="F77" s="7" t="s">
        <v>19</v>
      </c>
      <c r="G77" s="7" t="s">
        <v>31</v>
      </c>
      <c r="H77" s="7" t="s">
        <v>17</v>
      </c>
      <c r="I77" s="7" t="s">
        <v>17</v>
      </c>
      <c r="J77" s="7" t="s">
        <v>1616</v>
      </c>
    </row>
    <row r="78" spans="1:10" x14ac:dyDescent="0.25" outlineLevel="1" collapsed="1">
      <c r="A78" s="8" t="s">
        <v>19</v>
      </c>
      <c r="B78" s="9" t="s">
        <v>1597</v>
      </c>
      <c r="C78" s="8" t="s">
        <v>17</v>
      </c>
      <c r="D78" s="8"/>
      <c r="E78" s="8" t="s">
        <v>1627</v>
      </c>
      <c r="F78" s="8" t="s">
        <v>19</v>
      </c>
      <c r="G78" s="8" t="s">
        <v>17</v>
      </c>
      <c r="H78" s="8" t="s">
        <v>17</v>
      </c>
      <c r="I78" s="8" t="s">
        <v>17</v>
      </c>
      <c r="J78" s="8" t="s">
        <v>1628</v>
      </c>
    </row>
    <row r="79" spans="1:10" x14ac:dyDescent="0.25" outlineLevel="2" collapsed="1">
      <c r="A79" s="7" t="s">
        <v>15</v>
      </c>
      <c r="B79" s="7" t="s">
        <v>16</v>
      </c>
      <c r="C79" s="7" t="s">
        <v>17</v>
      </c>
      <c r="D79" s="7"/>
      <c r="E79" s="7" t="s">
        <v>1431</v>
      </c>
      <c r="F79" s="7" t="s">
        <v>19</v>
      </c>
      <c r="G79" s="7" t="s">
        <v>31</v>
      </c>
      <c r="H79" s="7" t="s">
        <v>17</v>
      </c>
      <c r="I79" s="7" t="s">
        <v>17</v>
      </c>
      <c r="J79" s="7" t="s">
        <v>637</v>
      </c>
    </row>
    <row r="80" spans="1:10" x14ac:dyDescent="0.25" outlineLevel="2" collapsed="1">
      <c r="A80" s="7" t="s">
        <v>15</v>
      </c>
      <c r="B80" s="7" t="s">
        <v>16</v>
      </c>
      <c r="C80" s="7" t="s">
        <v>17</v>
      </c>
      <c r="D80" s="7"/>
      <c r="E80" s="7" t="s">
        <v>638</v>
      </c>
      <c r="F80" s="7" t="s">
        <v>19</v>
      </c>
      <c r="G80" s="7" t="s">
        <v>31</v>
      </c>
      <c r="H80" s="7" t="s">
        <v>17</v>
      </c>
      <c r="I80" s="7" t="s">
        <v>17</v>
      </c>
      <c r="J80" s="7" t="s">
        <v>640</v>
      </c>
    </row>
    <row r="81" spans="1:10" x14ac:dyDescent="0.25" outlineLevel="2" collapsed="1">
      <c r="A81" s="7" t="s">
        <v>15</v>
      </c>
      <c r="B81" s="7" t="s">
        <v>16</v>
      </c>
      <c r="C81" s="7" t="s">
        <v>17</v>
      </c>
      <c r="D81" s="7"/>
      <c r="E81" s="7" t="s">
        <v>9</v>
      </c>
      <c r="F81" s="7" t="s">
        <v>19</v>
      </c>
      <c r="G81" s="7" t="s">
        <v>31</v>
      </c>
      <c r="H81" s="7" t="s">
        <v>17</v>
      </c>
      <c r="I81" s="7" t="s">
        <v>17</v>
      </c>
      <c r="J81" s="7" t="s">
        <v>843</v>
      </c>
    </row>
    <row r="82" spans="1:10" x14ac:dyDescent="0.25" outlineLevel="2" collapsed="1">
      <c r="A82" s="7" t="s">
        <v>19</v>
      </c>
      <c r="B82" s="7" t="s">
        <v>16</v>
      </c>
      <c r="C82" s="7" t="s">
        <v>17</v>
      </c>
      <c r="D82" s="7"/>
      <c r="E82" s="7" t="s">
        <v>1600</v>
      </c>
      <c r="F82" s="7" t="s">
        <v>19</v>
      </c>
      <c r="G82" s="7" t="s">
        <v>31</v>
      </c>
      <c r="H82" s="7" t="s">
        <v>17</v>
      </c>
      <c r="I82" s="7" t="s">
        <v>17</v>
      </c>
      <c r="J82" s="7" t="s">
        <v>1424</v>
      </c>
    </row>
    <row r="83" spans="1:10" x14ac:dyDescent="0.25" outlineLevel="2" collapsed="1">
      <c r="A83" s="7" t="s">
        <v>15</v>
      </c>
      <c r="B83" s="7" t="s">
        <v>16</v>
      </c>
      <c r="C83" s="7" t="s">
        <v>17</v>
      </c>
      <c r="D83" s="7"/>
      <c r="E83" s="7" t="s">
        <v>1601</v>
      </c>
      <c r="F83" s="7" t="s">
        <v>19</v>
      </c>
      <c r="G83" s="7" t="s">
        <v>31</v>
      </c>
      <c r="H83" s="7" t="s">
        <v>17</v>
      </c>
      <c r="I83" s="7" t="s">
        <v>17</v>
      </c>
      <c r="J83" s="7" t="s">
        <v>1602</v>
      </c>
    </row>
    <row r="84" spans="1:10" x14ac:dyDescent="0.25" outlineLevel="2" collapsed="1">
      <c r="A84" s="7" t="s">
        <v>15</v>
      </c>
      <c r="B84" s="7" t="s">
        <v>16</v>
      </c>
      <c r="C84" s="7" t="s">
        <v>17</v>
      </c>
      <c r="D84" s="7"/>
      <c r="E84" s="7" t="s">
        <v>1603</v>
      </c>
      <c r="F84" s="7" t="s">
        <v>19</v>
      </c>
      <c r="G84" s="7" t="s">
        <v>31</v>
      </c>
      <c r="H84" s="7" t="s">
        <v>17</v>
      </c>
      <c r="I84" s="7" t="s">
        <v>17</v>
      </c>
      <c r="J84" s="7" t="s">
        <v>1422</v>
      </c>
    </row>
    <row r="85" spans="1:10" x14ac:dyDescent="0.25" outlineLevel="2" collapsed="1">
      <c r="A85" s="7" t="s">
        <v>15</v>
      </c>
      <c r="B85" s="7" t="s">
        <v>284</v>
      </c>
      <c r="C85" s="11" t="s">
        <v>1604</v>
      </c>
      <c r="D85" s="7"/>
      <c r="E85" s="7" t="s">
        <v>1605</v>
      </c>
      <c r="F85" s="7" t="s">
        <v>19</v>
      </c>
      <c r="G85" s="7" t="s">
        <v>1606</v>
      </c>
      <c r="H85" s="7" t="s">
        <v>17</v>
      </c>
      <c r="I85" s="7" t="s">
        <v>17</v>
      </c>
      <c r="J85" s="7" t="s">
        <v>1607</v>
      </c>
    </row>
    <row r="86" spans="1:10" x14ac:dyDescent="0.25" outlineLevel="2" collapsed="1">
      <c r="A86" s="7" t="s">
        <v>19</v>
      </c>
      <c r="B86" s="7" t="s">
        <v>63</v>
      </c>
      <c r="C86" s="7" t="s">
        <v>17</v>
      </c>
      <c r="D86" s="7">
        <f>EXACT(G85,"Single value")</f>
      </c>
      <c r="E86" s="7" t="s">
        <v>1608</v>
      </c>
      <c r="F86" s="7" t="s">
        <v>19</v>
      </c>
      <c r="G86" s="7">
        <v>1</v>
      </c>
      <c r="H86" s="7" t="s">
        <v>17</v>
      </c>
      <c r="I86" s="7" t="s">
        <v>17</v>
      </c>
      <c r="J86" s="7" t="s">
        <v>1609</v>
      </c>
    </row>
    <row r="87" spans="1:10" x14ac:dyDescent="0.25" outlineLevel="2" collapsed="1">
      <c r="A87" s="7" t="s">
        <v>15</v>
      </c>
      <c r="B87" s="7" t="s">
        <v>16</v>
      </c>
      <c r="C87" s="7" t="s">
        <v>17</v>
      </c>
      <c r="D87" s="7"/>
      <c r="E87" s="7" t="s">
        <v>1610</v>
      </c>
      <c r="F87" s="7" t="s">
        <v>19</v>
      </c>
      <c r="G87" s="7" t="s">
        <v>31</v>
      </c>
      <c r="H87" s="7" t="s">
        <v>17</v>
      </c>
      <c r="I87" s="7" t="s">
        <v>17</v>
      </c>
      <c r="J87" s="7" t="s">
        <v>1191</v>
      </c>
    </row>
    <row r="88" spans="1:10" x14ac:dyDescent="0.25" outlineLevel="2" collapsed="1">
      <c r="A88" s="7" t="s">
        <v>15</v>
      </c>
      <c r="B88" s="7" t="s">
        <v>284</v>
      </c>
      <c r="C88" s="11" t="s">
        <v>1611</v>
      </c>
      <c r="D88" s="7"/>
      <c r="E88" s="7" t="s">
        <v>1612</v>
      </c>
      <c r="F88" s="7" t="s">
        <v>19</v>
      </c>
      <c r="G88" s="7" t="s">
        <v>1613</v>
      </c>
      <c r="H88" s="7" t="s">
        <v>17</v>
      </c>
      <c r="I88" s="7" t="s">
        <v>17</v>
      </c>
      <c r="J88" s="7" t="s">
        <v>1614</v>
      </c>
    </row>
    <row r="89" spans="1:10" x14ac:dyDescent="0.25" outlineLevel="2" collapsed="1">
      <c r="A89" s="7" t="s">
        <v>19</v>
      </c>
      <c r="B89" s="7" t="s">
        <v>16</v>
      </c>
      <c r="C89" s="7" t="s">
        <v>17</v>
      </c>
      <c r="D89" s="7"/>
      <c r="E89" s="7" t="s">
        <v>1615</v>
      </c>
      <c r="F89" s="7" t="s">
        <v>19</v>
      </c>
      <c r="G89" s="7" t="s">
        <v>31</v>
      </c>
      <c r="H89" s="7" t="s">
        <v>17</v>
      </c>
      <c r="I89" s="7" t="s">
        <v>17</v>
      </c>
      <c r="J89" s="7" t="s">
        <v>1616</v>
      </c>
    </row>
    <row r="90" spans="1:10" x14ac:dyDescent="0.25" outlineLevel="1" collapsed="1">
      <c r="A90" s="8" t="s">
        <v>19</v>
      </c>
      <c r="B90" s="9" t="s">
        <v>1597</v>
      </c>
      <c r="C90" s="8" t="s">
        <v>17</v>
      </c>
      <c r="D90" s="8"/>
      <c r="E90" s="8" t="s">
        <v>1629</v>
      </c>
      <c r="F90" s="8" t="s">
        <v>19</v>
      </c>
      <c r="G90" s="8" t="s">
        <v>17</v>
      </c>
      <c r="H90" s="8" t="s">
        <v>17</v>
      </c>
      <c r="I90" s="8" t="s">
        <v>17</v>
      </c>
      <c r="J90" s="8" t="s">
        <v>1630</v>
      </c>
    </row>
    <row r="91" spans="1:10" x14ac:dyDescent="0.25" outlineLevel="2" collapsed="1">
      <c r="A91" s="7" t="s">
        <v>15</v>
      </c>
      <c r="B91" s="7" t="s">
        <v>16</v>
      </c>
      <c r="C91" s="7" t="s">
        <v>17</v>
      </c>
      <c r="D91" s="7"/>
      <c r="E91" s="7" t="s">
        <v>1431</v>
      </c>
      <c r="F91" s="7" t="s">
        <v>19</v>
      </c>
      <c r="G91" s="7" t="s">
        <v>31</v>
      </c>
      <c r="H91" s="7" t="s">
        <v>17</v>
      </c>
      <c r="I91" s="7" t="s">
        <v>17</v>
      </c>
      <c r="J91" s="7" t="s">
        <v>637</v>
      </c>
    </row>
    <row r="92" spans="1:10" x14ac:dyDescent="0.25" outlineLevel="2" collapsed="1">
      <c r="A92" s="7" t="s">
        <v>15</v>
      </c>
      <c r="B92" s="7" t="s">
        <v>16</v>
      </c>
      <c r="C92" s="7" t="s">
        <v>17</v>
      </c>
      <c r="D92" s="7"/>
      <c r="E92" s="7" t="s">
        <v>638</v>
      </c>
      <c r="F92" s="7" t="s">
        <v>19</v>
      </c>
      <c r="G92" s="7" t="s">
        <v>31</v>
      </c>
      <c r="H92" s="7" t="s">
        <v>17</v>
      </c>
      <c r="I92" s="7" t="s">
        <v>17</v>
      </c>
      <c r="J92" s="7" t="s">
        <v>640</v>
      </c>
    </row>
    <row r="93" spans="1:10" x14ac:dyDescent="0.25" outlineLevel="2" collapsed="1">
      <c r="A93" s="7" t="s">
        <v>15</v>
      </c>
      <c r="B93" s="7" t="s">
        <v>16</v>
      </c>
      <c r="C93" s="7" t="s">
        <v>17</v>
      </c>
      <c r="D93" s="7"/>
      <c r="E93" s="7" t="s">
        <v>9</v>
      </c>
      <c r="F93" s="7" t="s">
        <v>19</v>
      </c>
      <c r="G93" s="7" t="s">
        <v>31</v>
      </c>
      <c r="H93" s="7" t="s">
        <v>17</v>
      </c>
      <c r="I93" s="7" t="s">
        <v>17</v>
      </c>
      <c r="J93" s="7" t="s">
        <v>843</v>
      </c>
    </row>
    <row r="94" spans="1:10" x14ac:dyDescent="0.25" outlineLevel="2" collapsed="1">
      <c r="A94" s="7" t="s">
        <v>19</v>
      </c>
      <c r="B94" s="7" t="s">
        <v>16</v>
      </c>
      <c r="C94" s="7" t="s">
        <v>17</v>
      </c>
      <c r="D94" s="7"/>
      <c r="E94" s="7" t="s">
        <v>1600</v>
      </c>
      <c r="F94" s="7" t="s">
        <v>19</v>
      </c>
      <c r="G94" s="7" t="s">
        <v>31</v>
      </c>
      <c r="H94" s="7" t="s">
        <v>17</v>
      </c>
      <c r="I94" s="7" t="s">
        <v>17</v>
      </c>
      <c r="J94" s="7" t="s">
        <v>1424</v>
      </c>
    </row>
    <row r="95" spans="1:10" x14ac:dyDescent="0.25" outlineLevel="2" collapsed="1">
      <c r="A95" s="7" t="s">
        <v>15</v>
      </c>
      <c r="B95" s="7" t="s">
        <v>16</v>
      </c>
      <c r="C95" s="7" t="s">
        <v>17</v>
      </c>
      <c r="D95" s="7"/>
      <c r="E95" s="7" t="s">
        <v>1601</v>
      </c>
      <c r="F95" s="7" t="s">
        <v>19</v>
      </c>
      <c r="G95" s="7" t="s">
        <v>31</v>
      </c>
      <c r="H95" s="7" t="s">
        <v>17</v>
      </c>
      <c r="I95" s="7" t="s">
        <v>17</v>
      </c>
      <c r="J95" s="7" t="s">
        <v>1602</v>
      </c>
    </row>
    <row r="96" spans="1:10" x14ac:dyDescent="0.25" outlineLevel="2" collapsed="1">
      <c r="A96" s="7" t="s">
        <v>15</v>
      </c>
      <c r="B96" s="7" t="s">
        <v>16</v>
      </c>
      <c r="C96" s="7" t="s">
        <v>17</v>
      </c>
      <c r="D96" s="7"/>
      <c r="E96" s="7" t="s">
        <v>1603</v>
      </c>
      <c r="F96" s="7" t="s">
        <v>19</v>
      </c>
      <c r="G96" s="7" t="s">
        <v>31</v>
      </c>
      <c r="H96" s="7" t="s">
        <v>17</v>
      </c>
      <c r="I96" s="7" t="s">
        <v>17</v>
      </c>
      <c r="J96" s="7" t="s">
        <v>1422</v>
      </c>
    </row>
    <row r="97" spans="1:10" x14ac:dyDescent="0.25" outlineLevel="2" collapsed="1">
      <c r="A97" s="7" t="s">
        <v>15</v>
      </c>
      <c r="B97" s="7" t="s">
        <v>284</v>
      </c>
      <c r="C97" s="11" t="s">
        <v>1604</v>
      </c>
      <c r="D97" s="7"/>
      <c r="E97" s="7" t="s">
        <v>1605</v>
      </c>
      <c r="F97" s="7" t="s">
        <v>19</v>
      </c>
      <c r="G97" s="7" t="s">
        <v>1606</v>
      </c>
      <c r="H97" s="7" t="s">
        <v>17</v>
      </c>
      <c r="I97" s="7" t="s">
        <v>17</v>
      </c>
      <c r="J97" s="7" t="s">
        <v>1607</v>
      </c>
    </row>
    <row r="98" spans="1:10" x14ac:dyDescent="0.25" outlineLevel="2" collapsed="1">
      <c r="A98" s="7" t="s">
        <v>19</v>
      </c>
      <c r="B98" s="7" t="s">
        <v>63</v>
      </c>
      <c r="C98" s="7" t="s">
        <v>17</v>
      </c>
      <c r="D98" s="7">
        <f>EXACT(G97,"Single value")</f>
      </c>
      <c r="E98" s="7" t="s">
        <v>1608</v>
      </c>
      <c r="F98" s="7" t="s">
        <v>19</v>
      </c>
      <c r="G98" s="7">
        <v>1</v>
      </c>
      <c r="H98" s="7" t="s">
        <v>17</v>
      </c>
      <c r="I98" s="7" t="s">
        <v>17</v>
      </c>
      <c r="J98" s="7" t="s">
        <v>1609</v>
      </c>
    </row>
    <row r="99" spans="1:10" x14ac:dyDescent="0.25" outlineLevel="2" collapsed="1">
      <c r="A99" s="7" t="s">
        <v>15</v>
      </c>
      <c r="B99" s="7" t="s">
        <v>16</v>
      </c>
      <c r="C99" s="7" t="s">
        <v>17</v>
      </c>
      <c r="D99" s="7"/>
      <c r="E99" s="7" t="s">
        <v>1610</v>
      </c>
      <c r="F99" s="7" t="s">
        <v>19</v>
      </c>
      <c r="G99" s="7" t="s">
        <v>31</v>
      </c>
      <c r="H99" s="7" t="s">
        <v>17</v>
      </c>
      <c r="I99" s="7" t="s">
        <v>17</v>
      </c>
      <c r="J99" s="7" t="s">
        <v>1191</v>
      </c>
    </row>
    <row r="100" spans="1:10" x14ac:dyDescent="0.25" outlineLevel="2" collapsed="1">
      <c r="A100" s="7" t="s">
        <v>15</v>
      </c>
      <c r="B100" s="7" t="s">
        <v>284</v>
      </c>
      <c r="C100" s="11" t="s">
        <v>1611</v>
      </c>
      <c r="D100" s="7"/>
      <c r="E100" s="7" t="s">
        <v>1612</v>
      </c>
      <c r="F100" s="7" t="s">
        <v>19</v>
      </c>
      <c r="G100" s="7" t="s">
        <v>1613</v>
      </c>
      <c r="H100" s="7" t="s">
        <v>17</v>
      </c>
      <c r="I100" s="7" t="s">
        <v>17</v>
      </c>
      <c r="J100" s="7" t="s">
        <v>1614</v>
      </c>
    </row>
    <row r="101" spans="1:10" x14ac:dyDescent="0.25" outlineLevel="2" collapsed="1">
      <c r="A101" s="7" t="s">
        <v>19</v>
      </c>
      <c r="B101" s="7" t="s">
        <v>16</v>
      </c>
      <c r="C101" s="7" t="s">
        <v>17</v>
      </c>
      <c r="D101" s="7"/>
      <c r="E101" s="7" t="s">
        <v>1615</v>
      </c>
      <c r="F101" s="7" t="s">
        <v>19</v>
      </c>
      <c r="G101" s="7" t="s">
        <v>31</v>
      </c>
      <c r="H101" s="7" t="s">
        <v>17</v>
      </c>
      <c r="I101" s="7" t="s">
        <v>17</v>
      </c>
      <c r="J101" s="7" t="s">
        <v>1616</v>
      </c>
    </row>
    <row r="102" spans="1:10" x14ac:dyDescent="0.25" outlineLevel="1" collapsed="1">
      <c r="A102" s="8" t="s">
        <v>15</v>
      </c>
      <c r="B102" s="9" t="s">
        <v>1597</v>
      </c>
      <c r="C102" s="8" t="s">
        <v>17</v>
      </c>
      <c r="D102" s="8"/>
      <c r="E102" s="8" t="s">
        <v>1631</v>
      </c>
      <c r="F102" s="8" t="s">
        <v>19</v>
      </c>
      <c r="G102" s="8" t="s">
        <v>17</v>
      </c>
      <c r="H102" s="8" t="s">
        <v>17</v>
      </c>
      <c r="I102" s="8" t="s">
        <v>17</v>
      </c>
      <c r="J102" s="8" t="s">
        <v>1632</v>
      </c>
    </row>
    <row r="103" spans="1:10" x14ac:dyDescent="0.25" outlineLevel="2" collapsed="1">
      <c r="A103" s="7" t="s">
        <v>15</v>
      </c>
      <c r="B103" s="7" t="s">
        <v>16</v>
      </c>
      <c r="C103" s="7" t="s">
        <v>17</v>
      </c>
      <c r="D103" s="7"/>
      <c r="E103" s="7" t="s">
        <v>1431</v>
      </c>
      <c r="F103" s="7" t="s">
        <v>19</v>
      </c>
      <c r="G103" s="7" t="s">
        <v>31</v>
      </c>
      <c r="H103" s="7" t="s">
        <v>17</v>
      </c>
      <c r="I103" s="7" t="s">
        <v>17</v>
      </c>
      <c r="J103" s="7" t="s">
        <v>637</v>
      </c>
    </row>
    <row r="104" spans="1:10" x14ac:dyDescent="0.25" outlineLevel="2" collapsed="1">
      <c r="A104" s="7" t="s">
        <v>15</v>
      </c>
      <c r="B104" s="7" t="s">
        <v>16</v>
      </c>
      <c r="C104" s="7" t="s">
        <v>17</v>
      </c>
      <c r="D104" s="7"/>
      <c r="E104" s="7" t="s">
        <v>638</v>
      </c>
      <c r="F104" s="7" t="s">
        <v>19</v>
      </c>
      <c r="G104" s="7" t="s">
        <v>31</v>
      </c>
      <c r="H104" s="7" t="s">
        <v>17</v>
      </c>
      <c r="I104" s="7" t="s">
        <v>17</v>
      </c>
      <c r="J104" s="7" t="s">
        <v>640</v>
      </c>
    </row>
    <row r="105" spans="1:10" x14ac:dyDescent="0.25" outlineLevel="2" collapsed="1">
      <c r="A105" s="7" t="s">
        <v>15</v>
      </c>
      <c r="B105" s="7" t="s">
        <v>16</v>
      </c>
      <c r="C105" s="7" t="s">
        <v>17</v>
      </c>
      <c r="D105" s="7"/>
      <c r="E105" s="7" t="s">
        <v>9</v>
      </c>
      <c r="F105" s="7" t="s">
        <v>19</v>
      </c>
      <c r="G105" s="7" t="s">
        <v>31</v>
      </c>
      <c r="H105" s="7" t="s">
        <v>17</v>
      </c>
      <c r="I105" s="7" t="s">
        <v>17</v>
      </c>
      <c r="J105" s="7" t="s">
        <v>843</v>
      </c>
    </row>
    <row r="106" spans="1:10" x14ac:dyDescent="0.25" outlineLevel="2" collapsed="1">
      <c r="A106" s="7" t="s">
        <v>19</v>
      </c>
      <c r="B106" s="7" t="s">
        <v>16</v>
      </c>
      <c r="C106" s="7" t="s">
        <v>17</v>
      </c>
      <c r="D106" s="7"/>
      <c r="E106" s="7" t="s">
        <v>1600</v>
      </c>
      <c r="F106" s="7" t="s">
        <v>19</v>
      </c>
      <c r="G106" s="7" t="s">
        <v>31</v>
      </c>
      <c r="H106" s="7" t="s">
        <v>17</v>
      </c>
      <c r="I106" s="7" t="s">
        <v>17</v>
      </c>
      <c r="J106" s="7" t="s">
        <v>1424</v>
      </c>
    </row>
    <row r="107" spans="1:10" x14ac:dyDescent="0.25" outlineLevel="2" collapsed="1">
      <c r="A107" s="7" t="s">
        <v>15</v>
      </c>
      <c r="B107" s="7" t="s">
        <v>16</v>
      </c>
      <c r="C107" s="7" t="s">
        <v>17</v>
      </c>
      <c r="D107" s="7"/>
      <c r="E107" s="7" t="s">
        <v>1601</v>
      </c>
      <c r="F107" s="7" t="s">
        <v>19</v>
      </c>
      <c r="G107" s="7" t="s">
        <v>31</v>
      </c>
      <c r="H107" s="7" t="s">
        <v>17</v>
      </c>
      <c r="I107" s="7" t="s">
        <v>17</v>
      </c>
      <c r="J107" s="7" t="s">
        <v>1602</v>
      </c>
    </row>
    <row r="108" spans="1:10" x14ac:dyDescent="0.25" outlineLevel="2" collapsed="1">
      <c r="A108" s="7" t="s">
        <v>15</v>
      </c>
      <c r="B108" s="7" t="s">
        <v>16</v>
      </c>
      <c r="C108" s="7" t="s">
        <v>17</v>
      </c>
      <c r="D108" s="7"/>
      <c r="E108" s="7" t="s">
        <v>1603</v>
      </c>
      <c r="F108" s="7" t="s">
        <v>19</v>
      </c>
      <c r="G108" s="7" t="s">
        <v>31</v>
      </c>
      <c r="H108" s="7" t="s">
        <v>17</v>
      </c>
      <c r="I108" s="7" t="s">
        <v>17</v>
      </c>
      <c r="J108" s="7" t="s">
        <v>1422</v>
      </c>
    </row>
    <row r="109" spans="1:10" x14ac:dyDescent="0.25" outlineLevel="2" collapsed="1">
      <c r="A109" s="7" t="s">
        <v>15</v>
      </c>
      <c r="B109" s="7" t="s">
        <v>284</v>
      </c>
      <c r="C109" s="11" t="s">
        <v>1604</v>
      </c>
      <c r="D109" s="7"/>
      <c r="E109" s="7" t="s">
        <v>1605</v>
      </c>
      <c r="F109" s="7" t="s">
        <v>19</v>
      </c>
      <c r="G109" s="7" t="s">
        <v>1606</v>
      </c>
      <c r="H109" s="7" t="s">
        <v>17</v>
      </c>
      <c r="I109" s="7" t="s">
        <v>17</v>
      </c>
      <c r="J109" s="7" t="s">
        <v>1607</v>
      </c>
    </row>
    <row r="110" spans="1:10" x14ac:dyDescent="0.25" outlineLevel="2" collapsed="1">
      <c r="A110" s="7" t="s">
        <v>19</v>
      </c>
      <c r="B110" s="7" t="s">
        <v>63</v>
      </c>
      <c r="C110" s="7" t="s">
        <v>17</v>
      </c>
      <c r="D110" s="7">
        <f>EXACT(G109,"Single value")</f>
      </c>
      <c r="E110" s="7" t="s">
        <v>1608</v>
      </c>
      <c r="F110" s="7" t="s">
        <v>19</v>
      </c>
      <c r="G110" s="7">
        <v>1</v>
      </c>
      <c r="H110" s="7" t="s">
        <v>17</v>
      </c>
      <c r="I110" s="7" t="s">
        <v>17</v>
      </c>
      <c r="J110" s="7" t="s">
        <v>1609</v>
      </c>
    </row>
    <row r="111" spans="1:10" x14ac:dyDescent="0.25" outlineLevel="2" collapsed="1">
      <c r="A111" s="7" t="s">
        <v>15</v>
      </c>
      <c r="B111" s="7" t="s">
        <v>16</v>
      </c>
      <c r="C111" s="7" t="s">
        <v>17</v>
      </c>
      <c r="D111" s="7"/>
      <c r="E111" s="7" t="s">
        <v>1610</v>
      </c>
      <c r="F111" s="7" t="s">
        <v>19</v>
      </c>
      <c r="G111" s="7" t="s">
        <v>31</v>
      </c>
      <c r="H111" s="7" t="s">
        <v>17</v>
      </c>
      <c r="I111" s="7" t="s">
        <v>17</v>
      </c>
      <c r="J111" s="7" t="s">
        <v>1191</v>
      </c>
    </row>
    <row r="112" spans="1:10" x14ac:dyDescent="0.25" outlineLevel="2" collapsed="1">
      <c r="A112" s="7" t="s">
        <v>15</v>
      </c>
      <c r="B112" s="7" t="s">
        <v>284</v>
      </c>
      <c r="C112" s="11" t="s">
        <v>1611</v>
      </c>
      <c r="D112" s="7"/>
      <c r="E112" s="7" t="s">
        <v>1612</v>
      </c>
      <c r="F112" s="7" t="s">
        <v>19</v>
      </c>
      <c r="G112" s="7" t="s">
        <v>1613</v>
      </c>
      <c r="H112" s="7" t="s">
        <v>17</v>
      </c>
      <c r="I112" s="7" t="s">
        <v>17</v>
      </c>
      <c r="J112" s="7" t="s">
        <v>1614</v>
      </c>
    </row>
    <row r="113" spans="1:10" x14ac:dyDescent="0.25" outlineLevel="2" collapsed="1">
      <c r="A113" s="7" t="s">
        <v>19</v>
      </c>
      <c r="B113" s="7" t="s">
        <v>16</v>
      </c>
      <c r="C113" s="7" t="s">
        <v>17</v>
      </c>
      <c r="D113" s="7"/>
      <c r="E113" s="7" t="s">
        <v>1615</v>
      </c>
      <c r="F113" s="7" t="s">
        <v>19</v>
      </c>
      <c r="G113" s="7" t="s">
        <v>31</v>
      </c>
      <c r="H113" s="7" t="s">
        <v>17</v>
      </c>
      <c r="I113" s="7" t="s">
        <v>17</v>
      </c>
      <c r="J113" s="7" t="s">
        <v>1616</v>
      </c>
    </row>
    <row r="114" spans="1:10" x14ac:dyDescent="0.25" outlineLevel="1" collapsed="1">
      <c r="A114" s="7" t="s">
        <v>15</v>
      </c>
      <c r="B114" s="7" t="s">
        <v>284</v>
      </c>
      <c r="C114" s="11" t="s">
        <v>1633</v>
      </c>
      <c r="D114" s="7"/>
      <c r="E114" s="7" t="s">
        <v>1634</v>
      </c>
      <c r="F114" s="7" t="s">
        <v>19</v>
      </c>
      <c r="G114" s="7" t="s">
        <v>1635</v>
      </c>
      <c r="H114" s="7" t="s">
        <v>17</v>
      </c>
      <c r="I114" s="7" t="s">
        <v>17</v>
      </c>
      <c r="J114" s="7" t="s">
        <v>1636</v>
      </c>
    </row>
    <row r="115" spans="1:10" x14ac:dyDescent="0.25" outlineLevel="1" collapsed="1">
      <c r="A115" s="8" t="s">
        <v>19</v>
      </c>
      <c r="B115" s="9" t="s">
        <v>1597</v>
      </c>
      <c r="C115" s="8" t="s">
        <v>17</v>
      </c>
      <c r="D115" s="8">
        <f>EXACT(G114,"Eq.(4) - project-specific T_i, WH, T_f or WHE")</f>
      </c>
      <c r="E115" s="8" t="s">
        <v>1637</v>
      </c>
      <c r="F115" s="8" t="s">
        <v>19</v>
      </c>
      <c r="G115" s="8" t="s">
        <v>17</v>
      </c>
      <c r="H115" s="8" t="s">
        <v>17</v>
      </c>
      <c r="I115" s="8" t="s">
        <v>17</v>
      </c>
      <c r="J115" s="8" t="s">
        <v>1638</v>
      </c>
    </row>
    <row r="116" spans="1:10" x14ac:dyDescent="0.25" outlineLevel="2" collapsed="1">
      <c r="A116" s="7" t="s">
        <v>15</v>
      </c>
      <c r="B116" s="7" t="s">
        <v>16</v>
      </c>
      <c r="C116" s="7" t="s">
        <v>17</v>
      </c>
      <c r="D116" s="7"/>
      <c r="E116" s="7" t="s">
        <v>1431</v>
      </c>
      <c r="F116" s="7" t="s">
        <v>19</v>
      </c>
      <c r="G116" s="7" t="s">
        <v>31</v>
      </c>
      <c r="H116" s="7" t="s">
        <v>17</v>
      </c>
      <c r="I116" s="7" t="s">
        <v>17</v>
      </c>
      <c r="J116" s="7" t="s">
        <v>637</v>
      </c>
    </row>
    <row r="117" spans="1:10" x14ac:dyDescent="0.25" outlineLevel="2" collapsed="1">
      <c r="A117" s="7" t="s">
        <v>15</v>
      </c>
      <c r="B117" s="7" t="s">
        <v>16</v>
      </c>
      <c r="C117" s="7" t="s">
        <v>17</v>
      </c>
      <c r="D117" s="7"/>
      <c r="E117" s="7" t="s">
        <v>638</v>
      </c>
      <c r="F117" s="7" t="s">
        <v>19</v>
      </c>
      <c r="G117" s="7" t="s">
        <v>31</v>
      </c>
      <c r="H117" s="7" t="s">
        <v>17</v>
      </c>
      <c r="I117" s="7" t="s">
        <v>17</v>
      </c>
      <c r="J117" s="7" t="s">
        <v>640</v>
      </c>
    </row>
    <row r="118" spans="1:10" x14ac:dyDescent="0.25" outlineLevel="2" collapsed="1">
      <c r="A118" s="7" t="s">
        <v>15</v>
      </c>
      <c r="B118" s="7" t="s">
        <v>16</v>
      </c>
      <c r="C118" s="7" t="s">
        <v>17</v>
      </c>
      <c r="D118" s="7"/>
      <c r="E118" s="7" t="s">
        <v>9</v>
      </c>
      <c r="F118" s="7" t="s">
        <v>19</v>
      </c>
      <c r="G118" s="7" t="s">
        <v>31</v>
      </c>
      <c r="H118" s="7" t="s">
        <v>17</v>
      </c>
      <c r="I118" s="7" t="s">
        <v>17</v>
      </c>
      <c r="J118" s="7" t="s">
        <v>843</v>
      </c>
    </row>
    <row r="119" spans="1:10" x14ac:dyDescent="0.25" outlineLevel="2" collapsed="1">
      <c r="A119" s="7" t="s">
        <v>19</v>
      </c>
      <c r="B119" s="7" t="s">
        <v>16</v>
      </c>
      <c r="C119" s="7" t="s">
        <v>17</v>
      </c>
      <c r="D119" s="7"/>
      <c r="E119" s="7" t="s">
        <v>1600</v>
      </c>
      <c r="F119" s="7" t="s">
        <v>19</v>
      </c>
      <c r="G119" s="7" t="s">
        <v>31</v>
      </c>
      <c r="H119" s="7" t="s">
        <v>17</v>
      </c>
      <c r="I119" s="7" t="s">
        <v>17</v>
      </c>
      <c r="J119" s="7" t="s">
        <v>1424</v>
      </c>
    </row>
    <row r="120" spans="1:10" x14ac:dyDescent="0.25" outlineLevel="2" collapsed="1">
      <c r="A120" s="7" t="s">
        <v>15</v>
      </c>
      <c r="B120" s="7" t="s">
        <v>16</v>
      </c>
      <c r="C120" s="7" t="s">
        <v>17</v>
      </c>
      <c r="D120" s="7"/>
      <c r="E120" s="7" t="s">
        <v>1601</v>
      </c>
      <c r="F120" s="7" t="s">
        <v>19</v>
      </c>
      <c r="G120" s="7" t="s">
        <v>31</v>
      </c>
      <c r="H120" s="7" t="s">
        <v>17</v>
      </c>
      <c r="I120" s="7" t="s">
        <v>17</v>
      </c>
      <c r="J120" s="7" t="s">
        <v>1602</v>
      </c>
    </row>
    <row r="121" spans="1:10" x14ac:dyDescent="0.25" outlineLevel="2" collapsed="1">
      <c r="A121" s="7" t="s">
        <v>15</v>
      </c>
      <c r="B121" s="7" t="s">
        <v>16</v>
      </c>
      <c r="C121" s="7" t="s">
        <v>17</v>
      </c>
      <c r="D121" s="7"/>
      <c r="E121" s="7" t="s">
        <v>1603</v>
      </c>
      <c r="F121" s="7" t="s">
        <v>19</v>
      </c>
      <c r="G121" s="7" t="s">
        <v>31</v>
      </c>
      <c r="H121" s="7" t="s">
        <v>17</v>
      </c>
      <c r="I121" s="7" t="s">
        <v>17</v>
      </c>
      <c r="J121" s="7" t="s">
        <v>1422</v>
      </c>
    </row>
    <row r="122" spans="1:10" x14ac:dyDescent="0.25" outlineLevel="2" collapsed="1">
      <c r="A122" s="7" t="s">
        <v>15</v>
      </c>
      <c r="B122" s="7" t="s">
        <v>284</v>
      </c>
      <c r="C122" s="11" t="s">
        <v>1604</v>
      </c>
      <c r="D122" s="7"/>
      <c r="E122" s="7" t="s">
        <v>1605</v>
      </c>
      <c r="F122" s="7" t="s">
        <v>19</v>
      </c>
      <c r="G122" s="7" t="s">
        <v>1606</v>
      </c>
      <c r="H122" s="7" t="s">
        <v>17</v>
      </c>
      <c r="I122" s="7" t="s">
        <v>17</v>
      </c>
      <c r="J122" s="7" t="s">
        <v>1607</v>
      </c>
    </row>
    <row r="123" spans="1:10" x14ac:dyDescent="0.25" outlineLevel="2" collapsed="1">
      <c r="A123" s="7" t="s">
        <v>19</v>
      </c>
      <c r="B123" s="7" t="s">
        <v>63</v>
      </c>
      <c r="C123" s="7" t="s">
        <v>17</v>
      </c>
      <c r="D123" s="7">
        <f>EXACT(G122,"Single value")</f>
      </c>
      <c r="E123" s="7" t="s">
        <v>1608</v>
      </c>
      <c r="F123" s="7" t="s">
        <v>19</v>
      </c>
      <c r="G123" s="7">
        <v>1</v>
      </c>
      <c r="H123" s="7" t="s">
        <v>17</v>
      </c>
      <c r="I123" s="7" t="s">
        <v>17</v>
      </c>
      <c r="J123" s="7" t="s">
        <v>1609</v>
      </c>
    </row>
    <row r="124" spans="1:10" x14ac:dyDescent="0.25" outlineLevel="2" collapsed="1">
      <c r="A124" s="7" t="s">
        <v>15</v>
      </c>
      <c r="B124" s="7" t="s">
        <v>16</v>
      </c>
      <c r="C124" s="7" t="s">
        <v>17</v>
      </c>
      <c r="D124" s="7"/>
      <c r="E124" s="7" t="s">
        <v>1610</v>
      </c>
      <c r="F124" s="7" t="s">
        <v>19</v>
      </c>
      <c r="G124" s="7" t="s">
        <v>31</v>
      </c>
      <c r="H124" s="7" t="s">
        <v>17</v>
      </c>
      <c r="I124" s="7" t="s">
        <v>17</v>
      </c>
      <c r="J124" s="7" t="s">
        <v>1191</v>
      </c>
    </row>
    <row r="125" spans="1:10" x14ac:dyDescent="0.25" outlineLevel="2" collapsed="1">
      <c r="A125" s="7" t="s">
        <v>15</v>
      </c>
      <c r="B125" s="7" t="s">
        <v>284</v>
      </c>
      <c r="C125" s="11" t="s">
        <v>1611</v>
      </c>
      <c r="D125" s="7"/>
      <c r="E125" s="7" t="s">
        <v>1612</v>
      </c>
      <c r="F125" s="7" t="s">
        <v>19</v>
      </c>
      <c r="G125" s="7" t="s">
        <v>1613</v>
      </c>
      <c r="H125" s="7" t="s">
        <v>17</v>
      </c>
      <c r="I125" s="7" t="s">
        <v>17</v>
      </c>
      <c r="J125" s="7" t="s">
        <v>1614</v>
      </c>
    </row>
    <row r="126" spans="1:10" x14ac:dyDescent="0.25" outlineLevel="2" collapsed="1">
      <c r="A126" s="7" t="s">
        <v>19</v>
      </c>
      <c r="B126" s="7" t="s">
        <v>16</v>
      </c>
      <c r="C126" s="7" t="s">
        <v>17</v>
      </c>
      <c r="D126" s="7"/>
      <c r="E126" s="7" t="s">
        <v>1615</v>
      </c>
      <c r="F126" s="7" t="s">
        <v>19</v>
      </c>
      <c r="G126" s="7" t="s">
        <v>31</v>
      </c>
      <c r="H126" s="7" t="s">
        <v>17</v>
      </c>
      <c r="I126" s="7" t="s">
        <v>17</v>
      </c>
      <c r="J126" s="7" t="s">
        <v>1616</v>
      </c>
    </row>
    <row r="127" spans="1:10" x14ac:dyDescent="0.25" outlineLevel="1" collapsed="1">
      <c r="A127" s="8" t="s">
        <v>19</v>
      </c>
      <c r="B127" s="9" t="s">
        <v>1597</v>
      </c>
      <c r="C127" s="8" t="s">
        <v>17</v>
      </c>
      <c r="D127" s="8">
        <f>EXACT(G114,"Eq.(4) - project-specific T_i, WH, T_f or WHE")</f>
      </c>
      <c r="E127" s="8" t="s">
        <v>1639</v>
      </c>
      <c r="F127" s="8" t="s">
        <v>19</v>
      </c>
      <c r="G127" s="8" t="s">
        <v>17</v>
      </c>
      <c r="H127" s="8" t="s">
        <v>17</v>
      </c>
      <c r="I127" s="8" t="s">
        <v>17</v>
      </c>
      <c r="J127" s="8" t="s">
        <v>1640</v>
      </c>
    </row>
    <row r="128" spans="1:10" x14ac:dyDescent="0.25" outlineLevel="2" collapsed="1">
      <c r="A128" s="7" t="s">
        <v>15</v>
      </c>
      <c r="B128" s="7" t="s">
        <v>16</v>
      </c>
      <c r="C128" s="7" t="s">
        <v>17</v>
      </c>
      <c r="D128" s="7"/>
      <c r="E128" s="7" t="s">
        <v>1431</v>
      </c>
      <c r="F128" s="7" t="s">
        <v>19</v>
      </c>
      <c r="G128" s="7" t="s">
        <v>31</v>
      </c>
      <c r="H128" s="7" t="s">
        <v>17</v>
      </c>
      <c r="I128" s="7" t="s">
        <v>17</v>
      </c>
      <c r="J128" s="7" t="s">
        <v>637</v>
      </c>
    </row>
    <row r="129" spans="1:10" x14ac:dyDescent="0.25" outlineLevel="2" collapsed="1">
      <c r="A129" s="7" t="s">
        <v>15</v>
      </c>
      <c r="B129" s="7" t="s">
        <v>16</v>
      </c>
      <c r="C129" s="7" t="s">
        <v>17</v>
      </c>
      <c r="D129" s="7"/>
      <c r="E129" s="7" t="s">
        <v>638</v>
      </c>
      <c r="F129" s="7" t="s">
        <v>19</v>
      </c>
      <c r="G129" s="7" t="s">
        <v>31</v>
      </c>
      <c r="H129" s="7" t="s">
        <v>17</v>
      </c>
      <c r="I129" s="7" t="s">
        <v>17</v>
      </c>
      <c r="J129" s="7" t="s">
        <v>640</v>
      </c>
    </row>
    <row r="130" spans="1:10" x14ac:dyDescent="0.25" outlineLevel="2" collapsed="1">
      <c r="A130" s="7" t="s">
        <v>15</v>
      </c>
      <c r="B130" s="7" t="s">
        <v>16</v>
      </c>
      <c r="C130" s="7" t="s">
        <v>17</v>
      </c>
      <c r="D130" s="7"/>
      <c r="E130" s="7" t="s">
        <v>9</v>
      </c>
      <c r="F130" s="7" t="s">
        <v>19</v>
      </c>
      <c r="G130" s="7" t="s">
        <v>31</v>
      </c>
      <c r="H130" s="7" t="s">
        <v>17</v>
      </c>
      <c r="I130" s="7" t="s">
        <v>17</v>
      </c>
      <c r="J130" s="7" t="s">
        <v>843</v>
      </c>
    </row>
    <row r="131" spans="1:10" x14ac:dyDescent="0.25" outlineLevel="2" collapsed="1">
      <c r="A131" s="7" t="s">
        <v>19</v>
      </c>
      <c r="B131" s="7" t="s">
        <v>16</v>
      </c>
      <c r="C131" s="7" t="s">
        <v>17</v>
      </c>
      <c r="D131" s="7"/>
      <c r="E131" s="7" t="s">
        <v>1600</v>
      </c>
      <c r="F131" s="7" t="s">
        <v>19</v>
      </c>
      <c r="G131" s="7" t="s">
        <v>31</v>
      </c>
      <c r="H131" s="7" t="s">
        <v>17</v>
      </c>
      <c r="I131" s="7" t="s">
        <v>17</v>
      </c>
      <c r="J131" s="7" t="s">
        <v>1424</v>
      </c>
    </row>
    <row r="132" spans="1:10" x14ac:dyDescent="0.25" outlineLevel="2" collapsed="1">
      <c r="A132" s="7" t="s">
        <v>15</v>
      </c>
      <c r="B132" s="7" t="s">
        <v>16</v>
      </c>
      <c r="C132" s="7" t="s">
        <v>17</v>
      </c>
      <c r="D132" s="7"/>
      <c r="E132" s="7" t="s">
        <v>1601</v>
      </c>
      <c r="F132" s="7" t="s">
        <v>19</v>
      </c>
      <c r="G132" s="7" t="s">
        <v>31</v>
      </c>
      <c r="H132" s="7" t="s">
        <v>17</v>
      </c>
      <c r="I132" s="7" t="s">
        <v>17</v>
      </c>
      <c r="J132" s="7" t="s">
        <v>1602</v>
      </c>
    </row>
    <row r="133" spans="1:10" x14ac:dyDescent="0.25" outlineLevel="2" collapsed="1">
      <c r="A133" s="7" t="s">
        <v>15</v>
      </c>
      <c r="B133" s="7" t="s">
        <v>16</v>
      </c>
      <c r="C133" s="7" t="s">
        <v>17</v>
      </c>
      <c r="D133" s="7"/>
      <c r="E133" s="7" t="s">
        <v>1603</v>
      </c>
      <c r="F133" s="7" t="s">
        <v>19</v>
      </c>
      <c r="G133" s="7" t="s">
        <v>31</v>
      </c>
      <c r="H133" s="7" t="s">
        <v>17</v>
      </c>
      <c r="I133" s="7" t="s">
        <v>17</v>
      </c>
      <c r="J133" s="7" t="s">
        <v>1422</v>
      </c>
    </row>
    <row r="134" spans="1:10" x14ac:dyDescent="0.25" outlineLevel="2" collapsed="1">
      <c r="A134" s="7" t="s">
        <v>15</v>
      </c>
      <c r="B134" s="7" t="s">
        <v>284</v>
      </c>
      <c r="C134" s="11" t="s">
        <v>1604</v>
      </c>
      <c r="D134" s="7"/>
      <c r="E134" s="7" t="s">
        <v>1605</v>
      </c>
      <c r="F134" s="7" t="s">
        <v>19</v>
      </c>
      <c r="G134" s="7" t="s">
        <v>1606</v>
      </c>
      <c r="H134" s="7" t="s">
        <v>17</v>
      </c>
      <c r="I134" s="7" t="s">
        <v>17</v>
      </c>
      <c r="J134" s="7" t="s">
        <v>1607</v>
      </c>
    </row>
    <row r="135" spans="1:10" x14ac:dyDescent="0.25" outlineLevel="2" collapsed="1">
      <c r="A135" s="7" t="s">
        <v>19</v>
      </c>
      <c r="B135" s="7" t="s">
        <v>63</v>
      </c>
      <c r="C135" s="7" t="s">
        <v>17</v>
      </c>
      <c r="D135" s="7">
        <f>EXACT(G134,"Single value")</f>
      </c>
      <c r="E135" s="7" t="s">
        <v>1608</v>
      </c>
      <c r="F135" s="7" t="s">
        <v>19</v>
      </c>
      <c r="G135" s="7">
        <v>1</v>
      </c>
      <c r="H135" s="7" t="s">
        <v>17</v>
      </c>
      <c r="I135" s="7" t="s">
        <v>17</v>
      </c>
      <c r="J135" s="7" t="s">
        <v>1609</v>
      </c>
    </row>
    <row r="136" spans="1:10" x14ac:dyDescent="0.25" outlineLevel="2" collapsed="1">
      <c r="A136" s="7" t="s">
        <v>15</v>
      </c>
      <c r="B136" s="7" t="s">
        <v>16</v>
      </c>
      <c r="C136" s="7" t="s">
        <v>17</v>
      </c>
      <c r="D136" s="7"/>
      <c r="E136" s="7" t="s">
        <v>1610</v>
      </c>
      <c r="F136" s="7" t="s">
        <v>19</v>
      </c>
      <c r="G136" s="7" t="s">
        <v>31</v>
      </c>
      <c r="H136" s="7" t="s">
        <v>17</v>
      </c>
      <c r="I136" s="7" t="s">
        <v>17</v>
      </c>
      <c r="J136" s="7" t="s">
        <v>1191</v>
      </c>
    </row>
    <row r="137" spans="1:10" x14ac:dyDescent="0.25" outlineLevel="2" collapsed="1">
      <c r="A137" s="7" t="s">
        <v>15</v>
      </c>
      <c r="B137" s="7" t="s">
        <v>284</v>
      </c>
      <c r="C137" s="11" t="s">
        <v>1611</v>
      </c>
      <c r="D137" s="7"/>
      <c r="E137" s="7" t="s">
        <v>1612</v>
      </c>
      <c r="F137" s="7" t="s">
        <v>19</v>
      </c>
      <c r="G137" s="7" t="s">
        <v>1613</v>
      </c>
      <c r="H137" s="7" t="s">
        <v>17</v>
      </c>
      <c r="I137" s="7" t="s">
        <v>17</v>
      </c>
      <c r="J137" s="7" t="s">
        <v>1614</v>
      </c>
    </row>
    <row r="138" spans="1:10" x14ac:dyDescent="0.25" outlineLevel="2" collapsed="1">
      <c r="A138" s="7" t="s">
        <v>19</v>
      </c>
      <c r="B138" s="7" t="s">
        <v>16</v>
      </c>
      <c r="C138" s="7" t="s">
        <v>17</v>
      </c>
      <c r="D138" s="7"/>
      <c r="E138" s="7" t="s">
        <v>1615</v>
      </c>
      <c r="F138" s="7" t="s">
        <v>19</v>
      </c>
      <c r="G138" s="7" t="s">
        <v>31</v>
      </c>
      <c r="H138" s="7" t="s">
        <v>17</v>
      </c>
      <c r="I138" s="7" t="s">
        <v>17</v>
      </c>
      <c r="J138" s="7" t="s">
        <v>1616</v>
      </c>
    </row>
    <row r="139" spans="1:10" x14ac:dyDescent="0.25" outlineLevel="1" collapsed="1">
      <c r="A139" s="8" t="s">
        <v>19</v>
      </c>
      <c r="B139" s="9" t="s">
        <v>1597</v>
      </c>
      <c r="C139" s="8" t="s">
        <v>17</v>
      </c>
      <c r="D139" s="8">
        <f>EXACT(G114,"Eq.(4) - project-specific T_i, WH, T_f or WHE")</f>
      </c>
      <c r="E139" s="8" t="s">
        <v>1641</v>
      </c>
      <c r="F139" s="8" t="s">
        <v>19</v>
      </c>
      <c r="G139" s="8" t="s">
        <v>17</v>
      </c>
      <c r="H139" s="8" t="s">
        <v>17</v>
      </c>
      <c r="I139" s="8" t="s">
        <v>17</v>
      </c>
      <c r="J139" s="8" t="s">
        <v>1642</v>
      </c>
    </row>
    <row r="140" spans="1:10" x14ac:dyDescent="0.25" outlineLevel="2" collapsed="1">
      <c r="A140" s="7" t="s">
        <v>15</v>
      </c>
      <c r="B140" s="7" t="s">
        <v>16</v>
      </c>
      <c r="C140" s="7" t="s">
        <v>17</v>
      </c>
      <c r="D140" s="7"/>
      <c r="E140" s="7" t="s">
        <v>1431</v>
      </c>
      <c r="F140" s="7" t="s">
        <v>19</v>
      </c>
      <c r="G140" s="7" t="s">
        <v>31</v>
      </c>
      <c r="H140" s="7" t="s">
        <v>17</v>
      </c>
      <c r="I140" s="7" t="s">
        <v>17</v>
      </c>
      <c r="J140" s="7" t="s">
        <v>637</v>
      </c>
    </row>
    <row r="141" spans="1:10" x14ac:dyDescent="0.25" outlineLevel="2" collapsed="1">
      <c r="A141" s="7" t="s">
        <v>15</v>
      </c>
      <c r="B141" s="7" t="s">
        <v>16</v>
      </c>
      <c r="C141" s="7" t="s">
        <v>17</v>
      </c>
      <c r="D141" s="7"/>
      <c r="E141" s="7" t="s">
        <v>638</v>
      </c>
      <c r="F141" s="7" t="s">
        <v>19</v>
      </c>
      <c r="G141" s="7" t="s">
        <v>31</v>
      </c>
      <c r="H141" s="7" t="s">
        <v>17</v>
      </c>
      <c r="I141" s="7" t="s">
        <v>17</v>
      </c>
      <c r="J141" s="7" t="s">
        <v>640</v>
      </c>
    </row>
    <row r="142" spans="1:10" x14ac:dyDescent="0.25" outlineLevel="2" collapsed="1">
      <c r="A142" s="7" t="s">
        <v>15</v>
      </c>
      <c r="B142" s="7" t="s">
        <v>16</v>
      </c>
      <c r="C142" s="7" t="s">
        <v>17</v>
      </c>
      <c r="D142" s="7"/>
      <c r="E142" s="7" t="s">
        <v>9</v>
      </c>
      <c r="F142" s="7" t="s">
        <v>19</v>
      </c>
      <c r="G142" s="7" t="s">
        <v>31</v>
      </c>
      <c r="H142" s="7" t="s">
        <v>17</v>
      </c>
      <c r="I142" s="7" t="s">
        <v>17</v>
      </c>
      <c r="J142" s="7" t="s">
        <v>843</v>
      </c>
    </row>
    <row r="143" spans="1:10" x14ac:dyDescent="0.25" outlineLevel="2" collapsed="1">
      <c r="A143" s="7" t="s">
        <v>19</v>
      </c>
      <c r="B143" s="7" t="s">
        <v>16</v>
      </c>
      <c r="C143" s="7" t="s">
        <v>17</v>
      </c>
      <c r="D143" s="7"/>
      <c r="E143" s="7" t="s">
        <v>1600</v>
      </c>
      <c r="F143" s="7" t="s">
        <v>19</v>
      </c>
      <c r="G143" s="7" t="s">
        <v>31</v>
      </c>
      <c r="H143" s="7" t="s">
        <v>17</v>
      </c>
      <c r="I143" s="7" t="s">
        <v>17</v>
      </c>
      <c r="J143" s="7" t="s">
        <v>1424</v>
      </c>
    </row>
    <row r="144" spans="1:10" x14ac:dyDescent="0.25" outlineLevel="2" collapsed="1">
      <c r="A144" s="7" t="s">
        <v>15</v>
      </c>
      <c r="B144" s="7" t="s">
        <v>16</v>
      </c>
      <c r="C144" s="7" t="s">
        <v>17</v>
      </c>
      <c r="D144" s="7"/>
      <c r="E144" s="7" t="s">
        <v>1601</v>
      </c>
      <c r="F144" s="7" t="s">
        <v>19</v>
      </c>
      <c r="G144" s="7" t="s">
        <v>31</v>
      </c>
      <c r="H144" s="7" t="s">
        <v>17</v>
      </c>
      <c r="I144" s="7" t="s">
        <v>17</v>
      </c>
      <c r="J144" s="7" t="s">
        <v>1602</v>
      </c>
    </row>
    <row r="145" spans="1:10" x14ac:dyDescent="0.25" outlineLevel="2" collapsed="1">
      <c r="A145" s="7" t="s">
        <v>15</v>
      </c>
      <c r="B145" s="7" t="s">
        <v>16</v>
      </c>
      <c r="C145" s="7" t="s">
        <v>17</v>
      </c>
      <c r="D145" s="7"/>
      <c r="E145" s="7" t="s">
        <v>1603</v>
      </c>
      <c r="F145" s="7" t="s">
        <v>19</v>
      </c>
      <c r="G145" s="7" t="s">
        <v>31</v>
      </c>
      <c r="H145" s="7" t="s">
        <v>17</v>
      </c>
      <c r="I145" s="7" t="s">
        <v>17</v>
      </c>
      <c r="J145" s="7" t="s">
        <v>1422</v>
      </c>
    </row>
    <row r="146" spans="1:10" x14ac:dyDescent="0.25" outlineLevel="2" collapsed="1">
      <c r="A146" s="7" t="s">
        <v>15</v>
      </c>
      <c r="B146" s="7" t="s">
        <v>284</v>
      </c>
      <c r="C146" s="11" t="s">
        <v>1604</v>
      </c>
      <c r="D146" s="7"/>
      <c r="E146" s="7" t="s">
        <v>1605</v>
      </c>
      <c r="F146" s="7" t="s">
        <v>19</v>
      </c>
      <c r="G146" s="7" t="s">
        <v>1606</v>
      </c>
      <c r="H146" s="7" t="s">
        <v>17</v>
      </c>
      <c r="I146" s="7" t="s">
        <v>17</v>
      </c>
      <c r="J146" s="7" t="s">
        <v>1607</v>
      </c>
    </row>
    <row r="147" spans="1:10" x14ac:dyDescent="0.25" outlineLevel="2" collapsed="1">
      <c r="A147" s="7" t="s">
        <v>19</v>
      </c>
      <c r="B147" s="7" t="s">
        <v>63</v>
      </c>
      <c r="C147" s="7" t="s">
        <v>17</v>
      </c>
      <c r="D147" s="7">
        <f>EXACT(G146,"Single value")</f>
      </c>
      <c r="E147" s="7" t="s">
        <v>1608</v>
      </c>
      <c r="F147" s="7" t="s">
        <v>19</v>
      </c>
      <c r="G147" s="7">
        <v>1</v>
      </c>
      <c r="H147" s="7" t="s">
        <v>17</v>
      </c>
      <c r="I147" s="7" t="s">
        <v>17</v>
      </c>
      <c r="J147" s="7" t="s">
        <v>1609</v>
      </c>
    </row>
    <row r="148" spans="1:10" x14ac:dyDescent="0.25" outlineLevel="2" collapsed="1">
      <c r="A148" s="7" t="s">
        <v>15</v>
      </c>
      <c r="B148" s="7" t="s">
        <v>16</v>
      </c>
      <c r="C148" s="7" t="s">
        <v>17</v>
      </c>
      <c r="D148" s="7"/>
      <c r="E148" s="7" t="s">
        <v>1610</v>
      </c>
      <c r="F148" s="7" t="s">
        <v>19</v>
      </c>
      <c r="G148" s="7" t="s">
        <v>31</v>
      </c>
      <c r="H148" s="7" t="s">
        <v>17</v>
      </c>
      <c r="I148" s="7" t="s">
        <v>17</v>
      </c>
      <c r="J148" s="7" t="s">
        <v>1191</v>
      </c>
    </row>
    <row r="149" spans="1:10" x14ac:dyDescent="0.25" outlineLevel="2" collapsed="1">
      <c r="A149" s="7" t="s">
        <v>15</v>
      </c>
      <c r="B149" s="7" t="s">
        <v>284</v>
      </c>
      <c r="C149" s="11" t="s">
        <v>1611</v>
      </c>
      <c r="D149" s="7"/>
      <c r="E149" s="7" t="s">
        <v>1612</v>
      </c>
      <c r="F149" s="7" t="s">
        <v>19</v>
      </c>
      <c r="G149" s="7" t="s">
        <v>1613</v>
      </c>
      <c r="H149" s="7" t="s">
        <v>17</v>
      </c>
      <c r="I149" s="7" t="s">
        <v>17</v>
      </c>
      <c r="J149" s="7" t="s">
        <v>1614</v>
      </c>
    </row>
    <row r="150" spans="1:10" x14ac:dyDescent="0.25" outlineLevel="2" collapsed="1">
      <c r="A150" s="7" t="s">
        <v>19</v>
      </c>
      <c r="B150" s="7" t="s">
        <v>16</v>
      </c>
      <c r="C150" s="7" t="s">
        <v>17</v>
      </c>
      <c r="D150" s="7"/>
      <c r="E150" s="7" t="s">
        <v>1615</v>
      </c>
      <c r="F150" s="7" t="s">
        <v>19</v>
      </c>
      <c r="G150" s="7" t="s">
        <v>31</v>
      </c>
      <c r="H150" s="7" t="s">
        <v>17</v>
      </c>
      <c r="I150" s="7" t="s">
        <v>17</v>
      </c>
      <c r="J150" s="7" t="s">
        <v>1616</v>
      </c>
    </row>
    <row r="151" spans="1:10" x14ac:dyDescent="0.25" outlineLevel="1" collapsed="1">
      <c r="A151" s="8" t="s">
        <v>19</v>
      </c>
      <c r="B151" s="9" t="s">
        <v>1597</v>
      </c>
      <c r="C151" s="8" t="s">
        <v>17</v>
      </c>
      <c r="D151" s="8">
        <f>EXACT(G114,"Eq.(4) - project-specific T_i, WH, T_f or WHE")</f>
      </c>
      <c r="E151" s="8" t="s">
        <v>1643</v>
      </c>
      <c r="F151" s="8" t="s">
        <v>19</v>
      </c>
      <c r="G151" s="8" t="s">
        <v>17</v>
      </c>
      <c r="H151" s="8" t="s">
        <v>17</v>
      </c>
      <c r="I151" s="8" t="s">
        <v>17</v>
      </c>
      <c r="J151" s="8" t="s">
        <v>1644</v>
      </c>
    </row>
    <row r="152" spans="1:10" x14ac:dyDescent="0.25" outlineLevel="2" collapsed="1">
      <c r="A152" s="7" t="s">
        <v>15</v>
      </c>
      <c r="B152" s="7" t="s">
        <v>16</v>
      </c>
      <c r="C152" s="7" t="s">
        <v>17</v>
      </c>
      <c r="D152" s="7"/>
      <c r="E152" s="7" t="s">
        <v>1431</v>
      </c>
      <c r="F152" s="7" t="s">
        <v>19</v>
      </c>
      <c r="G152" s="7" t="s">
        <v>31</v>
      </c>
      <c r="H152" s="7" t="s">
        <v>17</v>
      </c>
      <c r="I152" s="7" t="s">
        <v>17</v>
      </c>
      <c r="J152" s="7" t="s">
        <v>637</v>
      </c>
    </row>
    <row r="153" spans="1:10" x14ac:dyDescent="0.25" outlineLevel="2" collapsed="1">
      <c r="A153" s="7" t="s">
        <v>15</v>
      </c>
      <c r="B153" s="7" t="s">
        <v>16</v>
      </c>
      <c r="C153" s="7" t="s">
        <v>17</v>
      </c>
      <c r="D153" s="7"/>
      <c r="E153" s="7" t="s">
        <v>638</v>
      </c>
      <c r="F153" s="7" t="s">
        <v>19</v>
      </c>
      <c r="G153" s="7" t="s">
        <v>31</v>
      </c>
      <c r="H153" s="7" t="s">
        <v>17</v>
      </c>
      <c r="I153" s="7" t="s">
        <v>17</v>
      </c>
      <c r="J153" s="7" t="s">
        <v>640</v>
      </c>
    </row>
    <row r="154" spans="1:10" x14ac:dyDescent="0.25" outlineLevel="2" collapsed="1">
      <c r="A154" s="7" t="s">
        <v>15</v>
      </c>
      <c r="B154" s="7" t="s">
        <v>16</v>
      </c>
      <c r="C154" s="7" t="s">
        <v>17</v>
      </c>
      <c r="D154" s="7"/>
      <c r="E154" s="7" t="s">
        <v>9</v>
      </c>
      <c r="F154" s="7" t="s">
        <v>19</v>
      </c>
      <c r="G154" s="7" t="s">
        <v>31</v>
      </c>
      <c r="H154" s="7" t="s">
        <v>17</v>
      </c>
      <c r="I154" s="7" t="s">
        <v>17</v>
      </c>
      <c r="J154" s="7" t="s">
        <v>843</v>
      </c>
    </row>
    <row r="155" spans="1:10" x14ac:dyDescent="0.25" outlineLevel="2" collapsed="1">
      <c r="A155" s="7" t="s">
        <v>19</v>
      </c>
      <c r="B155" s="7" t="s">
        <v>16</v>
      </c>
      <c r="C155" s="7" t="s">
        <v>17</v>
      </c>
      <c r="D155" s="7"/>
      <c r="E155" s="7" t="s">
        <v>1600</v>
      </c>
      <c r="F155" s="7" t="s">
        <v>19</v>
      </c>
      <c r="G155" s="7" t="s">
        <v>31</v>
      </c>
      <c r="H155" s="7" t="s">
        <v>17</v>
      </c>
      <c r="I155" s="7" t="s">
        <v>17</v>
      </c>
      <c r="J155" s="7" t="s">
        <v>1424</v>
      </c>
    </row>
    <row r="156" spans="1:10" x14ac:dyDescent="0.25" outlineLevel="2" collapsed="1">
      <c r="A156" s="7" t="s">
        <v>15</v>
      </c>
      <c r="B156" s="7" t="s">
        <v>16</v>
      </c>
      <c r="C156" s="7" t="s">
        <v>17</v>
      </c>
      <c r="D156" s="7"/>
      <c r="E156" s="7" t="s">
        <v>1601</v>
      </c>
      <c r="F156" s="7" t="s">
        <v>19</v>
      </c>
      <c r="G156" s="7" t="s">
        <v>31</v>
      </c>
      <c r="H156" s="7" t="s">
        <v>17</v>
      </c>
      <c r="I156" s="7" t="s">
        <v>17</v>
      </c>
      <c r="J156" s="7" t="s">
        <v>1602</v>
      </c>
    </row>
    <row r="157" spans="1:10" x14ac:dyDescent="0.25" outlineLevel="2" collapsed="1">
      <c r="A157" s="7" t="s">
        <v>15</v>
      </c>
      <c r="B157" s="7" t="s">
        <v>16</v>
      </c>
      <c r="C157" s="7" t="s">
        <v>17</v>
      </c>
      <c r="D157" s="7"/>
      <c r="E157" s="7" t="s">
        <v>1603</v>
      </c>
      <c r="F157" s="7" t="s">
        <v>19</v>
      </c>
      <c r="G157" s="7" t="s">
        <v>31</v>
      </c>
      <c r="H157" s="7" t="s">
        <v>17</v>
      </c>
      <c r="I157" s="7" t="s">
        <v>17</v>
      </c>
      <c r="J157" s="7" t="s">
        <v>1422</v>
      </c>
    </row>
    <row r="158" spans="1:10" x14ac:dyDescent="0.25" outlineLevel="2" collapsed="1">
      <c r="A158" s="7" t="s">
        <v>15</v>
      </c>
      <c r="B158" s="7" t="s">
        <v>284</v>
      </c>
      <c r="C158" s="11" t="s">
        <v>1604</v>
      </c>
      <c r="D158" s="7"/>
      <c r="E158" s="7" t="s">
        <v>1605</v>
      </c>
      <c r="F158" s="7" t="s">
        <v>19</v>
      </c>
      <c r="G158" s="7" t="s">
        <v>1606</v>
      </c>
      <c r="H158" s="7" t="s">
        <v>17</v>
      </c>
      <c r="I158" s="7" t="s">
        <v>17</v>
      </c>
      <c r="J158" s="7" t="s">
        <v>1607</v>
      </c>
    </row>
    <row r="159" spans="1:10" x14ac:dyDescent="0.25" outlineLevel="2" collapsed="1">
      <c r="A159" s="7" t="s">
        <v>19</v>
      </c>
      <c r="B159" s="7" t="s">
        <v>63</v>
      </c>
      <c r="C159" s="7" t="s">
        <v>17</v>
      </c>
      <c r="D159" s="7">
        <f>EXACT(G158,"Single value")</f>
      </c>
      <c r="E159" s="7" t="s">
        <v>1608</v>
      </c>
      <c r="F159" s="7" t="s">
        <v>19</v>
      </c>
      <c r="G159" s="7">
        <v>1</v>
      </c>
      <c r="H159" s="7" t="s">
        <v>17</v>
      </c>
      <c r="I159" s="7" t="s">
        <v>17</v>
      </c>
      <c r="J159" s="7" t="s">
        <v>1609</v>
      </c>
    </row>
    <row r="160" spans="1:10" x14ac:dyDescent="0.25" outlineLevel="2" collapsed="1">
      <c r="A160" s="7" t="s">
        <v>15</v>
      </c>
      <c r="B160" s="7" t="s">
        <v>16</v>
      </c>
      <c r="C160" s="7" t="s">
        <v>17</v>
      </c>
      <c r="D160" s="7"/>
      <c r="E160" s="7" t="s">
        <v>1610</v>
      </c>
      <c r="F160" s="7" t="s">
        <v>19</v>
      </c>
      <c r="G160" s="7" t="s">
        <v>31</v>
      </c>
      <c r="H160" s="7" t="s">
        <v>17</v>
      </c>
      <c r="I160" s="7" t="s">
        <v>17</v>
      </c>
      <c r="J160" s="7" t="s">
        <v>1191</v>
      </c>
    </row>
    <row r="161" spans="1:10" x14ac:dyDescent="0.25" outlineLevel="2" collapsed="1">
      <c r="A161" s="7" t="s">
        <v>15</v>
      </c>
      <c r="B161" s="7" t="s">
        <v>284</v>
      </c>
      <c r="C161" s="11" t="s">
        <v>1611</v>
      </c>
      <c r="D161" s="7"/>
      <c r="E161" s="7" t="s">
        <v>1612</v>
      </c>
      <c r="F161" s="7" t="s">
        <v>19</v>
      </c>
      <c r="G161" s="7" t="s">
        <v>1613</v>
      </c>
      <c r="H161" s="7" t="s">
        <v>17</v>
      </c>
      <c r="I161" s="7" t="s">
        <v>17</v>
      </c>
      <c r="J161" s="7" t="s">
        <v>1614</v>
      </c>
    </row>
    <row r="162" spans="1:10" x14ac:dyDescent="0.25" outlineLevel="2" collapsed="1">
      <c r="A162" s="7" t="s">
        <v>19</v>
      </c>
      <c r="B162" s="7" t="s">
        <v>16</v>
      </c>
      <c r="C162" s="7" t="s">
        <v>17</v>
      </c>
      <c r="D162" s="7"/>
      <c r="E162" s="7" t="s">
        <v>1615</v>
      </c>
      <c r="F162" s="7" t="s">
        <v>19</v>
      </c>
      <c r="G162" s="7" t="s">
        <v>31</v>
      </c>
      <c r="H162" s="7" t="s">
        <v>17</v>
      </c>
      <c r="I162" s="7" t="s">
        <v>17</v>
      </c>
      <c r="J162" s="7" t="s">
        <v>1616</v>
      </c>
    </row>
    <row r="163" spans="1:10" x14ac:dyDescent="0.25" outlineLevel="1" collapsed="1">
      <c r="A163" s="8" t="s">
        <v>15</v>
      </c>
      <c r="B163" s="9" t="s">
        <v>1597</v>
      </c>
      <c r="C163" s="8" t="s">
        <v>17</v>
      </c>
      <c r="D163" s="8"/>
      <c r="E163" s="8" t="s">
        <v>1645</v>
      </c>
      <c r="F163" s="8" t="s">
        <v>19</v>
      </c>
      <c r="G163" s="8" t="s">
        <v>17</v>
      </c>
      <c r="H163" s="8" t="s">
        <v>17</v>
      </c>
      <c r="I163" s="8" t="s">
        <v>17</v>
      </c>
      <c r="J163" s="8" t="s">
        <v>1646</v>
      </c>
    </row>
    <row r="164" spans="1:10" x14ac:dyDescent="0.25" outlineLevel="2" collapsed="1">
      <c r="A164" s="7" t="s">
        <v>15</v>
      </c>
      <c r="B164" s="7" t="s">
        <v>16</v>
      </c>
      <c r="C164" s="7" t="s">
        <v>17</v>
      </c>
      <c r="D164" s="7"/>
      <c r="E164" s="7" t="s">
        <v>1431</v>
      </c>
      <c r="F164" s="7" t="s">
        <v>19</v>
      </c>
      <c r="G164" s="7" t="s">
        <v>31</v>
      </c>
      <c r="H164" s="7" t="s">
        <v>17</v>
      </c>
      <c r="I164" s="7" t="s">
        <v>17</v>
      </c>
      <c r="J164" s="7" t="s">
        <v>637</v>
      </c>
    </row>
    <row r="165" spans="1:10" x14ac:dyDescent="0.25" outlineLevel="2" collapsed="1">
      <c r="A165" s="7" t="s">
        <v>15</v>
      </c>
      <c r="B165" s="7" t="s">
        <v>16</v>
      </c>
      <c r="C165" s="7" t="s">
        <v>17</v>
      </c>
      <c r="D165" s="7"/>
      <c r="E165" s="7" t="s">
        <v>638</v>
      </c>
      <c r="F165" s="7" t="s">
        <v>19</v>
      </c>
      <c r="G165" s="7" t="s">
        <v>31</v>
      </c>
      <c r="H165" s="7" t="s">
        <v>17</v>
      </c>
      <c r="I165" s="7" t="s">
        <v>17</v>
      </c>
      <c r="J165" s="7" t="s">
        <v>640</v>
      </c>
    </row>
    <row r="166" spans="1:10" x14ac:dyDescent="0.25" outlineLevel="2" collapsed="1">
      <c r="A166" s="7" t="s">
        <v>15</v>
      </c>
      <c r="B166" s="7" t="s">
        <v>16</v>
      </c>
      <c r="C166" s="7" t="s">
        <v>17</v>
      </c>
      <c r="D166" s="7"/>
      <c r="E166" s="7" t="s">
        <v>9</v>
      </c>
      <c r="F166" s="7" t="s">
        <v>19</v>
      </c>
      <c r="G166" s="7" t="s">
        <v>31</v>
      </c>
      <c r="H166" s="7" t="s">
        <v>17</v>
      </c>
      <c r="I166" s="7" t="s">
        <v>17</v>
      </c>
      <c r="J166" s="7" t="s">
        <v>843</v>
      </c>
    </row>
    <row r="167" spans="1:10" x14ac:dyDescent="0.25" outlineLevel="2" collapsed="1">
      <c r="A167" s="7" t="s">
        <v>19</v>
      </c>
      <c r="B167" s="7" t="s">
        <v>16</v>
      </c>
      <c r="C167" s="7" t="s">
        <v>17</v>
      </c>
      <c r="D167" s="7"/>
      <c r="E167" s="7" t="s">
        <v>1600</v>
      </c>
      <c r="F167" s="7" t="s">
        <v>19</v>
      </c>
      <c r="G167" s="7" t="s">
        <v>31</v>
      </c>
      <c r="H167" s="7" t="s">
        <v>17</v>
      </c>
      <c r="I167" s="7" t="s">
        <v>17</v>
      </c>
      <c r="J167" s="7" t="s">
        <v>1424</v>
      </c>
    </row>
    <row r="168" spans="1:10" x14ac:dyDescent="0.25" outlineLevel="2" collapsed="1">
      <c r="A168" s="7" t="s">
        <v>15</v>
      </c>
      <c r="B168" s="7" t="s">
        <v>16</v>
      </c>
      <c r="C168" s="7" t="s">
        <v>17</v>
      </c>
      <c r="D168" s="7"/>
      <c r="E168" s="7" t="s">
        <v>1601</v>
      </c>
      <c r="F168" s="7" t="s">
        <v>19</v>
      </c>
      <c r="G168" s="7" t="s">
        <v>31</v>
      </c>
      <c r="H168" s="7" t="s">
        <v>17</v>
      </c>
      <c r="I168" s="7" t="s">
        <v>17</v>
      </c>
      <c r="J168" s="7" t="s">
        <v>1602</v>
      </c>
    </row>
    <row r="169" spans="1:10" x14ac:dyDescent="0.25" outlineLevel="2" collapsed="1">
      <c r="A169" s="7" t="s">
        <v>15</v>
      </c>
      <c r="B169" s="7" t="s">
        <v>16</v>
      </c>
      <c r="C169" s="7" t="s">
        <v>17</v>
      </c>
      <c r="D169" s="7"/>
      <c r="E169" s="7" t="s">
        <v>1603</v>
      </c>
      <c r="F169" s="7" t="s">
        <v>19</v>
      </c>
      <c r="G169" s="7" t="s">
        <v>31</v>
      </c>
      <c r="H169" s="7" t="s">
        <v>17</v>
      </c>
      <c r="I169" s="7" t="s">
        <v>17</v>
      </c>
      <c r="J169" s="7" t="s">
        <v>1422</v>
      </c>
    </row>
    <row r="170" spans="1:10" x14ac:dyDescent="0.25" outlineLevel="2" collapsed="1">
      <c r="A170" s="7" t="s">
        <v>15</v>
      </c>
      <c r="B170" s="7" t="s">
        <v>284</v>
      </c>
      <c r="C170" s="11" t="s">
        <v>1604</v>
      </c>
      <c r="D170" s="7"/>
      <c r="E170" s="7" t="s">
        <v>1605</v>
      </c>
      <c r="F170" s="7" t="s">
        <v>19</v>
      </c>
      <c r="G170" s="7" t="s">
        <v>1606</v>
      </c>
      <c r="H170" s="7" t="s">
        <v>17</v>
      </c>
      <c r="I170" s="7" t="s">
        <v>17</v>
      </c>
      <c r="J170" s="7" t="s">
        <v>1607</v>
      </c>
    </row>
    <row r="171" spans="1:10" x14ac:dyDescent="0.25" outlineLevel="2" collapsed="1">
      <c r="A171" s="7" t="s">
        <v>19</v>
      </c>
      <c r="B171" s="7" t="s">
        <v>63</v>
      </c>
      <c r="C171" s="7" t="s">
        <v>17</v>
      </c>
      <c r="D171" s="7">
        <f>EXACT(G170,"Single value")</f>
      </c>
      <c r="E171" s="7" t="s">
        <v>1608</v>
      </c>
      <c r="F171" s="7" t="s">
        <v>19</v>
      </c>
      <c r="G171" s="7">
        <v>1</v>
      </c>
      <c r="H171" s="7" t="s">
        <v>17</v>
      </c>
      <c r="I171" s="7" t="s">
        <v>17</v>
      </c>
      <c r="J171" s="7" t="s">
        <v>1609</v>
      </c>
    </row>
    <row r="172" spans="1:10" x14ac:dyDescent="0.25" outlineLevel="2" collapsed="1">
      <c r="A172" s="7" t="s">
        <v>15</v>
      </c>
      <c r="B172" s="7" t="s">
        <v>16</v>
      </c>
      <c r="C172" s="7" t="s">
        <v>17</v>
      </c>
      <c r="D172" s="7"/>
      <c r="E172" s="7" t="s">
        <v>1610</v>
      </c>
      <c r="F172" s="7" t="s">
        <v>19</v>
      </c>
      <c r="G172" s="7" t="s">
        <v>31</v>
      </c>
      <c r="H172" s="7" t="s">
        <v>17</v>
      </c>
      <c r="I172" s="7" t="s">
        <v>17</v>
      </c>
      <c r="J172" s="7" t="s">
        <v>1191</v>
      </c>
    </row>
    <row r="173" spans="1:10" x14ac:dyDescent="0.25" outlineLevel="2" collapsed="1">
      <c r="A173" s="7" t="s">
        <v>15</v>
      </c>
      <c r="B173" s="7" t="s">
        <v>284</v>
      </c>
      <c r="C173" s="11" t="s">
        <v>1611</v>
      </c>
      <c r="D173" s="7"/>
      <c r="E173" s="7" t="s">
        <v>1612</v>
      </c>
      <c r="F173" s="7" t="s">
        <v>19</v>
      </c>
      <c r="G173" s="7" t="s">
        <v>1613</v>
      </c>
      <c r="H173" s="7" t="s">
        <v>17</v>
      </c>
      <c r="I173" s="7" t="s">
        <v>17</v>
      </c>
      <c r="J173" s="7" t="s">
        <v>1614</v>
      </c>
    </row>
    <row r="174" spans="1:10" x14ac:dyDescent="0.25" outlineLevel="2" collapsed="1">
      <c r="A174" s="7" t="s">
        <v>19</v>
      </c>
      <c r="B174" s="7" t="s">
        <v>16</v>
      </c>
      <c r="C174" s="7" t="s">
        <v>17</v>
      </c>
      <c r="D174" s="7"/>
      <c r="E174" s="7" t="s">
        <v>1615</v>
      </c>
      <c r="F174" s="7" t="s">
        <v>19</v>
      </c>
      <c r="G174" s="7" t="s">
        <v>31</v>
      </c>
      <c r="H174" s="7" t="s">
        <v>17</v>
      </c>
      <c r="I174" s="7" t="s">
        <v>17</v>
      </c>
      <c r="J174" s="7" t="s">
        <v>1616</v>
      </c>
    </row>
    <row r="175" spans="1:10" x14ac:dyDescent="0.25">
      <c r="A175" s="5" t="s">
        <v>19</v>
      </c>
      <c r="B175" s="6" t="s">
        <v>1647</v>
      </c>
      <c r="C175" s="5" t="s">
        <v>17</v>
      </c>
      <c r="D175" s="5"/>
      <c r="E175" s="5" t="s">
        <v>1648</v>
      </c>
      <c r="F175" s="5" t="s">
        <v>19</v>
      </c>
      <c r="G175" s="5" t="s">
        <v>17</v>
      </c>
      <c r="H175" s="5" t="s">
        <v>17</v>
      </c>
      <c r="I175" s="5" t="s">
        <v>17</v>
      </c>
      <c r="J175" s="5" t="s">
        <v>1649</v>
      </c>
    </row>
    <row r="176" spans="1:10" x14ac:dyDescent="0.25" outlineLevel="1" collapsed="1">
      <c r="A176" s="8" t="s">
        <v>19</v>
      </c>
      <c r="B176" s="9" t="s">
        <v>1597</v>
      </c>
      <c r="C176" s="8" t="s">
        <v>17</v>
      </c>
      <c r="D176" s="8"/>
      <c r="E176" s="8" t="s">
        <v>1650</v>
      </c>
      <c r="F176" s="8" t="s">
        <v>19</v>
      </c>
      <c r="G176" s="8" t="s">
        <v>17</v>
      </c>
      <c r="H176" s="8" t="s">
        <v>17</v>
      </c>
      <c r="I176" s="8" t="s">
        <v>17</v>
      </c>
      <c r="J176" s="8" t="s">
        <v>1651</v>
      </c>
    </row>
    <row r="177" spans="1:10" x14ac:dyDescent="0.25" outlineLevel="2" collapsed="1">
      <c r="A177" s="7" t="s">
        <v>15</v>
      </c>
      <c r="B177" s="7" t="s">
        <v>16</v>
      </c>
      <c r="C177" s="7" t="s">
        <v>17</v>
      </c>
      <c r="D177" s="7"/>
      <c r="E177" s="7" t="s">
        <v>1431</v>
      </c>
      <c r="F177" s="7" t="s">
        <v>19</v>
      </c>
      <c r="G177" s="7" t="s">
        <v>31</v>
      </c>
      <c r="H177" s="7" t="s">
        <v>17</v>
      </c>
      <c r="I177" s="7" t="s">
        <v>17</v>
      </c>
      <c r="J177" s="7" t="s">
        <v>637</v>
      </c>
    </row>
    <row r="178" spans="1:10" x14ac:dyDescent="0.25" outlineLevel="2" collapsed="1">
      <c r="A178" s="7" t="s">
        <v>15</v>
      </c>
      <c r="B178" s="7" t="s">
        <v>16</v>
      </c>
      <c r="C178" s="7" t="s">
        <v>17</v>
      </c>
      <c r="D178" s="7"/>
      <c r="E178" s="7" t="s">
        <v>638</v>
      </c>
      <c r="F178" s="7" t="s">
        <v>19</v>
      </c>
      <c r="G178" s="7" t="s">
        <v>31</v>
      </c>
      <c r="H178" s="7" t="s">
        <v>17</v>
      </c>
      <c r="I178" s="7" t="s">
        <v>17</v>
      </c>
      <c r="J178" s="7" t="s">
        <v>640</v>
      </c>
    </row>
    <row r="179" spans="1:10" x14ac:dyDescent="0.25" outlineLevel="2" collapsed="1">
      <c r="A179" s="7" t="s">
        <v>15</v>
      </c>
      <c r="B179" s="7" t="s">
        <v>16</v>
      </c>
      <c r="C179" s="7" t="s">
        <v>17</v>
      </c>
      <c r="D179" s="7"/>
      <c r="E179" s="7" t="s">
        <v>9</v>
      </c>
      <c r="F179" s="7" t="s">
        <v>19</v>
      </c>
      <c r="G179" s="7" t="s">
        <v>31</v>
      </c>
      <c r="H179" s="7" t="s">
        <v>17</v>
      </c>
      <c r="I179" s="7" t="s">
        <v>17</v>
      </c>
      <c r="J179" s="7" t="s">
        <v>843</v>
      </c>
    </row>
    <row r="180" spans="1:10" x14ac:dyDescent="0.25" outlineLevel="2" collapsed="1">
      <c r="A180" s="7" t="s">
        <v>19</v>
      </c>
      <c r="B180" s="7" t="s">
        <v>16</v>
      </c>
      <c r="C180" s="7" t="s">
        <v>17</v>
      </c>
      <c r="D180" s="7"/>
      <c r="E180" s="7" t="s">
        <v>1600</v>
      </c>
      <c r="F180" s="7" t="s">
        <v>19</v>
      </c>
      <c r="G180" s="7" t="s">
        <v>31</v>
      </c>
      <c r="H180" s="7" t="s">
        <v>17</v>
      </c>
      <c r="I180" s="7" t="s">
        <v>17</v>
      </c>
      <c r="J180" s="7" t="s">
        <v>1424</v>
      </c>
    </row>
    <row r="181" spans="1:10" x14ac:dyDescent="0.25" outlineLevel="2" collapsed="1">
      <c r="A181" s="7" t="s">
        <v>15</v>
      </c>
      <c r="B181" s="7" t="s">
        <v>16</v>
      </c>
      <c r="C181" s="7" t="s">
        <v>17</v>
      </c>
      <c r="D181" s="7"/>
      <c r="E181" s="7" t="s">
        <v>1601</v>
      </c>
      <c r="F181" s="7" t="s">
        <v>19</v>
      </c>
      <c r="G181" s="7" t="s">
        <v>31</v>
      </c>
      <c r="H181" s="7" t="s">
        <v>17</v>
      </c>
      <c r="I181" s="7" t="s">
        <v>17</v>
      </c>
      <c r="J181" s="7" t="s">
        <v>1602</v>
      </c>
    </row>
    <row r="182" spans="1:10" x14ac:dyDescent="0.25" outlineLevel="2" collapsed="1">
      <c r="A182" s="7" t="s">
        <v>15</v>
      </c>
      <c r="B182" s="7" t="s">
        <v>16</v>
      </c>
      <c r="C182" s="7" t="s">
        <v>17</v>
      </c>
      <c r="D182" s="7"/>
      <c r="E182" s="7" t="s">
        <v>1603</v>
      </c>
      <c r="F182" s="7" t="s">
        <v>19</v>
      </c>
      <c r="G182" s="7" t="s">
        <v>31</v>
      </c>
      <c r="H182" s="7" t="s">
        <v>17</v>
      </c>
      <c r="I182" s="7" t="s">
        <v>17</v>
      </c>
      <c r="J182" s="7" t="s">
        <v>1422</v>
      </c>
    </row>
    <row r="183" spans="1:10" x14ac:dyDescent="0.25" outlineLevel="2" collapsed="1">
      <c r="A183" s="7" t="s">
        <v>15</v>
      </c>
      <c r="B183" s="7" t="s">
        <v>284</v>
      </c>
      <c r="C183" s="11" t="s">
        <v>1604</v>
      </c>
      <c r="D183" s="7"/>
      <c r="E183" s="7" t="s">
        <v>1605</v>
      </c>
      <c r="F183" s="7" t="s">
        <v>19</v>
      </c>
      <c r="G183" s="7" t="s">
        <v>1606</v>
      </c>
      <c r="H183" s="7" t="s">
        <v>17</v>
      </c>
      <c r="I183" s="7" t="s">
        <v>17</v>
      </c>
      <c r="J183" s="7" t="s">
        <v>1607</v>
      </c>
    </row>
    <row r="184" spans="1:10" x14ac:dyDescent="0.25" outlineLevel="2" collapsed="1">
      <c r="A184" s="7" t="s">
        <v>19</v>
      </c>
      <c r="B184" s="7" t="s">
        <v>63</v>
      </c>
      <c r="C184" s="7" t="s">
        <v>17</v>
      </c>
      <c r="D184" s="7">
        <f>EXACT(G183,"Single value")</f>
      </c>
      <c r="E184" s="7" t="s">
        <v>1608</v>
      </c>
      <c r="F184" s="7" t="s">
        <v>19</v>
      </c>
      <c r="G184" s="7">
        <v>1</v>
      </c>
      <c r="H184" s="7" t="s">
        <v>17</v>
      </c>
      <c r="I184" s="7" t="s">
        <v>17</v>
      </c>
      <c r="J184" s="7" t="s">
        <v>1609</v>
      </c>
    </row>
    <row r="185" spans="1:10" x14ac:dyDescent="0.25" outlineLevel="2" collapsed="1">
      <c r="A185" s="7" t="s">
        <v>15</v>
      </c>
      <c r="B185" s="7" t="s">
        <v>16</v>
      </c>
      <c r="C185" s="7" t="s">
        <v>17</v>
      </c>
      <c r="D185" s="7"/>
      <c r="E185" s="7" t="s">
        <v>1610</v>
      </c>
      <c r="F185" s="7" t="s">
        <v>19</v>
      </c>
      <c r="G185" s="7" t="s">
        <v>31</v>
      </c>
      <c r="H185" s="7" t="s">
        <v>17</v>
      </c>
      <c r="I185" s="7" t="s">
        <v>17</v>
      </c>
      <c r="J185" s="7" t="s">
        <v>1191</v>
      </c>
    </row>
    <row r="186" spans="1:10" x14ac:dyDescent="0.25" outlineLevel="2" collapsed="1">
      <c r="A186" s="7" t="s">
        <v>15</v>
      </c>
      <c r="B186" s="7" t="s">
        <v>284</v>
      </c>
      <c r="C186" s="11" t="s">
        <v>1611</v>
      </c>
      <c r="D186" s="7"/>
      <c r="E186" s="7" t="s">
        <v>1612</v>
      </c>
      <c r="F186" s="7" t="s">
        <v>19</v>
      </c>
      <c r="G186" s="7" t="s">
        <v>1613</v>
      </c>
      <c r="H186" s="7" t="s">
        <v>17</v>
      </c>
      <c r="I186" s="7" t="s">
        <v>17</v>
      </c>
      <c r="J186" s="7" t="s">
        <v>1614</v>
      </c>
    </row>
    <row r="187" spans="1:10" x14ac:dyDescent="0.25" outlineLevel="2" collapsed="1">
      <c r="A187" s="7" t="s">
        <v>19</v>
      </c>
      <c r="B187" s="7" t="s">
        <v>16</v>
      </c>
      <c r="C187" s="7" t="s">
        <v>17</v>
      </c>
      <c r="D187" s="7"/>
      <c r="E187" s="7" t="s">
        <v>1615</v>
      </c>
      <c r="F187" s="7" t="s">
        <v>19</v>
      </c>
      <c r="G187" s="7" t="s">
        <v>31</v>
      </c>
      <c r="H187" s="7" t="s">
        <v>17</v>
      </c>
      <c r="I187" s="7" t="s">
        <v>17</v>
      </c>
      <c r="J187" s="7" t="s">
        <v>1616</v>
      </c>
    </row>
    <row r="188" spans="1:10" x14ac:dyDescent="0.25">
      <c r="A188" s="5" t="s">
        <v>19</v>
      </c>
      <c r="B188" s="6" t="s">
        <v>1652</v>
      </c>
      <c r="C188" s="5" t="s">
        <v>17</v>
      </c>
      <c r="D188" s="5"/>
      <c r="E188" s="5" t="s">
        <v>1653</v>
      </c>
      <c r="F188" s="5" t="s">
        <v>19</v>
      </c>
      <c r="G188" s="5" t="s">
        <v>17</v>
      </c>
      <c r="H188" s="5" t="s">
        <v>17</v>
      </c>
      <c r="I188" s="5" t="s">
        <v>17</v>
      </c>
      <c r="J188" s="5" t="s">
        <v>1654</v>
      </c>
    </row>
    <row r="189" spans="1:10" x14ac:dyDescent="0.25" outlineLevel="1" collapsed="1">
      <c r="A189" s="8" t="s">
        <v>19</v>
      </c>
      <c r="B189" s="9" t="s">
        <v>1597</v>
      </c>
      <c r="C189" s="8" t="s">
        <v>17</v>
      </c>
      <c r="D189" s="8"/>
      <c r="E189" s="8" t="s">
        <v>1655</v>
      </c>
      <c r="F189" s="8" t="s">
        <v>19</v>
      </c>
      <c r="G189" s="8" t="s">
        <v>17</v>
      </c>
      <c r="H189" s="8" t="s">
        <v>17</v>
      </c>
      <c r="I189" s="8" t="s">
        <v>17</v>
      </c>
      <c r="J189" s="8" t="s">
        <v>1656</v>
      </c>
    </row>
    <row r="190" spans="1:10" x14ac:dyDescent="0.25" outlineLevel="2" collapsed="1">
      <c r="A190" s="7" t="s">
        <v>15</v>
      </c>
      <c r="B190" s="7" t="s">
        <v>16</v>
      </c>
      <c r="C190" s="7" t="s">
        <v>17</v>
      </c>
      <c r="D190" s="7"/>
      <c r="E190" s="7" t="s">
        <v>1431</v>
      </c>
      <c r="F190" s="7" t="s">
        <v>19</v>
      </c>
      <c r="G190" s="7" t="s">
        <v>31</v>
      </c>
      <c r="H190" s="7" t="s">
        <v>17</v>
      </c>
      <c r="I190" s="7" t="s">
        <v>17</v>
      </c>
      <c r="J190" s="7" t="s">
        <v>637</v>
      </c>
    </row>
    <row r="191" spans="1:10" x14ac:dyDescent="0.25" outlineLevel="2" collapsed="1">
      <c r="A191" s="7" t="s">
        <v>15</v>
      </c>
      <c r="B191" s="7" t="s">
        <v>16</v>
      </c>
      <c r="C191" s="7" t="s">
        <v>17</v>
      </c>
      <c r="D191" s="7"/>
      <c r="E191" s="7" t="s">
        <v>638</v>
      </c>
      <c r="F191" s="7" t="s">
        <v>19</v>
      </c>
      <c r="G191" s="7" t="s">
        <v>31</v>
      </c>
      <c r="H191" s="7" t="s">
        <v>17</v>
      </c>
      <c r="I191" s="7" t="s">
        <v>17</v>
      </c>
      <c r="J191" s="7" t="s">
        <v>640</v>
      </c>
    </row>
    <row r="192" spans="1:10" x14ac:dyDescent="0.25" outlineLevel="2" collapsed="1">
      <c r="A192" s="7" t="s">
        <v>15</v>
      </c>
      <c r="B192" s="7" t="s">
        <v>16</v>
      </c>
      <c r="C192" s="7" t="s">
        <v>17</v>
      </c>
      <c r="D192" s="7"/>
      <c r="E192" s="7" t="s">
        <v>9</v>
      </c>
      <c r="F192" s="7" t="s">
        <v>19</v>
      </c>
      <c r="G192" s="7" t="s">
        <v>31</v>
      </c>
      <c r="H192" s="7" t="s">
        <v>17</v>
      </c>
      <c r="I192" s="7" t="s">
        <v>17</v>
      </c>
      <c r="J192" s="7" t="s">
        <v>843</v>
      </c>
    </row>
    <row r="193" spans="1:10" x14ac:dyDescent="0.25" outlineLevel="2" collapsed="1">
      <c r="A193" s="7" t="s">
        <v>19</v>
      </c>
      <c r="B193" s="7" t="s">
        <v>16</v>
      </c>
      <c r="C193" s="7" t="s">
        <v>17</v>
      </c>
      <c r="D193" s="7"/>
      <c r="E193" s="7" t="s">
        <v>1600</v>
      </c>
      <c r="F193" s="7" t="s">
        <v>19</v>
      </c>
      <c r="G193" s="7" t="s">
        <v>31</v>
      </c>
      <c r="H193" s="7" t="s">
        <v>17</v>
      </c>
      <c r="I193" s="7" t="s">
        <v>17</v>
      </c>
      <c r="J193" s="7" t="s">
        <v>1424</v>
      </c>
    </row>
    <row r="194" spans="1:10" x14ac:dyDescent="0.25" outlineLevel="2" collapsed="1">
      <c r="A194" s="7" t="s">
        <v>15</v>
      </c>
      <c r="B194" s="7" t="s">
        <v>16</v>
      </c>
      <c r="C194" s="7" t="s">
        <v>17</v>
      </c>
      <c r="D194" s="7"/>
      <c r="E194" s="7" t="s">
        <v>1601</v>
      </c>
      <c r="F194" s="7" t="s">
        <v>19</v>
      </c>
      <c r="G194" s="7" t="s">
        <v>31</v>
      </c>
      <c r="H194" s="7" t="s">
        <v>17</v>
      </c>
      <c r="I194" s="7" t="s">
        <v>17</v>
      </c>
      <c r="J194" s="7" t="s">
        <v>1602</v>
      </c>
    </row>
    <row r="195" spans="1:10" x14ac:dyDescent="0.25" outlineLevel="2" collapsed="1">
      <c r="A195" s="7" t="s">
        <v>15</v>
      </c>
      <c r="B195" s="7" t="s">
        <v>16</v>
      </c>
      <c r="C195" s="7" t="s">
        <v>17</v>
      </c>
      <c r="D195" s="7"/>
      <c r="E195" s="7" t="s">
        <v>1603</v>
      </c>
      <c r="F195" s="7" t="s">
        <v>19</v>
      </c>
      <c r="G195" s="7" t="s">
        <v>31</v>
      </c>
      <c r="H195" s="7" t="s">
        <v>17</v>
      </c>
      <c r="I195" s="7" t="s">
        <v>17</v>
      </c>
      <c r="J195" s="7" t="s">
        <v>1422</v>
      </c>
    </row>
    <row r="196" spans="1:10" x14ac:dyDescent="0.25" outlineLevel="2" collapsed="1">
      <c r="A196" s="7" t="s">
        <v>15</v>
      </c>
      <c r="B196" s="7" t="s">
        <v>284</v>
      </c>
      <c r="C196" s="11" t="s">
        <v>1604</v>
      </c>
      <c r="D196" s="7"/>
      <c r="E196" s="7" t="s">
        <v>1605</v>
      </c>
      <c r="F196" s="7" t="s">
        <v>19</v>
      </c>
      <c r="G196" s="7" t="s">
        <v>1606</v>
      </c>
      <c r="H196" s="7" t="s">
        <v>17</v>
      </c>
      <c r="I196" s="7" t="s">
        <v>17</v>
      </c>
      <c r="J196" s="7" t="s">
        <v>1607</v>
      </c>
    </row>
    <row r="197" spans="1:10" x14ac:dyDescent="0.25" outlineLevel="2" collapsed="1">
      <c r="A197" s="7" t="s">
        <v>19</v>
      </c>
      <c r="B197" s="7" t="s">
        <v>63</v>
      </c>
      <c r="C197" s="7" t="s">
        <v>17</v>
      </c>
      <c r="D197" s="7">
        <f>EXACT(G196,"Single value")</f>
      </c>
      <c r="E197" s="7" t="s">
        <v>1608</v>
      </c>
      <c r="F197" s="7" t="s">
        <v>19</v>
      </c>
      <c r="G197" s="7">
        <v>1</v>
      </c>
      <c r="H197" s="7" t="s">
        <v>17</v>
      </c>
      <c r="I197" s="7" t="s">
        <v>17</v>
      </c>
      <c r="J197" s="7" t="s">
        <v>1609</v>
      </c>
    </row>
    <row r="198" spans="1:10" x14ac:dyDescent="0.25" outlineLevel="2" collapsed="1">
      <c r="A198" s="7" t="s">
        <v>15</v>
      </c>
      <c r="B198" s="7" t="s">
        <v>16</v>
      </c>
      <c r="C198" s="7" t="s">
        <v>17</v>
      </c>
      <c r="D198" s="7"/>
      <c r="E198" s="7" t="s">
        <v>1610</v>
      </c>
      <c r="F198" s="7" t="s">
        <v>19</v>
      </c>
      <c r="G198" s="7" t="s">
        <v>31</v>
      </c>
      <c r="H198" s="7" t="s">
        <v>17</v>
      </c>
      <c r="I198" s="7" t="s">
        <v>17</v>
      </c>
      <c r="J198" s="7" t="s">
        <v>1191</v>
      </c>
    </row>
    <row r="199" spans="1:10" x14ac:dyDescent="0.25" outlineLevel="2" collapsed="1">
      <c r="A199" s="7" t="s">
        <v>15</v>
      </c>
      <c r="B199" s="7" t="s">
        <v>284</v>
      </c>
      <c r="C199" s="11" t="s">
        <v>1611</v>
      </c>
      <c r="D199" s="7"/>
      <c r="E199" s="7" t="s">
        <v>1612</v>
      </c>
      <c r="F199" s="7" t="s">
        <v>19</v>
      </c>
      <c r="G199" s="7" t="s">
        <v>1613</v>
      </c>
      <c r="H199" s="7" t="s">
        <v>17</v>
      </c>
      <c r="I199" s="7" t="s">
        <v>17</v>
      </c>
      <c r="J199" s="7" t="s">
        <v>1614</v>
      </c>
    </row>
    <row r="200" spans="1:10" x14ac:dyDescent="0.25" outlineLevel="2" collapsed="1">
      <c r="A200" s="7" t="s">
        <v>19</v>
      </c>
      <c r="B200" s="7" t="s">
        <v>16</v>
      </c>
      <c r="C200" s="7" t="s">
        <v>17</v>
      </c>
      <c r="D200" s="7"/>
      <c r="E200" s="7" t="s">
        <v>1615</v>
      </c>
      <c r="F200" s="7" t="s">
        <v>19</v>
      </c>
      <c r="G200" s="7" t="s">
        <v>31</v>
      </c>
      <c r="H200" s="7" t="s">
        <v>17</v>
      </c>
      <c r="I200" s="7" t="s">
        <v>17</v>
      </c>
      <c r="J200" s="7" t="s">
        <v>1616</v>
      </c>
    </row>
    <row r="201" spans="1:10" x14ac:dyDescent="0.25" outlineLevel="1" collapsed="1">
      <c r="A201" s="8" t="s">
        <v>19</v>
      </c>
      <c r="B201" s="9" t="s">
        <v>1597</v>
      </c>
      <c r="C201" s="8" t="s">
        <v>17</v>
      </c>
      <c r="D201" s="8"/>
      <c r="E201" s="8" t="s">
        <v>1657</v>
      </c>
      <c r="F201" s="8" t="s">
        <v>19</v>
      </c>
      <c r="G201" s="8" t="s">
        <v>17</v>
      </c>
      <c r="H201" s="8" t="s">
        <v>17</v>
      </c>
      <c r="I201" s="8" t="s">
        <v>17</v>
      </c>
      <c r="J201" s="8" t="s">
        <v>1658</v>
      </c>
    </row>
    <row r="202" spans="1:10" x14ac:dyDescent="0.25" outlineLevel="2" collapsed="1">
      <c r="A202" s="7" t="s">
        <v>15</v>
      </c>
      <c r="B202" s="7" t="s">
        <v>16</v>
      </c>
      <c r="C202" s="7" t="s">
        <v>17</v>
      </c>
      <c r="D202" s="7"/>
      <c r="E202" s="7" t="s">
        <v>1431</v>
      </c>
      <c r="F202" s="7" t="s">
        <v>19</v>
      </c>
      <c r="G202" s="7" t="s">
        <v>31</v>
      </c>
      <c r="H202" s="7" t="s">
        <v>17</v>
      </c>
      <c r="I202" s="7" t="s">
        <v>17</v>
      </c>
      <c r="J202" s="7" t="s">
        <v>637</v>
      </c>
    </row>
    <row r="203" spans="1:10" x14ac:dyDescent="0.25" outlineLevel="2" collapsed="1">
      <c r="A203" s="7" t="s">
        <v>15</v>
      </c>
      <c r="B203" s="7" t="s">
        <v>16</v>
      </c>
      <c r="C203" s="7" t="s">
        <v>17</v>
      </c>
      <c r="D203" s="7"/>
      <c r="E203" s="7" t="s">
        <v>638</v>
      </c>
      <c r="F203" s="7" t="s">
        <v>19</v>
      </c>
      <c r="G203" s="7" t="s">
        <v>31</v>
      </c>
      <c r="H203" s="7" t="s">
        <v>17</v>
      </c>
      <c r="I203" s="7" t="s">
        <v>17</v>
      </c>
      <c r="J203" s="7" t="s">
        <v>640</v>
      </c>
    </row>
    <row r="204" spans="1:10" x14ac:dyDescent="0.25" outlineLevel="2" collapsed="1">
      <c r="A204" s="7" t="s">
        <v>15</v>
      </c>
      <c r="B204" s="7" t="s">
        <v>16</v>
      </c>
      <c r="C204" s="7" t="s">
        <v>17</v>
      </c>
      <c r="D204" s="7"/>
      <c r="E204" s="7" t="s">
        <v>9</v>
      </c>
      <c r="F204" s="7" t="s">
        <v>19</v>
      </c>
      <c r="G204" s="7" t="s">
        <v>31</v>
      </c>
      <c r="H204" s="7" t="s">
        <v>17</v>
      </c>
      <c r="I204" s="7" t="s">
        <v>17</v>
      </c>
      <c r="J204" s="7" t="s">
        <v>843</v>
      </c>
    </row>
    <row r="205" spans="1:10" x14ac:dyDescent="0.25" outlineLevel="2" collapsed="1">
      <c r="A205" s="7" t="s">
        <v>19</v>
      </c>
      <c r="B205" s="7" t="s">
        <v>16</v>
      </c>
      <c r="C205" s="7" t="s">
        <v>17</v>
      </c>
      <c r="D205" s="7"/>
      <c r="E205" s="7" t="s">
        <v>1600</v>
      </c>
      <c r="F205" s="7" t="s">
        <v>19</v>
      </c>
      <c r="G205" s="7" t="s">
        <v>31</v>
      </c>
      <c r="H205" s="7" t="s">
        <v>17</v>
      </c>
      <c r="I205" s="7" t="s">
        <v>17</v>
      </c>
      <c r="J205" s="7" t="s">
        <v>1424</v>
      </c>
    </row>
    <row r="206" spans="1:10" x14ac:dyDescent="0.25" outlineLevel="2" collapsed="1">
      <c r="A206" s="7" t="s">
        <v>15</v>
      </c>
      <c r="B206" s="7" t="s">
        <v>16</v>
      </c>
      <c r="C206" s="7" t="s">
        <v>17</v>
      </c>
      <c r="D206" s="7"/>
      <c r="E206" s="7" t="s">
        <v>1601</v>
      </c>
      <c r="F206" s="7" t="s">
        <v>19</v>
      </c>
      <c r="G206" s="7" t="s">
        <v>31</v>
      </c>
      <c r="H206" s="7" t="s">
        <v>17</v>
      </c>
      <c r="I206" s="7" t="s">
        <v>17</v>
      </c>
      <c r="J206" s="7" t="s">
        <v>1602</v>
      </c>
    </row>
    <row r="207" spans="1:10" x14ac:dyDescent="0.25" outlineLevel="2" collapsed="1">
      <c r="A207" s="7" t="s">
        <v>15</v>
      </c>
      <c r="B207" s="7" t="s">
        <v>16</v>
      </c>
      <c r="C207" s="7" t="s">
        <v>17</v>
      </c>
      <c r="D207" s="7"/>
      <c r="E207" s="7" t="s">
        <v>1603</v>
      </c>
      <c r="F207" s="7" t="s">
        <v>19</v>
      </c>
      <c r="G207" s="7" t="s">
        <v>31</v>
      </c>
      <c r="H207" s="7" t="s">
        <v>17</v>
      </c>
      <c r="I207" s="7" t="s">
        <v>17</v>
      </c>
      <c r="J207" s="7" t="s">
        <v>1422</v>
      </c>
    </row>
    <row r="208" spans="1:10" x14ac:dyDescent="0.25" outlineLevel="2" collapsed="1">
      <c r="A208" s="7" t="s">
        <v>15</v>
      </c>
      <c r="B208" s="7" t="s">
        <v>284</v>
      </c>
      <c r="C208" s="11" t="s">
        <v>1604</v>
      </c>
      <c r="D208" s="7"/>
      <c r="E208" s="7" t="s">
        <v>1605</v>
      </c>
      <c r="F208" s="7" t="s">
        <v>19</v>
      </c>
      <c r="G208" s="7" t="s">
        <v>1606</v>
      </c>
      <c r="H208" s="7" t="s">
        <v>17</v>
      </c>
      <c r="I208" s="7" t="s">
        <v>17</v>
      </c>
      <c r="J208" s="7" t="s">
        <v>1607</v>
      </c>
    </row>
    <row r="209" spans="1:10" x14ac:dyDescent="0.25" outlineLevel="2" collapsed="1">
      <c r="A209" s="7" t="s">
        <v>19</v>
      </c>
      <c r="B209" s="7" t="s">
        <v>63</v>
      </c>
      <c r="C209" s="7" t="s">
        <v>17</v>
      </c>
      <c r="D209" s="7">
        <f>EXACT(G208,"Single value")</f>
      </c>
      <c r="E209" s="7" t="s">
        <v>1608</v>
      </c>
      <c r="F209" s="7" t="s">
        <v>19</v>
      </c>
      <c r="G209" s="7">
        <v>1</v>
      </c>
      <c r="H209" s="7" t="s">
        <v>17</v>
      </c>
      <c r="I209" s="7" t="s">
        <v>17</v>
      </c>
      <c r="J209" s="7" t="s">
        <v>1609</v>
      </c>
    </row>
    <row r="210" spans="1:10" x14ac:dyDescent="0.25" outlineLevel="2" collapsed="1">
      <c r="A210" s="7" t="s">
        <v>15</v>
      </c>
      <c r="B210" s="7" t="s">
        <v>16</v>
      </c>
      <c r="C210" s="7" t="s">
        <v>17</v>
      </c>
      <c r="D210" s="7"/>
      <c r="E210" s="7" t="s">
        <v>1610</v>
      </c>
      <c r="F210" s="7" t="s">
        <v>19</v>
      </c>
      <c r="G210" s="7" t="s">
        <v>31</v>
      </c>
      <c r="H210" s="7" t="s">
        <v>17</v>
      </c>
      <c r="I210" s="7" t="s">
        <v>17</v>
      </c>
      <c r="J210" s="7" t="s">
        <v>1191</v>
      </c>
    </row>
    <row r="211" spans="1:10" x14ac:dyDescent="0.25" outlineLevel="2" collapsed="1">
      <c r="A211" s="7" t="s">
        <v>15</v>
      </c>
      <c r="B211" s="7" t="s">
        <v>284</v>
      </c>
      <c r="C211" s="11" t="s">
        <v>1611</v>
      </c>
      <c r="D211" s="7"/>
      <c r="E211" s="7" t="s">
        <v>1612</v>
      </c>
      <c r="F211" s="7" t="s">
        <v>19</v>
      </c>
      <c r="G211" s="7" t="s">
        <v>1613</v>
      </c>
      <c r="H211" s="7" t="s">
        <v>17</v>
      </c>
      <c r="I211" s="7" t="s">
        <v>17</v>
      </c>
      <c r="J211" s="7" t="s">
        <v>1614</v>
      </c>
    </row>
    <row r="212" spans="1:10" x14ac:dyDescent="0.25" outlineLevel="2" collapsed="1">
      <c r="A212" s="7" t="s">
        <v>19</v>
      </c>
      <c r="B212" s="7" t="s">
        <v>16</v>
      </c>
      <c r="C212" s="7" t="s">
        <v>17</v>
      </c>
      <c r="D212" s="7"/>
      <c r="E212" s="7" t="s">
        <v>1615</v>
      </c>
      <c r="F212" s="7" t="s">
        <v>19</v>
      </c>
      <c r="G212" s="7" t="s">
        <v>31</v>
      </c>
      <c r="H212" s="7" t="s">
        <v>17</v>
      </c>
      <c r="I212" s="7" t="s">
        <v>17</v>
      </c>
      <c r="J212" s="7" t="s">
        <v>1616</v>
      </c>
    </row>
    <row r="213" spans="1:10" x14ac:dyDescent="0.25">
      <c r="A213" s="5" t="s">
        <v>15</v>
      </c>
      <c r="B213" s="6" t="s">
        <v>1659</v>
      </c>
      <c r="C213" s="5" t="s">
        <v>17</v>
      </c>
      <c r="D213" s="5"/>
      <c r="E213" s="5" t="s">
        <v>1660</v>
      </c>
      <c r="F213" s="5" t="s">
        <v>19</v>
      </c>
      <c r="G213" s="5" t="s">
        <v>17</v>
      </c>
      <c r="H213" s="5" t="s">
        <v>17</v>
      </c>
      <c r="I213" s="5" t="s">
        <v>17</v>
      </c>
      <c r="J213" s="5" t="s">
        <v>1661</v>
      </c>
    </row>
    <row r="214" spans="1:10" x14ac:dyDescent="0.25" outlineLevel="1" collapsed="1">
      <c r="A214" s="8" t="s">
        <v>15</v>
      </c>
      <c r="B214" s="9" t="s">
        <v>1597</v>
      </c>
      <c r="C214" s="8" t="s">
        <v>17</v>
      </c>
      <c r="D214" s="8"/>
      <c r="E214" s="8" t="s">
        <v>1662</v>
      </c>
      <c r="F214" s="8" t="s">
        <v>19</v>
      </c>
      <c r="G214" s="8" t="s">
        <v>17</v>
      </c>
      <c r="H214" s="8" t="s">
        <v>17</v>
      </c>
      <c r="I214" s="8" t="s">
        <v>17</v>
      </c>
      <c r="J214" s="8" t="s">
        <v>1663</v>
      </c>
    </row>
    <row r="215" spans="1:10" x14ac:dyDescent="0.25" outlineLevel="2" collapsed="1">
      <c r="A215" s="7" t="s">
        <v>15</v>
      </c>
      <c r="B215" s="7" t="s">
        <v>16</v>
      </c>
      <c r="C215" s="7" t="s">
        <v>17</v>
      </c>
      <c r="D215" s="7"/>
      <c r="E215" s="7" t="s">
        <v>1431</v>
      </c>
      <c r="F215" s="7" t="s">
        <v>19</v>
      </c>
      <c r="G215" s="7" t="s">
        <v>31</v>
      </c>
      <c r="H215" s="7" t="s">
        <v>17</v>
      </c>
      <c r="I215" s="7" t="s">
        <v>17</v>
      </c>
      <c r="J215" s="7" t="s">
        <v>637</v>
      </c>
    </row>
    <row r="216" spans="1:10" x14ac:dyDescent="0.25" outlineLevel="2" collapsed="1">
      <c r="A216" s="7" t="s">
        <v>15</v>
      </c>
      <c r="B216" s="7" t="s">
        <v>16</v>
      </c>
      <c r="C216" s="7" t="s">
        <v>17</v>
      </c>
      <c r="D216" s="7"/>
      <c r="E216" s="7" t="s">
        <v>638</v>
      </c>
      <c r="F216" s="7" t="s">
        <v>19</v>
      </c>
      <c r="G216" s="7" t="s">
        <v>31</v>
      </c>
      <c r="H216" s="7" t="s">
        <v>17</v>
      </c>
      <c r="I216" s="7" t="s">
        <v>17</v>
      </c>
      <c r="J216" s="7" t="s">
        <v>640</v>
      </c>
    </row>
    <row r="217" spans="1:10" x14ac:dyDescent="0.25" outlineLevel="2" collapsed="1">
      <c r="A217" s="7" t="s">
        <v>15</v>
      </c>
      <c r="B217" s="7" t="s">
        <v>16</v>
      </c>
      <c r="C217" s="7" t="s">
        <v>17</v>
      </c>
      <c r="D217" s="7"/>
      <c r="E217" s="7" t="s">
        <v>9</v>
      </c>
      <c r="F217" s="7" t="s">
        <v>19</v>
      </c>
      <c r="G217" s="7" t="s">
        <v>31</v>
      </c>
      <c r="H217" s="7" t="s">
        <v>17</v>
      </c>
      <c r="I217" s="7" t="s">
        <v>17</v>
      </c>
      <c r="J217" s="7" t="s">
        <v>843</v>
      </c>
    </row>
    <row r="218" spans="1:10" x14ac:dyDescent="0.25" outlineLevel="2" collapsed="1">
      <c r="A218" s="7" t="s">
        <v>19</v>
      </c>
      <c r="B218" s="7" t="s">
        <v>16</v>
      </c>
      <c r="C218" s="7" t="s">
        <v>17</v>
      </c>
      <c r="D218" s="7"/>
      <c r="E218" s="7" t="s">
        <v>1600</v>
      </c>
      <c r="F218" s="7" t="s">
        <v>19</v>
      </c>
      <c r="G218" s="7" t="s">
        <v>31</v>
      </c>
      <c r="H218" s="7" t="s">
        <v>17</v>
      </c>
      <c r="I218" s="7" t="s">
        <v>17</v>
      </c>
      <c r="J218" s="7" t="s">
        <v>1424</v>
      </c>
    </row>
    <row r="219" spans="1:10" x14ac:dyDescent="0.25" outlineLevel="2" collapsed="1">
      <c r="A219" s="7" t="s">
        <v>15</v>
      </c>
      <c r="B219" s="7" t="s">
        <v>16</v>
      </c>
      <c r="C219" s="7" t="s">
        <v>17</v>
      </c>
      <c r="D219" s="7"/>
      <c r="E219" s="7" t="s">
        <v>1601</v>
      </c>
      <c r="F219" s="7" t="s">
        <v>19</v>
      </c>
      <c r="G219" s="7" t="s">
        <v>31</v>
      </c>
      <c r="H219" s="7" t="s">
        <v>17</v>
      </c>
      <c r="I219" s="7" t="s">
        <v>17</v>
      </c>
      <c r="J219" s="7" t="s">
        <v>1602</v>
      </c>
    </row>
    <row r="220" spans="1:10" x14ac:dyDescent="0.25" outlineLevel="2" collapsed="1">
      <c r="A220" s="7" t="s">
        <v>15</v>
      </c>
      <c r="B220" s="7" t="s">
        <v>16</v>
      </c>
      <c r="C220" s="7" t="s">
        <v>17</v>
      </c>
      <c r="D220" s="7"/>
      <c r="E220" s="7" t="s">
        <v>1603</v>
      </c>
      <c r="F220" s="7" t="s">
        <v>19</v>
      </c>
      <c r="G220" s="7" t="s">
        <v>31</v>
      </c>
      <c r="H220" s="7" t="s">
        <v>17</v>
      </c>
      <c r="I220" s="7" t="s">
        <v>17</v>
      </c>
      <c r="J220" s="7" t="s">
        <v>1422</v>
      </c>
    </row>
    <row r="221" spans="1:10" x14ac:dyDescent="0.25" outlineLevel="2" collapsed="1">
      <c r="A221" s="7" t="s">
        <v>15</v>
      </c>
      <c r="B221" s="7" t="s">
        <v>284</v>
      </c>
      <c r="C221" s="11" t="s">
        <v>1604</v>
      </c>
      <c r="D221" s="7"/>
      <c r="E221" s="7" t="s">
        <v>1605</v>
      </c>
      <c r="F221" s="7" t="s">
        <v>19</v>
      </c>
      <c r="G221" s="7" t="s">
        <v>1606</v>
      </c>
      <c r="H221" s="7" t="s">
        <v>17</v>
      </c>
      <c r="I221" s="7" t="s">
        <v>17</v>
      </c>
      <c r="J221" s="7" t="s">
        <v>1607</v>
      </c>
    </row>
    <row r="222" spans="1:10" x14ac:dyDescent="0.25" outlineLevel="2" collapsed="1">
      <c r="A222" s="7" t="s">
        <v>19</v>
      </c>
      <c r="B222" s="7" t="s">
        <v>63</v>
      </c>
      <c r="C222" s="7" t="s">
        <v>17</v>
      </c>
      <c r="D222" s="7">
        <f>EXACT(G221,"Single value")</f>
      </c>
      <c r="E222" s="7" t="s">
        <v>1608</v>
      </c>
      <c r="F222" s="7" t="s">
        <v>19</v>
      </c>
      <c r="G222" s="7">
        <v>1</v>
      </c>
      <c r="H222" s="7" t="s">
        <v>17</v>
      </c>
      <c r="I222" s="7" t="s">
        <v>17</v>
      </c>
      <c r="J222" s="7" t="s">
        <v>1609</v>
      </c>
    </row>
    <row r="223" spans="1:10" x14ac:dyDescent="0.25" outlineLevel="2" collapsed="1">
      <c r="A223" s="7" t="s">
        <v>15</v>
      </c>
      <c r="B223" s="7" t="s">
        <v>16</v>
      </c>
      <c r="C223" s="7" t="s">
        <v>17</v>
      </c>
      <c r="D223" s="7"/>
      <c r="E223" s="7" t="s">
        <v>1610</v>
      </c>
      <c r="F223" s="7" t="s">
        <v>19</v>
      </c>
      <c r="G223" s="7" t="s">
        <v>31</v>
      </c>
      <c r="H223" s="7" t="s">
        <v>17</v>
      </c>
      <c r="I223" s="7" t="s">
        <v>17</v>
      </c>
      <c r="J223" s="7" t="s">
        <v>1191</v>
      </c>
    </row>
    <row r="224" spans="1:10" x14ac:dyDescent="0.25" outlineLevel="2" collapsed="1">
      <c r="A224" s="7" t="s">
        <v>15</v>
      </c>
      <c r="B224" s="7" t="s">
        <v>284</v>
      </c>
      <c r="C224" s="11" t="s">
        <v>1611</v>
      </c>
      <c r="D224" s="7"/>
      <c r="E224" s="7" t="s">
        <v>1612</v>
      </c>
      <c r="F224" s="7" t="s">
        <v>19</v>
      </c>
      <c r="G224" s="7" t="s">
        <v>1613</v>
      </c>
      <c r="H224" s="7" t="s">
        <v>17</v>
      </c>
      <c r="I224" s="7" t="s">
        <v>17</v>
      </c>
      <c r="J224" s="7" t="s">
        <v>1614</v>
      </c>
    </row>
    <row r="225" spans="1:10" x14ac:dyDescent="0.25" outlineLevel="2" collapsed="1">
      <c r="A225" s="7" t="s">
        <v>19</v>
      </c>
      <c r="B225" s="7" t="s">
        <v>16</v>
      </c>
      <c r="C225" s="7" t="s">
        <v>17</v>
      </c>
      <c r="D225" s="7"/>
      <c r="E225" s="7" t="s">
        <v>1615</v>
      </c>
      <c r="F225" s="7" t="s">
        <v>19</v>
      </c>
      <c r="G225" s="7" t="s">
        <v>31</v>
      </c>
      <c r="H225" s="7" t="s">
        <v>17</v>
      </c>
      <c r="I225" s="7" t="s">
        <v>17</v>
      </c>
      <c r="J225" s="7" t="s">
        <v>1616</v>
      </c>
    </row>
    <row r="226" spans="1:10" x14ac:dyDescent="0.25">
      <c r="A226" s="5" t="s">
        <v>15</v>
      </c>
      <c r="B226" s="6" t="s">
        <v>2616</v>
      </c>
      <c r="C226" s="5" t="s">
        <v>17</v>
      </c>
      <c r="D226" s="5"/>
      <c r="E226" s="5" t="s">
        <v>1665</v>
      </c>
      <c r="F226" s="5" t="s">
        <v>19</v>
      </c>
      <c r="G226" s="5" t="s">
        <v>17</v>
      </c>
      <c r="H226" s="5" t="s">
        <v>17</v>
      </c>
      <c r="I226" s="5" t="s">
        <v>17</v>
      </c>
      <c r="J226" s="5" t="s">
        <v>1666</v>
      </c>
    </row>
    <row r="227" spans="1:10" x14ac:dyDescent="0.25" outlineLevel="1" collapsed="1">
      <c r="A227" s="8" t="s">
        <v>15</v>
      </c>
      <c r="B227" s="9" t="s">
        <v>2617</v>
      </c>
      <c r="C227" s="8" t="s">
        <v>17</v>
      </c>
      <c r="D227" s="8"/>
      <c r="E227" s="8" t="s">
        <v>1668</v>
      </c>
      <c r="F227" s="8" t="s">
        <v>19</v>
      </c>
      <c r="G227" s="8" t="s">
        <v>17</v>
      </c>
      <c r="H227" s="8" t="s">
        <v>17</v>
      </c>
      <c r="I227" s="8" t="s">
        <v>17</v>
      </c>
      <c r="J227" s="8" t="s">
        <v>1669</v>
      </c>
    </row>
    <row r="228" spans="1:10" x14ac:dyDescent="0.25" outlineLevel="2" collapsed="1">
      <c r="A228" s="7" t="s">
        <v>15</v>
      </c>
      <c r="B228" s="7" t="s">
        <v>16</v>
      </c>
      <c r="C228" s="7" t="s">
        <v>17</v>
      </c>
      <c r="D228" s="7"/>
      <c r="E228" s="7" t="s">
        <v>1670</v>
      </c>
      <c r="F228" s="7" t="s">
        <v>19</v>
      </c>
      <c r="G228" s="7" t="s">
        <v>31</v>
      </c>
      <c r="H228" s="7" t="s">
        <v>17</v>
      </c>
      <c r="I228" s="7" t="s">
        <v>17</v>
      </c>
      <c r="J228" s="7" t="s">
        <v>637</v>
      </c>
    </row>
    <row r="229" spans="1:10" x14ac:dyDescent="0.25" outlineLevel="2" collapsed="1">
      <c r="A229" s="7" t="s">
        <v>15</v>
      </c>
      <c r="B229" s="7" t="s">
        <v>16</v>
      </c>
      <c r="C229" s="7" t="s">
        <v>17</v>
      </c>
      <c r="D229" s="7"/>
      <c r="E229" s="7" t="s">
        <v>638</v>
      </c>
      <c r="F229" s="7" t="s">
        <v>19</v>
      </c>
      <c r="G229" s="7" t="s">
        <v>31</v>
      </c>
      <c r="H229" s="7" t="s">
        <v>17</v>
      </c>
      <c r="I229" s="7" t="s">
        <v>17</v>
      </c>
      <c r="J229" s="7" t="s">
        <v>640</v>
      </c>
    </row>
    <row r="230" spans="1:10" x14ac:dyDescent="0.25" outlineLevel="2" collapsed="1">
      <c r="A230" s="7" t="s">
        <v>15</v>
      </c>
      <c r="B230" s="7" t="s">
        <v>16</v>
      </c>
      <c r="C230" s="7" t="s">
        <v>17</v>
      </c>
      <c r="D230" s="7"/>
      <c r="E230" s="7" t="s">
        <v>9</v>
      </c>
      <c r="F230" s="7" t="s">
        <v>19</v>
      </c>
      <c r="G230" s="7" t="s">
        <v>31</v>
      </c>
      <c r="H230" s="7" t="s">
        <v>17</v>
      </c>
      <c r="I230" s="7" t="s">
        <v>17</v>
      </c>
      <c r="J230" s="7" t="s">
        <v>843</v>
      </c>
    </row>
    <row r="231" spans="1:10" x14ac:dyDescent="0.25" outlineLevel="2" collapsed="1">
      <c r="A231" s="7" t="s">
        <v>19</v>
      </c>
      <c r="B231" s="7" t="s">
        <v>16</v>
      </c>
      <c r="C231" s="7" t="s">
        <v>17</v>
      </c>
      <c r="D231" s="7"/>
      <c r="E231" s="7" t="s">
        <v>1600</v>
      </c>
      <c r="F231" s="7" t="s">
        <v>19</v>
      </c>
      <c r="G231" s="7" t="s">
        <v>31</v>
      </c>
      <c r="H231" s="7" t="s">
        <v>17</v>
      </c>
      <c r="I231" s="7" t="s">
        <v>17</v>
      </c>
      <c r="J231" s="7" t="s">
        <v>1424</v>
      </c>
    </row>
    <row r="232" spans="1:10" x14ac:dyDescent="0.25" outlineLevel="2" collapsed="1">
      <c r="A232" s="7" t="s">
        <v>15</v>
      </c>
      <c r="B232" s="7" t="s">
        <v>16</v>
      </c>
      <c r="C232" s="7" t="s">
        <v>17</v>
      </c>
      <c r="D232" s="7"/>
      <c r="E232" s="7" t="s">
        <v>1601</v>
      </c>
      <c r="F232" s="7" t="s">
        <v>19</v>
      </c>
      <c r="G232" s="7" t="s">
        <v>31</v>
      </c>
      <c r="H232" s="7" t="s">
        <v>17</v>
      </c>
      <c r="I232" s="7" t="s">
        <v>17</v>
      </c>
      <c r="J232" s="7" t="s">
        <v>1602</v>
      </c>
    </row>
    <row r="233" spans="1:10" x14ac:dyDescent="0.25" outlineLevel="2" collapsed="1">
      <c r="A233" s="7" t="s">
        <v>15</v>
      </c>
      <c r="B233" s="7" t="s">
        <v>16</v>
      </c>
      <c r="C233" s="7" t="s">
        <v>17</v>
      </c>
      <c r="D233" s="7"/>
      <c r="E233" s="7" t="s">
        <v>1671</v>
      </c>
      <c r="F233" s="7" t="s">
        <v>19</v>
      </c>
      <c r="G233" s="7" t="s">
        <v>31</v>
      </c>
      <c r="H233" s="7" t="s">
        <v>17</v>
      </c>
      <c r="I233" s="7" t="s">
        <v>17</v>
      </c>
      <c r="J233" s="7" t="s">
        <v>1672</v>
      </c>
    </row>
    <row r="234" spans="1:10" x14ac:dyDescent="0.25" outlineLevel="2" collapsed="1">
      <c r="A234" s="7" t="s">
        <v>15</v>
      </c>
      <c r="B234" s="7" t="s">
        <v>16</v>
      </c>
      <c r="C234" s="7" t="s">
        <v>17</v>
      </c>
      <c r="D234" s="7"/>
      <c r="E234" s="7" t="s">
        <v>1673</v>
      </c>
      <c r="F234" s="7" t="s">
        <v>19</v>
      </c>
      <c r="G234" s="7" t="s">
        <v>31</v>
      </c>
      <c r="H234" s="7" t="s">
        <v>17</v>
      </c>
      <c r="I234" s="7" t="s">
        <v>17</v>
      </c>
      <c r="J234" s="7" t="s">
        <v>1674</v>
      </c>
    </row>
    <row r="235" spans="1:10" x14ac:dyDescent="0.25" outlineLevel="2" collapsed="1">
      <c r="A235" s="7" t="s">
        <v>15</v>
      </c>
      <c r="B235" s="7" t="s">
        <v>16</v>
      </c>
      <c r="C235" s="7" t="s">
        <v>17</v>
      </c>
      <c r="D235" s="7"/>
      <c r="E235" s="7" t="s">
        <v>2618</v>
      </c>
      <c r="F235" s="7" t="s">
        <v>19</v>
      </c>
      <c r="G235" s="7" t="s">
        <v>31</v>
      </c>
      <c r="H235" s="7" t="s">
        <v>17</v>
      </c>
      <c r="I235" s="7" t="s">
        <v>17</v>
      </c>
      <c r="J235" s="7" t="s">
        <v>1422</v>
      </c>
    </row>
    <row r="236" spans="1:10" x14ac:dyDescent="0.25" outlineLevel="2" collapsed="1">
      <c r="A236" s="7" t="s">
        <v>15</v>
      </c>
      <c r="B236" s="7" t="s">
        <v>284</v>
      </c>
      <c r="C236" s="11" t="s">
        <v>2619</v>
      </c>
      <c r="D236" s="7"/>
      <c r="E236" s="7" t="s">
        <v>1605</v>
      </c>
      <c r="F236" s="7" t="s">
        <v>19</v>
      </c>
      <c r="G236" s="7" t="s">
        <v>1606</v>
      </c>
      <c r="H236" s="7" t="s">
        <v>17</v>
      </c>
      <c r="I236" s="7" t="s">
        <v>17</v>
      </c>
      <c r="J236" s="7" t="s">
        <v>1607</v>
      </c>
    </row>
    <row r="237" spans="1:10" x14ac:dyDescent="0.25" outlineLevel="2" collapsed="1">
      <c r="A237" s="7" t="s">
        <v>19</v>
      </c>
      <c r="B237" s="7" t="s">
        <v>63</v>
      </c>
      <c r="C237" s="7" t="s">
        <v>17</v>
      </c>
      <c r="D237" s="7">
        <f>EXACT(G236,"Single value")</f>
      </c>
      <c r="E237" s="7" t="s">
        <v>2620</v>
      </c>
      <c r="F237" s="7" t="s">
        <v>19</v>
      </c>
      <c r="G237" s="7">
        <v>1</v>
      </c>
      <c r="H237" s="7" t="s">
        <v>17</v>
      </c>
      <c r="I237" s="7" t="s">
        <v>17</v>
      </c>
      <c r="J237" s="7" t="s">
        <v>1609</v>
      </c>
    </row>
    <row r="238" spans="1:10" x14ac:dyDescent="0.25" outlineLevel="2" collapsed="1">
      <c r="A238" s="7" t="s">
        <v>19</v>
      </c>
      <c r="B238" s="7" t="s">
        <v>16</v>
      </c>
      <c r="C238" s="7" t="s">
        <v>17</v>
      </c>
      <c r="D238" s="7"/>
      <c r="E238" s="7" t="s">
        <v>1677</v>
      </c>
      <c r="F238" s="7" t="s">
        <v>19</v>
      </c>
      <c r="G238" s="7" t="s">
        <v>31</v>
      </c>
      <c r="H238" s="7" t="s">
        <v>17</v>
      </c>
      <c r="I238" s="7" t="s">
        <v>17</v>
      </c>
      <c r="J238" s="7" t="s">
        <v>1678</v>
      </c>
    </row>
    <row r="239" spans="1:10" x14ac:dyDescent="0.25" outlineLevel="2" collapsed="1">
      <c r="A239" s="7" t="s">
        <v>15</v>
      </c>
      <c r="B239" s="7" t="s">
        <v>16</v>
      </c>
      <c r="C239" s="7" t="s">
        <v>17</v>
      </c>
      <c r="D239" s="7"/>
      <c r="E239" s="7" t="s">
        <v>1679</v>
      </c>
      <c r="F239" s="7" t="s">
        <v>19</v>
      </c>
      <c r="G239" s="7" t="s">
        <v>31</v>
      </c>
      <c r="H239" s="7" t="s">
        <v>17</v>
      </c>
      <c r="I239" s="7" t="s">
        <v>17</v>
      </c>
      <c r="J239" s="7" t="s">
        <v>1680</v>
      </c>
    </row>
    <row r="240" spans="1:10" x14ac:dyDescent="0.25" outlineLevel="2" collapsed="1">
      <c r="A240" s="7" t="s">
        <v>15</v>
      </c>
      <c r="B240" s="7" t="s">
        <v>284</v>
      </c>
      <c r="C240" s="11" t="s">
        <v>2621</v>
      </c>
      <c r="D240" s="7"/>
      <c r="E240" s="7" t="s">
        <v>1612</v>
      </c>
      <c r="F240" s="7" t="s">
        <v>19</v>
      </c>
      <c r="G240" s="7" t="s">
        <v>1613</v>
      </c>
      <c r="H240" s="7" t="s">
        <v>17</v>
      </c>
      <c r="I240" s="7" t="s">
        <v>17</v>
      </c>
      <c r="J240" s="7" t="s">
        <v>1614</v>
      </c>
    </row>
    <row r="241" spans="1:10" x14ac:dyDescent="0.25" outlineLevel="2" collapsed="1">
      <c r="A241" s="7" t="s">
        <v>19</v>
      </c>
      <c r="B241" s="7" t="s">
        <v>16</v>
      </c>
      <c r="C241" s="7" t="s">
        <v>17</v>
      </c>
      <c r="D241" s="7"/>
      <c r="E241" s="7" t="s">
        <v>1681</v>
      </c>
      <c r="F241" s="7" t="s">
        <v>19</v>
      </c>
      <c r="G241" s="7" t="s">
        <v>31</v>
      </c>
      <c r="H241" s="7" t="s">
        <v>17</v>
      </c>
      <c r="I241" s="7" t="s">
        <v>17</v>
      </c>
      <c r="J241" s="7" t="s">
        <v>1682</v>
      </c>
    </row>
    <row r="242" spans="1:10" x14ac:dyDescent="0.25" outlineLevel="2" collapsed="1">
      <c r="A242" s="7" t="s">
        <v>19</v>
      </c>
      <c r="B242" s="7" t="s">
        <v>16</v>
      </c>
      <c r="C242" s="7" t="s">
        <v>17</v>
      </c>
      <c r="D242" s="7"/>
      <c r="E242" s="7" t="s">
        <v>1615</v>
      </c>
      <c r="F242" s="7" t="s">
        <v>19</v>
      </c>
      <c r="G242" s="7" t="s">
        <v>31</v>
      </c>
      <c r="H242" s="7" t="s">
        <v>17</v>
      </c>
      <c r="I242" s="7" t="s">
        <v>17</v>
      </c>
      <c r="J242" s="7" t="s">
        <v>1616</v>
      </c>
    </row>
    <row r="243" spans="1:10" x14ac:dyDescent="0.25" outlineLevel="1" collapsed="1">
      <c r="A243" s="8" t="s">
        <v>15</v>
      </c>
      <c r="B243" s="9" t="s">
        <v>2617</v>
      </c>
      <c r="C243" s="8" t="s">
        <v>17</v>
      </c>
      <c r="D243" s="8"/>
      <c r="E243" s="8" t="s">
        <v>1683</v>
      </c>
      <c r="F243" s="8" t="s">
        <v>19</v>
      </c>
      <c r="G243" s="8" t="s">
        <v>17</v>
      </c>
      <c r="H243" s="8" t="s">
        <v>17</v>
      </c>
      <c r="I243" s="8" t="s">
        <v>17</v>
      </c>
      <c r="J243" s="8" t="s">
        <v>1684</v>
      </c>
    </row>
    <row r="244" spans="1:10" x14ac:dyDescent="0.25" outlineLevel="2" collapsed="1">
      <c r="A244" s="7" t="s">
        <v>15</v>
      </c>
      <c r="B244" s="7" t="s">
        <v>16</v>
      </c>
      <c r="C244" s="7" t="s">
        <v>17</v>
      </c>
      <c r="D244" s="7"/>
      <c r="E244" s="7" t="s">
        <v>1670</v>
      </c>
      <c r="F244" s="7" t="s">
        <v>19</v>
      </c>
      <c r="G244" s="7" t="s">
        <v>31</v>
      </c>
      <c r="H244" s="7" t="s">
        <v>17</v>
      </c>
      <c r="I244" s="7" t="s">
        <v>17</v>
      </c>
      <c r="J244" s="7" t="s">
        <v>637</v>
      </c>
    </row>
    <row r="245" spans="1:10" x14ac:dyDescent="0.25" outlineLevel="2" collapsed="1">
      <c r="A245" s="7" t="s">
        <v>15</v>
      </c>
      <c r="B245" s="7" t="s">
        <v>16</v>
      </c>
      <c r="C245" s="7" t="s">
        <v>17</v>
      </c>
      <c r="D245" s="7"/>
      <c r="E245" s="7" t="s">
        <v>638</v>
      </c>
      <c r="F245" s="7" t="s">
        <v>19</v>
      </c>
      <c r="G245" s="7" t="s">
        <v>31</v>
      </c>
      <c r="H245" s="7" t="s">
        <v>17</v>
      </c>
      <c r="I245" s="7" t="s">
        <v>17</v>
      </c>
      <c r="J245" s="7" t="s">
        <v>640</v>
      </c>
    </row>
    <row r="246" spans="1:10" x14ac:dyDescent="0.25" outlineLevel="2" collapsed="1">
      <c r="A246" s="7" t="s">
        <v>15</v>
      </c>
      <c r="B246" s="7" t="s">
        <v>16</v>
      </c>
      <c r="C246" s="7" t="s">
        <v>17</v>
      </c>
      <c r="D246" s="7"/>
      <c r="E246" s="7" t="s">
        <v>9</v>
      </c>
      <c r="F246" s="7" t="s">
        <v>19</v>
      </c>
      <c r="G246" s="7" t="s">
        <v>31</v>
      </c>
      <c r="H246" s="7" t="s">
        <v>17</v>
      </c>
      <c r="I246" s="7" t="s">
        <v>17</v>
      </c>
      <c r="J246" s="7" t="s">
        <v>843</v>
      </c>
    </row>
    <row r="247" spans="1:10" x14ac:dyDescent="0.25" outlineLevel="2" collapsed="1">
      <c r="A247" s="7" t="s">
        <v>19</v>
      </c>
      <c r="B247" s="7" t="s">
        <v>16</v>
      </c>
      <c r="C247" s="7" t="s">
        <v>17</v>
      </c>
      <c r="D247" s="7"/>
      <c r="E247" s="7" t="s">
        <v>1600</v>
      </c>
      <c r="F247" s="7" t="s">
        <v>19</v>
      </c>
      <c r="G247" s="7" t="s">
        <v>31</v>
      </c>
      <c r="H247" s="7" t="s">
        <v>17</v>
      </c>
      <c r="I247" s="7" t="s">
        <v>17</v>
      </c>
      <c r="J247" s="7" t="s">
        <v>1424</v>
      </c>
    </row>
    <row r="248" spans="1:10" x14ac:dyDescent="0.25" outlineLevel="2" collapsed="1">
      <c r="A248" s="7" t="s">
        <v>15</v>
      </c>
      <c r="B248" s="7" t="s">
        <v>16</v>
      </c>
      <c r="C248" s="7" t="s">
        <v>17</v>
      </c>
      <c r="D248" s="7"/>
      <c r="E248" s="7" t="s">
        <v>1601</v>
      </c>
      <c r="F248" s="7" t="s">
        <v>19</v>
      </c>
      <c r="G248" s="7" t="s">
        <v>31</v>
      </c>
      <c r="H248" s="7" t="s">
        <v>17</v>
      </c>
      <c r="I248" s="7" t="s">
        <v>17</v>
      </c>
      <c r="J248" s="7" t="s">
        <v>1602</v>
      </c>
    </row>
    <row r="249" spans="1:10" x14ac:dyDescent="0.25" outlineLevel="2" collapsed="1">
      <c r="A249" s="7" t="s">
        <v>15</v>
      </c>
      <c r="B249" s="7" t="s">
        <v>16</v>
      </c>
      <c r="C249" s="7" t="s">
        <v>17</v>
      </c>
      <c r="D249" s="7"/>
      <c r="E249" s="7" t="s">
        <v>1671</v>
      </c>
      <c r="F249" s="7" t="s">
        <v>19</v>
      </c>
      <c r="G249" s="7" t="s">
        <v>31</v>
      </c>
      <c r="H249" s="7" t="s">
        <v>17</v>
      </c>
      <c r="I249" s="7" t="s">
        <v>17</v>
      </c>
      <c r="J249" s="7" t="s">
        <v>1672</v>
      </c>
    </row>
    <row r="250" spans="1:10" x14ac:dyDescent="0.25" outlineLevel="2" collapsed="1">
      <c r="A250" s="7" t="s">
        <v>15</v>
      </c>
      <c r="B250" s="7" t="s">
        <v>16</v>
      </c>
      <c r="C250" s="7" t="s">
        <v>17</v>
      </c>
      <c r="D250" s="7"/>
      <c r="E250" s="7" t="s">
        <v>1673</v>
      </c>
      <c r="F250" s="7" t="s">
        <v>19</v>
      </c>
      <c r="G250" s="7" t="s">
        <v>31</v>
      </c>
      <c r="H250" s="7" t="s">
        <v>17</v>
      </c>
      <c r="I250" s="7" t="s">
        <v>17</v>
      </c>
      <c r="J250" s="7" t="s">
        <v>1674</v>
      </c>
    </row>
    <row r="251" spans="1:10" x14ac:dyDescent="0.25" outlineLevel="2" collapsed="1">
      <c r="A251" s="7" t="s">
        <v>15</v>
      </c>
      <c r="B251" s="7" t="s">
        <v>16</v>
      </c>
      <c r="C251" s="7" t="s">
        <v>17</v>
      </c>
      <c r="D251" s="7"/>
      <c r="E251" s="7" t="s">
        <v>2618</v>
      </c>
      <c r="F251" s="7" t="s">
        <v>19</v>
      </c>
      <c r="G251" s="7" t="s">
        <v>31</v>
      </c>
      <c r="H251" s="7" t="s">
        <v>17</v>
      </c>
      <c r="I251" s="7" t="s">
        <v>17</v>
      </c>
      <c r="J251" s="7" t="s">
        <v>1422</v>
      </c>
    </row>
    <row r="252" spans="1:10" x14ac:dyDescent="0.25" outlineLevel="2" collapsed="1">
      <c r="A252" s="7" t="s">
        <v>15</v>
      </c>
      <c r="B252" s="7" t="s">
        <v>284</v>
      </c>
      <c r="C252" s="11" t="s">
        <v>2619</v>
      </c>
      <c r="D252" s="7"/>
      <c r="E252" s="7" t="s">
        <v>1605</v>
      </c>
      <c r="F252" s="7" t="s">
        <v>19</v>
      </c>
      <c r="G252" s="7" t="s">
        <v>1606</v>
      </c>
      <c r="H252" s="7" t="s">
        <v>17</v>
      </c>
      <c r="I252" s="7" t="s">
        <v>17</v>
      </c>
      <c r="J252" s="7" t="s">
        <v>1607</v>
      </c>
    </row>
    <row r="253" spans="1:10" x14ac:dyDescent="0.25" outlineLevel="2" collapsed="1">
      <c r="A253" s="7" t="s">
        <v>19</v>
      </c>
      <c r="B253" s="7" t="s">
        <v>63</v>
      </c>
      <c r="C253" s="7" t="s">
        <v>17</v>
      </c>
      <c r="D253" s="7">
        <f>EXACT(G252,"Single value")</f>
      </c>
      <c r="E253" s="7" t="s">
        <v>2620</v>
      </c>
      <c r="F253" s="7" t="s">
        <v>19</v>
      </c>
      <c r="G253" s="7">
        <v>1</v>
      </c>
      <c r="H253" s="7" t="s">
        <v>17</v>
      </c>
      <c r="I253" s="7" t="s">
        <v>17</v>
      </c>
      <c r="J253" s="7" t="s">
        <v>1609</v>
      </c>
    </row>
    <row r="254" spans="1:10" x14ac:dyDescent="0.25" outlineLevel="2" collapsed="1">
      <c r="A254" s="7" t="s">
        <v>19</v>
      </c>
      <c r="B254" s="7" t="s">
        <v>16</v>
      </c>
      <c r="C254" s="7" t="s">
        <v>17</v>
      </c>
      <c r="D254" s="7"/>
      <c r="E254" s="7" t="s">
        <v>1677</v>
      </c>
      <c r="F254" s="7" t="s">
        <v>19</v>
      </c>
      <c r="G254" s="7" t="s">
        <v>31</v>
      </c>
      <c r="H254" s="7" t="s">
        <v>17</v>
      </c>
      <c r="I254" s="7" t="s">
        <v>17</v>
      </c>
      <c r="J254" s="7" t="s">
        <v>1678</v>
      </c>
    </row>
    <row r="255" spans="1:10" x14ac:dyDescent="0.25" outlineLevel="2" collapsed="1">
      <c r="A255" s="7" t="s">
        <v>15</v>
      </c>
      <c r="B255" s="7" t="s">
        <v>16</v>
      </c>
      <c r="C255" s="7" t="s">
        <v>17</v>
      </c>
      <c r="D255" s="7"/>
      <c r="E255" s="7" t="s">
        <v>1679</v>
      </c>
      <c r="F255" s="7" t="s">
        <v>19</v>
      </c>
      <c r="G255" s="7" t="s">
        <v>31</v>
      </c>
      <c r="H255" s="7" t="s">
        <v>17</v>
      </c>
      <c r="I255" s="7" t="s">
        <v>17</v>
      </c>
      <c r="J255" s="7" t="s">
        <v>1680</v>
      </c>
    </row>
    <row r="256" spans="1:10" x14ac:dyDescent="0.25" outlineLevel="2" collapsed="1">
      <c r="A256" s="7" t="s">
        <v>15</v>
      </c>
      <c r="B256" s="7" t="s">
        <v>284</v>
      </c>
      <c r="C256" s="11" t="s">
        <v>2621</v>
      </c>
      <c r="D256" s="7"/>
      <c r="E256" s="7" t="s">
        <v>1612</v>
      </c>
      <c r="F256" s="7" t="s">
        <v>19</v>
      </c>
      <c r="G256" s="7" t="s">
        <v>1613</v>
      </c>
      <c r="H256" s="7" t="s">
        <v>17</v>
      </c>
      <c r="I256" s="7" t="s">
        <v>17</v>
      </c>
      <c r="J256" s="7" t="s">
        <v>1614</v>
      </c>
    </row>
    <row r="257" spans="1:10" x14ac:dyDescent="0.25" outlineLevel="2" collapsed="1">
      <c r="A257" s="7" t="s">
        <v>19</v>
      </c>
      <c r="B257" s="7" t="s">
        <v>16</v>
      </c>
      <c r="C257" s="7" t="s">
        <v>17</v>
      </c>
      <c r="D257" s="7"/>
      <c r="E257" s="7" t="s">
        <v>1681</v>
      </c>
      <c r="F257" s="7" t="s">
        <v>19</v>
      </c>
      <c r="G257" s="7" t="s">
        <v>31</v>
      </c>
      <c r="H257" s="7" t="s">
        <v>17</v>
      </c>
      <c r="I257" s="7" t="s">
        <v>17</v>
      </c>
      <c r="J257" s="7" t="s">
        <v>1682</v>
      </c>
    </row>
    <row r="258" spans="1:10" x14ac:dyDescent="0.25" outlineLevel="2" collapsed="1">
      <c r="A258" s="7" t="s">
        <v>19</v>
      </c>
      <c r="B258" s="7" t="s">
        <v>16</v>
      </c>
      <c r="C258" s="7" t="s">
        <v>17</v>
      </c>
      <c r="D258" s="7"/>
      <c r="E258" s="7" t="s">
        <v>1615</v>
      </c>
      <c r="F258" s="7" t="s">
        <v>19</v>
      </c>
      <c r="G258" s="7" t="s">
        <v>31</v>
      </c>
      <c r="H258" s="7" t="s">
        <v>17</v>
      </c>
      <c r="I258" s="7" t="s">
        <v>17</v>
      </c>
      <c r="J258" s="7" t="s">
        <v>1616</v>
      </c>
    </row>
    <row r="259" spans="1:10" x14ac:dyDescent="0.25" outlineLevel="1" collapsed="1">
      <c r="A259" s="8" t="s">
        <v>15</v>
      </c>
      <c r="B259" s="9" t="s">
        <v>2617</v>
      </c>
      <c r="C259" s="8" t="s">
        <v>17</v>
      </c>
      <c r="D259" s="8"/>
      <c r="E259" s="8" t="s">
        <v>1685</v>
      </c>
      <c r="F259" s="8" t="s">
        <v>19</v>
      </c>
      <c r="G259" s="8" t="s">
        <v>17</v>
      </c>
      <c r="H259" s="8" t="s">
        <v>17</v>
      </c>
      <c r="I259" s="8" t="s">
        <v>17</v>
      </c>
      <c r="J259" s="8" t="s">
        <v>636</v>
      </c>
    </row>
    <row r="260" spans="1:10" x14ac:dyDescent="0.25" outlineLevel="2" collapsed="1">
      <c r="A260" s="7" t="s">
        <v>15</v>
      </c>
      <c r="B260" s="7" t="s">
        <v>16</v>
      </c>
      <c r="C260" s="7" t="s">
        <v>17</v>
      </c>
      <c r="D260" s="7"/>
      <c r="E260" s="7" t="s">
        <v>1670</v>
      </c>
      <c r="F260" s="7" t="s">
        <v>19</v>
      </c>
      <c r="G260" s="7" t="s">
        <v>31</v>
      </c>
      <c r="H260" s="7" t="s">
        <v>17</v>
      </c>
      <c r="I260" s="7" t="s">
        <v>17</v>
      </c>
      <c r="J260" s="7" t="s">
        <v>637</v>
      </c>
    </row>
    <row r="261" spans="1:10" x14ac:dyDescent="0.25" outlineLevel="2" collapsed="1">
      <c r="A261" s="7" t="s">
        <v>15</v>
      </c>
      <c r="B261" s="7" t="s">
        <v>16</v>
      </c>
      <c r="C261" s="7" t="s">
        <v>17</v>
      </c>
      <c r="D261" s="7"/>
      <c r="E261" s="7" t="s">
        <v>638</v>
      </c>
      <c r="F261" s="7" t="s">
        <v>19</v>
      </c>
      <c r="G261" s="7" t="s">
        <v>31</v>
      </c>
      <c r="H261" s="7" t="s">
        <v>17</v>
      </c>
      <c r="I261" s="7" t="s">
        <v>17</v>
      </c>
      <c r="J261" s="7" t="s">
        <v>640</v>
      </c>
    </row>
    <row r="262" spans="1:10" x14ac:dyDescent="0.25" outlineLevel="2" collapsed="1">
      <c r="A262" s="7" t="s">
        <v>15</v>
      </c>
      <c r="B262" s="7" t="s">
        <v>16</v>
      </c>
      <c r="C262" s="7" t="s">
        <v>17</v>
      </c>
      <c r="D262" s="7"/>
      <c r="E262" s="7" t="s">
        <v>9</v>
      </c>
      <c r="F262" s="7" t="s">
        <v>19</v>
      </c>
      <c r="G262" s="7" t="s">
        <v>31</v>
      </c>
      <c r="H262" s="7" t="s">
        <v>17</v>
      </c>
      <c r="I262" s="7" t="s">
        <v>17</v>
      </c>
      <c r="J262" s="7" t="s">
        <v>843</v>
      </c>
    </row>
    <row r="263" spans="1:10" x14ac:dyDescent="0.25" outlineLevel="2" collapsed="1">
      <c r="A263" s="7" t="s">
        <v>19</v>
      </c>
      <c r="B263" s="7" t="s">
        <v>16</v>
      </c>
      <c r="C263" s="7" t="s">
        <v>17</v>
      </c>
      <c r="D263" s="7"/>
      <c r="E263" s="7" t="s">
        <v>1600</v>
      </c>
      <c r="F263" s="7" t="s">
        <v>19</v>
      </c>
      <c r="G263" s="7" t="s">
        <v>31</v>
      </c>
      <c r="H263" s="7" t="s">
        <v>17</v>
      </c>
      <c r="I263" s="7" t="s">
        <v>17</v>
      </c>
      <c r="J263" s="7" t="s">
        <v>1424</v>
      </c>
    </row>
    <row r="264" spans="1:10" x14ac:dyDescent="0.25" outlineLevel="2" collapsed="1">
      <c r="A264" s="7" t="s">
        <v>15</v>
      </c>
      <c r="B264" s="7" t="s">
        <v>16</v>
      </c>
      <c r="C264" s="7" t="s">
        <v>17</v>
      </c>
      <c r="D264" s="7"/>
      <c r="E264" s="7" t="s">
        <v>1601</v>
      </c>
      <c r="F264" s="7" t="s">
        <v>19</v>
      </c>
      <c r="G264" s="7" t="s">
        <v>31</v>
      </c>
      <c r="H264" s="7" t="s">
        <v>17</v>
      </c>
      <c r="I264" s="7" t="s">
        <v>17</v>
      </c>
      <c r="J264" s="7" t="s">
        <v>1602</v>
      </c>
    </row>
    <row r="265" spans="1:10" x14ac:dyDescent="0.25" outlineLevel="2" collapsed="1">
      <c r="A265" s="7" t="s">
        <v>15</v>
      </c>
      <c r="B265" s="7" t="s">
        <v>16</v>
      </c>
      <c r="C265" s="7" t="s">
        <v>17</v>
      </c>
      <c r="D265" s="7"/>
      <c r="E265" s="7" t="s">
        <v>1671</v>
      </c>
      <c r="F265" s="7" t="s">
        <v>19</v>
      </c>
      <c r="G265" s="7" t="s">
        <v>31</v>
      </c>
      <c r="H265" s="7" t="s">
        <v>17</v>
      </c>
      <c r="I265" s="7" t="s">
        <v>17</v>
      </c>
      <c r="J265" s="7" t="s">
        <v>1672</v>
      </c>
    </row>
    <row r="266" spans="1:10" x14ac:dyDescent="0.25" outlineLevel="2" collapsed="1">
      <c r="A266" s="7" t="s">
        <v>15</v>
      </c>
      <c r="B266" s="7" t="s">
        <v>16</v>
      </c>
      <c r="C266" s="7" t="s">
        <v>17</v>
      </c>
      <c r="D266" s="7"/>
      <c r="E266" s="7" t="s">
        <v>1673</v>
      </c>
      <c r="F266" s="7" t="s">
        <v>19</v>
      </c>
      <c r="G266" s="7" t="s">
        <v>31</v>
      </c>
      <c r="H266" s="7" t="s">
        <v>17</v>
      </c>
      <c r="I266" s="7" t="s">
        <v>17</v>
      </c>
      <c r="J266" s="7" t="s">
        <v>1674</v>
      </c>
    </row>
    <row r="267" spans="1:10" x14ac:dyDescent="0.25" outlineLevel="2" collapsed="1">
      <c r="A267" s="7" t="s">
        <v>15</v>
      </c>
      <c r="B267" s="7" t="s">
        <v>16</v>
      </c>
      <c r="C267" s="7" t="s">
        <v>17</v>
      </c>
      <c r="D267" s="7"/>
      <c r="E267" s="7" t="s">
        <v>2618</v>
      </c>
      <c r="F267" s="7" t="s">
        <v>19</v>
      </c>
      <c r="G267" s="7" t="s">
        <v>31</v>
      </c>
      <c r="H267" s="7" t="s">
        <v>17</v>
      </c>
      <c r="I267" s="7" t="s">
        <v>17</v>
      </c>
      <c r="J267" s="7" t="s">
        <v>1422</v>
      </c>
    </row>
    <row r="268" spans="1:10" x14ac:dyDescent="0.25" outlineLevel="2" collapsed="1">
      <c r="A268" s="7" t="s">
        <v>15</v>
      </c>
      <c r="B268" s="7" t="s">
        <v>284</v>
      </c>
      <c r="C268" s="11" t="s">
        <v>2619</v>
      </c>
      <c r="D268" s="7"/>
      <c r="E268" s="7" t="s">
        <v>1605</v>
      </c>
      <c r="F268" s="7" t="s">
        <v>19</v>
      </c>
      <c r="G268" s="7" t="s">
        <v>1606</v>
      </c>
      <c r="H268" s="7" t="s">
        <v>17</v>
      </c>
      <c r="I268" s="7" t="s">
        <v>17</v>
      </c>
      <c r="J268" s="7" t="s">
        <v>1607</v>
      </c>
    </row>
    <row r="269" spans="1:10" x14ac:dyDescent="0.25" outlineLevel="2" collapsed="1">
      <c r="A269" s="7" t="s">
        <v>19</v>
      </c>
      <c r="B269" s="7" t="s">
        <v>63</v>
      </c>
      <c r="C269" s="7" t="s">
        <v>17</v>
      </c>
      <c r="D269" s="7">
        <f>EXACT(G268,"Single value")</f>
      </c>
      <c r="E269" s="7" t="s">
        <v>2620</v>
      </c>
      <c r="F269" s="7" t="s">
        <v>19</v>
      </c>
      <c r="G269" s="7">
        <v>1</v>
      </c>
      <c r="H269" s="7" t="s">
        <v>17</v>
      </c>
      <c r="I269" s="7" t="s">
        <v>17</v>
      </c>
      <c r="J269" s="7" t="s">
        <v>1609</v>
      </c>
    </row>
    <row r="270" spans="1:10" x14ac:dyDescent="0.25" outlineLevel="2" collapsed="1">
      <c r="A270" s="7" t="s">
        <v>19</v>
      </c>
      <c r="B270" s="7" t="s">
        <v>16</v>
      </c>
      <c r="C270" s="7" t="s">
        <v>17</v>
      </c>
      <c r="D270" s="7"/>
      <c r="E270" s="7" t="s">
        <v>1677</v>
      </c>
      <c r="F270" s="7" t="s">
        <v>19</v>
      </c>
      <c r="G270" s="7" t="s">
        <v>31</v>
      </c>
      <c r="H270" s="7" t="s">
        <v>17</v>
      </c>
      <c r="I270" s="7" t="s">
        <v>17</v>
      </c>
      <c r="J270" s="7" t="s">
        <v>1678</v>
      </c>
    </row>
    <row r="271" spans="1:10" x14ac:dyDescent="0.25" outlineLevel="2" collapsed="1">
      <c r="A271" s="7" t="s">
        <v>15</v>
      </c>
      <c r="B271" s="7" t="s">
        <v>16</v>
      </c>
      <c r="C271" s="7" t="s">
        <v>17</v>
      </c>
      <c r="D271" s="7"/>
      <c r="E271" s="7" t="s">
        <v>1679</v>
      </c>
      <c r="F271" s="7" t="s">
        <v>19</v>
      </c>
      <c r="G271" s="7" t="s">
        <v>31</v>
      </c>
      <c r="H271" s="7" t="s">
        <v>17</v>
      </c>
      <c r="I271" s="7" t="s">
        <v>17</v>
      </c>
      <c r="J271" s="7" t="s">
        <v>1680</v>
      </c>
    </row>
    <row r="272" spans="1:10" x14ac:dyDescent="0.25" outlineLevel="2" collapsed="1">
      <c r="A272" s="7" t="s">
        <v>15</v>
      </c>
      <c r="B272" s="7" t="s">
        <v>284</v>
      </c>
      <c r="C272" s="11" t="s">
        <v>2621</v>
      </c>
      <c r="D272" s="7"/>
      <c r="E272" s="7" t="s">
        <v>1612</v>
      </c>
      <c r="F272" s="7" t="s">
        <v>19</v>
      </c>
      <c r="G272" s="7" t="s">
        <v>1613</v>
      </c>
      <c r="H272" s="7" t="s">
        <v>17</v>
      </c>
      <c r="I272" s="7" t="s">
        <v>17</v>
      </c>
      <c r="J272" s="7" t="s">
        <v>1614</v>
      </c>
    </row>
    <row r="273" spans="1:10" x14ac:dyDescent="0.25" outlineLevel="2" collapsed="1">
      <c r="A273" s="7" t="s">
        <v>19</v>
      </c>
      <c r="B273" s="7" t="s">
        <v>16</v>
      </c>
      <c r="C273" s="7" t="s">
        <v>17</v>
      </c>
      <c r="D273" s="7"/>
      <c r="E273" s="7" t="s">
        <v>1681</v>
      </c>
      <c r="F273" s="7" t="s">
        <v>19</v>
      </c>
      <c r="G273" s="7" t="s">
        <v>31</v>
      </c>
      <c r="H273" s="7" t="s">
        <v>17</v>
      </c>
      <c r="I273" s="7" t="s">
        <v>17</v>
      </c>
      <c r="J273" s="7" t="s">
        <v>1682</v>
      </c>
    </row>
    <row r="274" spans="1:10" x14ac:dyDescent="0.25" outlineLevel="2" collapsed="1">
      <c r="A274" s="7" t="s">
        <v>19</v>
      </c>
      <c r="B274" s="7" t="s">
        <v>16</v>
      </c>
      <c r="C274" s="7" t="s">
        <v>17</v>
      </c>
      <c r="D274" s="7"/>
      <c r="E274" s="7" t="s">
        <v>1615</v>
      </c>
      <c r="F274" s="7" t="s">
        <v>19</v>
      </c>
      <c r="G274" s="7" t="s">
        <v>31</v>
      </c>
      <c r="H274" s="7" t="s">
        <v>17</v>
      </c>
      <c r="I274" s="7" t="s">
        <v>17</v>
      </c>
      <c r="J274" s="7" t="s">
        <v>1616</v>
      </c>
    </row>
    <row r="275" spans="1:10" x14ac:dyDescent="0.25" outlineLevel="1" collapsed="1">
      <c r="A275" s="8" t="s">
        <v>15</v>
      </c>
      <c r="B275" s="9" t="s">
        <v>2617</v>
      </c>
      <c r="C275" s="8" t="s">
        <v>17</v>
      </c>
      <c r="D275" s="8"/>
      <c r="E275" s="8" t="s">
        <v>1686</v>
      </c>
      <c r="F275" s="8" t="s">
        <v>19</v>
      </c>
      <c r="G275" s="8" t="s">
        <v>17</v>
      </c>
      <c r="H275" s="8" t="s">
        <v>17</v>
      </c>
      <c r="I275" s="8" t="s">
        <v>17</v>
      </c>
      <c r="J275" s="8" t="s">
        <v>1687</v>
      </c>
    </row>
    <row r="276" spans="1:10" x14ac:dyDescent="0.25" outlineLevel="2" collapsed="1">
      <c r="A276" s="7" t="s">
        <v>15</v>
      </c>
      <c r="B276" s="7" t="s">
        <v>16</v>
      </c>
      <c r="C276" s="7" t="s">
        <v>17</v>
      </c>
      <c r="D276" s="7"/>
      <c r="E276" s="7" t="s">
        <v>1670</v>
      </c>
      <c r="F276" s="7" t="s">
        <v>19</v>
      </c>
      <c r="G276" s="7" t="s">
        <v>31</v>
      </c>
      <c r="H276" s="7" t="s">
        <v>17</v>
      </c>
      <c r="I276" s="7" t="s">
        <v>17</v>
      </c>
      <c r="J276" s="7" t="s">
        <v>637</v>
      </c>
    </row>
    <row r="277" spans="1:10" x14ac:dyDescent="0.25" outlineLevel="2" collapsed="1">
      <c r="A277" s="7" t="s">
        <v>15</v>
      </c>
      <c r="B277" s="7" t="s">
        <v>16</v>
      </c>
      <c r="C277" s="7" t="s">
        <v>17</v>
      </c>
      <c r="D277" s="7"/>
      <c r="E277" s="7" t="s">
        <v>638</v>
      </c>
      <c r="F277" s="7" t="s">
        <v>19</v>
      </c>
      <c r="G277" s="7" t="s">
        <v>31</v>
      </c>
      <c r="H277" s="7" t="s">
        <v>17</v>
      </c>
      <c r="I277" s="7" t="s">
        <v>17</v>
      </c>
      <c r="J277" s="7" t="s">
        <v>640</v>
      </c>
    </row>
    <row r="278" spans="1:10" x14ac:dyDescent="0.25" outlineLevel="2" collapsed="1">
      <c r="A278" s="7" t="s">
        <v>15</v>
      </c>
      <c r="B278" s="7" t="s">
        <v>16</v>
      </c>
      <c r="C278" s="7" t="s">
        <v>17</v>
      </c>
      <c r="D278" s="7"/>
      <c r="E278" s="7" t="s">
        <v>9</v>
      </c>
      <c r="F278" s="7" t="s">
        <v>19</v>
      </c>
      <c r="G278" s="7" t="s">
        <v>31</v>
      </c>
      <c r="H278" s="7" t="s">
        <v>17</v>
      </c>
      <c r="I278" s="7" t="s">
        <v>17</v>
      </c>
      <c r="J278" s="7" t="s">
        <v>843</v>
      </c>
    </row>
    <row r="279" spans="1:10" x14ac:dyDescent="0.25" outlineLevel="2" collapsed="1">
      <c r="A279" s="7" t="s">
        <v>19</v>
      </c>
      <c r="B279" s="7" t="s">
        <v>16</v>
      </c>
      <c r="C279" s="7" t="s">
        <v>17</v>
      </c>
      <c r="D279" s="7"/>
      <c r="E279" s="7" t="s">
        <v>1600</v>
      </c>
      <c r="F279" s="7" t="s">
        <v>19</v>
      </c>
      <c r="G279" s="7" t="s">
        <v>31</v>
      </c>
      <c r="H279" s="7" t="s">
        <v>17</v>
      </c>
      <c r="I279" s="7" t="s">
        <v>17</v>
      </c>
      <c r="J279" s="7" t="s">
        <v>1424</v>
      </c>
    </row>
    <row r="280" spans="1:10" x14ac:dyDescent="0.25" outlineLevel="2" collapsed="1">
      <c r="A280" s="7" t="s">
        <v>15</v>
      </c>
      <c r="B280" s="7" t="s">
        <v>16</v>
      </c>
      <c r="C280" s="7" t="s">
        <v>17</v>
      </c>
      <c r="D280" s="7"/>
      <c r="E280" s="7" t="s">
        <v>1601</v>
      </c>
      <c r="F280" s="7" t="s">
        <v>19</v>
      </c>
      <c r="G280" s="7" t="s">
        <v>31</v>
      </c>
      <c r="H280" s="7" t="s">
        <v>17</v>
      </c>
      <c r="I280" s="7" t="s">
        <v>17</v>
      </c>
      <c r="J280" s="7" t="s">
        <v>1602</v>
      </c>
    </row>
    <row r="281" spans="1:10" x14ac:dyDescent="0.25" outlineLevel="2" collapsed="1">
      <c r="A281" s="7" t="s">
        <v>15</v>
      </c>
      <c r="B281" s="7" t="s">
        <v>16</v>
      </c>
      <c r="C281" s="7" t="s">
        <v>17</v>
      </c>
      <c r="D281" s="7"/>
      <c r="E281" s="7" t="s">
        <v>1671</v>
      </c>
      <c r="F281" s="7" t="s">
        <v>19</v>
      </c>
      <c r="G281" s="7" t="s">
        <v>31</v>
      </c>
      <c r="H281" s="7" t="s">
        <v>17</v>
      </c>
      <c r="I281" s="7" t="s">
        <v>17</v>
      </c>
      <c r="J281" s="7" t="s">
        <v>1672</v>
      </c>
    </row>
    <row r="282" spans="1:10" x14ac:dyDescent="0.25" outlineLevel="2" collapsed="1">
      <c r="A282" s="7" t="s">
        <v>15</v>
      </c>
      <c r="B282" s="7" t="s">
        <v>16</v>
      </c>
      <c r="C282" s="7" t="s">
        <v>17</v>
      </c>
      <c r="D282" s="7"/>
      <c r="E282" s="7" t="s">
        <v>1673</v>
      </c>
      <c r="F282" s="7" t="s">
        <v>19</v>
      </c>
      <c r="G282" s="7" t="s">
        <v>31</v>
      </c>
      <c r="H282" s="7" t="s">
        <v>17</v>
      </c>
      <c r="I282" s="7" t="s">
        <v>17</v>
      </c>
      <c r="J282" s="7" t="s">
        <v>1674</v>
      </c>
    </row>
    <row r="283" spans="1:10" x14ac:dyDescent="0.25" outlineLevel="2" collapsed="1">
      <c r="A283" s="7" t="s">
        <v>15</v>
      </c>
      <c r="B283" s="7" t="s">
        <v>16</v>
      </c>
      <c r="C283" s="7" t="s">
        <v>17</v>
      </c>
      <c r="D283" s="7"/>
      <c r="E283" s="7" t="s">
        <v>2618</v>
      </c>
      <c r="F283" s="7" t="s">
        <v>19</v>
      </c>
      <c r="G283" s="7" t="s">
        <v>31</v>
      </c>
      <c r="H283" s="7" t="s">
        <v>17</v>
      </c>
      <c r="I283" s="7" t="s">
        <v>17</v>
      </c>
      <c r="J283" s="7" t="s">
        <v>1422</v>
      </c>
    </row>
    <row r="284" spans="1:10" x14ac:dyDescent="0.25" outlineLevel="2" collapsed="1">
      <c r="A284" s="7" t="s">
        <v>15</v>
      </c>
      <c r="B284" s="7" t="s">
        <v>284</v>
      </c>
      <c r="C284" s="11" t="s">
        <v>2619</v>
      </c>
      <c r="D284" s="7"/>
      <c r="E284" s="7" t="s">
        <v>1605</v>
      </c>
      <c r="F284" s="7" t="s">
        <v>19</v>
      </c>
      <c r="G284" s="7" t="s">
        <v>1606</v>
      </c>
      <c r="H284" s="7" t="s">
        <v>17</v>
      </c>
      <c r="I284" s="7" t="s">
        <v>17</v>
      </c>
      <c r="J284" s="7" t="s">
        <v>1607</v>
      </c>
    </row>
    <row r="285" spans="1:10" x14ac:dyDescent="0.25" outlineLevel="2" collapsed="1">
      <c r="A285" s="7" t="s">
        <v>19</v>
      </c>
      <c r="B285" s="7" t="s">
        <v>63</v>
      </c>
      <c r="C285" s="7" t="s">
        <v>17</v>
      </c>
      <c r="D285" s="7">
        <f>EXACT(G284,"Single value")</f>
      </c>
      <c r="E285" s="7" t="s">
        <v>2620</v>
      </c>
      <c r="F285" s="7" t="s">
        <v>19</v>
      </c>
      <c r="G285" s="7">
        <v>1</v>
      </c>
      <c r="H285" s="7" t="s">
        <v>17</v>
      </c>
      <c r="I285" s="7" t="s">
        <v>17</v>
      </c>
      <c r="J285" s="7" t="s">
        <v>1609</v>
      </c>
    </row>
    <row r="286" spans="1:10" x14ac:dyDescent="0.25" outlineLevel="2" collapsed="1">
      <c r="A286" s="7" t="s">
        <v>19</v>
      </c>
      <c r="B286" s="7" t="s">
        <v>16</v>
      </c>
      <c r="C286" s="7" t="s">
        <v>17</v>
      </c>
      <c r="D286" s="7"/>
      <c r="E286" s="7" t="s">
        <v>1677</v>
      </c>
      <c r="F286" s="7" t="s">
        <v>19</v>
      </c>
      <c r="G286" s="7" t="s">
        <v>31</v>
      </c>
      <c r="H286" s="7" t="s">
        <v>17</v>
      </c>
      <c r="I286" s="7" t="s">
        <v>17</v>
      </c>
      <c r="J286" s="7" t="s">
        <v>1678</v>
      </c>
    </row>
    <row r="287" spans="1:10" x14ac:dyDescent="0.25" outlineLevel="2" collapsed="1">
      <c r="A287" s="7" t="s">
        <v>15</v>
      </c>
      <c r="B287" s="7" t="s">
        <v>16</v>
      </c>
      <c r="C287" s="7" t="s">
        <v>17</v>
      </c>
      <c r="D287" s="7"/>
      <c r="E287" s="7" t="s">
        <v>1679</v>
      </c>
      <c r="F287" s="7" t="s">
        <v>19</v>
      </c>
      <c r="G287" s="7" t="s">
        <v>31</v>
      </c>
      <c r="H287" s="7" t="s">
        <v>17</v>
      </c>
      <c r="I287" s="7" t="s">
        <v>17</v>
      </c>
      <c r="J287" s="7" t="s">
        <v>1680</v>
      </c>
    </row>
    <row r="288" spans="1:10" x14ac:dyDescent="0.25" outlineLevel="2" collapsed="1">
      <c r="A288" s="7" t="s">
        <v>15</v>
      </c>
      <c r="B288" s="7" t="s">
        <v>284</v>
      </c>
      <c r="C288" s="11" t="s">
        <v>2621</v>
      </c>
      <c r="D288" s="7"/>
      <c r="E288" s="7" t="s">
        <v>1612</v>
      </c>
      <c r="F288" s="7" t="s">
        <v>19</v>
      </c>
      <c r="G288" s="7" t="s">
        <v>1613</v>
      </c>
      <c r="H288" s="7" t="s">
        <v>17</v>
      </c>
      <c r="I288" s="7" t="s">
        <v>17</v>
      </c>
      <c r="J288" s="7" t="s">
        <v>1614</v>
      </c>
    </row>
    <row r="289" spans="1:10" x14ac:dyDescent="0.25" outlineLevel="2" collapsed="1">
      <c r="A289" s="7" t="s">
        <v>19</v>
      </c>
      <c r="B289" s="7" t="s">
        <v>16</v>
      </c>
      <c r="C289" s="7" t="s">
        <v>17</v>
      </c>
      <c r="D289" s="7"/>
      <c r="E289" s="7" t="s">
        <v>1681</v>
      </c>
      <c r="F289" s="7" t="s">
        <v>19</v>
      </c>
      <c r="G289" s="7" t="s">
        <v>31</v>
      </c>
      <c r="H289" s="7" t="s">
        <v>17</v>
      </c>
      <c r="I289" s="7" t="s">
        <v>17</v>
      </c>
      <c r="J289" s="7" t="s">
        <v>1682</v>
      </c>
    </row>
    <row r="290" spans="1:10" x14ac:dyDescent="0.25" outlineLevel="2" collapsed="1">
      <c r="A290" s="7" t="s">
        <v>19</v>
      </c>
      <c r="B290" s="7" t="s">
        <v>16</v>
      </c>
      <c r="C290" s="7" t="s">
        <v>17</v>
      </c>
      <c r="D290" s="7"/>
      <c r="E290" s="7" t="s">
        <v>1615</v>
      </c>
      <c r="F290" s="7" t="s">
        <v>19</v>
      </c>
      <c r="G290" s="7" t="s">
        <v>31</v>
      </c>
      <c r="H290" s="7" t="s">
        <v>17</v>
      </c>
      <c r="I290" s="7" t="s">
        <v>17</v>
      </c>
      <c r="J290" s="7" t="s">
        <v>1616</v>
      </c>
    </row>
    <row r="291" spans="1:10" x14ac:dyDescent="0.25" outlineLevel="1" collapsed="1">
      <c r="A291" s="8" t="s">
        <v>15</v>
      </c>
      <c r="B291" s="9" t="s">
        <v>2617</v>
      </c>
      <c r="C291" s="8" t="s">
        <v>17</v>
      </c>
      <c r="D291" s="8"/>
      <c r="E291" s="8" t="s">
        <v>1688</v>
      </c>
      <c r="F291" s="8" t="s">
        <v>19</v>
      </c>
      <c r="G291" s="8" t="s">
        <v>17</v>
      </c>
      <c r="H291" s="8" t="s">
        <v>17</v>
      </c>
      <c r="I291" s="8" t="s">
        <v>17</v>
      </c>
      <c r="J291" s="8" t="s">
        <v>1689</v>
      </c>
    </row>
    <row r="292" spans="1:10" x14ac:dyDescent="0.25" outlineLevel="2" collapsed="1">
      <c r="A292" s="7" t="s">
        <v>15</v>
      </c>
      <c r="B292" s="7" t="s">
        <v>16</v>
      </c>
      <c r="C292" s="7" t="s">
        <v>17</v>
      </c>
      <c r="D292" s="7"/>
      <c r="E292" s="7" t="s">
        <v>1670</v>
      </c>
      <c r="F292" s="7" t="s">
        <v>19</v>
      </c>
      <c r="G292" s="7" t="s">
        <v>31</v>
      </c>
      <c r="H292" s="7" t="s">
        <v>17</v>
      </c>
      <c r="I292" s="7" t="s">
        <v>17</v>
      </c>
      <c r="J292" s="7" t="s">
        <v>637</v>
      </c>
    </row>
    <row r="293" spans="1:10" x14ac:dyDescent="0.25" outlineLevel="2" collapsed="1">
      <c r="A293" s="7" t="s">
        <v>15</v>
      </c>
      <c r="B293" s="7" t="s">
        <v>16</v>
      </c>
      <c r="C293" s="7" t="s">
        <v>17</v>
      </c>
      <c r="D293" s="7"/>
      <c r="E293" s="7" t="s">
        <v>638</v>
      </c>
      <c r="F293" s="7" t="s">
        <v>19</v>
      </c>
      <c r="G293" s="7" t="s">
        <v>31</v>
      </c>
      <c r="H293" s="7" t="s">
        <v>17</v>
      </c>
      <c r="I293" s="7" t="s">
        <v>17</v>
      </c>
      <c r="J293" s="7" t="s">
        <v>640</v>
      </c>
    </row>
    <row r="294" spans="1:10" x14ac:dyDescent="0.25" outlineLevel="2" collapsed="1">
      <c r="A294" s="7" t="s">
        <v>15</v>
      </c>
      <c r="B294" s="7" t="s">
        <v>16</v>
      </c>
      <c r="C294" s="7" t="s">
        <v>17</v>
      </c>
      <c r="D294" s="7"/>
      <c r="E294" s="7" t="s">
        <v>9</v>
      </c>
      <c r="F294" s="7" t="s">
        <v>19</v>
      </c>
      <c r="G294" s="7" t="s">
        <v>31</v>
      </c>
      <c r="H294" s="7" t="s">
        <v>17</v>
      </c>
      <c r="I294" s="7" t="s">
        <v>17</v>
      </c>
      <c r="J294" s="7" t="s">
        <v>843</v>
      </c>
    </row>
    <row r="295" spans="1:10" x14ac:dyDescent="0.25" outlineLevel="2" collapsed="1">
      <c r="A295" s="7" t="s">
        <v>19</v>
      </c>
      <c r="B295" s="7" t="s">
        <v>16</v>
      </c>
      <c r="C295" s="7" t="s">
        <v>17</v>
      </c>
      <c r="D295" s="7"/>
      <c r="E295" s="7" t="s">
        <v>1600</v>
      </c>
      <c r="F295" s="7" t="s">
        <v>19</v>
      </c>
      <c r="G295" s="7" t="s">
        <v>31</v>
      </c>
      <c r="H295" s="7" t="s">
        <v>17</v>
      </c>
      <c r="I295" s="7" t="s">
        <v>17</v>
      </c>
      <c r="J295" s="7" t="s">
        <v>1424</v>
      </c>
    </row>
    <row r="296" spans="1:10" x14ac:dyDescent="0.25" outlineLevel="2" collapsed="1">
      <c r="A296" s="7" t="s">
        <v>15</v>
      </c>
      <c r="B296" s="7" t="s">
        <v>16</v>
      </c>
      <c r="C296" s="7" t="s">
        <v>17</v>
      </c>
      <c r="D296" s="7"/>
      <c r="E296" s="7" t="s">
        <v>1601</v>
      </c>
      <c r="F296" s="7" t="s">
        <v>19</v>
      </c>
      <c r="G296" s="7" t="s">
        <v>31</v>
      </c>
      <c r="H296" s="7" t="s">
        <v>17</v>
      </c>
      <c r="I296" s="7" t="s">
        <v>17</v>
      </c>
      <c r="J296" s="7" t="s">
        <v>1602</v>
      </c>
    </row>
    <row r="297" spans="1:10" x14ac:dyDescent="0.25" outlineLevel="2" collapsed="1">
      <c r="A297" s="7" t="s">
        <v>15</v>
      </c>
      <c r="B297" s="7" t="s">
        <v>16</v>
      </c>
      <c r="C297" s="7" t="s">
        <v>17</v>
      </c>
      <c r="D297" s="7"/>
      <c r="E297" s="7" t="s">
        <v>1671</v>
      </c>
      <c r="F297" s="7" t="s">
        <v>19</v>
      </c>
      <c r="G297" s="7" t="s">
        <v>31</v>
      </c>
      <c r="H297" s="7" t="s">
        <v>17</v>
      </c>
      <c r="I297" s="7" t="s">
        <v>17</v>
      </c>
      <c r="J297" s="7" t="s">
        <v>1672</v>
      </c>
    </row>
    <row r="298" spans="1:10" x14ac:dyDescent="0.25" outlineLevel="2" collapsed="1">
      <c r="A298" s="7" t="s">
        <v>15</v>
      </c>
      <c r="B298" s="7" t="s">
        <v>16</v>
      </c>
      <c r="C298" s="7" t="s">
        <v>17</v>
      </c>
      <c r="D298" s="7"/>
      <c r="E298" s="7" t="s">
        <v>1673</v>
      </c>
      <c r="F298" s="7" t="s">
        <v>19</v>
      </c>
      <c r="G298" s="7" t="s">
        <v>31</v>
      </c>
      <c r="H298" s="7" t="s">
        <v>17</v>
      </c>
      <c r="I298" s="7" t="s">
        <v>17</v>
      </c>
      <c r="J298" s="7" t="s">
        <v>1674</v>
      </c>
    </row>
    <row r="299" spans="1:10" x14ac:dyDescent="0.25" outlineLevel="2" collapsed="1">
      <c r="A299" s="7" t="s">
        <v>15</v>
      </c>
      <c r="B299" s="7" t="s">
        <v>16</v>
      </c>
      <c r="C299" s="7" t="s">
        <v>17</v>
      </c>
      <c r="D299" s="7"/>
      <c r="E299" s="7" t="s">
        <v>2618</v>
      </c>
      <c r="F299" s="7" t="s">
        <v>19</v>
      </c>
      <c r="G299" s="7" t="s">
        <v>31</v>
      </c>
      <c r="H299" s="7" t="s">
        <v>17</v>
      </c>
      <c r="I299" s="7" t="s">
        <v>17</v>
      </c>
      <c r="J299" s="7" t="s">
        <v>1422</v>
      </c>
    </row>
    <row r="300" spans="1:10" x14ac:dyDescent="0.25" outlineLevel="2" collapsed="1">
      <c r="A300" s="7" t="s">
        <v>15</v>
      </c>
      <c r="B300" s="7" t="s">
        <v>284</v>
      </c>
      <c r="C300" s="11" t="s">
        <v>2619</v>
      </c>
      <c r="D300" s="7"/>
      <c r="E300" s="7" t="s">
        <v>1605</v>
      </c>
      <c r="F300" s="7" t="s">
        <v>19</v>
      </c>
      <c r="G300" s="7" t="s">
        <v>1606</v>
      </c>
      <c r="H300" s="7" t="s">
        <v>17</v>
      </c>
      <c r="I300" s="7" t="s">
        <v>17</v>
      </c>
      <c r="J300" s="7" t="s">
        <v>1607</v>
      </c>
    </row>
    <row r="301" spans="1:10" x14ac:dyDescent="0.25" outlineLevel="2" collapsed="1">
      <c r="A301" s="7" t="s">
        <v>19</v>
      </c>
      <c r="B301" s="7" t="s">
        <v>63</v>
      </c>
      <c r="C301" s="7" t="s">
        <v>17</v>
      </c>
      <c r="D301" s="7">
        <f>EXACT(G300,"Single value")</f>
      </c>
      <c r="E301" s="7" t="s">
        <v>2620</v>
      </c>
      <c r="F301" s="7" t="s">
        <v>19</v>
      </c>
      <c r="G301" s="7">
        <v>1</v>
      </c>
      <c r="H301" s="7" t="s">
        <v>17</v>
      </c>
      <c r="I301" s="7" t="s">
        <v>17</v>
      </c>
      <c r="J301" s="7" t="s">
        <v>1609</v>
      </c>
    </row>
    <row r="302" spans="1:10" x14ac:dyDescent="0.25" outlineLevel="2" collapsed="1">
      <c r="A302" s="7" t="s">
        <v>19</v>
      </c>
      <c r="B302" s="7" t="s">
        <v>16</v>
      </c>
      <c r="C302" s="7" t="s">
        <v>17</v>
      </c>
      <c r="D302" s="7"/>
      <c r="E302" s="7" t="s">
        <v>1677</v>
      </c>
      <c r="F302" s="7" t="s">
        <v>19</v>
      </c>
      <c r="G302" s="7" t="s">
        <v>31</v>
      </c>
      <c r="H302" s="7" t="s">
        <v>17</v>
      </c>
      <c r="I302" s="7" t="s">
        <v>17</v>
      </c>
      <c r="J302" s="7" t="s">
        <v>1678</v>
      </c>
    </row>
    <row r="303" spans="1:10" x14ac:dyDescent="0.25" outlineLevel="2" collapsed="1">
      <c r="A303" s="7" t="s">
        <v>15</v>
      </c>
      <c r="B303" s="7" t="s">
        <v>16</v>
      </c>
      <c r="C303" s="7" t="s">
        <v>17</v>
      </c>
      <c r="D303" s="7"/>
      <c r="E303" s="7" t="s">
        <v>1679</v>
      </c>
      <c r="F303" s="7" t="s">
        <v>19</v>
      </c>
      <c r="G303" s="7" t="s">
        <v>31</v>
      </c>
      <c r="H303" s="7" t="s">
        <v>17</v>
      </c>
      <c r="I303" s="7" t="s">
        <v>17</v>
      </c>
      <c r="J303" s="7" t="s">
        <v>1680</v>
      </c>
    </row>
    <row r="304" spans="1:10" x14ac:dyDescent="0.25" outlineLevel="2" collapsed="1">
      <c r="A304" s="7" t="s">
        <v>15</v>
      </c>
      <c r="B304" s="7" t="s">
        <v>284</v>
      </c>
      <c r="C304" s="11" t="s">
        <v>2621</v>
      </c>
      <c r="D304" s="7"/>
      <c r="E304" s="7" t="s">
        <v>1612</v>
      </c>
      <c r="F304" s="7" t="s">
        <v>19</v>
      </c>
      <c r="G304" s="7" t="s">
        <v>1613</v>
      </c>
      <c r="H304" s="7" t="s">
        <v>17</v>
      </c>
      <c r="I304" s="7" t="s">
        <v>17</v>
      </c>
      <c r="J304" s="7" t="s">
        <v>1614</v>
      </c>
    </row>
    <row r="305" spans="1:10" x14ac:dyDescent="0.25" outlineLevel="2" collapsed="1">
      <c r="A305" s="7" t="s">
        <v>19</v>
      </c>
      <c r="B305" s="7" t="s">
        <v>16</v>
      </c>
      <c r="C305" s="7" t="s">
        <v>17</v>
      </c>
      <c r="D305" s="7"/>
      <c r="E305" s="7" t="s">
        <v>1681</v>
      </c>
      <c r="F305" s="7" t="s">
        <v>19</v>
      </c>
      <c r="G305" s="7" t="s">
        <v>31</v>
      </c>
      <c r="H305" s="7" t="s">
        <v>17</v>
      </c>
      <c r="I305" s="7" t="s">
        <v>17</v>
      </c>
      <c r="J305" s="7" t="s">
        <v>1682</v>
      </c>
    </row>
    <row r="306" spans="1:10" x14ac:dyDescent="0.25" outlineLevel="2" collapsed="1">
      <c r="A306" s="7" t="s">
        <v>19</v>
      </c>
      <c r="B306" s="7" t="s">
        <v>16</v>
      </c>
      <c r="C306" s="7" t="s">
        <v>17</v>
      </c>
      <c r="D306" s="7"/>
      <c r="E306" s="7" t="s">
        <v>1615</v>
      </c>
      <c r="F306" s="7" t="s">
        <v>19</v>
      </c>
      <c r="G306" s="7" t="s">
        <v>31</v>
      </c>
      <c r="H306" s="7" t="s">
        <v>17</v>
      </c>
      <c r="I306" s="7" t="s">
        <v>17</v>
      </c>
      <c r="J306" s="7" t="s">
        <v>1616</v>
      </c>
    </row>
    <row r="307" spans="1:10" x14ac:dyDescent="0.25" outlineLevel="1" collapsed="1">
      <c r="A307" s="8" t="s">
        <v>19</v>
      </c>
      <c r="B307" s="9" t="s">
        <v>2617</v>
      </c>
      <c r="C307" s="8" t="s">
        <v>17</v>
      </c>
      <c r="D307" s="8"/>
      <c r="E307" s="8" t="s">
        <v>1690</v>
      </c>
      <c r="F307" s="8" t="s">
        <v>19</v>
      </c>
      <c r="G307" s="8" t="s">
        <v>17</v>
      </c>
      <c r="H307" s="8" t="s">
        <v>17</v>
      </c>
      <c r="I307" s="8" t="s">
        <v>17</v>
      </c>
      <c r="J307" s="8" t="s">
        <v>1691</v>
      </c>
    </row>
    <row r="308" spans="1:10" x14ac:dyDescent="0.25" outlineLevel="2" collapsed="1">
      <c r="A308" s="7" t="s">
        <v>15</v>
      </c>
      <c r="B308" s="7" t="s">
        <v>16</v>
      </c>
      <c r="C308" s="7" t="s">
        <v>17</v>
      </c>
      <c r="D308" s="7"/>
      <c r="E308" s="7" t="s">
        <v>1670</v>
      </c>
      <c r="F308" s="7" t="s">
        <v>19</v>
      </c>
      <c r="G308" s="7" t="s">
        <v>31</v>
      </c>
      <c r="H308" s="7" t="s">
        <v>17</v>
      </c>
      <c r="I308" s="7" t="s">
        <v>17</v>
      </c>
      <c r="J308" s="7" t="s">
        <v>637</v>
      </c>
    </row>
    <row r="309" spans="1:10" x14ac:dyDescent="0.25" outlineLevel="2" collapsed="1">
      <c r="A309" s="7" t="s">
        <v>15</v>
      </c>
      <c r="B309" s="7" t="s">
        <v>16</v>
      </c>
      <c r="C309" s="7" t="s">
        <v>17</v>
      </c>
      <c r="D309" s="7"/>
      <c r="E309" s="7" t="s">
        <v>638</v>
      </c>
      <c r="F309" s="7" t="s">
        <v>19</v>
      </c>
      <c r="G309" s="7" t="s">
        <v>31</v>
      </c>
      <c r="H309" s="7" t="s">
        <v>17</v>
      </c>
      <c r="I309" s="7" t="s">
        <v>17</v>
      </c>
      <c r="J309" s="7" t="s">
        <v>640</v>
      </c>
    </row>
    <row r="310" spans="1:10" x14ac:dyDescent="0.25" outlineLevel="2" collapsed="1">
      <c r="A310" s="7" t="s">
        <v>15</v>
      </c>
      <c r="B310" s="7" t="s">
        <v>16</v>
      </c>
      <c r="C310" s="7" t="s">
        <v>17</v>
      </c>
      <c r="D310" s="7"/>
      <c r="E310" s="7" t="s">
        <v>9</v>
      </c>
      <c r="F310" s="7" t="s">
        <v>19</v>
      </c>
      <c r="G310" s="7" t="s">
        <v>31</v>
      </c>
      <c r="H310" s="7" t="s">
        <v>17</v>
      </c>
      <c r="I310" s="7" t="s">
        <v>17</v>
      </c>
      <c r="J310" s="7" t="s">
        <v>843</v>
      </c>
    </row>
    <row r="311" spans="1:10" x14ac:dyDescent="0.25" outlineLevel="2" collapsed="1">
      <c r="A311" s="7" t="s">
        <v>19</v>
      </c>
      <c r="B311" s="7" t="s">
        <v>16</v>
      </c>
      <c r="C311" s="7" t="s">
        <v>17</v>
      </c>
      <c r="D311" s="7"/>
      <c r="E311" s="7" t="s">
        <v>1600</v>
      </c>
      <c r="F311" s="7" t="s">
        <v>19</v>
      </c>
      <c r="G311" s="7" t="s">
        <v>31</v>
      </c>
      <c r="H311" s="7" t="s">
        <v>17</v>
      </c>
      <c r="I311" s="7" t="s">
        <v>17</v>
      </c>
      <c r="J311" s="7" t="s">
        <v>1424</v>
      </c>
    </row>
    <row r="312" spans="1:10" x14ac:dyDescent="0.25" outlineLevel="2" collapsed="1">
      <c r="A312" s="7" t="s">
        <v>15</v>
      </c>
      <c r="B312" s="7" t="s">
        <v>16</v>
      </c>
      <c r="C312" s="7" t="s">
        <v>17</v>
      </c>
      <c r="D312" s="7"/>
      <c r="E312" s="7" t="s">
        <v>1601</v>
      </c>
      <c r="F312" s="7" t="s">
        <v>19</v>
      </c>
      <c r="G312" s="7" t="s">
        <v>31</v>
      </c>
      <c r="H312" s="7" t="s">
        <v>17</v>
      </c>
      <c r="I312" s="7" t="s">
        <v>17</v>
      </c>
      <c r="J312" s="7" t="s">
        <v>1602</v>
      </c>
    </row>
    <row r="313" spans="1:10" x14ac:dyDescent="0.25" outlineLevel="2" collapsed="1">
      <c r="A313" s="7" t="s">
        <v>15</v>
      </c>
      <c r="B313" s="7" t="s">
        <v>16</v>
      </c>
      <c r="C313" s="7" t="s">
        <v>17</v>
      </c>
      <c r="D313" s="7"/>
      <c r="E313" s="7" t="s">
        <v>1671</v>
      </c>
      <c r="F313" s="7" t="s">
        <v>19</v>
      </c>
      <c r="G313" s="7" t="s">
        <v>31</v>
      </c>
      <c r="H313" s="7" t="s">
        <v>17</v>
      </c>
      <c r="I313" s="7" t="s">
        <v>17</v>
      </c>
      <c r="J313" s="7" t="s">
        <v>1672</v>
      </c>
    </row>
    <row r="314" spans="1:10" x14ac:dyDescent="0.25" outlineLevel="2" collapsed="1">
      <c r="A314" s="7" t="s">
        <v>15</v>
      </c>
      <c r="B314" s="7" t="s">
        <v>16</v>
      </c>
      <c r="C314" s="7" t="s">
        <v>17</v>
      </c>
      <c r="D314" s="7"/>
      <c r="E314" s="7" t="s">
        <v>1673</v>
      </c>
      <c r="F314" s="7" t="s">
        <v>19</v>
      </c>
      <c r="G314" s="7" t="s">
        <v>31</v>
      </c>
      <c r="H314" s="7" t="s">
        <v>17</v>
      </c>
      <c r="I314" s="7" t="s">
        <v>17</v>
      </c>
      <c r="J314" s="7" t="s">
        <v>1674</v>
      </c>
    </row>
    <row r="315" spans="1:10" x14ac:dyDescent="0.25" outlineLevel="2" collapsed="1">
      <c r="A315" s="7" t="s">
        <v>15</v>
      </c>
      <c r="B315" s="7" t="s">
        <v>16</v>
      </c>
      <c r="C315" s="7" t="s">
        <v>17</v>
      </c>
      <c r="D315" s="7"/>
      <c r="E315" s="7" t="s">
        <v>2618</v>
      </c>
      <c r="F315" s="7" t="s">
        <v>19</v>
      </c>
      <c r="G315" s="7" t="s">
        <v>31</v>
      </c>
      <c r="H315" s="7" t="s">
        <v>17</v>
      </c>
      <c r="I315" s="7" t="s">
        <v>17</v>
      </c>
      <c r="J315" s="7" t="s">
        <v>1422</v>
      </c>
    </row>
    <row r="316" spans="1:10" x14ac:dyDescent="0.25" outlineLevel="2" collapsed="1">
      <c r="A316" s="7" t="s">
        <v>15</v>
      </c>
      <c r="B316" s="7" t="s">
        <v>284</v>
      </c>
      <c r="C316" s="11" t="s">
        <v>2619</v>
      </c>
      <c r="D316" s="7"/>
      <c r="E316" s="7" t="s">
        <v>1605</v>
      </c>
      <c r="F316" s="7" t="s">
        <v>19</v>
      </c>
      <c r="G316" s="7" t="s">
        <v>1606</v>
      </c>
      <c r="H316" s="7" t="s">
        <v>17</v>
      </c>
      <c r="I316" s="7" t="s">
        <v>17</v>
      </c>
      <c r="J316" s="7" t="s">
        <v>1607</v>
      </c>
    </row>
    <row r="317" spans="1:10" x14ac:dyDescent="0.25" outlineLevel="2" collapsed="1">
      <c r="A317" s="7" t="s">
        <v>19</v>
      </c>
      <c r="B317" s="7" t="s">
        <v>63</v>
      </c>
      <c r="C317" s="7" t="s">
        <v>17</v>
      </c>
      <c r="D317" s="7">
        <f>EXACT(G316,"Single value")</f>
      </c>
      <c r="E317" s="7" t="s">
        <v>2620</v>
      </c>
      <c r="F317" s="7" t="s">
        <v>19</v>
      </c>
      <c r="G317" s="7">
        <v>1</v>
      </c>
      <c r="H317" s="7" t="s">
        <v>17</v>
      </c>
      <c r="I317" s="7" t="s">
        <v>17</v>
      </c>
      <c r="J317" s="7" t="s">
        <v>1609</v>
      </c>
    </row>
    <row r="318" spans="1:10" x14ac:dyDescent="0.25" outlineLevel="2" collapsed="1">
      <c r="A318" s="7" t="s">
        <v>19</v>
      </c>
      <c r="B318" s="7" t="s">
        <v>16</v>
      </c>
      <c r="C318" s="7" t="s">
        <v>17</v>
      </c>
      <c r="D318" s="7"/>
      <c r="E318" s="7" t="s">
        <v>1677</v>
      </c>
      <c r="F318" s="7" t="s">
        <v>19</v>
      </c>
      <c r="G318" s="7" t="s">
        <v>31</v>
      </c>
      <c r="H318" s="7" t="s">
        <v>17</v>
      </c>
      <c r="I318" s="7" t="s">
        <v>17</v>
      </c>
      <c r="J318" s="7" t="s">
        <v>1678</v>
      </c>
    </row>
    <row r="319" spans="1:10" x14ac:dyDescent="0.25" outlineLevel="2" collapsed="1">
      <c r="A319" s="7" t="s">
        <v>15</v>
      </c>
      <c r="B319" s="7" t="s">
        <v>16</v>
      </c>
      <c r="C319" s="7" t="s">
        <v>17</v>
      </c>
      <c r="D319" s="7"/>
      <c r="E319" s="7" t="s">
        <v>1679</v>
      </c>
      <c r="F319" s="7" t="s">
        <v>19</v>
      </c>
      <c r="G319" s="7" t="s">
        <v>31</v>
      </c>
      <c r="H319" s="7" t="s">
        <v>17</v>
      </c>
      <c r="I319" s="7" t="s">
        <v>17</v>
      </c>
      <c r="J319" s="7" t="s">
        <v>1680</v>
      </c>
    </row>
    <row r="320" spans="1:10" x14ac:dyDescent="0.25" outlineLevel="2" collapsed="1">
      <c r="A320" s="7" t="s">
        <v>15</v>
      </c>
      <c r="B320" s="7" t="s">
        <v>284</v>
      </c>
      <c r="C320" s="11" t="s">
        <v>2621</v>
      </c>
      <c r="D320" s="7"/>
      <c r="E320" s="7" t="s">
        <v>1612</v>
      </c>
      <c r="F320" s="7" t="s">
        <v>19</v>
      </c>
      <c r="G320" s="7" t="s">
        <v>1613</v>
      </c>
      <c r="H320" s="7" t="s">
        <v>17</v>
      </c>
      <c r="I320" s="7" t="s">
        <v>17</v>
      </c>
      <c r="J320" s="7" t="s">
        <v>1614</v>
      </c>
    </row>
    <row r="321" spans="1:10" x14ac:dyDescent="0.25" outlineLevel="2" collapsed="1">
      <c r="A321" s="7" t="s">
        <v>19</v>
      </c>
      <c r="B321" s="7" t="s">
        <v>16</v>
      </c>
      <c r="C321" s="7" t="s">
        <v>17</v>
      </c>
      <c r="D321" s="7"/>
      <c r="E321" s="7" t="s">
        <v>1681</v>
      </c>
      <c r="F321" s="7" t="s">
        <v>19</v>
      </c>
      <c r="G321" s="7" t="s">
        <v>31</v>
      </c>
      <c r="H321" s="7" t="s">
        <v>17</v>
      </c>
      <c r="I321" s="7" t="s">
        <v>17</v>
      </c>
      <c r="J321" s="7" t="s">
        <v>1682</v>
      </c>
    </row>
    <row r="322" spans="1:10" x14ac:dyDescent="0.25" outlineLevel="2" collapsed="1">
      <c r="A322" s="7" t="s">
        <v>19</v>
      </c>
      <c r="B322" s="7" t="s">
        <v>16</v>
      </c>
      <c r="C322" s="7" t="s">
        <v>17</v>
      </c>
      <c r="D322" s="7"/>
      <c r="E322" s="7" t="s">
        <v>1615</v>
      </c>
      <c r="F322" s="7" t="s">
        <v>19</v>
      </c>
      <c r="G322" s="7" t="s">
        <v>31</v>
      </c>
      <c r="H322" s="7" t="s">
        <v>17</v>
      </c>
      <c r="I322" s="7" t="s">
        <v>17</v>
      </c>
      <c r="J322" s="7" t="s">
        <v>1616</v>
      </c>
    </row>
    <row r="323" spans="1:10" x14ac:dyDescent="0.25" outlineLevel="1" collapsed="1">
      <c r="A323" s="8" t="s">
        <v>19</v>
      </c>
      <c r="B323" s="9" t="s">
        <v>2617</v>
      </c>
      <c r="C323" s="8" t="s">
        <v>17</v>
      </c>
      <c r="D323" s="8"/>
      <c r="E323" s="8" t="s">
        <v>1692</v>
      </c>
      <c r="F323" s="8" t="s">
        <v>19</v>
      </c>
      <c r="G323" s="8" t="s">
        <v>17</v>
      </c>
      <c r="H323" s="8" t="s">
        <v>17</v>
      </c>
      <c r="I323" s="8" t="s">
        <v>17</v>
      </c>
      <c r="J323" s="8" t="s">
        <v>1693</v>
      </c>
    </row>
    <row r="324" spans="1:10" x14ac:dyDescent="0.25" outlineLevel="2" collapsed="1">
      <c r="A324" s="7" t="s">
        <v>15</v>
      </c>
      <c r="B324" s="7" t="s">
        <v>16</v>
      </c>
      <c r="C324" s="7" t="s">
        <v>17</v>
      </c>
      <c r="D324" s="7"/>
      <c r="E324" s="7" t="s">
        <v>1670</v>
      </c>
      <c r="F324" s="7" t="s">
        <v>19</v>
      </c>
      <c r="G324" s="7" t="s">
        <v>31</v>
      </c>
      <c r="H324" s="7" t="s">
        <v>17</v>
      </c>
      <c r="I324" s="7" t="s">
        <v>17</v>
      </c>
      <c r="J324" s="7" t="s">
        <v>637</v>
      </c>
    </row>
    <row r="325" spans="1:10" x14ac:dyDescent="0.25" outlineLevel="2" collapsed="1">
      <c r="A325" s="7" t="s">
        <v>15</v>
      </c>
      <c r="B325" s="7" t="s">
        <v>16</v>
      </c>
      <c r="C325" s="7" t="s">
        <v>17</v>
      </c>
      <c r="D325" s="7"/>
      <c r="E325" s="7" t="s">
        <v>638</v>
      </c>
      <c r="F325" s="7" t="s">
        <v>19</v>
      </c>
      <c r="G325" s="7" t="s">
        <v>31</v>
      </c>
      <c r="H325" s="7" t="s">
        <v>17</v>
      </c>
      <c r="I325" s="7" t="s">
        <v>17</v>
      </c>
      <c r="J325" s="7" t="s">
        <v>640</v>
      </c>
    </row>
    <row r="326" spans="1:10" x14ac:dyDescent="0.25" outlineLevel="2" collapsed="1">
      <c r="A326" s="7" t="s">
        <v>15</v>
      </c>
      <c r="B326" s="7" t="s">
        <v>16</v>
      </c>
      <c r="C326" s="7" t="s">
        <v>17</v>
      </c>
      <c r="D326" s="7"/>
      <c r="E326" s="7" t="s">
        <v>9</v>
      </c>
      <c r="F326" s="7" t="s">
        <v>19</v>
      </c>
      <c r="G326" s="7" t="s">
        <v>31</v>
      </c>
      <c r="H326" s="7" t="s">
        <v>17</v>
      </c>
      <c r="I326" s="7" t="s">
        <v>17</v>
      </c>
      <c r="J326" s="7" t="s">
        <v>843</v>
      </c>
    </row>
    <row r="327" spans="1:10" x14ac:dyDescent="0.25" outlineLevel="2" collapsed="1">
      <c r="A327" s="7" t="s">
        <v>19</v>
      </c>
      <c r="B327" s="7" t="s">
        <v>16</v>
      </c>
      <c r="C327" s="7" t="s">
        <v>17</v>
      </c>
      <c r="D327" s="7"/>
      <c r="E327" s="7" t="s">
        <v>1600</v>
      </c>
      <c r="F327" s="7" t="s">
        <v>19</v>
      </c>
      <c r="G327" s="7" t="s">
        <v>31</v>
      </c>
      <c r="H327" s="7" t="s">
        <v>17</v>
      </c>
      <c r="I327" s="7" t="s">
        <v>17</v>
      </c>
      <c r="J327" s="7" t="s">
        <v>1424</v>
      </c>
    </row>
    <row r="328" spans="1:10" x14ac:dyDescent="0.25" outlineLevel="2" collapsed="1">
      <c r="A328" s="7" t="s">
        <v>15</v>
      </c>
      <c r="B328" s="7" t="s">
        <v>16</v>
      </c>
      <c r="C328" s="7" t="s">
        <v>17</v>
      </c>
      <c r="D328" s="7"/>
      <c r="E328" s="7" t="s">
        <v>1601</v>
      </c>
      <c r="F328" s="7" t="s">
        <v>19</v>
      </c>
      <c r="G328" s="7" t="s">
        <v>31</v>
      </c>
      <c r="H328" s="7" t="s">
        <v>17</v>
      </c>
      <c r="I328" s="7" t="s">
        <v>17</v>
      </c>
      <c r="J328" s="7" t="s">
        <v>1602</v>
      </c>
    </row>
    <row r="329" spans="1:10" x14ac:dyDescent="0.25" outlineLevel="2" collapsed="1">
      <c r="A329" s="7" t="s">
        <v>15</v>
      </c>
      <c r="B329" s="7" t="s">
        <v>16</v>
      </c>
      <c r="C329" s="7" t="s">
        <v>17</v>
      </c>
      <c r="D329" s="7"/>
      <c r="E329" s="7" t="s">
        <v>1671</v>
      </c>
      <c r="F329" s="7" t="s">
        <v>19</v>
      </c>
      <c r="G329" s="7" t="s">
        <v>31</v>
      </c>
      <c r="H329" s="7" t="s">
        <v>17</v>
      </c>
      <c r="I329" s="7" t="s">
        <v>17</v>
      </c>
      <c r="J329" s="7" t="s">
        <v>1672</v>
      </c>
    </row>
    <row r="330" spans="1:10" x14ac:dyDescent="0.25" outlineLevel="2" collapsed="1">
      <c r="A330" s="7" t="s">
        <v>15</v>
      </c>
      <c r="B330" s="7" t="s">
        <v>16</v>
      </c>
      <c r="C330" s="7" t="s">
        <v>17</v>
      </c>
      <c r="D330" s="7"/>
      <c r="E330" s="7" t="s">
        <v>1673</v>
      </c>
      <c r="F330" s="7" t="s">
        <v>19</v>
      </c>
      <c r="G330" s="7" t="s">
        <v>31</v>
      </c>
      <c r="H330" s="7" t="s">
        <v>17</v>
      </c>
      <c r="I330" s="7" t="s">
        <v>17</v>
      </c>
      <c r="J330" s="7" t="s">
        <v>1674</v>
      </c>
    </row>
    <row r="331" spans="1:10" x14ac:dyDescent="0.25" outlineLevel="2" collapsed="1">
      <c r="A331" s="7" t="s">
        <v>15</v>
      </c>
      <c r="B331" s="7" t="s">
        <v>16</v>
      </c>
      <c r="C331" s="7" t="s">
        <v>17</v>
      </c>
      <c r="D331" s="7"/>
      <c r="E331" s="7" t="s">
        <v>2618</v>
      </c>
      <c r="F331" s="7" t="s">
        <v>19</v>
      </c>
      <c r="G331" s="7" t="s">
        <v>31</v>
      </c>
      <c r="H331" s="7" t="s">
        <v>17</v>
      </c>
      <c r="I331" s="7" t="s">
        <v>17</v>
      </c>
      <c r="J331" s="7" t="s">
        <v>1422</v>
      </c>
    </row>
    <row r="332" spans="1:10" x14ac:dyDescent="0.25" outlineLevel="2" collapsed="1">
      <c r="A332" s="7" t="s">
        <v>15</v>
      </c>
      <c r="B332" s="7" t="s">
        <v>284</v>
      </c>
      <c r="C332" s="11" t="s">
        <v>2619</v>
      </c>
      <c r="D332" s="7"/>
      <c r="E332" s="7" t="s">
        <v>1605</v>
      </c>
      <c r="F332" s="7" t="s">
        <v>19</v>
      </c>
      <c r="G332" s="7" t="s">
        <v>1606</v>
      </c>
      <c r="H332" s="7" t="s">
        <v>17</v>
      </c>
      <c r="I332" s="7" t="s">
        <v>17</v>
      </c>
      <c r="J332" s="7" t="s">
        <v>1607</v>
      </c>
    </row>
    <row r="333" spans="1:10" x14ac:dyDescent="0.25" outlineLevel="2" collapsed="1">
      <c r="A333" s="7" t="s">
        <v>19</v>
      </c>
      <c r="B333" s="7" t="s">
        <v>63</v>
      </c>
      <c r="C333" s="7" t="s">
        <v>17</v>
      </c>
      <c r="D333" s="7">
        <f>EXACT(G332,"Single value")</f>
      </c>
      <c r="E333" s="7" t="s">
        <v>2620</v>
      </c>
      <c r="F333" s="7" t="s">
        <v>19</v>
      </c>
      <c r="G333" s="7">
        <v>1</v>
      </c>
      <c r="H333" s="7" t="s">
        <v>17</v>
      </c>
      <c r="I333" s="7" t="s">
        <v>17</v>
      </c>
      <c r="J333" s="7" t="s">
        <v>1609</v>
      </c>
    </row>
    <row r="334" spans="1:10" x14ac:dyDescent="0.25" outlineLevel="2" collapsed="1">
      <c r="A334" s="7" t="s">
        <v>19</v>
      </c>
      <c r="B334" s="7" t="s">
        <v>16</v>
      </c>
      <c r="C334" s="7" t="s">
        <v>17</v>
      </c>
      <c r="D334" s="7"/>
      <c r="E334" s="7" t="s">
        <v>1677</v>
      </c>
      <c r="F334" s="7" t="s">
        <v>19</v>
      </c>
      <c r="G334" s="7" t="s">
        <v>31</v>
      </c>
      <c r="H334" s="7" t="s">
        <v>17</v>
      </c>
      <c r="I334" s="7" t="s">
        <v>17</v>
      </c>
      <c r="J334" s="7" t="s">
        <v>1678</v>
      </c>
    </row>
    <row r="335" spans="1:10" x14ac:dyDescent="0.25" outlineLevel="2" collapsed="1">
      <c r="A335" s="7" t="s">
        <v>15</v>
      </c>
      <c r="B335" s="7" t="s">
        <v>16</v>
      </c>
      <c r="C335" s="7" t="s">
        <v>17</v>
      </c>
      <c r="D335" s="7"/>
      <c r="E335" s="7" t="s">
        <v>1679</v>
      </c>
      <c r="F335" s="7" t="s">
        <v>19</v>
      </c>
      <c r="G335" s="7" t="s">
        <v>31</v>
      </c>
      <c r="H335" s="7" t="s">
        <v>17</v>
      </c>
      <c r="I335" s="7" t="s">
        <v>17</v>
      </c>
      <c r="J335" s="7" t="s">
        <v>1680</v>
      </c>
    </row>
    <row r="336" spans="1:10" x14ac:dyDescent="0.25" outlineLevel="2" collapsed="1">
      <c r="A336" s="7" t="s">
        <v>15</v>
      </c>
      <c r="B336" s="7" t="s">
        <v>284</v>
      </c>
      <c r="C336" s="11" t="s">
        <v>2621</v>
      </c>
      <c r="D336" s="7"/>
      <c r="E336" s="7" t="s">
        <v>1612</v>
      </c>
      <c r="F336" s="7" t="s">
        <v>19</v>
      </c>
      <c r="G336" s="7" t="s">
        <v>1613</v>
      </c>
      <c r="H336" s="7" t="s">
        <v>17</v>
      </c>
      <c r="I336" s="7" t="s">
        <v>17</v>
      </c>
      <c r="J336" s="7" t="s">
        <v>1614</v>
      </c>
    </row>
    <row r="337" spans="1:10" x14ac:dyDescent="0.25" outlineLevel="2" collapsed="1">
      <c r="A337" s="7" t="s">
        <v>19</v>
      </c>
      <c r="B337" s="7" t="s">
        <v>16</v>
      </c>
      <c r="C337" s="7" t="s">
        <v>17</v>
      </c>
      <c r="D337" s="7"/>
      <c r="E337" s="7" t="s">
        <v>1681</v>
      </c>
      <c r="F337" s="7" t="s">
        <v>19</v>
      </c>
      <c r="G337" s="7" t="s">
        <v>31</v>
      </c>
      <c r="H337" s="7" t="s">
        <v>17</v>
      </c>
      <c r="I337" s="7" t="s">
        <v>17</v>
      </c>
      <c r="J337" s="7" t="s">
        <v>1682</v>
      </c>
    </row>
    <row r="338" spans="1:10" x14ac:dyDescent="0.25" outlineLevel="2" collapsed="1">
      <c r="A338" s="7" t="s">
        <v>19</v>
      </c>
      <c r="B338" s="7" t="s">
        <v>16</v>
      </c>
      <c r="C338" s="7" t="s">
        <v>17</v>
      </c>
      <c r="D338" s="7"/>
      <c r="E338" s="7" t="s">
        <v>1615</v>
      </c>
      <c r="F338" s="7" t="s">
        <v>19</v>
      </c>
      <c r="G338" s="7" t="s">
        <v>31</v>
      </c>
      <c r="H338" s="7" t="s">
        <v>17</v>
      </c>
      <c r="I338" s="7" t="s">
        <v>17</v>
      </c>
      <c r="J338" s="7" t="s">
        <v>1616</v>
      </c>
    </row>
    <row r="339" spans="1:10" x14ac:dyDescent="0.25">
      <c r="A339" s="5" t="s">
        <v>19</v>
      </c>
      <c r="B339" s="6" t="s">
        <v>2622</v>
      </c>
      <c r="C339" s="5" t="s">
        <v>17</v>
      </c>
      <c r="D339" s="5"/>
      <c r="E339" s="5" t="s">
        <v>1695</v>
      </c>
      <c r="F339" s="5" t="s">
        <v>19</v>
      </c>
      <c r="G339" s="5" t="s">
        <v>17</v>
      </c>
      <c r="H339" s="5" t="s">
        <v>17</v>
      </c>
      <c r="I339" s="5" t="s">
        <v>17</v>
      </c>
      <c r="J339" s="5" t="s">
        <v>1696</v>
      </c>
    </row>
    <row r="340" spans="1:10" x14ac:dyDescent="0.25" outlineLevel="1" collapsed="1">
      <c r="A340" s="8" t="s">
        <v>19</v>
      </c>
      <c r="B340" s="9" t="s">
        <v>2617</v>
      </c>
      <c r="C340" s="8" t="s">
        <v>17</v>
      </c>
      <c r="D340" s="8"/>
      <c r="E340" s="8" t="s">
        <v>1697</v>
      </c>
      <c r="F340" s="8" t="s">
        <v>19</v>
      </c>
      <c r="G340" s="8" t="s">
        <v>17</v>
      </c>
      <c r="H340" s="8" t="s">
        <v>17</v>
      </c>
      <c r="I340" s="8" t="s">
        <v>17</v>
      </c>
      <c r="J340" s="8" t="s">
        <v>1698</v>
      </c>
    </row>
    <row r="341" spans="1:10" x14ac:dyDescent="0.25" outlineLevel="2" collapsed="1">
      <c r="A341" s="7" t="s">
        <v>15</v>
      </c>
      <c r="B341" s="7" t="s">
        <v>16</v>
      </c>
      <c r="C341" s="7" t="s">
        <v>17</v>
      </c>
      <c r="D341" s="7"/>
      <c r="E341" s="7" t="s">
        <v>1670</v>
      </c>
      <c r="F341" s="7" t="s">
        <v>19</v>
      </c>
      <c r="G341" s="7" t="s">
        <v>31</v>
      </c>
      <c r="H341" s="7" t="s">
        <v>17</v>
      </c>
      <c r="I341" s="7" t="s">
        <v>17</v>
      </c>
      <c r="J341" s="7" t="s">
        <v>637</v>
      </c>
    </row>
    <row r="342" spans="1:10" x14ac:dyDescent="0.25" outlineLevel="2" collapsed="1">
      <c r="A342" s="7" t="s">
        <v>15</v>
      </c>
      <c r="B342" s="7" t="s">
        <v>16</v>
      </c>
      <c r="C342" s="7" t="s">
        <v>17</v>
      </c>
      <c r="D342" s="7"/>
      <c r="E342" s="7" t="s">
        <v>638</v>
      </c>
      <c r="F342" s="7" t="s">
        <v>19</v>
      </c>
      <c r="G342" s="7" t="s">
        <v>31</v>
      </c>
      <c r="H342" s="7" t="s">
        <v>17</v>
      </c>
      <c r="I342" s="7" t="s">
        <v>17</v>
      </c>
      <c r="J342" s="7" t="s">
        <v>640</v>
      </c>
    </row>
    <row r="343" spans="1:10" x14ac:dyDescent="0.25" outlineLevel="2" collapsed="1">
      <c r="A343" s="7" t="s">
        <v>15</v>
      </c>
      <c r="B343" s="7" t="s">
        <v>16</v>
      </c>
      <c r="C343" s="7" t="s">
        <v>17</v>
      </c>
      <c r="D343" s="7"/>
      <c r="E343" s="7" t="s">
        <v>9</v>
      </c>
      <c r="F343" s="7" t="s">
        <v>19</v>
      </c>
      <c r="G343" s="7" t="s">
        <v>31</v>
      </c>
      <c r="H343" s="7" t="s">
        <v>17</v>
      </c>
      <c r="I343" s="7" t="s">
        <v>17</v>
      </c>
      <c r="J343" s="7" t="s">
        <v>843</v>
      </c>
    </row>
    <row r="344" spans="1:10" x14ac:dyDescent="0.25" outlineLevel="2" collapsed="1">
      <c r="A344" s="7" t="s">
        <v>19</v>
      </c>
      <c r="B344" s="7" t="s">
        <v>16</v>
      </c>
      <c r="C344" s="7" t="s">
        <v>17</v>
      </c>
      <c r="D344" s="7"/>
      <c r="E344" s="7" t="s">
        <v>1600</v>
      </c>
      <c r="F344" s="7" t="s">
        <v>19</v>
      </c>
      <c r="G344" s="7" t="s">
        <v>31</v>
      </c>
      <c r="H344" s="7" t="s">
        <v>17</v>
      </c>
      <c r="I344" s="7" t="s">
        <v>17</v>
      </c>
      <c r="J344" s="7" t="s">
        <v>1424</v>
      </c>
    </row>
    <row r="345" spans="1:10" x14ac:dyDescent="0.25" outlineLevel="2" collapsed="1">
      <c r="A345" s="7" t="s">
        <v>15</v>
      </c>
      <c r="B345" s="7" t="s">
        <v>16</v>
      </c>
      <c r="C345" s="7" t="s">
        <v>17</v>
      </c>
      <c r="D345" s="7"/>
      <c r="E345" s="7" t="s">
        <v>1601</v>
      </c>
      <c r="F345" s="7" t="s">
        <v>19</v>
      </c>
      <c r="G345" s="7" t="s">
        <v>31</v>
      </c>
      <c r="H345" s="7" t="s">
        <v>17</v>
      </c>
      <c r="I345" s="7" t="s">
        <v>17</v>
      </c>
      <c r="J345" s="7" t="s">
        <v>1602</v>
      </c>
    </row>
    <row r="346" spans="1:10" x14ac:dyDescent="0.25" outlineLevel="2" collapsed="1">
      <c r="A346" s="7" t="s">
        <v>15</v>
      </c>
      <c r="B346" s="7" t="s">
        <v>16</v>
      </c>
      <c r="C346" s="7" t="s">
        <v>17</v>
      </c>
      <c r="D346" s="7"/>
      <c r="E346" s="7" t="s">
        <v>1671</v>
      </c>
      <c r="F346" s="7" t="s">
        <v>19</v>
      </c>
      <c r="G346" s="7" t="s">
        <v>31</v>
      </c>
      <c r="H346" s="7" t="s">
        <v>17</v>
      </c>
      <c r="I346" s="7" t="s">
        <v>17</v>
      </c>
      <c r="J346" s="7" t="s">
        <v>1672</v>
      </c>
    </row>
    <row r="347" spans="1:10" x14ac:dyDescent="0.25" outlineLevel="2" collapsed="1">
      <c r="A347" s="7" t="s">
        <v>15</v>
      </c>
      <c r="B347" s="7" t="s">
        <v>16</v>
      </c>
      <c r="C347" s="7" t="s">
        <v>17</v>
      </c>
      <c r="D347" s="7"/>
      <c r="E347" s="7" t="s">
        <v>1673</v>
      </c>
      <c r="F347" s="7" t="s">
        <v>19</v>
      </c>
      <c r="G347" s="7" t="s">
        <v>31</v>
      </c>
      <c r="H347" s="7" t="s">
        <v>17</v>
      </c>
      <c r="I347" s="7" t="s">
        <v>17</v>
      </c>
      <c r="J347" s="7" t="s">
        <v>1674</v>
      </c>
    </row>
    <row r="348" spans="1:10" x14ac:dyDescent="0.25" outlineLevel="2" collapsed="1">
      <c r="A348" s="7" t="s">
        <v>15</v>
      </c>
      <c r="B348" s="7" t="s">
        <v>16</v>
      </c>
      <c r="C348" s="7" t="s">
        <v>17</v>
      </c>
      <c r="D348" s="7"/>
      <c r="E348" s="7" t="s">
        <v>2618</v>
      </c>
      <c r="F348" s="7" t="s">
        <v>19</v>
      </c>
      <c r="G348" s="7" t="s">
        <v>31</v>
      </c>
      <c r="H348" s="7" t="s">
        <v>17</v>
      </c>
      <c r="I348" s="7" t="s">
        <v>17</v>
      </c>
      <c r="J348" s="7" t="s">
        <v>1422</v>
      </c>
    </row>
    <row r="349" spans="1:10" x14ac:dyDescent="0.25" outlineLevel="2" collapsed="1">
      <c r="A349" s="7" t="s">
        <v>15</v>
      </c>
      <c r="B349" s="7" t="s">
        <v>284</v>
      </c>
      <c r="C349" s="11" t="s">
        <v>2619</v>
      </c>
      <c r="D349" s="7"/>
      <c r="E349" s="7" t="s">
        <v>1605</v>
      </c>
      <c r="F349" s="7" t="s">
        <v>19</v>
      </c>
      <c r="G349" s="7" t="s">
        <v>1606</v>
      </c>
      <c r="H349" s="7" t="s">
        <v>17</v>
      </c>
      <c r="I349" s="7" t="s">
        <v>17</v>
      </c>
      <c r="J349" s="7" t="s">
        <v>1607</v>
      </c>
    </row>
    <row r="350" spans="1:10" x14ac:dyDescent="0.25" outlineLevel="2" collapsed="1">
      <c r="A350" s="7" t="s">
        <v>19</v>
      </c>
      <c r="B350" s="7" t="s">
        <v>63</v>
      </c>
      <c r="C350" s="7" t="s">
        <v>17</v>
      </c>
      <c r="D350" s="7">
        <f>EXACT(G349,"Single value")</f>
      </c>
      <c r="E350" s="7" t="s">
        <v>2620</v>
      </c>
      <c r="F350" s="7" t="s">
        <v>19</v>
      </c>
      <c r="G350" s="7">
        <v>1</v>
      </c>
      <c r="H350" s="7" t="s">
        <v>17</v>
      </c>
      <c r="I350" s="7" t="s">
        <v>17</v>
      </c>
      <c r="J350" s="7" t="s">
        <v>1609</v>
      </c>
    </row>
    <row r="351" spans="1:10" x14ac:dyDescent="0.25" outlineLevel="2" collapsed="1">
      <c r="A351" s="7" t="s">
        <v>19</v>
      </c>
      <c r="B351" s="7" t="s">
        <v>16</v>
      </c>
      <c r="C351" s="7" t="s">
        <v>17</v>
      </c>
      <c r="D351" s="7"/>
      <c r="E351" s="7" t="s">
        <v>1677</v>
      </c>
      <c r="F351" s="7" t="s">
        <v>19</v>
      </c>
      <c r="G351" s="7" t="s">
        <v>31</v>
      </c>
      <c r="H351" s="7" t="s">
        <v>17</v>
      </c>
      <c r="I351" s="7" t="s">
        <v>17</v>
      </c>
      <c r="J351" s="7" t="s">
        <v>1678</v>
      </c>
    </row>
    <row r="352" spans="1:10" x14ac:dyDescent="0.25" outlineLevel="2" collapsed="1">
      <c r="A352" s="7" t="s">
        <v>15</v>
      </c>
      <c r="B352" s="7" t="s">
        <v>16</v>
      </c>
      <c r="C352" s="7" t="s">
        <v>17</v>
      </c>
      <c r="D352" s="7"/>
      <c r="E352" s="7" t="s">
        <v>1679</v>
      </c>
      <c r="F352" s="7" t="s">
        <v>19</v>
      </c>
      <c r="G352" s="7" t="s">
        <v>31</v>
      </c>
      <c r="H352" s="7" t="s">
        <v>17</v>
      </c>
      <c r="I352" s="7" t="s">
        <v>17</v>
      </c>
      <c r="J352" s="7" t="s">
        <v>1680</v>
      </c>
    </row>
    <row r="353" spans="1:10" x14ac:dyDescent="0.25" outlineLevel="2" collapsed="1">
      <c r="A353" s="7" t="s">
        <v>15</v>
      </c>
      <c r="B353" s="7" t="s">
        <v>284</v>
      </c>
      <c r="C353" s="11" t="s">
        <v>2621</v>
      </c>
      <c r="D353" s="7"/>
      <c r="E353" s="7" t="s">
        <v>1612</v>
      </c>
      <c r="F353" s="7" t="s">
        <v>19</v>
      </c>
      <c r="G353" s="7" t="s">
        <v>1613</v>
      </c>
      <c r="H353" s="7" t="s">
        <v>17</v>
      </c>
      <c r="I353" s="7" t="s">
        <v>17</v>
      </c>
      <c r="J353" s="7" t="s">
        <v>1614</v>
      </c>
    </row>
    <row r="354" spans="1:10" x14ac:dyDescent="0.25" outlineLevel="2" collapsed="1">
      <c r="A354" s="7" t="s">
        <v>19</v>
      </c>
      <c r="B354" s="7" t="s">
        <v>16</v>
      </c>
      <c r="C354" s="7" t="s">
        <v>17</v>
      </c>
      <c r="D354" s="7"/>
      <c r="E354" s="7" t="s">
        <v>1681</v>
      </c>
      <c r="F354" s="7" t="s">
        <v>19</v>
      </c>
      <c r="G354" s="7" t="s">
        <v>31</v>
      </c>
      <c r="H354" s="7" t="s">
        <v>17</v>
      </c>
      <c r="I354" s="7" t="s">
        <v>17</v>
      </c>
      <c r="J354" s="7" t="s">
        <v>1682</v>
      </c>
    </row>
    <row r="355" spans="1:10" x14ac:dyDescent="0.25" outlineLevel="2" collapsed="1">
      <c r="A355" s="7" t="s">
        <v>19</v>
      </c>
      <c r="B355" s="7" t="s">
        <v>16</v>
      </c>
      <c r="C355" s="7" t="s">
        <v>17</v>
      </c>
      <c r="D355" s="7"/>
      <c r="E355" s="7" t="s">
        <v>1615</v>
      </c>
      <c r="F355" s="7" t="s">
        <v>19</v>
      </c>
      <c r="G355" s="7" t="s">
        <v>31</v>
      </c>
      <c r="H355" s="7" t="s">
        <v>17</v>
      </c>
      <c r="I355" s="7" t="s">
        <v>17</v>
      </c>
      <c r="J355" s="7" t="s">
        <v>1616</v>
      </c>
    </row>
    <row r="356" spans="1:10" x14ac:dyDescent="0.25" outlineLevel="1" collapsed="1">
      <c r="A356" s="8" t="s">
        <v>19</v>
      </c>
      <c r="B356" s="9" t="s">
        <v>2617</v>
      </c>
      <c r="C356" s="8" t="s">
        <v>17</v>
      </c>
      <c r="D356" s="8"/>
      <c r="E356" s="8" t="s">
        <v>1699</v>
      </c>
      <c r="F356" s="8" t="s">
        <v>19</v>
      </c>
      <c r="G356" s="8" t="s">
        <v>17</v>
      </c>
      <c r="H356" s="8" t="s">
        <v>17</v>
      </c>
      <c r="I356" s="8" t="s">
        <v>17</v>
      </c>
      <c r="J356" s="8" t="s">
        <v>1700</v>
      </c>
    </row>
    <row r="357" spans="1:10" x14ac:dyDescent="0.25" outlineLevel="2" collapsed="1">
      <c r="A357" s="7" t="s">
        <v>15</v>
      </c>
      <c r="B357" s="7" t="s">
        <v>16</v>
      </c>
      <c r="C357" s="7" t="s">
        <v>17</v>
      </c>
      <c r="D357" s="7"/>
      <c r="E357" s="7" t="s">
        <v>1670</v>
      </c>
      <c r="F357" s="7" t="s">
        <v>19</v>
      </c>
      <c r="G357" s="7" t="s">
        <v>31</v>
      </c>
      <c r="H357" s="7" t="s">
        <v>17</v>
      </c>
      <c r="I357" s="7" t="s">
        <v>17</v>
      </c>
      <c r="J357" s="7" t="s">
        <v>637</v>
      </c>
    </row>
    <row r="358" spans="1:10" x14ac:dyDescent="0.25" outlineLevel="2" collapsed="1">
      <c r="A358" s="7" t="s">
        <v>15</v>
      </c>
      <c r="B358" s="7" t="s">
        <v>16</v>
      </c>
      <c r="C358" s="7" t="s">
        <v>17</v>
      </c>
      <c r="D358" s="7"/>
      <c r="E358" s="7" t="s">
        <v>638</v>
      </c>
      <c r="F358" s="7" t="s">
        <v>19</v>
      </c>
      <c r="G358" s="7" t="s">
        <v>31</v>
      </c>
      <c r="H358" s="7" t="s">
        <v>17</v>
      </c>
      <c r="I358" s="7" t="s">
        <v>17</v>
      </c>
      <c r="J358" s="7" t="s">
        <v>640</v>
      </c>
    </row>
    <row r="359" spans="1:10" x14ac:dyDescent="0.25" outlineLevel="2" collapsed="1">
      <c r="A359" s="7" t="s">
        <v>15</v>
      </c>
      <c r="B359" s="7" t="s">
        <v>16</v>
      </c>
      <c r="C359" s="7" t="s">
        <v>17</v>
      </c>
      <c r="D359" s="7"/>
      <c r="E359" s="7" t="s">
        <v>9</v>
      </c>
      <c r="F359" s="7" t="s">
        <v>19</v>
      </c>
      <c r="G359" s="7" t="s">
        <v>31</v>
      </c>
      <c r="H359" s="7" t="s">
        <v>17</v>
      </c>
      <c r="I359" s="7" t="s">
        <v>17</v>
      </c>
      <c r="J359" s="7" t="s">
        <v>843</v>
      </c>
    </row>
    <row r="360" spans="1:10" x14ac:dyDescent="0.25" outlineLevel="2" collapsed="1">
      <c r="A360" s="7" t="s">
        <v>19</v>
      </c>
      <c r="B360" s="7" t="s">
        <v>16</v>
      </c>
      <c r="C360" s="7" t="s">
        <v>17</v>
      </c>
      <c r="D360" s="7"/>
      <c r="E360" s="7" t="s">
        <v>1600</v>
      </c>
      <c r="F360" s="7" t="s">
        <v>19</v>
      </c>
      <c r="G360" s="7" t="s">
        <v>31</v>
      </c>
      <c r="H360" s="7" t="s">
        <v>17</v>
      </c>
      <c r="I360" s="7" t="s">
        <v>17</v>
      </c>
      <c r="J360" s="7" t="s">
        <v>1424</v>
      </c>
    </row>
    <row r="361" spans="1:10" x14ac:dyDescent="0.25" outlineLevel="2" collapsed="1">
      <c r="A361" s="7" t="s">
        <v>15</v>
      </c>
      <c r="B361" s="7" t="s">
        <v>16</v>
      </c>
      <c r="C361" s="7" t="s">
        <v>17</v>
      </c>
      <c r="D361" s="7"/>
      <c r="E361" s="7" t="s">
        <v>1601</v>
      </c>
      <c r="F361" s="7" t="s">
        <v>19</v>
      </c>
      <c r="G361" s="7" t="s">
        <v>31</v>
      </c>
      <c r="H361" s="7" t="s">
        <v>17</v>
      </c>
      <c r="I361" s="7" t="s">
        <v>17</v>
      </c>
      <c r="J361" s="7" t="s">
        <v>1602</v>
      </c>
    </row>
    <row r="362" spans="1:10" x14ac:dyDescent="0.25" outlineLevel="2" collapsed="1">
      <c r="A362" s="7" t="s">
        <v>15</v>
      </c>
      <c r="B362" s="7" t="s">
        <v>16</v>
      </c>
      <c r="C362" s="7" t="s">
        <v>17</v>
      </c>
      <c r="D362" s="7"/>
      <c r="E362" s="7" t="s">
        <v>1671</v>
      </c>
      <c r="F362" s="7" t="s">
        <v>19</v>
      </c>
      <c r="G362" s="7" t="s">
        <v>31</v>
      </c>
      <c r="H362" s="7" t="s">
        <v>17</v>
      </c>
      <c r="I362" s="7" t="s">
        <v>17</v>
      </c>
      <c r="J362" s="7" t="s">
        <v>1672</v>
      </c>
    </row>
    <row r="363" spans="1:10" x14ac:dyDescent="0.25" outlineLevel="2" collapsed="1">
      <c r="A363" s="7" t="s">
        <v>15</v>
      </c>
      <c r="B363" s="7" t="s">
        <v>16</v>
      </c>
      <c r="C363" s="7" t="s">
        <v>17</v>
      </c>
      <c r="D363" s="7"/>
      <c r="E363" s="7" t="s">
        <v>1673</v>
      </c>
      <c r="F363" s="7" t="s">
        <v>19</v>
      </c>
      <c r="G363" s="7" t="s">
        <v>31</v>
      </c>
      <c r="H363" s="7" t="s">
        <v>17</v>
      </c>
      <c r="I363" s="7" t="s">
        <v>17</v>
      </c>
      <c r="J363" s="7" t="s">
        <v>1674</v>
      </c>
    </row>
    <row r="364" spans="1:10" x14ac:dyDescent="0.25" outlineLevel="2" collapsed="1">
      <c r="A364" s="7" t="s">
        <v>15</v>
      </c>
      <c r="B364" s="7" t="s">
        <v>16</v>
      </c>
      <c r="C364" s="7" t="s">
        <v>17</v>
      </c>
      <c r="D364" s="7"/>
      <c r="E364" s="7" t="s">
        <v>2618</v>
      </c>
      <c r="F364" s="7" t="s">
        <v>19</v>
      </c>
      <c r="G364" s="7" t="s">
        <v>31</v>
      </c>
      <c r="H364" s="7" t="s">
        <v>17</v>
      </c>
      <c r="I364" s="7" t="s">
        <v>17</v>
      </c>
      <c r="J364" s="7" t="s">
        <v>1422</v>
      </c>
    </row>
    <row r="365" spans="1:10" x14ac:dyDescent="0.25" outlineLevel="2" collapsed="1">
      <c r="A365" s="7" t="s">
        <v>15</v>
      </c>
      <c r="B365" s="7" t="s">
        <v>284</v>
      </c>
      <c r="C365" s="11" t="s">
        <v>2619</v>
      </c>
      <c r="D365" s="7"/>
      <c r="E365" s="7" t="s">
        <v>1605</v>
      </c>
      <c r="F365" s="7" t="s">
        <v>19</v>
      </c>
      <c r="G365" s="7" t="s">
        <v>1606</v>
      </c>
      <c r="H365" s="7" t="s">
        <v>17</v>
      </c>
      <c r="I365" s="7" t="s">
        <v>17</v>
      </c>
      <c r="J365" s="7" t="s">
        <v>1607</v>
      </c>
    </row>
    <row r="366" spans="1:10" x14ac:dyDescent="0.25" outlineLevel="2" collapsed="1">
      <c r="A366" s="7" t="s">
        <v>19</v>
      </c>
      <c r="B366" s="7" t="s">
        <v>63</v>
      </c>
      <c r="C366" s="7" t="s">
        <v>17</v>
      </c>
      <c r="D366" s="7">
        <f>EXACT(G365,"Single value")</f>
      </c>
      <c r="E366" s="7" t="s">
        <v>2620</v>
      </c>
      <c r="F366" s="7" t="s">
        <v>19</v>
      </c>
      <c r="G366" s="7">
        <v>1</v>
      </c>
      <c r="H366" s="7" t="s">
        <v>17</v>
      </c>
      <c r="I366" s="7" t="s">
        <v>17</v>
      </c>
      <c r="J366" s="7" t="s">
        <v>1609</v>
      </c>
    </row>
    <row r="367" spans="1:10" x14ac:dyDescent="0.25" outlineLevel="2" collapsed="1">
      <c r="A367" s="7" t="s">
        <v>19</v>
      </c>
      <c r="B367" s="7" t="s">
        <v>16</v>
      </c>
      <c r="C367" s="7" t="s">
        <v>17</v>
      </c>
      <c r="D367" s="7"/>
      <c r="E367" s="7" t="s">
        <v>1677</v>
      </c>
      <c r="F367" s="7" t="s">
        <v>19</v>
      </c>
      <c r="G367" s="7" t="s">
        <v>31</v>
      </c>
      <c r="H367" s="7" t="s">
        <v>17</v>
      </c>
      <c r="I367" s="7" t="s">
        <v>17</v>
      </c>
      <c r="J367" s="7" t="s">
        <v>1678</v>
      </c>
    </row>
    <row r="368" spans="1:10" x14ac:dyDescent="0.25" outlineLevel="2" collapsed="1">
      <c r="A368" s="7" t="s">
        <v>15</v>
      </c>
      <c r="B368" s="7" t="s">
        <v>16</v>
      </c>
      <c r="C368" s="7" t="s">
        <v>17</v>
      </c>
      <c r="D368" s="7"/>
      <c r="E368" s="7" t="s">
        <v>1679</v>
      </c>
      <c r="F368" s="7" t="s">
        <v>19</v>
      </c>
      <c r="G368" s="7" t="s">
        <v>31</v>
      </c>
      <c r="H368" s="7" t="s">
        <v>17</v>
      </c>
      <c r="I368" s="7" t="s">
        <v>17</v>
      </c>
      <c r="J368" s="7" t="s">
        <v>1680</v>
      </c>
    </row>
    <row r="369" spans="1:10" x14ac:dyDescent="0.25" outlineLevel="2" collapsed="1">
      <c r="A369" s="7" t="s">
        <v>15</v>
      </c>
      <c r="B369" s="7" t="s">
        <v>284</v>
      </c>
      <c r="C369" s="11" t="s">
        <v>2621</v>
      </c>
      <c r="D369" s="7"/>
      <c r="E369" s="7" t="s">
        <v>1612</v>
      </c>
      <c r="F369" s="7" t="s">
        <v>19</v>
      </c>
      <c r="G369" s="7" t="s">
        <v>1613</v>
      </c>
      <c r="H369" s="7" t="s">
        <v>17</v>
      </c>
      <c r="I369" s="7" t="s">
        <v>17</v>
      </c>
      <c r="J369" s="7" t="s">
        <v>1614</v>
      </c>
    </row>
    <row r="370" spans="1:10" x14ac:dyDescent="0.25" outlineLevel="2" collapsed="1">
      <c r="A370" s="7" t="s">
        <v>19</v>
      </c>
      <c r="B370" s="7" t="s">
        <v>16</v>
      </c>
      <c r="C370" s="7" t="s">
        <v>17</v>
      </c>
      <c r="D370" s="7"/>
      <c r="E370" s="7" t="s">
        <v>1681</v>
      </c>
      <c r="F370" s="7" t="s">
        <v>19</v>
      </c>
      <c r="G370" s="7" t="s">
        <v>31</v>
      </c>
      <c r="H370" s="7" t="s">
        <v>17</v>
      </c>
      <c r="I370" s="7" t="s">
        <v>17</v>
      </c>
      <c r="J370" s="7" t="s">
        <v>1682</v>
      </c>
    </row>
    <row r="371" spans="1:10" x14ac:dyDescent="0.25" outlineLevel="2" collapsed="1">
      <c r="A371" s="7" t="s">
        <v>19</v>
      </c>
      <c r="B371" s="7" t="s">
        <v>16</v>
      </c>
      <c r="C371" s="7" t="s">
        <v>17</v>
      </c>
      <c r="D371" s="7"/>
      <c r="E371" s="7" t="s">
        <v>1615</v>
      </c>
      <c r="F371" s="7" t="s">
        <v>19</v>
      </c>
      <c r="G371" s="7" t="s">
        <v>31</v>
      </c>
      <c r="H371" s="7" t="s">
        <v>17</v>
      </c>
      <c r="I371" s="7" t="s">
        <v>17</v>
      </c>
      <c r="J371" s="7" t="s">
        <v>1616</v>
      </c>
    </row>
    <row r="372" spans="1:10" x14ac:dyDescent="0.25" outlineLevel="1" collapsed="1">
      <c r="A372" s="8" t="s">
        <v>19</v>
      </c>
      <c r="B372" s="9" t="s">
        <v>2617</v>
      </c>
      <c r="C372" s="8" t="s">
        <v>17</v>
      </c>
      <c r="D372" s="8"/>
      <c r="E372" s="8" t="s">
        <v>1701</v>
      </c>
      <c r="F372" s="8" t="s">
        <v>19</v>
      </c>
      <c r="G372" s="8" t="s">
        <v>17</v>
      </c>
      <c r="H372" s="8" t="s">
        <v>17</v>
      </c>
      <c r="I372" s="8" t="s">
        <v>17</v>
      </c>
      <c r="J372" s="8" t="s">
        <v>1702</v>
      </c>
    </row>
    <row r="373" spans="1:10" x14ac:dyDescent="0.25" outlineLevel="2" collapsed="1">
      <c r="A373" s="7" t="s">
        <v>15</v>
      </c>
      <c r="B373" s="7" t="s">
        <v>16</v>
      </c>
      <c r="C373" s="7" t="s">
        <v>17</v>
      </c>
      <c r="D373" s="7"/>
      <c r="E373" s="7" t="s">
        <v>1670</v>
      </c>
      <c r="F373" s="7" t="s">
        <v>19</v>
      </c>
      <c r="G373" s="7" t="s">
        <v>31</v>
      </c>
      <c r="H373" s="7" t="s">
        <v>17</v>
      </c>
      <c r="I373" s="7" t="s">
        <v>17</v>
      </c>
      <c r="J373" s="7" t="s">
        <v>637</v>
      </c>
    </row>
    <row r="374" spans="1:10" x14ac:dyDescent="0.25" outlineLevel="2" collapsed="1">
      <c r="A374" s="7" t="s">
        <v>15</v>
      </c>
      <c r="B374" s="7" t="s">
        <v>16</v>
      </c>
      <c r="C374" s="7" t="s">
        <v>17</v>
      </c>
      <c r="D374" s="7"/>
      <c r="E374" s="7" t="s">
        <v>638</v>
      </c>
      <c r="F374" s="7" t="s">
        <v>19</v>
      </c>
      <c r="G374" s="7" t="s">
        <v>31</v>
      </c>
      <c r="H374" s="7" t="s">
        <v>17</v>
      </c>
      <c r="I374" s="7" t="s">
        <v>17</v>
      </c>
      <c r="J374" s="7" t="s">
        <v>640</v>
      </c>
    </row>
    <row r="375" spans="1:10" x14ac:dyDescent="0.25" outlineLevel="2" collapsed="1">
      <c r="A375" s="7" t="s">
        <v>15</v>
      </c>
      <c r="B375" s="7" t="s">
        <v>16</v>
      </c>
      <c r="C375" s="7" t="s">
        <v>17</v>
      </c>
      <c r="D375" s="7"/>
      <c r="E375" s="7" t="s">
        <v>9</v>
      </c>
      <c r="F375" s="7" t="s">
        <v>19</v>
      </c>
      <c r="G375" s="7" t="s">
        <v>31</v>
      </c>
      <c r="H375" s="7" t="s">
        <v>17</v>
      </c>
      <c r="I375" s="7" t="s">
        <v>17</v>
      </c>
      <c r="J375" s="7" t="s">
        <v>843</v>
      </c>
    </row>
    <row r="376" spans="1:10" x14ac:dyDescent="0.25" outlineLevel="2" collapsed="1">
      <c r="A376" s="7" t="s">
        <v>19</v>
      </c>
      <c r="B376" s="7" t="s">
        <v>16</v>
      </c>
      <c r="C376" s="7" t="s">
        <v>17</v>
      </c>
      <c r="D376" s="7"/>
      <c r="E376" s="7" t="s">
        <v>1600</v>
      </c>
      <c r="F376" s="7" t="s">
        <v>19</v>
      </c>
      <c r="G376" s="7" t="s">
        <v>31</v>
      </c>
      <c r="H376" s="7" t="s">
        <v>17</v>
      </c>
      <c r="I376" s="7" t="s">
        <v>17</v>
      </c>
      <c r="J376" s="7" t="s">
        <v>1424</v>
      </c>
    </row>
    <row r="377" spans="1:10" x14ac:dyDescent="0.25" outlineLevel="2" collapsed="1">
      <c r="A377" s="7" t="s">
        <v>15</v>
      </c>
      <c r="B377" s="7" t="s">
        <v>16</v>
      </c>
      <c r="C377" s="7" t="s">
        <v>17</v>
      </c>
      <c r="D377" s="7"/>
      <c r="E377" s="7" t="s">
        <v>1601</v>
      </c>
      <c r="F377" s="7" t="s">
        <v>19</v>
      </c>
      <c r="G377" s="7" t="s">
        <v>31</v>
      </c>
      <c r="H377" s="7" t="s">
        <v>17</v>
      </c>
      <c r="I377" s="7" t="s">
        <v>17</v>
      </c>
      <c r="J377" s="7" t="s">
        <v>1602</v>
      </c>
    </row>
    <row r="378" spans="1:10" x14ac:dyDescent="0.25" outlineLevel="2" collapsed="1">
      <c r="A378" s="7" t="s">
        <v>15</v>
      </c>
      <c r="B378" s="7" t="s">
        <v>16</v>
      </c>
      <c r="C378" s="7" t="s">
        <v>17</v>
      </c>
      <c r="D378" s="7"/>
      <c r="E378" s="7" t="s">
        <v>1671</v>
      </c>
      <c r="F378" s="7" t="s">
        <v>19</v>
      </c>
      <c r="G378" s="7" t="s">
        <v>31</v>
      </c>
      <c r="H378" s="7" t="s">
        <v>17</v>
      </c>
      <c r="I378" s="7" t="s">
        <v>17</v>
      </c>
      <c r="J378" s="7" t="s">
        <v>1672</v>
      </c>
    </row>
    <row r="379" spans="1:10" x14ac:dyDescent="0.25" outlineLevel="2" collapsed="1">
      <c r="A379" s="7" t="s">
        <v>15</v>
      </c>
      <c r="B379" s="7" t="s">
        <v>16</v>
      </c>
      <c r="C379" s="7" t="s">
        <v>17</v>
      </c>
      <c r="D379" s="7"/>
      <c r="E379" s="7" t="s">
        <v>1673</v>
      </c>
      <c r="F379" s="7" t="s">
        <v>19</v>
      </c>
      <c r="G379" s="7" t="s">
        <v>31</v>
      </c>
      <c r="H379" s="7" t="s">
        <v>17</v>
      </c>
      <c r="I379" s="7" t="s">
        <v>17</v>
      </c>
      <c r="J379" s="7" t="s">
        <v>1674</v>
      </c>
    </row>
    <row r="380" spans="1:10" x14ac:dyDescent="0.25" outlineLevel="2" collapsed="1">
      <c r="A380" s="7" t="s">
        <v>15</v>
      </c>
      <c r="B380" s="7" t="s">
        <v>16</v>
      </c>
      <c r="C380" s="7" t="s">
        <v>17</v>
      </c>
      <c r="D380" s="7"/>
      <c r="E380" s="7" t="s">
        <v>2618</v>
      </c>
      <c r="F380" s="7" t="s">
        <v>19</v>
      </c>
      <c r="G380" s="7" t="s">
        <v>31</v>
      </c>
      <c r="H380" s="7" t="s">
        <v>17</v>
      </c>
      <c r="I380" s="7" t="s">
        <v>17</v>
      </c>
      <c r="J380" s="7" t="s">
        <v>1422</v>
      </c>
    </row>
    <row r="381" spans="1:10" x14ac:dyDescent="0.25" outlineLevel="2" collapsed="1">
      <c r="A381" s="7" t="s">
        <v>15</v>
      </c>
      <c r="B381" s="7" t="s">
        <v>284</v>
      </c>
      <c r="C381" s="11" t="s">
        <v>2619</v>
      </c>
      <c r="D381" s="7"/>
      <c r="E381" s="7" t="s">
        <v>1605</v>
      </c>
      <c r="F381" s="7" t="s">
        <v>19</v>
      </c>
      <c r="G381" s="7" t="s">
        <v>1606</v>
      </c>
      <c r="H381" s="7" t="s">
        <v>17</v>
      </c>
      <c r="I381" s="7" t="s">
        <v>17</v>
      </c>
      <c r="J381" s="7" t="s">
        <v>1607</v>
      </c>
    </row>
    <row r="382" spans="1:10" x14ac:dyDescent="0.25" outlineLevel="2" collapsed="1">
      <c r="A382" s="7" t="s">
        <v>19</v>
      </c>
      <c r="B382" s="7" t="s">
        <v>63</v>
      </c>
      <c r="C382" s="7" t="s">
        <v>17</v>
      </c>
      <c r="D382" s="7">
        <f>EXACT(G381,"Single value")</f>
      </c>
      <c r="E382" s="7" t="s">
        <v>2620</v>
      </c>
      <c r="F382" s="7" t="s">
        <v>19</v>
      </c>
      <c r="G382" s="7">
        <v>1</v>
      </c>
      <c r="H382" s="7" t="s">
        <v>17</v>
      </c>
      <c r="I382" s="7" t="s">
        <v>17</v>
      </c>
      <c r="J382" s="7" t="s">
        <v>1609</v>
      </c>
    </row>
    <row r="383" spans="1:10" x14ac:dyDescent="0.25" outlineLevel="2" collapsed="1">
      <c r="A383" s="7" t="s">
        <v>19</v>
      </c>
      <c r="B383" s="7" t="s">
        <v>16</v>
      </c>
      <c r="C383" s="7" t="s">
        <v>17</v>
      </c>
      <c r="D383" s="7"/>
      <c r="E383" s="7" t="s">
        <v>1677</v>
      </c>
      <c r="F383" s="7" t="s">
        <v>19</v>
      </c>
      <c r="G383" s="7" t="s">
        <v>31</v>
      </c>
      <c r="H383" s="7" t="s">
        <v>17</v>
      </c>
      <c r="I383" s="7" t="s">
        <v>17</v>
      </c>
      <c r="J383" s="7" t="s">
        <v>1678</v>
      </c>
    </row>
    <row r="384" spans="1:10" x14ac:dyDescent="0.25" outlineLevel="2" collapsed="1">
      <c r="A384" s="7" t="s">
        <v>15</v>
      </c>
      <c r="B384" s="7" t="s">
        <v>16</v>
      </c>
      <c r="C384" s="7" t="s">
        <v>17</v>
      </c>
      <c r="D384" s="7"/>
      <c r="E384" s="7" t="s">
        <v>1679</v>
      </c>
      <c r="F384" s="7" t="s">
        <v>19</v>
      </c>
      <c r="G384" s="7" t="s">
        <v>31</v>
      </c>
      <c r="H384" s="7" t="s">
        <v>17</v>
      </c>
      <c r="I384" s="7" t="s">
        <v>17</v>
      </c>
      <c r="J384" s="7" t="s">
        <v>1680</v>
      </c>
    </row>
    <row r="385" spans="1:10" x14ac:dyDescent="0.25" outlineLevel="2" collapsed="1">
      <c r="A385" s="7" t="s">
        <v>15</v>
      </c>
      <c r="B385" s="7" t="s">
        <v>284</v>
      </c>
      <c r="C385" s="11" t="s">
        <v>2621</v>
      </c>
      <c r="D385" s="7"/>
      <c r="E385" s="7" t="s">
        <v>1612</v>
      </c>
      <c r="F385" s="7" t="s">
        <v>19</v>
      </c>
      <c r="G385" s="7" t="s">
        <v>1613</v>
      </c>
      <c r="H385" s="7" t="s">
        <v>17</v>
      </c>
      <c r="I385" s="7" t="s">
        <v>17</v>
      </c>
      <c r="J385" s="7" t="s">
        <v>1614</v>
      </c>
    </row>
    <row r="386" spans="1:10" x14ac:dyDescent="0.25" outlineLevel="2" collapsed="1">
      <c r="A386" s="7" t="s">
        <v>19</v>
      </c>
      <c r="B386" s="7" t="s">
        <v>16</v>
      </c>
      <c r="C386" s="7" t="s">
        <v>17</v>
      </c>
      <c r="D386" s="7"/>
      <c r="E386" s="7" t="s">
        <v>1681</v>
      </c>
      <c r="F386" s="7" t="s">
        <v>19</v>
      </c>
      <c r="G386" s="7" t="s">
        <v>31</v>
      </c>
      <c r="H386" s="7" t="s">
        <v>17</v>
      </c>
      <c r="I386" s="7" t="s">
        <v>17</v>
      </c>
      <c r="J386" s="7" t="s">
        <v>1682</v>
      </c>
    </row>
    <row r="387" spans="1:10" x14ac:dyDescent="0.25" outlineLevel="2" collapsed="1">
      <c r="A387" s="7" t="s">
        <v>19</v>
      </c>
      <c r="B387" s="7" t="s">
        <v>16</v>
      </c>
      <c r="C387" s="7" t="s">
        <v>17</v>
      </c>
      <c r="D387" s="7"/>
      <c r="E387" s="7" t="s">
        <v>1615</v>
      </c>
      <c r="F387" s="7" t="s">
        <v>19</v>
      </c>
      <c r="G387" s="7" t="s">
        <v>31</v>
      </c>
      <c r="H387" s="7" t="s">
        <v>17</v>
      </c>
      <c r="I387" s="7" t="s">
        <v>17</v>
      </c>
      <c r="J387" s="7" t="s">
        <v>1616</v>
      </c>
    </row>
    <row r="388" spans="1:10" x14ac:dyDescent="0.25" outlineLevel="1" collapsed="1">
      <c r="A388" s="8" t="s">
        <v>19</v>
      </c>
      <c r="B388" s="9" t="s">
        <v>2617</v>
      </c>
      <c r="C388" s="8" t="s">
        <v>17</v>
      </c>
      <c r="D388" s="8"/>
      <c r="E388" s="8" t="s">
        <v>1703</v>
      </c>
      <c r="F388" s="8" t="s">
        <v>19</v>
      </c>
      <c r="G388" s="8" t="s">
        <v>17</v>
      </c>
      <c r="H388" s="8" t="s">
        <v>17</v>
      </c>
      <c r="I388" s="8" t="s">
        <v>17</v>
      </c>
      <c r="J388" s="8" t="s">
        <v>1704</v>
      </c>
    </row>
    <row r="389" spans="1:10" x14ac:dyDescent="0.25" outlineLevel="2" collapsed="1">
      <c r="A389" s="7" t="s">
        <v>15</v>
      </c>
      <c r="B389" s="7" t="s">
        <v>16</v>
      </c>
      <c r="C389" s="7" t="s">
        <v>17</v>
      </c>
      <c r="D389" s="7"/>
      <c r="E389" s="7" t="s">
        <v>1670</v>
      </c>
      <c r="F389" s="7" t="s">
        <v>19</v>
      </c>
      <c r="G389" s="7" t="s">
        <v>31</v>
      </c>
      <c r="H389" s="7" t="s">
        <v>17</v>
      </c>
      <c r="I389" s="7" t="s">
        <v>17</v>
      </c>
      <c r="J389" s="7" t="s">
        <v>637</v>
      </c>
    </row>
    <row r="390" spans="1:10" x14ac:dyDescent="0.25" outlineLevel="2" collapsed="1">
      <c r="A390" s="7" t="s">
        <v>15</v>
      </c>
      <c r="B390" s="7" t="s">
        <v>16</v>
      </c>
      <c r="C390" s="7" t="s">
        <v>17</v>
      </c>
      <c r="D390" s="7"/>
      <c r="E390" s="7" t="s">
        <v>638</v>
      </c>
      <c r="F390" s="7" t="s">
        <v>19</v>
      </c>
      <c r="G390" s="7" t="s">
        <v>31</v>
      </c>
      <c r="H390" s="7" t="s">
        <v>17</v>
      </c>
      <c r="I390" s="7" t="s">
        <v>17</v>
      </c>
      <c r="J390" s="7" t="s">
        <v>640</v>
      </c>
    </row>
    <row r="391" spans="1:10" x14ac:dyDescent="0.25" outlineLevel="2" collapsed="1">
      <c r="A391" s="7" t="s">
        <v>15</v>
      </c>
      <c r="B391" s="7" t="s">
        <v>16</v>
      </c>
      <c r="C391" s="7" t="s">
        <v>17</v>
      </c>
      <c r="D391" s="7"/>
      <c r="E391" s="7" t="s">
        <v>9</v>
      </c>
      <c r="F391" s="7" t="s">
        <v>19</v>
      </c>
      <c r="G391" s="7" t="s">
        <v>31</v>
      </c>
      <c r="H391" s="7" t="s">
        <v>17</v>
      </c>
      <c r="I391" s="7" t="s">
        <v>17</v>
      </c>
      <c r="J391" s="7" t="s">
        <v>843</v>
      </c>
    </row>
    <row r="392" spans="1:10" x14ac:dyDescent="0.25" outlineLevel="2" collapsed="1">
      <c r="A392" s="7" t="s">
        <v>19</v>
      </c>
      <c r="B392" s="7" t="s">
        <v>16</v>
      </c>
      <c r="C392" s="7" t="s">
        <v>17</v>
      </c>
      <c r="D392" s="7"/>
      <c r="E392" s="7" t="s">
        <v>1600</v>
      </c>
      <c r="F392" s="7" t="s">
        <v>19</v>
      </c>
      <c r="G392" s="7" t="s">
        <v>31</v>
      </c>
      <c r="H392" s="7" t="s">
        <v>17</v>
      </c>
      <c r="I392" s="7" t="s">
        <v>17</v>
      </c>
      <c r="J392" s="7" t="s">
        <v>1424</v>
      </c>
    </row>
    <row r="393" spans="1:10" x14ac:dyDescent="0.25" outlineLevel="2" collapsed="1">
      <c r="A393" s="7" t="s">
        <v>15</v>
      </c>
      <c r="B393" s="7" t="s">
        <v>16</v>
      </c>
      <c r="C393" s="7" t="s">
        <v>17</v>
      </c>
      <c r="D393" s="7"/>
      <c r="E393" s="7" t="s">
        <v>1601</v>
      </c>
      <c r="F393" s="7" t="s">
        <v>19</v>
      </c>
      <c r="G393" s="7" t="s">
        <v>31</v>
      </c>
      <c r="H393" s="7" t="s">
        <v>17</v>
      </c>
      <c r="I393" s="7" t="s">
        <v>17</v>
      </c>
      <c r="J393" s="7" t="s">
        <v>1602</v>
      </c>
    </row>
    <row r="394" spans="1:10" x14ac:dyDescent="0.25" outlineLevel="2" collapsed="1">
      <c r="A394" s="7" t="s">
        <v>15</v>
      </c>
      <c r="B394" s="7" t="s">
        <v>16</v>
      </c>
      <c r="C394" s="7" t="s">
        <v>17</v>
      </c>
      <c r="D394" s="7"/>
      <c r="E394" s="7" t="s">
        <v>1671</v>
      </c>
      <c r="F394" s="7" t="s">
        <v>19</v>
      </c>
      <c r="G394" s="7" t="s">
        <v>31</v>
      </c>
      <c r="H394" s="7" t="s">
        <v>17</v>
      </c>
      <c r="I394" s="7" t="s">
        <v>17</v>
      </c>
      <c r="J394" s="7" t="s">
        <v>1672</v>
      </c>
    </row>
    <row r="395" spans="1:10" x14ac:dyDescent="0.25" outlineLevel="2" collapsed="1">
      <c r="A395" s="7" t="s">
        <v>15</v>
      </c>
      <c r="B395" s="7" t="s">
        <v>16</v>
      </c>
      <c r="C395" s="7" t="s">
        <v>17</v>
      </c>
      <c r="D395" s="7"/>
      <c r="E395" s="7" t="s">
        <v>1673</v>
      </c>
      <c r="F395" s="7" t="s">
        <v>19</v>
      </c>
      <c r="G395" s="7" t="s">
        <v>31</v>
      </c>
      <c r="H395" s="7" t="s">
        <v>17</v>
      </c>
      <c r="I395" s="7" t="s">
        <v>17</v>
      </c>
      <c r="J395" s="7" t="s">
        <v>1674</v>
      </c>
    </row>
    <row r="396" spans="1:10" x14ac:dyDescent="0.25" outlineLevel="2" collapsed="1">
      <c r="A396" s="7" t="s">
        <v>15</v>
      </c>
      <c r="B396" s="7" t="s">
        <v>16</v>
      </c>
      <c r="C396" s="7" t="s">
        <v>17</v>
      </c>
      <c r="D396" s="7"/>
      <c r="E396" s="7" t="s">
        <v>2618</v>
      </c>
      <c r="F396" s="7" t="s">
        <v>19</v>
      </c>
      <c r="G396" s="7" t="s">
        <v>31</v>
      </c>
      <c r="H396" s="7" t="s">
        <v>17</v>
      </c>
      <c r="I396" s="7" t="s">
        <v>17</v>
      </c>
      <c r="J396" s="7" t="s">
        <v>1422</v>
      </c>
    </row>
    <row r="397" spans="1:10" x14ac:dyDescent="0.25" outlineLevel="2" collapsed="1">
      <c r="A397" s="7" t="s">
        <v>15</v>
      </c>
      <c r="B397" s="7" t="s">
        <v>284</v>
      </c>
      <c r="C397" s="11" t="s">
        <v>2619</v>
      </c>
      <c r="D397" s="7"/>
      <c r="E397" s="7" t="s">
        <v>1605</v>
      </c>
      <c r="F397" s="7" t="s">
        <v>19</v>
      </c>
      <c r="G397" s="7" t="s">
        <v>1606</v>
      </c>
      <c r="H397" s="7" t="s">
        <v>17</v>
      </c>
      <c r="I397" s="7" t="s">
        <v>17</v>
      </c>
      <c r="J397" s="7" t="s">
        <v>1607</v>
      </c>
    </row>
    <row r="398" spans="1:10" x14ac:dyDescent="0.25" outlineLevel="2" collapsed="1">
      <c r="A398" s="7" t="s">
        <v>19</v>
      </c>
      <c r="B398" s="7" t="s">
        <v>63</v>
      </c>
      <c r="C398" s="7" t="s">
        <v>17</v>
      </c>
      <c r="D398" s="7">
        <f>EXACT(G397,"Single value")</f>
      </c>
      <c r="E398" s="7" t="s">
        <v>2620</v>
      </c>
      <c r="F398" s="7" t="s">
        <v>19</v>
      </c>
      <c r="G398" s="7">
        <v>1</v>
      </c>
      <c r="H398" s="7" t="s">
        <v>17</v>
      </c>
      <c r="I398" s="7" t="s">
        <v>17</v>
      </c>
      <c r="J398" s="7" t="s">
        <v>1609</v>
      </c>
    </row>
    <row r="399" spans="1:10" x14ac:dyDescent="0.25" outlineLevel="2" collapsed="1">
      <c r="A399" s="7" t="s">
        <v>19</v>
      </c>
      <c r="B399" s="7" t="s">
        <v>16</v>
      </c>
      <c r="C399" s="7" t="s">
        <v>17</v>
      </c>
      <c r="D399" s="7"/>
      <c r="E399" s="7" t="s">
        <v>1677</v>
      </c>
      <c r="F399" s="7" t="s">
        <v>19</v>
      </c>
      <c r="G399" s="7" t="s">
        <v>31</v>
      </c>
      <c r="H399" s="7" t="s">
        <v>17</v>
      </c>
      <c r="I399" s="7" t="s">
        <v>17</v>
      </c>
      <c r="J399" s="7" t="s">
        <v>1678</v>
      </c>
    </row>
    <row r="400" spans="1:10" x14ac:dyDescent="0.25" outlineLevel="2" collapsed="1">
      <c r="A400" s="7" t="s">
        <v>15</v>
      </c>
      <c r="B400" s="7" t="s">
        <v>16</v>
      </c>
      <c r="C400" s="7" t="s">
        <v>17</v>
      </c>
      <c r="D400" s="7"/>
      <c r="E400" s="7" t="s">
        <v>1679</v>
      </c>
      <c r="F400" s="7" t="s">
        <v>19</v>
      </c>
      <c r="G400" s="7" t="s">
        <v>31</v>
      </c>
      <c r="H400" s="7" t="s">
        <v>17</v>
      </c>
      <c r="I400" s="7" t="s">
        <v>17</v>
      </c>
      <c r="J400" s="7" t="s">
        <v>1680</v>
      </c>
    </row>
    <row r="401" spans="1:10" x14ac:dyDescent="0.25" outlineLevel="2" collapsed="1">
      <c r="A401" s="7" t="s">
        <v>15</v>
      </c>
      <c r="B401" s="7" t="s">
        <v>284</v>
      </c>
      <c r="C401" s="11" t="s">
        <v>2621</v>
      </c>
      <c r="D401" s="7"/>
      <c r="E401" s="7" t="s">
        <v>1612</v>
      </c>
      <c r="F401" s="7" t="s">
        <v>19</v>
      </c>
      <c r="G401" s="7" t="s">
        <v>1613</v>
      </c>
      <c r="H401" s="7" t="s">
        <v>17</v>
      </c>
      <c r="I401" s="7" t="s">
        <v>17</v>
      </c>
      <c r="J401" s="7" t="s">
        <v>1614</v>
      </c>
    </row>
    <row r="402" spans="1:10" x14ac:dyDescent="0.25" outlineLevel="2" collapsed="1">
      <c r="A402" s="7" t="s">
        <v>19</v>
      </c>
      <c r="B402" s="7" t="s">
        <v>16</v>
      </c>
      <c r="C402" s="7" t="s">
        <v>17</v>
      </c>
      <c r="D402" s="7"/>
      <c r="E402" s="7" t="s">
        <v>1681</v>
      </c>
      <c r="F402" s="7" t="s">
        <v>19</v>
      </c>
      <c r="G402" s="7" t="s">
        <v>31</v>
      </c>
      <c r="H402" s="7" t="s">
        <v>17</v>
      </c>
      <c r="I402" s="7" t="s">
        <v>17</v>
      </c>
      <c r="J402" s="7" t="s">
        <v>1682</v>
      </c>
    </row>
    <row r="403" spans="1:10" x14ac:dyDescent="0.25" outlineLevel="2" collapsed="1">
      <c r="A403" s="7" t="s">
        <v>19</v>
      </c>
      <c r="B403" s="7" t="s">
        <v>16</v>
      </c>
      <c r="C403" s="7" t="s">
        <v>17</v>
      </c>
      <c r="D403" s="7"/>
      <c r="E403" s="7" t="s">
        <v>1615</v>
      </c>
      <c r="F403" s="7" t="s">
        <v>19</v>
      </c>
      <c r="G403" s="7" t="s">
        <v>31</v>
      </c>
      <c r="H403" s="7" t="s">
        <v>17</v>
      </c>
      <c r="I403" s="7" t="s">
        <v>17</v>
      </c>
      <c r="J403" s="7" t="s">
        <v>1616</v>
      </c>
    </row>
    <row r="404" spans="1:10" x14ac:dyDescent="0.25" outlineLevel="1" collapsed="1">
      <c r="A404" s="8" t="s">
        <v>19</v>
      </c>
      <c r="B404" s="9" t="s">
        <v>2617</v>
      </c>
      <c r="C404" s="8" t="s">
        <v>17</v>
      </c>
      <c r="D404" s="8"/>
      <c r="E404" s="8" t="s">
        <v>1705</v>
      </c>
      <c r="F404" s="8" t="s">
        <v>19</v>
      </c>
      <c r="G404" s="8" t="s">
        <v>17</v>
      </c>
      <c r="H404" s="8" t="s">
        <v>17</v>
      </c>
      <c r="I404" s="8" t="s">
        <v>17</v>
      </c>
      <c r="J404" s="8" t="s">
        <v>1706</v>
      </c>
    </row>
    <row r="405" spans="1:10" x14ac:dyDescent="0.25" outlineLevel="2" collapsed="1">
      <c r="A405" s="7" t="s">
        <v>15</v>
      </c>
      <c r="B405" s="7" t="s">
        <v>16</v>
      </c>
      <c r="C405" s="7" t="s">
        <v>17</v>
      </c>
      <c r="D405" s="7"/>
      <c r="E405" s="7" t="s">
        <v>1670</v>
      </c>
      <c r="F405" s="7" t="s">
        <v>19</v>
      </c>
      <c r="G405" s="7" t="s">
        <v>31</v>
      </c>
      <c r="H405" s="7" t="s">
        <v>17</v>
      </c>
      <c r="I405" s="7" t="s">
        <v>17</v>
      </c>
      <c r="J405" s="7" t="s">
        <v>637</v>
      </c>
    </row>
    <row r="406" spans="1:10" x14ac:dyDescent="0.25" outlineLevel="2" collapsed="1">
      <c r="A406" s="7" t="s">
        <v>15</v>
      </c>
      <c r="B406" s="7" t="s">
        <v>16</v>
      </c>
      <c r="C406" s="7" t="s">
        <v>17</v>
      </c>
      <c r="D406" s="7"/>
      <c r="E406" s="7" t="s">
        <v>638</v>
      </c>
      <c r="F406" s="7" t="s">
        <v>19</v>
      </c>
      <c r="G406" s="7" t="s">
        <v>31</v>
      </c>
      <c r="H406" s="7" t="s">
        <v>17</v>
      </c>
      <c r="I406" s="7" t="s">
        <v>17</v>
      </c>
      <c r="J406" s="7" t="s">
        <v>640</v>
      </c>
    </row>
    <row r="407" spans="1:10" x14ac:dyDescent="0.25" outlineLevel="2" collapsed="1">
      <c r="A407" s="7" t="s">
        <v>15</v>
      </c>
      <c r="B407" s="7" t="s">
        <v>16</v>
      </c>
      <c r="C407" s="7" t="s">
        <v>17</v>
      </c>
      <c r="D407" s="7"/>
      <c r="E407" s="7" t="s">
        <v>9</v>
      </c>
      <c r="F407" s="7" t="s">
        <v>19</v>
      </c>
      <c r="G407" s="7" t="s">
        <v>31</v>
      </c>
      <c r="H407" s="7" t="s">
        <v>17</v>
      </c>
      <c r="I407" s="7" t="s">
        <v>17</v>
      </c>
      <c r="J407" s="7" t="s">
        <v>843</v>
      </c>
    </row>
    <row r="408" spans="1:10" x14ac:dyDescent="0.25" outlineLevel="2" collapsed="1">
      <c r="A408" s="7" t="s">
        <v>19</v>
      </c>
      <c r="B408" s="7" t="s">
        <v>16</v>
      </c>
      <c r="C408" s="7" t="s">
        <v>17</v>
      </c>
      <c r="D408" s="7"/>
      <c r="E408" s="7" t="s">
        <v>1600</v>
      </c>
      <c r="F408" s="7" t="s">
        <v>19</v>
      </c>
      <c r="G408" s="7" t="s">
        <v>31</v>
      </c>
      <c r="H408" s="7" t="s">
        <v>17</v>
      </c>
      <c r="I408" s="7" t="s">
        <v>17</v>
      </c>
      <c r="J408" s="7" t="s">
        <v>1424</v>
      </c>
    </row>
    <row r="409" spans="1:10" x14ac:dyDescent="0.25" outlineLevel="2" collapsed="1">
      <c r="A409" s="7" t="s">
        <v>15</v>
      </c>
      <c r="B409" s="7" t="s">
        <v>16</v>
      </c>
      <c r="C409" s="7" t="s">
        <v>17</v>
      </c>
      <c r="D409" s="7"/>
      <c r="E409" s="7" t="s">
        <v>1601</v>
      </c>
      <c r="F409" s="7" t="s">
        <v>19</v>
      </c>
      <c r="G409" s="7" t="s">
        <v>31</v>
      </c>
      <c r="H409" s="7" t="s">
        <v>17</v>
      </c>
      <c r="I409" s="7" t="s">
        <v>17</v>
      </c>
      <c r="J409" s="7" t="s">
        <v>1602</v>
      </c>
    </row>
    <row r="410" spans="1:10" x14ac:dyDescent="0.25" outlineLevel="2" collapsed="1">
      <c r="A410" s="7" t="s">
        <v>15</v>
      </c>
      <c r="B410" s="7" t="s">
        <v>16</v>
      </c>
      <c r="C410" s="7" t="s">
        <v>17</v>
      </c>
      <c r="D410" s="7"/>
      <c r="E410" s="7" t="s">
        <v>1671</v>
      </c>
      <c r="F410" s="7" t="s">
        <v>19</v>
      </c>
      <c r="G410" s="7" t="s">
        <v>31</v>
      </c>
      <c r="H410" s="7" t="s">
        <v>17</v>
      </c>
      <c r="I410" s="7" t="s">
        <v>17</v>
      </c>
      <c r="J410" s="7" t="s">
        <v>1672</v>
      </c>
    </row>
    <row r="411" spans="1:10" x14ac:dyDescent="0.25" outlineLevel="2" collapsed="1">
      <c r="A411" s="7" t="s">
        <v>15</v>
      </c>
      <c r="B411" s="7" t="s">
        <v>16</v>
      </c>
      <c r="C411" s="7" t="s">
        <v>17</v>
      </c>
      <c r="D411" s="7"/>
      <c r="E411" s="7" t="s">
        <v>1673</v>
      </c>
      <c r="F411" s="7" t="s">
        <v>19</v>
      </c>
      <c r="G411" s="7" t="s">
        <v>31</v>
      </c>
      <c r="H411" s="7" t="s">
        <v>17</v>
      </c>
      <c r="I411" s="7" t="s">
        <v>17</v>
      </c>
      <c r="J411" s="7" t="s">
        <v>1674</v>
      </c>
    </row>
    <row r="412" spans="1:10" x14ac:dyDescent="0.25" outlineLevel="2" collapsed="1">
      <c r="A412" s="7" t="s">
        <v>15</v>
      </c>
      <c r="B412" s="7" t="s">
        <v>16</v>
      </c>
      <c r="C412" s="7" t="s">
        <v>17</v>
      </c>
      <c r="D412" s="7"/>
      <c r="E412" s="7" t="s">
        <v>2618</v>
      </c>
      <c r="F412" s="7" t="s">
        <v>19</v>
      </c>
      <c r="G412" s="7" t="s">
        <v>31</v>
      </c>
      <c r="H412" s="7" t="s">
        <v>17</v>
      </c>
      <c r="I412" s="7" t="s">
        <v>17</v>
      </c>
      <c r="J412" s="7" t="s">
        <v>1422</v>
      </c>
    </row>
    <row r="413" spans="1:10" x14ac:dyDescent="0.25" outlineLevel="2" collapsed="1">
      <c r="A413" s="7" t="s">
        <v>15</v>
      </c>
      <c r="B413" s="7" t="s">
        <v>284</v>
      </c>
      <c r="C413" s="11" t="s">
        <v>2619</v>
      </c>
      <c r="D413" s="7"/>
      <c r="E413" s="7" t="s">
        <v>1605</v>
      </c>
      <c r="F413" s="7" t="s">
        <v>19</v>
      </c>
      <c r="G413" s="7" t="s">
        <v>1606</v>
      </c>
      <c r="H413" s="7" t="s">
        <v>17</v>
      </c>
      <c r="I413" s="7" t="s">
        <v>17</v>
      </c>
      <c r="J413" s="7" t="s">
        <v>1607</v>
      </c>
    </row>
    <row r="414" spans="1:10" x14ac:dyDescent="0.25" outlineLevel="2" collapsed="1">
      <c r="A414" s="7" t="s">
        <v>19</v>
      </c>
      <c r="B414" s="7" t="s">
        <v>63</v>
      </c>
      <c r="C414" s="7" t="s">
        <v>17</v>
      </c>
      <c r="D414" s="7">
        <f>EXACT(G413,"Single value")</f>
      </c>
      <c r="E414" s="7" t="s">
        <v>2620</v>
      </c>
      <c r="F414" s="7" t="s">
        <v>19</v>
      </c>
      <c r="G414" s="7">
        <v>1</v>
      </c>
      <c r="H414" s="7" t="s">
        <v>17</v>
      </c>
      <c r="I414" s="7" t="s">
        <v>17</v>
      </c>
      <c r="J414" s="7" t="s">
        <v>1609</v>
      </c>
    </row>
    <row r="415" spans="1:10" x14ac:dyDescent="0.25" outlineLevel="2" collapsed="1">
      <c r="A415" s="7" t="s">
        <v>19</v>
      </c>
      <c r="B415" s="7" t="s">
        <v>16</v>
      </c>
      <c r="C415" s="7" t="s">
        <v>17</v>
      </c>
      <c r="D415" s="7"/>
      <c r="E415" s="7" t="s">
        <v>1677</v>
      </c>
      <c r="F415" s="7" t="s">
        <v>19</v>
      </c>
      <c r="G415" s="7" t="s">
        <v>31</v>
      </c>
      <c r="H415" s="7" t="s">
        <v>17</v>
      </c>
      <c r="I415" s="7" t="s">
        <v>17</v>
      </c>
      <c r="J415" s="7" t="s">
        <v>1678</v>
      </c>
    </row>
    <row r="416" spans="1:10" x14ac:dyDescent="0.25" outlineLevel="2" collapsed="1">
      <c r="A416" s="7" t="s">
        <v>15</v>
      </c>
      <c r="B416" s="7" t="s">
        <v>16</v>
      </c>
      <c r="C416" s="7" t="s">
        <v>17</v>
      </c>
      <c r="D416" s="7"/>
      <c r="E416" s="7" t="s">
        <v>1679</v>
      </c>
      <c r="F416" s="7" t="s">
        <v>19</v>
      </c>
      <c r="G416" s="7" t="s">
        <v>31</v>
      </c>
      <c r="H416" s="7" t="s">
        <v>17</v>
      </c>
      <c r="I416" s="7" t="s">
        <v>17</v>
      </c>
      <c r="J416" s="7" t="s">
        <v>1680</v>
      </c>
    </row>
    <row r="417" spans="1:10" x14ac:dyDescent="0.25" outlineLevel="2" collapsed="1">
      <c r="A417" s="7" t="s">
        <v>15</v>
      </c>
      <c r="B417" s="7" t="s">
        <v>284</v>
      </c>
      <c r="C417" s="11" t="s">
        <v>2621</v>
      </c>
      <c r="D417" s="7"/>
      <c r="E417" s="7" t="s">
        <v>1612</v>
      </c>
      <c r="F417" s="7" t="s">
        <v>19</v>
      </c>
      <c r="G417" s="7" t="s">
        <v>1613</v>
      </c>
      <c r="H417" s="7" t="s">
        <v>17</v>
      </c>
      <c r="I417" s="7" t="s">
        <v>17</v>
      </c>
      <c r="J417" s="7" t="s">
        <v>1614</v>
      </c>
    </row>
    <row r="418" spans="1:10" x14ac:dyDescent="0.25" outlineLevel="2" collapsed="1">
      <c r="A418" s="7" t="s">
        <v>19</v>
      </c>
      <c r="B418" s="7" t="s">
        <v>16</v>
      </c>
      <c r="C418" s="7" t="s">
        <v>17</v>
      </c>
      <c r="D418" s="7"/>
      <c r="E418" s="7" t="s">
        <v>1681</v>
      </c>
      <c r="F418" s="7" t="s">
        <v>19</v>
      </c>
      <c r="G418" s="7" t="s">
        <v>31</v>
      </c>
      <c r="H418" s="7" t="s">
        <v>17</v>
      </c>
      <c r="I418" s="7" t="s">
        <v>17</v>
      </c>
      <c r="J418" s="7" t="s">
        <v>1682</v>
      </c>
    </row>
    <row r="419" spans="1:10" x14ac:dyDescent="0.25" outlineLevel="2" collapsed="1">
      <c r="A419" s="7" t="s">
        <v>19</v>
      </c>
      <c r="B419" s="7" t="s">
        <v>16</v>
      </c>
      <c r="C419" s="7" t="s">
        <v>17</v>
      </c>
      <c r="D419" s="7"/>
      <c r="E419" s="7" t="s">
        <v>1615</v>
      </c>
      <c r="F419" s="7" t="s">
        <v>19</v>
      </c>
      <c r="G419" s="7" t="s">
        <v>31</v>
      </c>
      <c r="H419" s="7" t="s">
        <v>17</v>
      </c>
      <c r="I419" s="7" t="s">
        <v>17</v>
      </c>
      <c r="J419" s="7" t="s">
        <v>1616</v>
      </c>
    </row>
    <row r="420" spans="1:10" x14ac:dyDescent="0.25" outlineLevel="1" collapsed="1">
      <c r="A420" s="7" t="s">
        <v>19</v>
      </c>
      <c r="B420" s="7" t="s">
        <v>284</v>
      </c>
      <c r="C420" s="11" t="s">
        <v>2623</v>
      </c>
      <c r="D420" s="7"/>
      <c r="E420" s="7" t="s">
        <v>1708</v>
      </c>
      <c r="F420" s="7" t="s">
        <v>19</v>
      </c>
      <c r="G420" s="7" t="s">
        <v>1709</v>
      </c>
      <c r="H420" s="7" t="s">
        <v>17</v>
      </c>
      <c r="I420" s="7" t="s">
        <v>17</v>
      </c>
      <c r="J420" s="7" t="s">
        <v>1710</v>
      </c>
    </row>
    <row r="421" spans="1:10" x14ac:dyDescent="0.25" outlineLevel="1" collapsed="1">
      <c r="A421" s="7" t="s">
        <v>19</v>
      </c>
      <c r="B421" s="7" t="s">
        <v>284</v>
      </c>
      <c r="C421" s="11" t="s">
        <v>2624</v>
      </c>
      <c r="D421" s="7"/>
      <c r="E421" s="7" t="s">
        <v>1712</v>
      </c>
      <c r="F421" s="7" t="s">
        <v>19</v>
      </c>
      <c r="G421" s="7" t="s">
        <v>1713</v>
      </c>
      <c r="H421" s="7" t="s">
        <v>17</v>
      </c>
      <c r="I421" s="7" t="s">
        <v>17</v>
      </c>
      <c r="J421" s="7" t="s">
        <v>1714</v>
      </c>
    </row>
    <row r="422" spans="1:10" x14ac:dyDescent="0.25" outlineLevel="1" collapsed="1">
      <c r="A422" s="8" t="s">
        <v>19</v>
      </c>
      <c r="B422" s="9" t="s">
        <v>1715</v>
      </c>
      <c r="C422" s="8" t="s">
        <v>17</v>
      </c>
      <c r="D422" s="8"/>
      <c r="E422" s="8" t="s">
        <v>1716</v>
      </c>
      <c r="F422" s="8" t="s">
        <v>15</v>
      </c>
      <c r="G422" s="8" t="s">
        <v>17</v>
      </c>
      <c r="H422" s="8" t="s">
        <v>17</v>
      </c>
      <c r="I422" s="8" t="s">
        <v>17</v>
      </c>
      <c r="J422" s="8" t="s">
        <v>1717</v>
      </c>
    </row>
    <row r="423" spans="1:10" x14ac:dyDescent="0.25" outlineLevel="2" collapsed="1">
      <c r="A423" s="7" t="s">
        <v>15</v>
      </c>
      <c r="B423" s="7" t="s">
        <v>16</v>
      </c>
      <c r="C423" s="7" t="s">
        <v>17</v>
      </c>
      <c r="D423" s="7"/>
      <c r="E423" s="7" t="s">
        <v>1718</v>
      </c>
      <c r="F423" s="7" t="s">
        <v>19</v>
      </c>
      <c r="G423" s="7" t="s">
        <v>31</v>
      </c>
      <c r="H423" s="7" t="s">
        <v>17</v>
      </c>
      <c r="I423" s="7" t="s">
        <v>17</v>
      </c>
      <c r="J423" s="7" t="s">
        <v>1719</v>
      </c>
    </row>
    <row r="424" spans="1:10" x14ac:dyDescent="0.25" outlineLevel="2" collapsed="1">
      <c r="A424" s="7" t="s">
        <v>15</v>
      </c>
      <c r="B424" s="7" t="s">
        <v>284</v>
      </c>
      <c r="C424" s="11" t="s">
        <v>1720</v>
      </c>
      <c r="D424" s="7"/>
      <c r="E424" s="7" t="s">
        <v>1721</v>
      </c>
      <c r="F424" s="7" t="s">
        <v>19</v>
      </c>
      <c r="G424" s="7" t="s">
        <v>1722</v>
      </c>
      <c r="H424" s="7" t="s">
        <v>17</v>
      </c>
      <c r="I424" s="7" t="s">
        <v>17</v>
      </c>
      <c r="J424" s="7" t="s">
        <v>1723</v>
      </c>
    </row>
    <row r="425" spans="1:10" x14ac:dyDescent="0.25" outlineLevel="2" collapsed="1">
      <c r="A425" s="7" t="s">
        <v>15</v>
      </c>
      <c r="B425" s="7" t="s">
        <v>16</v>
      </c>
      <c r="C425" s="7" t="s">
        <v>17</v>
      </c>
      <c r="D425" s="7"/>
      <c r="E425" s="7" t="s">
        <v>1724</v>
      </c>
      <c r="F425" s="7" t="s">
        <v>19</v>
      </c>
      <c r="G425" s="7" t="s">
        <v>31</v>
      </c>
      <c r="H425" s="7" t="s">
        <v>17</v>
      </c>
      <c r="I425" s="7" t="s">
        <v>17</v>
      </c>
      <c r="J425" s="7" t="s">
        <v>1725</v>
      </c>
    </row>
    <row r="426" spans="1:10" x14ac:dyDescent="0.25" outlineLevel="2" collapsed="1">
      <c r="A426" s="7" t="s">
        <v>15</v>
      </c>
      <c r="B426" s="7" t="s">
        <v>284</v>
      </c>
      <c r="C426" s="11" t="s">
        <v>1726</v>
      </c>
      <c r="D426" s="7"/>
      <c r="E426" s="7" t="s">
        <v>1727</v>
      </c>
      <c r="F426" s="7" t="s">
        <v>19</v>
      </c>
      <c r="G426" s="7" t="s">
        <v>1709</v>
      </c>
      <c r="H426" s="7" t="s">
        <v>17</v>
      </c>
      <c r="I426" s="7" t="s">
        <v>17</v>
      </c>
      <c r="J426" s="7" t="s">
        <v>1710</v>
      </c>
    </row>
    <row r="427" spans="1:10" x14ac:dyDescent="0.25" outlineLevel="2" collapsed="1">
      <c r="A427" s="7" t="s">
        <v>15</v>
      </c>
      <c r="B427" s="7" t="s">
        <v>284</v>
      </c>
      <c r="C427" s="11" t="s">
        <v>1728</v>
      </c>
      <c r="D427" s="7"/>
      <c r="E427" s="7" t="s">
        <v>1729</v>
      </c>
      <c r="F427" s="7" t="s">
        <v>19</v>
      </c>
      <c r="G427" s="7" t="s">
        <v>1713</v>
      </c>
      <c r="H427" s="7" t="s">
        <v>17</v>
      </c>
      <c r="I427" s="7" t="s">
        <v>17</v>
      </c>
      <c r="J427" s="7" t="s">
        <v>1714</v>
      </c>
    </row>
    <row r="428" spans="1:10" x14ac:dyDescent="0.25" outlineLevel="2" collapsed="1">
      <c r="A428" s="7" t="s">
        <v>15</v>
      </c>
      <c r="B428" s="7" t="s">
        <v>63</v>
      </c>
      <c r="C428" s="7" t="s">
        <v>17</v>
      </c>
      <c r="D428" s="7"/>
      <c r="E428" s="7" t="s">
        <v>1730</v>
      </c>
      <c r="F428" s="7" t="s">
        <v>19</v>
      </c>
      <c r="G428" s="7">
        <v>1</v>
      </c>
      <c r="H428" s="7" t="s">
        <v>17</v>
      </c>
      <c r="I428" s="7" t="s">
        <v>17</v>
      </c>
      <c r="J428" s="7" t="s">
        <v>1698</v>
      </c>
    </row>
    <row r="429" spans="1:10" x14ac:dyDescent="0.25" outlineLevel="2" collapsed="1">
      <c r="A429" s="7" t="s">
        <v>19</v>
      </c>
      <c r="B429" s="7" t="s">
        <v>63</v>
      </c>
      <c r="C429" s="7" t="s">
        <v>17</v>
      </c>
      <c r="D429" s="7"/>
      <c r="E429" s="7" t="s">
        <v>1731</v>
      </c>
      <c r="F429" s="7" t="s">
        <v>19</v>
      </c>
      <c r="G429" s="7">
        <v>1</v>
      </c>
      <c r="H429" s="7" t="s">
        <v>17</v>
      </c>
      <c r="I429" s="7" t="s">
        <v>17</v>
      </c>
      <c r="J429" s="7" t="s">
        <v>1700</v>
      </c>
    </row>
    <row r="430" spans="1:10" x14ac:dyDescent="0.25" outlineLevel="2" collapsed="1">
      <c r="A430" s="7" t="s">
        <v>19</v>
      </c>
      <c r="B430" s="7" t="s">
        <v>63</v>
      </c>
      <c r="C430" s="7" t="s">
        <v>17</v>
      </c>
      <c r="D430" s="7"/>
      <c r="E430" s="7" t="s">
        <v>1732</v>
      </c>
      <c r="F430" s="7" t="s">
        <v>19</v>
      </c>
      <c r="G430" s="7">
        <v>1</v>
      </c>
      <c r="H430" s="7" t="s">
        <v>17</v>
      </c>
      <c r="I430" s="7" t="s">
        <v>17</v>
      </c>
      <c r="J430" s="7" t="s">
        <v>1702</v>
      </c>
    </row>
    <row r="431" spans="1:10" x14ac:dyDescent="0.25" outlineLevel="2" collapsed="1">
      <c r="A431" s="7" t="s">
        <v>19</v>
      </c>
      <c r="B431" s="7" t="s">
        <v>63</v>
      </c>
      <c r="C431" s="7" t="s">
        <v>17</v>
      </c>
      <c r="D431" s="7"/>
      <c r="E431" s="7" t="s">
        <v>1733</v>
      </c>
      <c r="F431" s="7" t="s">
        <v>19</v>
      </c>
      <c r="G431" s="7">
        <v>1</v>
      </c>
      <c r="H431" s="7" t="s">
        <v>17</v>
      </c>
      <c r="I431" s="7" t="s">
        <v>17</v>
      </c>
      <c r="J431" s="7" t="s">
        <v>1704</v>
      </c>
    </row>
    <row r="432" spans="1:10" x14ac:dyDescent="0.25" outlineLevel="2" collapsed="1">
      <c r="A432" s="7" t="s">
        <v>19</v>
      </c>
      <c r="B432" s="7" t="s">
        <v>63</v>
      </c>
      <c r="C432" s="7" t="s">
        <v>17</v>
      </c>
      <c r="D432" s="7"/>
      <c r="E432" s="7" t="s">
        <v>1734</v>
      </c>
      <c r="F432" s="7" t="s">
        <v>19</v>
      </c>
      <c r="G432" s="7">
        <v>1</v>
      </c>
      <c r="H432" s="7" t="s">
        <v>17</v>
      </c>
      <c r="I432" s="7" t="s">
        <v>17</v>
      </c>
      <c r="J432" s="7" t="s">
        <v>1706</v>
      </c>
    </row>
    <row r="433" spans="1:10" x14ac:dyDescent="0.25">
      <c r="A433" s="5" t="s">
        <v>19</v>
      </c>
      <c r="B433" s="6" t="s">
        <v>2625</v>
      </c>
      <c r="C433" s="5" t="s">
        <v>17</v>
      </c>
      <c r="D433" s="5"/>
      <c r="E433" s="5" t="s">
        <v>1736</v>
      </c>
      <c r="F433" s="5" t="s">
        <v>19</v>
      </c>
      <c r="G433" s="5" t="s">
        <v>17</v>
      </c>
      <c r="H433" s="5" t="s">
        <v>17</v>
      </c>
      <c r="I433" s="5" t="s">
        <v>17</v>
      </c>
      <c r="J433" s="5" t="s">
        <v>1737</v>
      </c>
    </row>
    <row r="434" spans="1:10" x14ac:dyDescent="0.25" outlineLevel="1" collapsed="1">
      <c r="A434" s="8" t="s">
        <v>19</v>
      </c>
      <c r="B434" s="9" t="s">
        <v>2617</v>
      </c>
      <c r="C434" s="8" t="s">
        <v>17</v>
      </c>
      <c r="D434" s="8"/>
      <c r="E434" s="8" t="s">
        <v>1738</v>
      </c>
      <c r="F434" s="8" t="s">
        <v>19</v>
      </c>
      <c r="G434" s="8" t="s">
        <v>17</v>
      </c>
      <c r="H434" s="8" t="s">
        <v>17</v>
      </c>
      <c r="I434" s="8" t="s">
        <v>17</v>
      </c>
      <c r="J434" s="8" t="s">
        <v>1739</v>
      </c>
    </row>
    <row r="435" spans="1:10" x14ac:dyDescent="0.25" outlineLevel="2" collapsed="1">
      <c r="A435" s="7" t="s">
        <v>15</v>
      </c>
      <c r="B435" s="7" t="s">
        <v>16</v>
      </c>
      <c r="C435" s="7" t="s">
        <v>17</v>
      </c>
      <c r="D435" s="7"/>
      <c r="E435" s="7" t="s">
        <v>1670</v>
      </c>
      <c r="F435" s="7" t="s">
        <v>19</v>
      </c>
      <c r="G435" s="7" t="s">
        <v>31</v>
      </c>
      <c r="H435" s="7" t="s">
        <v>17</v>
      </c>
      <c r="I435" s="7" t="s">
        <v>17</v>
      </c>
      <c r="J435" s="7" t="s">
        <v>637</v>
      </c>
    </row>
    <row r="436" spans="1:10" x14ac:dyDescent="0.25" outlineLevel="2" collapsed="1">
      <c r="A436" s="7" t="s">
        <v>15</v>
      </c>
      <c r="B436" s="7" t="s">
        <v>16</v>
      </c>
      <c r="C436" s="7" t="s">
        <v>17</v>
      </c>
      <c r="D436" s="7"/>
      <c r="E436" s="7" t="s">
        <v>638</v>
      </c>
      <c r="F436" s="7" t="s">
        <v>19</v>
      </c>
      <c r="G436" s="7" t="s">
        <v>31</v>
      </c>
      <c r="H436" s="7" t="s">
        <v>17</v>
      </c>
      <c r="I436" s="7" t="s">
        <v>17</v>
      </c>
      <c r="J436" s="7" t="s">
        <v>640</v>
      </c>
    </row>
    <row r="437" spans="1:10" x14ac:dyDescent="0.25" outlineLevel="2" collapsed="1">
      <c r="A437" s="7" t="s">
        <v>15</v>
      </c>
      <c r="B437" s="7" t="s">
        <v>16</v>
      </c>
      <c r="C437" s="7" t="s">
        <v>17</v>
      </c>
      <c r="D437" s="7"/>
      <c r="E437" s="7" t="s">
        <v>9</v>
      </c>
      <c r="F437" s="7" t="s">
        <v>19</v>
      </c>
      <c r="G437" s="7" t="s">
        <v>31</v>
      </c>
      <c r="H437" s="7" t="s">
        <v>17</v>
      </c>
      <c r="I437" s="7" t="s">
        <v>17</v>
      </c>
      <c r="J437" s="7" t="s">
        <v>843</v>
      </c>
    </row>
    <row r="438" spans="1:10" x14ac:dyDescent="0.25" outlineLevel="2" collapsed="1">
      <c r="A438" s="7" t="s">
        <v>19</v>
      </c>
      <c r="B438" s="7" t="s">
        <v>16</v>
      </c>
      <c r="C438" s="7" t="s">
        <v>17</v>
      </c>
      <c r="D438" s="7"/>
      <c r="E438" s="7" t="s">
        <v>1600</v>
      </c>
      <c r="F438" s="7" t="s">
        <v>19</v>
      </c>
      <c r="G438" s="7" t="s">
        <v>31</v>
      </c>
      <c r="H438" s="7" t="s">
        <v>17</v>
      </c>
      <c r="I438" s="7" t="s">
        <v>17</v>
      </c>
      <c r="J438" s="7" t="s">
        <v>1424</v>
      </c>
    </row>
    <row r="439" spans="1:10" x14ac:dyDescent="0.25" outlineLevel="2" collapsed="1">
      <c r="A439" s="7" t="s">
        <v>15</v>
      </c>
      <c r="B439" s="7" t="s">
        <v>16</v>
      </c>
      <c r="C439" s="7" t="s">
        <v>17</v>
      </c>
      <c r="D439" s="7"/>
      <c r="E439" s="7" t="s">
        <v>1601</v>
      </c>
      <c r="F439" s="7" t="s">
        <v>19</v>
      </c>
      <c r="G439" s="7" t="s">
        <v>31</v>
      </c>
      <c r="H439" s="7" t="s">
        <v>17</v>
      </c>
      <c r="I439" s="7" t="s">
        <v>17</v>
      </c>
      <c r="J439" s="7" t="s">
        <v>1602</v>
      </c>
    </row>
    <row r="440" spans="1:10" x14ac:dyDescent="0.25" outlineLevel="2" collapsed="1">
      <c r="A440" s="7" t="s">
        <v>15</v>
      </c>
      <c r="B440" s="7" t="s">
        <v>16</v>
      </c>
      <c r="C440" s="7" t="s">
        <v>17</v>
      </c>
      <c r="D440" s="7"/>
      <c r="E440" s="7" t="s">
        <v>1671</v>
      </c>
      <c r="F440" s="7" t="s">
        <v>19</v>
      </c>
      <c r="G440" s="7" t="s">
        <v>31</v>
      </c>
      <c r="H440" s="7" t="s">
        <v>17</v>
      </c>
      <c r="I440" s="7" t="s">
        <v>17</v>
      </c>
      <c r="J440" s="7" t="s">
        <v>1672</v>
      </c>
    </row>
    <row r="441" spans="1:10" x14ac:dyDescent="0.25" outlineLevel="2" collapsed="1">
      <c r="A441" s="7" t="s">
        <v>15</v>
      </c>
      <c r="B441" s="7" t="s">
        <v>16</v>
      </c>
      <c r="C441" s="7" t="s">
        <v>17</v>
      </c>
      <c r="D441" s="7"/>
      <c r="E441" s="7" t="s">
        <v>1673</v>
      </c>
      <c r="F441" s="7" t="s">
        <v>19</v>
      </c>
      <c r="G441" s="7" t="s">
        <v>31</v>
      </c>
      <c r="H441" s="7" t="s">
        <v>17</v>
      </c>
      <c r="I441" s="7" t="s">
        <v>17</v>
      </c>
      <c r="J441" s="7" t="s">
        <v>1674</v>
      </c>
    </row>
    <row r="442" spans="1:10" x14ac:dyDescent="0.25" outlineLevel="2" collapsed="1">
      <c r="A442" s="7" t="s">
        <v>15</v>
      </c>
      <c r="B442" s="7" t="s">
        <v>16</v>
      </c>
      <c r="C442" s="7" t="s">
        <v>17</v>
      </c>
      <c r="D442" s="7"/>
      <c r="E442" s="7" t="s">
        <v>2618</v>
      </c>
      <c r="F442" s="7" t="s">
        <v>19</v>
      </c>
      <c r="G442" s="7" t="s">
        <v>31</v>
      </c>
      <c r="H442" s="7" t="s">
        <v>17</v>
      </c>
      <c r="I442" s="7" t="s">
        <v>17</v>
      </c>
      <c r="J442" s="7" t="s">
        <v>1422</v>
      </c>
    </row>
    <row r="443" spans="1:10" x14ac:dyDescent="0.25" outlineLevel="2" collapsed="1">
      <c r="A443" s="7" t="s">
        <v>15</v>
      </c>
      <c r="B443" s="7" t="s">
        <v>284</v>
      </c>
      <c r="C443" s="11" t="s">
        <v>2619</v>
      </c>
      <c r="D443" s="7"/>
      <c r="E443" s="7" t="s">
        <v>1605</v>
      </c>
      <c r="F443" s="7" t="s">
        <v>19</v>
      </c>
      <c r="G443" s="7" t="s">
        <v>1606</v>
      </c>
      <c r="H443" s="7" t="s">
        <v>17</v>
      </c>
      <c r="I443" s="7" t="s">
        <v>17</v>
      </c>
      <c r="J443" s="7" t="s">
        <v>1607</v>
      </c>
    </row>
    <row r="444" spans="1:10" x14ac:dyDescent="0.25" outlineLevel="2" collapsed="1">
      <c r="A444" s="7" t="s">
        <v>19</v>
      </c>
      <c r="B444" s="7" t="s">
        <v>63</v>
      </c>
      <c r="C444" s="7" t="s">
        <v>17</v>
      </c>
      <c r="D444" s="7">
        <f>EXACT(G443,"Single value")</f>
      </c>
      <c r="E444" s="7" t="s">
        <v>2620</v>
      </c>
      <c r="F444" s="7" t="s">
        <v>19</v>
      </c>
      <c r="G444" s="7">
        <v>1</v>
      </c>
      <c r="H444" s="7" t="s">
        <v>17</v>
      </c>
      <c r="I444" s="7" t="s">
        <v>17</v>
      </c>
      <c r="J444" s="7" t="s">
        <v>1609</v>
      </c>
    </row>
    <row r="445" spans="1:10" x14ac:dyDescent="0.25" outlineLevel="2" collapsed="1">
      <c r="A445" s="7" t="s">
        <v>19</v>
      </c>
      <c r="B445" s="7" t="s">
        <v>16</v>
      </c>
      <c r="C445" s="7" t="s">
        <v>17</v>
      </c>
      <c r="D445" s="7"/>
      <c r="E445" s="7" t="s">
        <v>1677</v>
      </c>
      <c r="F445" s="7" t="s">
        <v>19</v>
      </c>
      <c r="G445" s="7" t="s">
        <v>31</v>
      </c>
      <c r="H445" s="7" t="s">
        <v>17</v>
      </c>
      <c r="I445" s="7" t="s">
        <v>17</v>
      </c>
      <c r="J445" s="7" t="s">
        <v>1678</v>
      </c>
    </row>
    <row r="446" spans="1:10" x14ac:dyDescent="0.25" outlineLevel="2" collapsed="1">
      <c r="A446" s="7" t="s">
        <v>15</v>
      </c>
      <c r="B446" s="7" t="s">
        <v>16</v>
      </c>
      <c r="C446" s="7" t="s">
        <v>17</v>
      </c>
      <c r="D446" s="7"/>
      <c r="E446" s="7" t="s">
        <v>1679</v>
      </c>
      <c r="F446" s="7" t="s">
        <v>19</v>
      </c>
      <c r="G446" s="7" t="s">
        <v>31</v>
      </c>
      <c r="H446" s="7" t="s">
        <v>17</v>
      </c>
      <c r="I446" s="7" t="s">
        <v>17</v>
      </c>
      <c r="J446" s="7" t="s">
        <v>1680</v>
      </c>
    </row>
    <row r="447" spans="1:10" x14ac:dyDescent="0.25" outlineLevel="2" collapsed="1">
      <c r="A447" s="7" t="s">
        <v>15</v>
      </c>
      <c r="B447" s="7" t="s">
        <v>284</v>
      </c>
      <c r="C447" s="11" t="s">
        <v>2621</v>
      </c>
      <c r="D447" s="7"/>
      <c r="E447" s="7" t="s">
        <v>1612</v>
      </c>
      <c r="F447" s="7" t="s">
        <v>19</v>
      </c>
      <c r="G447" s="7" t="s">
        <v>1613</v>
      </c>
      <c r="H447" s="7" t="s">
        <v>17</v>
      </c>
      <c r="I447" s="7" t="s">
        <v>17</v>
      </c>
      <c r="J447" s="7" t="s">
        <v>1614</v>
      </c>
    </row>
    <row r="448" spans="1:10" x14ac:dyDescent="0.25" outlineLevel="2" collapsed="1">
      <c r="A448" s="7" t="s">
        <v>19</v>
      </c>
      <c r="B448" s="7" t="s">
        <v>16</v>
      </c>
      <c r="C448" s="7" t="s">
        <v>17</v>
      </c>
      <c r="D448" s="7"/>
      <c r="E448" s="7" t="s">
        <v>1681</v>
      </c>
      <c r="F448" s="7" t="s">
        <v>19</v>
      </c>
      <c r="G448" s="7" t="s">
        <v>31</v>
      </c>
      <c r="H448" s="7" t="s">
        <v>17</v>
      </c>
      <c r="I448" s="7" t="s">
        <v>17</v>
      </c>
      <c r="J448" s="7" t="s">
        <v>1682</v>
      </c>
    </row>
    <row r="449" spans="1:10" x14ac:dyDescent="0.25" outlineLevel="2" collapsed="1">
      <c r="A449" s="7" t="s">
        <v>19</v>
      </c>
      <c r="B449" s="7" t="s">
        <v>16</v>
      </c>
      <c r="C449" s="7" t="s">
        <v>17</v>
      </c>
      <c r="D449" s="7"/>
      <c r="E449" s="7" t="s">
        <v>1615</v>
      </c>
      <c r="F449" s="7" t="s">
        <v>19</v>
      </c>
      <c r="G449" s="7" t="s">
        <v>31</v>
      </c>
      <c r="H449" s="7" t="s">
        <v>17</v>
      </c>
      <c r="I449" s="7" t="s">
        <v>17</v>
      </c>
      <c r="J449" s="7" t="s">
        <v>1616</v>
      </c>
    </row>
    <row r="450" spans="1:10" x14ac:dyDescent="0.25" outlineLevel="1" collapsed="1">
      <c r="A450" s="8" t="s">
        <v>19</v>
      </c>
      <c r="B450" s="9" t="s">
        <v>2617</v>
      </c>
      <c r="C450" s="8" t="s">
        <v>17</v>
      </c>
      <c r="D450" s="8"/>
      <c r="E450" s="8" t="s">
        <v>1740</v>
      </c>
      <c r="F450" s="8" t="s">
        <v>19</v>
      </c>
      <c r="G450" s="8" t="s">
        <v>17</v>
      </c>
      <c r="H450" s="8" t="s">
        <v>17</v>
      </c>
      <c r="I450" s="8" t="s">
        <v>17</v>
      </c>
      <c r="J450" s="8" t="s">
        <v>1741</v>
      </c>
    </row>
    <row r="451" spans="1:10" x14ac:dyDescent="0.25" outlineLevel="2" collapsed="1">
      <c r="A451" s="7" t="s">
        <v>15</v>
      </c>
      <c r="B451" s="7" t="s">
        <v>16</v>
      </c>
      <c r="C451" s="7" t="s">
        <v>17</v>
      </c>
      <c r="D451" s="7"/>
      <c r="E451" s="7" t="s">
        <v>1670</v>
      </c>
      <c r="F451" s="7" t="s">
        <v>19</v>
      </c>
      <c r="G451" s="7" t="s">
        <v>31</v>
      </c>
      <c r="H451" s="7" t="s">
        <v>17</v>
      </c>
      <c r="I451" s="7" t="s">
        <v>17</v>
      </c>
      <c r="J451" s="7" t="s">
        <v>637</v>
      </c>
    </row>
    <row r="452" spans="1:10" x14ac:dyDescent="0.25" outlineLevel="2" collapsed="1">
      <c r="A452" s="7" t="s">
        <v>15</v>
      </c>
      <c r="B452" s="7" t="s">
        <v>16</v>
      </c>
      <c r="C452" s="7" t="s">
        <v>17</v>
      </c>
      <c r="D452" s="7"/>
      <c r="E452" s="7" t="s">
        <v>638</v>
      </c>
      <c r="F452" s="7" t="s">
        <v>19</v>
      </c>
      <c r="G452" s="7" t="s">
        <v>31</v>
      </c>
      <c r="H452" s="7" t="s">
        <v>17</v>
      </c>
      <c r="I452" s="7" t="s">
        <v>17</v>
      </c>
      <c r="J452" s="7" t="s">
        <v>640</v>
      </c>
    </row>
    <row r="453" spans="1:10" x14ac:dyDescent="0.25" outlineLevel="2" collapsed="1">
      <c r="A453" s="7" t="s">
        <v>15</v>
      </c>
      <c r="B453" s="7" t="s">
        <v>16</v>
      </c>
      <c r="C453" s="7" t="s">
        <v>17</v>
      </c>
      <c r="D453" s="7"/>
      <c r="E453" s="7" t="s">
        <v>9</v>
      </c>
      <c r="F453" s="7" t="s">
        <v>19</v>
      </c>
      <c r="G453" s="7" t="s">
        <v>31</v>
      </c>
      <c r="H453" s="7" t="s">
        <v>17</v>
      </c>
      <c r="I453" s="7" t="s">
        <v>17</v>
      </c>
      <c r="J453" s="7" t="s">
        <v>843</v>
      </c>
    </row>
    <row r="454" spans="1:10" x14ac:dyDescent="0.25" outlineLevel="2" collapsed="1">
      <c r="A454" s="7" t="s">
        <v>19</v>
      </c>
      <c r="B454" s="7" t="s">
        <v>16</v>
      </c>
      <c r="C454" s="7" t="s">
        <v>17</v>
      </c>
      <c r="D454" s="7"/>
      <c r="E454" s="7" t="s">
        <v>1600</v>
      </c>
      <c r="F454" s="7" t="s">
        <v>19</v>
      </c>
      <c r="G454" s="7" t="s">
        <v>31</v>
      </c>
      <c r="H454" s="7" t="s">
        <v>17</v>
      </c>
      <c r="I454" s="7" t="s">
        <v>17</v>
      </c>
      <c r="J454" s="7" t="s">
        <v>1424</v>
      </c>
    </row>
    <row r="455" spans="1:10" x14ac:dyDescent="0.25" outlineLevel="2" collapsed="1">
      <c r="A455" s="7" t="s">
        <v>15</v>
      </c>
      <c r="B455" s="7" t="s">
        <v>16</v>
      </c>
      <c r="C455" s="7" t="s">
        <v>17</v>
      </c>
      <c r="D455" s="7"/>
      <c r="E455" s="7" t="s">
        <v>1601</v>
      </c>
      <c r="F455" s="7" t="s">
        <v>19</v>
      </c>
      <c r="G455" s="7" t="s">
        <v>31</v>
      </c>
      <c r="H455" s="7" t="s">
        <v>17</v>
      </c>
      <c r="I455" s="7" t="s">
        <v>17</v>
      </c>
      <c r="J455" s="7" t="s">
        <v>1602</v>
      </c>
    </row>
    <row r="456" spans="1:10" x14ac:dyDescent="0.25" outlineLevel="2" collapsed="1">
      <c r="A456" s="7" t="s">
        <v>15</v>
      </c>
      <c r="B456" s="7" t="s">
        <v>16</v>
      </c>
      <c r="C456" s="7" t="s">
        <v>17</v>
      </c>
      <c r="D456" s="7"/>
      <c r="E456" s="7" t="s">
        <v>1671</v>
      </c>
      <c r="F456" s="7" t="s">
        <v>19</v>
      </c>
      <c r="G456" s="7" t="s">
        <v>31</v>
      </c>
      <c r="H456" s="7" t="s">
        <v>17</v>
      </c>
      <c r="I456" s="7" t="s">
        <v>17</v>
      </c>
      <c r="J456" s="7" t="s">
        <v>1672</v>
      </c>
    </row>
    <row r="457" spans="1:10" x14ac:dyDescent="0.25" outlineLevel="2" collapsed="1">
      <c r="A457" s="7" t="s">
        <v>15</v>
      </c>
      <c r="B457" s="7" t="s">
        <v>16</v>
      </c>
      <c r="C457" s="7" t="s">
        <v>17</v>
      </c>
      <c r="D457" s="7"/>
      <c r="E457" s="7" t="s">
        <v>1673</v>
      </c>
      <c r="F457" s="7" t="s">
        <v>19</v>
      </c>
      <c r="G457" s="7" t="s">
        <v>31</v>
      </c>
      <c r="H457" s="7" t="s">
        <v>17</v>
      </c>
      <c r="I457" s="7" t="s">
        <v>17</v>
      </c>
      <c r="J457" s="7" t="s">
        <v>1674</v>
      </c>
    </row>
    <row r="458" spans="1:10" x14ac:dyDescent="0.25" outlineLevel="2" collapsed="1">
      <c r="A458" s="7" t="s">
        <v>15</v>
      </c>
      <c r="B458" s="7" t="s">
        <v>16</v>
      </c>
      <c r="C458" s="7" t="s">
        <v>17</v>
      </c>
      <c r="D458" s="7"/>
      <c r="E458" s="7" t="s">
        <v>2618</v>
      </c>
      <c r="F458" s="7" t="s">
        <v>19</v>
      </c>
      <c r="G458" s="7" t="s">
        <v>31</v>
      </c>
      <c r="H458" s="7" t="s">
        <v>17</v>
      </c>
      <c r="I458" s="7" t="s">
        <v>17</v>
      </c>
      <c r="J458" s="7" t="s">
        <v>1422</v>
      </c>
    </row>
    <row r="459" spans="1:10" x14ac:dyDescent="0.25" outlineLevel="2" collapsed="1">
      <c r="A459" s="7" t="s">
        <v>15</v>
      </c>
      <c r="B459" s="7" t="s">
        <v>284</v>
      </c>
      <c r="C459" s="11" t="s">
        <v>2619</v>
      </c>
      <c r="D459" s="7"/>
      <c r="E459" s="7" t="s">
        <v>1605</v>
      </c>
      <c r="F459" s="7" t="s">
        <v>19</v>
      </c>
      <c r="G459" s="7" t="s">
        <v>1606</v>
      </c>
      <c r="H459" s="7" t="s">
        <v>17</v>
      </c>
      <c r="I459" s="7" t="s">
        <v>17</v>
      </c>
      <c r="J459" s="7" t="s">
        <v>1607</v>
      </c>
    </row>
    <row r="460" spans="1:10" x14ac:dyDescent="0.25" outlineLevel="2" collapsed="1">
      <c r="A460" s="7" t="s">
        <v>19</v>
      </c>
      <c r="B460" s="7" t="s">
        <v>63</v>
      </c>
      <c r="C460" s="7" t="s">
        <v>17</v>
      </c>
      <c r="D460" s="7">
        <f>EXACT(G459,"Single value")</f>
      </c>
      <c r="E460" s="7" t="s">
        <v>2620</v>
      </c>
      <c r="F460" s="7" t="s">
        <v>19</v>
      </c>
      <c r="G460" s="7">
        <v>1</v>
      </c>
      <c r="H460" s="7" t="s">
        <v>17</v>
      </c>
      <c r="I460" s="7" t="s">
        <v>17</v>
      </c>
      <c r="J460" s="7" t="s">
        <v>1609</v>
      </c>
    </row>
    <row r="461" spans="1:10" x14ac:dyDescent="0.25" outlineLevel="2" collapsed="1">
      <c r="A461" s="7" t="s">
        <v>19</v>
      </c>
      <c r="B461" s="7" t="s">
        <v>16</v>
      </c>
      <c r="C461" s="7" t="s">
        <v>17</v>
      </c>
      <c r="D461" s="7"/>
      <c r="E461" s="7" t="s">
        <v>1677</v>
      </c>
      <c r="F461" s="7" t="s">
        <v>19</v>
      </c>
      <c r="G461" s="7" t="s">
        <v>31</v>
      </c>
      <c r="H461" s="7" t="s">
        <v>17</v>
      </c>
      <c r="I461" s="7" t="s">
        <v>17</v>
      </c>
      <c r="J461" s="7" t="s">
        <v>1678</v>
      </c>
    </row>
    <row r="462" spans="1:10" x14ac:dyDescent="0.25" outlineLevel="2" collapsed="1">
      <c r="A462" s="7" t="s">
        <v>15</v>
      </c>
      <c r="B462" s="7" t="s">
        <v>16</v>
      </c>
      <c r="C462" s="7" t="s">
        <v>17</v>
      </c>
      <c r="D462" s="7"/>
      <c r="E462" s="7" t="s">
        <v>1679</v>
      </c>
      <c r="F462" s="7" t="s">
        <v>19</v>
      </c>
      <c r="G462" s="7" t="s">
        <v>31</v>
      </c>
      <c r="H462" s="7" t="s">
        <v>17</v>
      </c>
      <c r="I462" s="7" t="s">
        <v>17</v>
      </c>
      <c r="J462" s="7" t="s">
        <v>1680</v>
      </c>
    </row>
    <row r="463" spans="1:10" x14ac:dyDescent="0.25" outlineLevel="2" collapsed="1">
      <c r="A463" s="7" t="s">
        <v>15</v>
      </c>
      <c r="B463" s="7" t="s">
        <v>284</v>
      </c>
      <c r="C463" s="11" t="s">
        <v>2621</v>
      </c>
      <c r="D463" s="7"/>
      <c r="E463" s="7" t="s">
        <v>1612</v>
      </c>
      <c r="F463" s="7" t="s">
        <v>19</v>
      </c>
      <c r="G463" s="7" t="s">
        <v>1613</v>
      </c>
      <c r="H463" s="7" t="s">
        <v>17</v>
      </c>
      <c r="I463" s="7" t="s">
        <v>17</v>
      </c>
      <c r="J463" s="7" t="s">
        <v>1614</v>
      </c>
    </row>
    <row r="464" spans="1:10" x14ac:dyDescent="0.25" outlineLevel="2" collapsed="1">
      <c r="A464" s="7" t="s">
        <v>19</v>
      </c>
      <c r="B464" s="7" t="s">
        <v>16</v>
      </c>
      <c r="C464" s="7" t="s">
        <v>17</v>
      </c>
      <c r="D464" s="7"/>
      <c r="E464" s="7" t="s">
        <v>1681</v>
      </c>
      <c r="F464" s="7" t="s">
        <v>19</v>
      </c>
      <c r="G464" s="7" t="s">
        <v>31</v>
      </c>
      <c r="H464" s="7" t="s">
        <v>17</v>
      </c>
      <c r="I464" s="7" t="s">
        <v>17</v>
      </c>
      <c r="J464" s="7" t="s">
        <v>1682</v>
      </c>
    </row>
    <row r="465" spans="1:10" x14ac:dyDescent="0.25" outlineLevel="2" collapsed="1">
      <c r="A465" s="7" t="s">
        <v>19</v>
      </c>
      <c r="B465" s="7" t="s">
        <v>16</v>
      </c>
      <c r="C465" s="7" t="s">
        <v>17</v>
      </c>
      <c r="D465" s="7"/>
      <c r="E465" s="7" t="s">
        <v>1615</v>
      </c>
      <c r="F465" s="7" t="s">
        <v>19</v>
      </c>
      <c r="G465" s="7" t="s">
        <v>31</v>
      </c>
      <c r="H465" s="7" t="s">
        <v>17</v>
      </c>
      <c r="I465" s="7" t="s">
        <v>17</v>
      </c>
      <c r="J465" s="7" t="s">
        <v>1616</v>
      </c>
    </row>
    <row r="466" spans="1:10" x14ac:dyDescent="0.25" outlineLevel="1" collapsed="1">
      <c r="A466" s="8" t="s">
        <v>19</v>
      </c>
      <c r="B466" s="9" t="s">
        <v>2617</v>
      </c>
      <c r="C466" s="8" t="s">
        <v>17</v>
      </c>
      <c r="D466" s="8"/>
      <c r="E466" s="8" t="s">
        <v>1742</v>
      </c>
      <c r="F466" s="8" t="s">
        <v>19</v>
      </c>
      <c r="G466" s="8" t="s">
        <v>17</v>
      </c>
      <c r="H466" s="8" t="s">
        <v>17</v>
      </c>
      <c r="I466" s="8" t="s">
        <v>17</v>
      </c>
      <c r="J466" s="8" t="s">
        <v>1743</v>
      </c>
    </row>
    <row r="467" spans="1:10" x14ac:dyDescent="0.25" outlineLevel="2" collapsed="1">
      <c r="A467" s="7" t="s">
        <v>15</v>
      </c>
      <c r="B467" s="7" t="s">
        <v>16</v>
      </c>
      <c r="C467" s="7" t="s">
        <v>17</v>
      </c>
      <c r="D467" s="7"/>
      <c r="E467" s="7" t="s">
        <v>1670</v>
      </c>
      <c r="F467" s="7" t="s">
        <v>19</v>
      </c>
      <c r="G467" s="7" t="s">
        <v>31</v>
      </c>
      <c r="H467" s="7" t="s">
        <v>17</v>
      </c>
      <c r="I467" s="7" t="s">
        <v>17</v>
      </c>
      <c r="J467" s="7" t="s">
        <v>637</v>
      </c>
    </row>
    <row r="468" spans="1:10" x14ac:dyDescent="0.25" outlineLevel="2" collapsed="1">
      <c r="A468" s="7" t="s">
        <v>15</v>
      </c>
      <c r="B468" s="7" t="s">
        <v>16</v>
      </c>
      <c r="C468" s="7" t="s">
        <v>17</v>
      </c>
      <c r="D468" s="7"/>
      <c r="E468" s="7" t="s">
        <v>638</v>
      </c>
      <c r="F468" s="7" t="s">
        <v>19</v>
      </c>
      <c r="G468" s="7" t="s">
        <v>31</v>
      </c>
      <c r="H468" s="7" t="s">
        <v>17</v>
      </c>
      <c r="I468" s="7" t="s">
        <v>17</v>
      </c>
      <c r="J468" s="7" t="s">
        <v>640</v>
      </c>
    </row>
    <row r="469" spans="1:10" x14ac:dyDescent="0.25" outlineLevel="2" collapsed="1">
      <c r="A469" s="7" t="s">
        <v>15</v>
      </c>
      <c r="B469" s="7" t="s">
        <v>16</v>
      </c>
      <c r="C469" s="7" t="s">
        <v>17</v>
      </c>
      <c r="D469" s="7"/>
      <c r="E469" s="7" t="s">
        <v>9</v>
      </c>
      <c r="F469" s="7" t="s">
        <v>19</v>
      </c>
      <c r="G469" s="7" t="s">
        <v>31</v>
      </c>
      <c r="H469" s="7" t="s">
        <v>17</v>
      </c>
      <c r="I469" s="7" t="s">
        <v>17</v>
      </c>
      <c r="J469" s="7" t="s">
        <v>843</v>
      </c>
    </row>
    <row r="470" spans="1:10" x14ac:dyDescent="0.25" outlineLevel="2" collapsed="1">
      <c r="A470" s="7" t="s">
        <v>19</v>
      </c>
      <c r="B470" s="7" t="s">
        <v>16</v>
      </c>
      <c r="C470" s="7" t="s">
        <v>17</v>
      </c>
      <c r="D470" s="7"/>
      <c r="E470" s="7" t="s">
        <v>1600</v>
      </c>
      <c r="F470" s="7" t="s">
        <v>19</v>
      </c>
      <c r="G470" s="7" t="s">
        <v>31</v>
      </c>
      <c r="H470" s="7" t="s">
        <v>17</v>
      </c>
      <c r="I470" s="7" t="s">
        <v>17</v>
      </c>
      <c r="J470" s="7" t="s">
        <v>1424</v>
      </c>
    </row>
    <row r="471" spans="1:10" x14ac:dyDescent="0.25" outlineLevel="2" collapsed="1">
      <c r="A471" s="7" t="s">
        <v>15</v>
      </c>
      <c r="B471" s="7" t="s">
        <v>16</v>
      </c>
      <c r="C471" s="7" t="s">
        <v>17</v>
      </c>
      <c r="D471" s="7"/>
      <c r="E471" s="7" t="s">
        <v>1601</v>
      </c>
      <c r="F471" s="7" t="s">
        <v>19</v>
      </c>
      <c r="G471" s="7" t="s">
        <v>31</v>
      </c>
      <c r="H471" s="7" t="s">
        <v>17</v>
      </c>
      <c r="I471" s="7" t="s">
        <v>17</v>
      </c>
      <c r="J471" s="7" t="s">
        <v>1602</v>
      </c>
    </row>
    <row r="472" spans="1:10" x14ac:dyDescent="0.25" outlineLevel="2" collapsed="1">
      <c r="A472" s="7" t="s">
        <v>15</v>
      </c>
      <c r="B472" s="7" t="s">
        <v>16</v>
      </c>
      <c r="C472" s="7" t="s">
        <v>17</v>
      </c>
      <c r="D472" s="7"/>
      <c r="E472" s="7" t="s">
        <v>1671</v>
      </c>
      <c r="F472" s="7" t="s">
        <v>19</v>
      </c>
      <c r="G472" s="7" t="s">
        <v>31</v>
      </c>
      <c r="H472" s="7" t="s">
        <v>17</v>
      </c>
      <c r="I472" s="7" t="s">
        <v>17</v>
      </c>
      <c r="J472" s="7" t="s">
        <v>1672</v>
      </c>
    </row>
    <row r="473" spans="1:10" x14ac:dyDescent="0.25" outlineLevel="2" collapsed="1">
      <c r="A473" s="7" t="s">
        <v>15</v>
      </c>
      <c r="B473" s="7" t="s">
        <v>16</v>
      </c>
      <c r="C473" s="7" t="s">
        <v>17</v>
      </c>
      <c r="D473" s="7"/>
      <c r="E473" s="7" t="s">
        <v>1673</v>
      </c>
      <c r="F473" s="7" t="s">
        <v>19</v>
      </c>
      <c r="G473" s="7" t="s">
        <v>31</v>
      </c>
      <c r="H473" s="7" t="s">
        <v>17</v>
      </c>
      <c r="I473" s="7" t="s">
        <v>17</v>
      </c>
      <c r="J473" s="7" t="s">
        <v>1674</v>
      </c>
    </row>
    <row r="474" spans="1:10" x14ac:dyDescent="0.25" outlineLevel="2" collapsed="1">
      <c r="A474" s="7" t="s">
        <v>15</v>
      </c>
      <c r="B474" s="7" t="s">
        <v>16</v>
      </c>
      <c r="C474" s="7" t="s">
        <v>17</v>
      </c>
      <c r="D474" s="7"/>
      <c r="E474" s="7" t="s">
        <v>2618</v>
      </c>
      <c r="F474" s="7" t="s">
        <v>19</v>
      </c>
      <c r="G474" s="7" t="s">
        <v>31</v>
      </c>
      <c r="H474" s="7" t="s">
        <v>17</v>
      </c>
      <c r="I474" s="7" t="s">
        <v>17</v>
      </c>
      <c r="J474" s="7" t="s">
        <v>1422</v>
      </c>
    </row>
    <row r="475" spans="1:10" x14ac:dyDescent="0.25" outlineLevel="2" collapsed="1">
      <c r="A475" s="7" t="s">
        <v>15</v>
      </c>
      <c r="B475" s="7" t="s">
        <v>284</v>
      </c>
      <c r="C475" s="11" t="s">
        <v>2619</v>
      </c>
      <c r="D475" s="7"/>
      <c r="E475" s="7" t="s">
        <v>1605</v>
      </c>
      <c r="F475" s="7" t="s">
        <v>19</v>
      </c>
      <c r="G475" s="7" t="s">
        <v>1606</v>
      </c>
      <c r="H475" s="7" t="s">
        <v>17</v>
      </c>
      <c r="I475" s="7" t="s">
        <v>17</v>
      </c>
      <c r="J475" s="7" t="s">
        <v>1607</v>
      </c>
    </row>
    <row r="476" spans="1:10" x14ac:dyDescent="0.25" outlineLevel="2" collapsed="1">
      <c r="A476" s="7" t="s">
        <v>19</v>
      </c>
      <c r="B476" s="7" t="s">
        <v>63</v>
      </c>
      <c r="C476" s="7" t="s">
        <v>17</v>
      </c>
      <c r="D476" s="7">
        <f>EXACT(G475,"Single value")</f>
      </c>
      <c r="E476" s="7" t="s">
        <v>2620</v>
      </c>
      <c r="F476" s="7" t="s">
        <v>19</v>
      </c>
      <c r="G476" s="7">
        <v>1</v>
      </c>
      <c r="H476" s="7" t="s">
        <v>17</v>
      </c>
      <c r="I476" s="7" t="s">
        <v>17</v>
      </c>
      <c r="J476" s="7" t="s">
        <v>1609</v>
      </c>
    </row>
    <row r="477" spans="1:10" x14ac:dyDescent="0.25" outlineLevel="2" collapsed="1">
      <c r="A477" s="7" t="s">
        <v>19</v>
      </c>
      <c r="B477" s="7" t="s">
        <v>16</v>
      </c>
      <c r="C477" s="7" t="s">
        <v>17</v>
      </c>
      <c r="D477" s="7"/>
      <c r="E477" s="7" t="s">
        <v>1677</v>
      </c>
      <c r="F477" s="7" t="s">
        <v>19</v>
      </c>
      <c r="G477" s="7" t="s">
        <v>31</v>
      </c>
      <c r="H477" s="7" t="s">
        <v>17</v>
      </c>
      <c r="I477" s="7" t="s">
        <v>17</v>
      </c>
      <c r="J477" s="7" t="s">
        <v>1678</v>
      </c>
    </row>
    <row r="478" spans="1:10" x14ac:dyDescent="0.25" outlineLevel="2" collapsed="1">
      <c r="A478" s="7" t="s">
        <v>15</v>
      </c>
      <c r="B478" s="7" t="s">
        <v>16</v>
      </c>
      <c r="C478" s="7" t="s">
        <v>17</v>
      </c>
      <c r="D478" s="7"/>
      <c r="E478" s="7" t="s">
        <v>1679</v>
      </c>
      <c r="F478" s="7" t="s">
        <v>19</v>
      </c>
      <c r="G478" s="7" t="s">
        <v>31</v>
      </c>
      <c r="H478" s="7" t="s">
        <v>17</v>
      </c>
      <c r="I478" s="7" t="s">
        <v>17</v>
      </c>
      <c r="J478" s="7" t="s">
        <v>1680</v>
      </c>
    </row>
    <row r="479" spans="1:10" x14ac:dyDescent="0.25" outlineLevel="2" collapsed="1">
      <c r="A479" s="7" t="s">
        <v>15</v>
      </c>
      <c r="B479" s="7" t="s">
        <v>284</v>
      </c>
      <c r="C479" s="11" t="s">
        <v>2621</v>
      </c>
      <c r="D479" s="7"/>
      <c r="E479" s="7" t="s">
        <v>1612</v>
      </c>
      <c r="F479" s="7" t="s">
        <v>19</v>
      </c>
      <c r="G479" s="7" t="s">
        <v>1613</v>
      </c>
      <c r="H479" s="7" t="s">
        <v>17</v>
      </c>
      <c r="I479" s="7" t="s">
        <v>17</v>
      </c>
      <c r="J479" s="7" t="s">
        <v>1614</v>
      </c>
    </row>
    <row r="480" spans="1:10" x14ac:dyDescent="0.25" outlineLevel="2" collapsed="1">
      <c r="A480" s="7" t="s">
        <v>19</v>
      </c>
      <c r="B480" s="7" t="s">
        <v>16</v>
      </c>
      <c r="C480" s="7" t="s">
        <v>17</v>
      </c>
      <c r="D480" s="7"/>
      <c r="E480" s="7" t="s">
        <v>1681</v>
      </c>
      <c r="F480" s="7" t="s">
        <v>19</v>
      </c>
      <c r="G480" s="7" t="s">
        <v>31</v>
      </c>
      <c r="H480" s="7" t="s">
        <v>17</v>
      </c>
      <c r="I480" s="7" t="s">
        <v>17</v>
      </c>
      <c r="J480" s="7" t="s">
        <v>1682</v>
      </c>
    </row>
    <row r="481" spans="1:10" x14ac:dyDescent="0.25" outlineLevel="2" collapsed="1">
      <c r="A481" s="7" t="s">
        <v>19</v>
      </c>
      <c r="B481" s="7" t="s">
        <v>16</v>
      </c>
      <c r="C481" s="7" t="s">
        <v>17</v>
      </c>
      <c r="D481" s="7"/>
      <c r="E481" s="7" t="s">
        <v>1615</v>
      </c>
      <c r="F481" s="7" t="s">
        <v>19</v>
      </c>
      <c r="G481" s="7" t="s">
        <v>31</v>
      </c>
      <c r="H481" s="7" t="s">
        <v>17</v>
      </c>
      <c r="I481" s="7" t="s">
        <v>17</v>
      </c>
      <c r="J481" s="7" t="s">
        <v>1616</v>
      </c>
    </row>
    <row r="482" spans="1:10" x14ac:dyDescent="0.25" outlineLevel="1" collapsed="1">
      <c r="A482" s="8" t="s">
        <v>19</v>
      </c>
      <c r="B482" s="9" t="s">
        <v>2617</v>
      </c>
      <c r="C482" s="8" t="s">
        <v>17</v>
      </c>
      <c r="D482" s="8"/>
      <c r="E482" s="8" t="s">
        <v>1744</v>
      </c>
      <c r="F482" s="8" t="s">
        <v>19</v>
      </c>
      <c r="G482" s="8" t="s">
        <v>17</v>
      </c>
      <c r="H482" s="8" t="s">
        <v>17</v>
      </c>
      <c r="I482" s="8" t="s">
        <v>17</v>
      </c>
      <c r="J482" s="8" t="s">
        <v>1745</v>
      </c>
    </row>
    <row r="483" spans="1:10" x14ac:dyDescent="0.25" outlineLevel="2" collapsed="1">
      <c r="A483" s="7" t="s">
        <v>15</v>
      </c>
      <c r="B483" s="7" t="s">
        <v>16</v>
      </c>
      <c r="C483" s="7" t="s">
        <v>17</v>
      </c>
      <c r="D483" s="7"/>
      <c r="E483" s="7" t="s">
        <v>1670</v>
      </c>
      <c r="F483" s="7" t="s">
        <v>19</v>
      </c>
      <c r="G483" s="7" t="s">
        <v>31</v>
      </c>
      <c r="H483" s="7" t="s">
        <v>17</v>
      </c>
      <c r="I483" s="7" t="s">
        <v>17</v>
      </c>
      <c r="J483" s="7" t="s">
        <v>637</v>
      </c>
    </row>
    <row r="484" spans="1:10" x14ac:dyDescent="0.25" outlineLevel="2" collapsed="1">
      <c r="A484" s="7" t="s">
        <v>15</v>
      </c>
      <c r="B484" s="7" t="s">
        <v>16</v>
      </c>
      <c r="C484" s="7" t="s">
        <v>17</v>
      </c>
      <c r="D484" s="7"/>
      <c r="E484" s="7" t="s">
        <v>638</v>
      </c>
      <c r="F484" s="7" t="s">
        <v>19</v>
      </c>
      <c r="G484" s="7" t="s">
        <v>31</v>
      </c>
      <c r="H484" s="7" t="s">
        <v>17</v>
      </c>
      <c r="I484" s="7" t="s">
        <v>17</v>
      </c>
      <c r="J484" s="7" t="s">
        <v>640</v>
      </c>
    </row>
    <row r="485" spans="1:10" x14ac:dyDescent="0.25" outlineLevel="2" collapsed="1">
      <c r="A485" s="7" t="s">
        <v>15</v>
      </c>
      <c r="B485" s="7" t="s">
        <v>16</v>
      </c>
      <c r="C485" s="7" t="s">
        <v>17</v>
      </c>
      <c r="D485" s="7"/>
      <c r="E485" s="7" t="s">
        <v>9</v>
      </c>
      <c r="F485" s="7" t="s">
        <v>19</v>
      </c>
      <c r="G485" s="7" t="s">
        <v>31</v>
      </c>
      <c r="H485" s="7" t="s">
        <v>17</v>
      </c>
      <c r="I485" s="7" t="s">
        <v>17</v>
      </c>
      <c r="J485" s="7" t="s">
        <v>843</v>
      </c>
    </row>
    <row r="486" spans="1:10" x14ac:dyDescent="0.25" outlineLevel="2" collapsed="1">
      <c r="A486" s="7" t="s">
        <v>19</v>
      </c>
      <c r="B486" s="7" t="s">
        <v>16</v>
      </c>
      <c r="C486" s="7" t="s">
        <v>17</v>
      </c>
      <c r="D486" s="7"/>
      <c r="E486" s="7" t="s">
        <v>1600</v>
      </c>
      <c r="F486" s="7" t="s">
        <v>19</v>
      </c>
      <c r="G486" s="7" t="s">
        <v>31</v>
      </c>
      <c r="H486" s="7" t="s">
        <v>17</v>
      </c>
      <c r="I486" s="7" t="s">
        <v>17</v>
      </c>
      <c r="J486" s="7" t="s">
        <v>1424</v>
      </c>
    </row>
    <row r="487" spans="1:10" x14ac:dyDescent="0.25" outlineLevel="2" collapsed="1">
      <c r="A487" s="7" t="s">
        <v>15</v>
      </c>
      <c r="B487" s="7" t="s">
        <v>16</v>
      </c>
      <c r="C487" s="7" t="s">
        <v>17</v>
      </c>
      <c r="D487" s="7"/>
      <c r="E487" s="7" t="s">
        <v>1601</v>
      </c>
      <c r="F487" s="7" t="s">
        <v>19</v>
      </c>
      <c r="G487" s="7" t="s">
        <v>31</v>
      </c>
      <c r="H487" s="7" t="s">
        <v>17</v>
      </c>
      <c r="I487" s="7" t="s">
        <v>17</v>
      </c>
      <c r="J487" s="7" t="s">
        <v>1602</v>
      </c>
    </row>
    <row r="488" spans="1:10" x14ac:dyDescent="0.25" outlineLevel="2" collapsed="1">
      <c r="A488" s="7" t="s">
        <v>15</v>
      </c>
      <c r="B488" s="7" t="s">
        <v>16</v>
      </c>
      <c r="C488" s="7" t="s">
        <v>17</v>
      </c>
      <c r="D488" s="7"/>
      <c r="E488" s="7" t="s">
        <v>1671</v>
      </c>
      <c r="F488" s="7" t="s">
        <v>19</v>
      </c>
      <c r="G488" s="7" t="s">
        <v>31</v>
      </c>
      <c r="H488" s="7" t="s">
        <v>17</v>
      </c>
      <c r="I488" s="7" t="s">
        <v>17</v>
      </c>
      <c r="J488" s="7" t="s">
        <v>1672</v>
      </c>
    </row>
    <row r="489" spans="1:10" x14ac:dyDescent="0.25" outlineLevel="2" collapsed="1">
      <c r="A489" s="7" t="s">
        <v>15</v>
      </c>
      <c r="B489" s="7" t="s">
        <v>16</v>
      </c>
      <c r="C489" s="7" t="s">
        <v>17</v>
      </c>
      <c r="D489" s="7"/>
      <c r="E489" s="7" t="s">
        <v>1673</v>
      </c>
      <c r="F489" s="7" t="s">
        <v>19</v>
      </c>
      <c r="G489" s="7" t="s">
        <v>31</v>
      </c>
      <c r="H489" s="7" t="s">
        <v>17</v>
      </c>
      <c r="I489" s="7" t="s">
        <v>17</v>
      </c>
      <c r="J489" s="7" t="s">
        <v>1674</v>
      </c>
    </row>
    <row r="490" spans="1:10" x14ac:dyDescent="0.25" outlineLevel="2" collapsed="1">
      <c r="A490" s="7" t="s">
        <v>15</v>
      </c>
      <c r="B490" s="7" t="s">
        <v>16</v>
      </c>
      <c r="C490" s="7" t="s">
        <v>17</v>
      </c>
      <c r="D490" s="7"/>
      <c r="E490" s="7" t="s">
        <v>2618</v>
      </c>
      <c r="F490" s="7" t="s">
        <v>19</v>
      </c>
      <c r="G490" s="7" t="s">
        <v>31</v>
      </c>
      <c r="H490" s="7" t="s">
        <v>17</v>
      </c>
      <c r="I490" s="7" t="s">
        <v>17</v>
      </c>
      <c r="J490" s="7" t="s">
        <v>1422</v>
      </c>
    </row>
    <row r="491" spans="1:10" x14ac:dyDescent="0.25" outlineLevel="2" collapsed="1">
      <c r="A491" s="7" t="s">
        <v>15</v>
      </c>
      <c r="B491" s="7" t="s">
        <v>284</v>
      </c>
      <c r="C491" s="11" t="s">
        <v>2619</v>
      </c>
      <c r="D491" s="7"/>
      <c r="E491" s="7" t="s">
        <v>1605</v>
      </c>
      <c r="F491" s="7" t="s">
        <v>19</v>
      </c>
      <c r="G491" s="7" t="s">
        <v>1606</v>
      </c>
      <c r="H491" s="7" t="s">
        <v>17</v>
      </c>
      <c r="I491" s="7" t="s">
        <v>17</v>
      </c>
      <c r="J491" s="7" t="s">
        <v>1607</v>
      </c>
    </row>
    <row r="492" spans="1:10" x14ac:dyDescent="0.25" outlineLevel="2" collapsed="1">
      <c r="A492" s="7" t="s">
        <v>19</v>
      </c>
      <c r="B492" s="7" t="s">
        <v>63</v>
      </c>
      <c r="C492" s="7" t="s">
        <v>17</v>
      </c>
      <c r="D492" s="7">
        <f>EXACT(G491,"Single value")</f>
      </c>
      <c r="E492" s="7" t="s">
        <v>2620</v>
      </c>
      <c r="F492" s="7" t="s">
        <v>19</v>
      </c>
      <c r="G492" s="7">
        <v>1</v>
      </c>
      <c r="H492" s="7" t="s">
        <v>17</v>
      </c>
      <c r="I492" s="7" t="s">
        <v>17</v>
      </c>
      <c r="J492" s="7" t="s">
        <v>1609</v>
      </c>
    </row>
    <row r="493" spans="1:10" x14ac:dyDescent="0.25" outlineLevel="2" collapsed="1">
      <c r="A493" s="7" t="s">
        <v>19</v>
      </c>
      <c r="B493" s="7" t="s">
        <v>16</v>
      </c>
      <c r="C493" s="7" t="s">
        <v>17</v>
      </c>
      <c r="D493" s="7"/>
      <c r="E493" s="7" t="s">
        <v>1677</v>
      </c>
      <c r="F493" s="7" t="s">
        <v>19</v>
      </c>
      <c r="G493" s="7" t="s">
        <v>31</v>
      </c>
      <c r="H493" s="7" t="s">
        <v>17</v>
      </c>
      <c r="I493" s="7" t="s">
        <v>17</v>
      </c>
      <c r="J493" s="7" t="s">
        <v>1678</v>
      </c>
    </row>
    <row r="494" spans="1:10" x14ac:dyDescent="0.25" outlineLevel="2" collapsed="1">
      <c r="A494" s="7" t="s">
        <v>15</v>
      </c>
      <c r="B494" s="7" t="s">
        <v>16</v>
      </c>
      <c r="C494" s="7" t="s">
        <v>17</v>
      </c>
      <c r="D494" s="7"/>
      <c r="E494" s="7" t="s">
        <v>1679</v>
      </c>
      <c r="F494" s="7" t="s">
        <v>19</v>
      </c>
      <c r="G494" s="7" t="s">
        <v>31</v>
      </c>
      <c r="H494" s="7" t="s">
        <v>17</v>
      </c>
      <c r="I494" s="7" t="s">
        <v>17</v>
      </c>
      <c r="J494" s="7" t="s">
        <v>1680</v>
      </c>
    </row>
    <row r="495" spans="1:10" x14ac:dyDescent="0.25" outlineLevel="2" collapsed="1">
      <c r="A495" s="7" t="s">
        <v>15</v>
      </c>
      <c r="B495" s="7" t="s">
        <v>284</v>
      </c>
      <c r="C495" s="11" t="s">
        <v>2621</v>
      </c>
      <c r="D495" s="7"/>
      <c r="E495" s="7" t="s">
        <v>1612</v>
      </c>
      <c r="F495" s="7" t="s">
        <v>19</v>
      </c>
      <c r="G495" s="7" t="s">
        <v>1613</v>
      </c>
      <c r="H495" s="7" t="s">
        <v>17</v>
      </c>
      <c r="I495" s="7" t="s">
        <v>17</v>
      </c>
      <c r="J495" s="7" t="s">
        <v>1614</v>
      </c>
    </row>
    <row r="496" spans="1:10" x14ac:dyDescent="0.25" outlineLevel="2" collapsed="1">
      <c r="A496" s="7" t="s">
        <v>19</v>
      </c>
      <c r="B496" s="7" t="s">
        <v>16</v>
      </c>
      <c r="C496" s="7" t="s">
        <v>17</v>
      </c>
      <c r="D496" s="7"/>
      <c r="E496" s="7" t="s">
        <v>1681</v>
      </c>
      <c r="F496" s="7" t="s">
        <v>19</v>
      </c>
      <c r="G496" s="7" t="s">
        <v>31</v>
      </c>
      <c r="H496" s="7" t="s">
        <v>17</v>
      </c>
      <c r="I496" s="7" t="s">
        <v>17</v>
      </c>
      <c r="J496" s="7" t="s">
        <v>1682</v>
      </c>
    </row>
    <row r="497" spans="1:10" x14ac:dyDescent="0.25" outlineLevel="2" collapsed="1">
      <c r="A497" s="7" t="s">
        <v>19</v>
      </c>
      <c r="B497" s="7" t="s">
        <v>16</v>
      </c>
      <c r="C497" s="7" t="s">
        <v>17</v>
      </c>
      <c r="D497" s="7"/>
      <c r="E497" s="7" t="s">
        <v>1615</v>
      </c>
      <c r="F497" s="7" t="s">
        <v>19</v>
      </c>
      <c r="G497" s="7" t="s">
        <v>31</v>
      </c>
      <c r="H497" s="7" t="s">
        <v>17</v>
      </c>
      <c r="I497" s="7" t="s">
        <v>17</v>
      </c>
      <c r="J497" s="7" t="s">
        <v>1616</v>
      </c>
    </row>
    <row r="498" spans="1:10" x14ac:dyDescent="0.25" outlineLevel="1" collapsed="1">
      <c r="A498" s="8" t="s">
        <v>19</v>
      </c>
      <c r="B498" s="9" t="s">
        <v>2617</v>
      </c>
      <c r="C498" s="8" t="s">
        <v>17</v>
      </c>
      <c r="D498" s="8"/>
      <c r="E498" s="8" t="s">
        <v>1746</v>
      </c>
      <c r="F498" s="8" t="s">
        <v>19</v>
      </c>
      <c r="G498" s="8" t="s">
        <v>17</v>
      </c>
      <c r="H498" s="8" t="s">
        <v>17</v>
      </c>
      <c r="I498" s="8" t="s">
        <v>17</v>
      </c>
      <c r="J498" s="8" t="s">
        <v>1747</v>
      </c>
    </row>
    <row r="499" spans="1:10" x14ac:dyDescent="0.25" outlineLevel="2" collapsed="1">
      <c r="A499" s="7" t="s">
        <v>15</v>
      </c>
      <c r="B499" s="7" t="s">
        <v>16</v>
      </c>
      <c r="C499" s="7" t="s">
        <v>17</v>
      </c>
      <c r="D499" s="7"/>
      <c r="E499" s="7" t="s">
        <v>1670</v>
      </c>
      <c r="F499" s="7" t="s">
        <v>19</v>
      </c>
      <c r="G499" s="7" t="s">
        <v>31</v>
      </c>
      <c r="H499" s="7" t="s">
        <v>17</v>
      </c>
      <c r="I499" s="7" t="s">
        <v>17</v>
      </c>
      <c r="J499" s="7" t="s">
        <v>637</v>
      </c>
    </row>
    <row r="500" spans="1:10" x14ac:dyDescent="0.25" outlineLevel="2" collapsed="1">
      <c r="A500" s="7" t="s">
        <v>15</v>
      </c>
      <c r="B500" s="7" t="s">
        <v>16</v>
      </c>
      <c r="C500" s="7" t="s">
        <v>17</v>
      </c>
      <c r="D500" s="7"/>
      <c r="E500" s="7" t="s">
        <v>638</v>
      </c>
      <c r="F500" s="7" t="s">
        <v>19</v>
      </c>
      <c r="G500" s="7" t="s">
        <v>31</v>
      </c>
      <c r="H500" s="7" t="s">
        <v>17</v>
      </c>
      <c r="I500" s="7" t="s">
        <v>17</v>
      </c>
      <c r="J500" s="7" t="s">
        <v>640</v>
      </c>
    </row>
    <row r="501" spans="1:10" x14ac:dyDescent="0.25" outlineLevel="2" collapsed="1">
      <c r="A501" s="7" t="s">
        <v>15</v>
      </c>
      <c r="B501" s="7" t="s">
        <v>16</v>
      </c>
      <c r="C501" s="7" t="s">
        <v>17</v>
      </c>
      <c r="D501" s="7"/>
      <c r="E501" s="7" t="s">
        <v>9</v>
      </c>
      <c r="F501" s="7" t="s">
        <v>19</v>
      </c>
      <c r="G501" s="7" t="s">
        <v>31</v>
      </c>
      <c r="H501" s="7" t="s">
        <v>17</v>
      </c>
      <c r="I501" s="7" t="s">
        <v>17</v>
      </c>
      <c r="J501" s="7" t="s">
        <v>843</v>
      </c>
    </row>
    <row r="502" spans="1:10" x14ac:dyDescent="0.25" outlineLevel="2" collapsed="1">
      <c r="A502" s="7" t="s">
        <v>19</v>
      </c>
      <c r="B502" s="7" t="s">
        <v>16</v>
      </c>
      <c r="C502" s="7" t="s">
        <v>17</v>
      </c>
      <c r="D502" s="7"/>
      <c r="E502" s="7" t="s">
        <v>1600</v>
      </c>
      <c r="F502" s="7" t="s">
        <v>19</v>
      </c>
      <c r="G502" s="7" t="s">
        <v>31</v>
      </c>
      <c r="H502" s="7" t="s">
        <v>17</v>
      </c>
      <c r="I502" s="7" t="s">
        <v>17</v>
      </c>
      <c r="J502" s="7" t="s">
        <v>1424</v>
      </c>
    </row>
    <row r="503" spans="1:10" x14ac:dyDescent="0.25" outlineLevel="2" collapsed="1">
      <c r="A503" s="7" t="s">
        <v>15</v>
      </c>
      <c r="B503" s="7" t="s">
        <v>16</v>
      </c>
      <c r="C503" s="7" t="s">
        <v>17</v>
      </c>
      <c r="D503" s="7"/>
      <c r="E503" s="7" t="s">
        <v>1601</v>
      </c>
      <c r="F503" s="7" t="s">
        <v>19</v>
      </c>
      <c r="G503" s="7" t="s">
        <v>31</v>
      </c>
      <c r="H503" s="7" t="s">
        <v>17</v>
      </c>
      <c r="I503" s="7" t="s">
        <v>17</v>
      </c>
      <c r="J503" s="7" t="s">
        <v>1602</v>
      </c>
    </row>
    <row r="504" spans="1:10" x14ac:dyDescent="0.25" outlineLevel="2" collapsed="1">
      <c r="A504" s="7" t="s">
        <v>15</v>
      </c>
      <c r="B504" s="7" t="s">
        <v>16</v>
      </c>
      <c r="C504" s="7" t="s">
        <v>17</v>
      </c>
      <c r="D504" s="7"/>
      <c r="E504" s="7" t="s">
        <v>1671</v>
      </c>
      <c r="F504" s="7" t="s">
        <v>19</v>
      </c>
      <c r="G504" s="7" t="s">
        <v>31</v>
      </c>
      <c r="H504" s="7" t="s">
        <v>17</v>
      </c>
      <c r="I504" s="7" t="s">
        <v>17</v>
      </c>
      <c r="J504" s="7" t="s">
        <v>1672</v>
      </c>
    </row>
    <row r="505" spans="1:10" x14ac:dyDescent="0.25" outlineLevel="2" collapsed="1">
      <c r="A505" s="7" t="s">
        <v>15</v>
      </c>
      <c r="B505" s="7" t="s">
        <v>16</v>
      </c>
      <c r="C505" s="7" t="s">
        <v>17</v>
      </c>
      <c r="D505" s="7"/>
      <c r="E505" s="7" t="s">
        <v>1673</v>
      </c>
      <c r="F505" s="7" t="s">
        <v>19</v>
      </c>
      <c r="G505" s="7" t="s">
        <v>31</v>
      </c>
      <c r="H505" s="7" t="s">
        <v>17</v>
      </c>
      <c r="I505" s="7" t="s">
        <v>17</v>
      </c>
      <c r="J505" s="7" t="s">
        <v>1674</v>
      </c>
    </row>
    <row r="506" spans="1:10" x14ac:dyDescent="0.25" outlineLevel="2" collapsed="1">
      <c r="A506" s="7" t="s">
        <v>15</v>
      </c>
      <c r="B506" s="7" t="s">
        <v>16</v>
      </c>
      <c r="C506" s="7" t="s">
        <v>17</v>
      </c>
      <c r="D506" s="7"/>
      <c r="E506" s="7" t="s">
        <v>2618</v>
      </c>
      <c r="F506" s="7" t="s">
        <v>19</v>
      </c>
      <c r="G506" s="7" t="s">
        <v>31</v>
      </c>
      <c r="H506" s="7" t="s">
        <v>17</v>
      </c>
      <c r="I506" s="7" t="s">
        <v>17</v>
      </c>
      <c r="J506" s="7" t="s">
        <v>1422</v>
      </c>
    </row>
    <row r="507" spans="1:10" x14ac:dyDescent="0.25" outlineLevel="2" collapsed="1">
      <c r="A507" s="7" t="s">
        <v>15</v>
      </c>
      <c r="B507" s="7" t="s">
        <v>284</v>
      </c>
      <c r="C507" s="11" t="s">
        <v>2619</v>
      </c>
      <c r="D507" s="7"/>
      <c r="E507" s="7" t="s">
        <v>1605</v>
      </c>
      <c r="F507" s="7" t="s">
        <v>19</v>
      </c>
      <c r="G507" s="7" t="s">
        <v>1606</v>
      </c>
      <c r="H507" s="7" t="s">
        <v>17</v>
      </c>
      <c r="I507" s="7" t="s">
        <v>17</v>
      </c>
      <c r="J507" s="7" t="s">
        <v>1607</v>
      </c>
    </row>
    <row r="508" spans="1:10" x14ac:dyDescent="0.25" outlineLevel="2" collapsed="1">
      <c r="A508" s="7" t="s">
        <v>19</v>
      </c>
      <c r="B508" s="7" t="s">
        <v>63</v>
      </c>
      <c r="C508" s="7" t="s">
        <v>17</v>
      </c>
      <c r="D508" s="7">
        <f>EXACT(G507,"Single value")</f>
      </c>
      <c r="E508" s="7" t="s">
        <v>2620</v>
      </c>
      <c r="F508" s="7" t="s">
        <v>19</v>
      </c>
      <c r="G508" s="7">
        <v>1</v>
      </c>
      <c r="H508" s="7" t="s">
        <v>17</v>
      </c>
      <c r="I508" s="7" t="s">
        <v>17</v>
      </c>
      <c r="J508" s="7" t="s">
        <v>1609</v>
      </c>
    </row>
    <row r="509" spans="1:10" x14ac:dyDescent="0.25" outlineLevel="2" collapsed="1">
      <c r="A509" s="7" t="s">
        <v>19</v>
      </c>
      <c r="B509" s="7" t="s">
        <v>16</v>
      </c>
      <c r="C509" s="7" t="s">
        <v>17</v>
      </c>
      <c r="D509" s="7"/>
      <c r="E509" s="7" t="s">
        <v>1677</v>
      </c>
      <c r="F509" s="7" t="s">
        <v>19</v>
      </c>
      <c r="G509" s="7" t="s">
        <v>31</v>
      </c>
      <c r="H509" s="7" t="s">
        <v>17</v>
      </c>
      <c r="I509" s="7" t="s">
        <v>17</v>
      </c>
      <c r="J509" s="7" t="s">
        <v>1678</v>
      </c>
    </row>
    <row r="510" spans="1:10" x14ac:dyDescent="0.25" outlineLevel="2" collapsed="1">
      <c r="A510" s="7" t="s">
        <v>15</v>
      </c>
      <c r="B510" s="7" t="s">
        <v>16</v>
      </c>
      <c r="C510" s="7" t="s">
        <v>17</v>
      </c>
      <c r="D510" s="7"/>
      <c r="E510" s="7" t="s">
        <v>1679</v>
      </c>
      <c r="F510" s="7" t="s">
        <v>19</v>
      </c>
      <c r="G510" s="7" t="s">
        <v>31</v>
      </c>
      <c r="H510" s="7" t="s">
        <v>17</v>
      </c>
      <c r="I510" s="7" t="s">
        <v>17</v>
      </c>
      <c r="J510" s="7" t="s">
        <v>1680</v>
      </c>
    </row>
    <row r="511" spans="1:10" x14ac:dyDescent="0.25" outlineLevel="2" collapsed="1">
      <c r="A511" s="7" t="s">
        <v>15</v>
      </c>
      <c r="B511" s="7" t="s">
        <v>284</v>
      </c>
      <c r="C511" s="11" t="s">
        <v>2621</v>
      </c>
      <c r="D511" s="7"/>
      <c r="E511" s="7" t="s">
        <v>1612</v>
      </c>
      <c r="F511" s="7" t="s">
        <v>19</v>
      </c>
      <c r="G511" s="7" t="s">
        <v>1613</v>
      </c>
      <c r="H511" s="7" t="s">
        <v>17</v>
      </c>
      <c r="I511" s="7" t="s">
        <v>17</v>
      </c>
      <c r="J511" s="7" t="s">
        <v>1614</v>
      </c>
    </row>
    <row r="512" spans="1:10" x14ac:dyDescent="0.25" outlineLevel="2" collapsed="1">
      <c r="A512" s="7" t="s">
        <v>19</v>
      </c>
      <c r="B512" s="7" t="s">
        <v>16</v>
      </c>
      <c r="C512" s="7" t="s">
        <v>17</v>
      </c>
      <c r="D512" s="7"/>
      <c r="E512" s="7" t="s">
        <v>1681</v>
      </c>
      <c r="F512" s="7" t="s">
        <v>19</v>
      </c>
      <c r="G512" s="7" t="s">
        <v>31</v>
      </c>
      <c r="H512" s="7" t="s">
        <v>17</v>
      </c>
      <c r="I512" s="7" t="s">
        <v>17</v>
      </c>
      <c r="J512" s="7" t="s">
        <v>1682</v>
      </c>
    </row>
    <row r="513" spans="1:10" x14ac:dyDescent="0.25" outlineLevel="2" collapsed="1">
      <c r="A513" s="7" t="s">
        <v>19</v>
      </c>
      <c r="B513" s="7" t="s">
        <v>16</v>
      </c>
      <c r="C513" s="7" t="s">
        <v>17</v>
      </c>
      <c r="D513" s="7"/>
      <c r="E513" s="7" t="s">
        <v>1615</v>
      </c>
      <c r="F513" s="7" t="s">
        <v>19</v>
      </c>
      <c r="G513" s="7" t="s">
        <v>31</v>
      </c>
      <c r="H513" s="7" t="s">
        <v>17</v>
      </c>
      <c r="I513" s="7" t="s">
        <v>17</v>
      </c>
      <c r="J513" s="7" t="s">
        <v>1616</v>
      </c>
    </row>
    <row r="514" spans="1:10" x14ac:dyDescent="0.25" outlineLevel="1" collapsed="1">
      <c r="A514" s="8" t="s">
        <v>19</v>
      </c>
      <c r="B514" s="9" t="s">
        <v>2617</v>
      </c>
      <c r="C514" s="8" t="s">
        <v>17</v>
      </c>
      <c r="D514" s="8"/>
      <c r="E514" s="8" t="s">
        <v>1748</v>
      </c>
      <c r="F514" s="8" t="s">
        <v>19</v>
      </c>
      <c r="G514" s="8" t="s">
        <v>17</v>
      </c>
      <c r="H514" s="8" t="s">
        <v>17</v>
      </c>
      <c r="I514" s="8" t="s">
        <v>17</v>
      </c>
      <c r="J514" s="8" t="s">
        <v>1749</v>
      </c>
    </row>
    <row r="515" spans="1:10" x14ac:dyDescent="0.25" outlineLevel="2" collapsed="1">
      <c r="A515" s="7" t="s">
        <v>15</v>
      </c>
      <c r="B515" s="7" t="s">
        <v>16</v>
      </c>
      <c r="C515" s="7" t="s">
        <v>17</v>
      </c>
      <c r="D515" s="7"/>
      <c r="E515" s="7" t="s">
        <v>1670</v>
      </c>
      <c r="F515" s="7" t="s">
        <v>19</v>
      </c>
      <c r="G515" s="7" t="s">
        <v>31</v>
      </c>
      <c r="H515" s="7" t="s">
        <v>17</v>
      </c>
      <c r="I515" s="7" t="s">
        <v>17</v>
      </c>
      <c r="J515" s="7" t="s">
        <v>637</v>
      </c>
    </row>
    <row r="516" spans="1:10" x14ac:dyDescent="0.25" outlineLevel="2" collapsed="1">
      <c r="A516" s="7" t="s">
        <v>15</v>
      </c>
      <c r="B516" s="7" t="s">
        <v>16</v>
      </c>
      <c r="C516" s="7" t="s">
        <v>17</v>
      </c>
      <c r="D516" s="7"/>
      <c r="E516" s="7" t="s">
        <v>638</v>
      </c>
      <c r="F516" s="7" t="s">
        <v>19</v>
      </c>
      <c r="G516" s="7" t="s">
        <v>31</v>
      </c>
      <c r="H516" s="7" t="s">
        <v>17</v>
      </c>
      <c r="I516" s="7" t="s">
        <v>17</v>
      </c>
      <c r="J516" s="7" t="s">
        <v>640</v>
      </c>
    </row>
    <row r="517" spans="1:10" x14ac:dyDescent="0.25" outlineLevel="2" collapsed="1">
      <c r="A517" s="7" t="s">
        <v>15</v>
      </c>
      <c r="B517" s="7" t="s">
        <v>16</v>
      </c>
      <c r="C517" s="7" t="s">
        <v>17</v>
      </c>
      <c r="D517" s="7"/>
      <c r="E517" s="7" t="s">
        <v>9</v>
      </c>
      <c r="F517" s="7" t="s">
        <v>19</v>
      </c>
      <c r="G517" s="7" t="s">
        <v>31</v>
      </c>
      <c r="H517" s="7" t="s">
        <v>17</v>
      </c>
      <c r="I517" s="7" t="s">
        <v>17</v>
      </c>
      <c r="J517" s="7" t="s">
        <v>843</v>
      </c>
    </row>
    <row r="518" spans="1:10" x14ac:dyDescent="0.25" outlineLevel="2" collapsed="1">
      <c r="A518" s="7" t="s">
        <v>19</v>
      </c>
      <c r="B518" s="7" t="s">
        <v>16</v>
      </c>
      <c r="C518" s="7" t="s">
        <v>17</v>
      </c>
      <c r="D518" s="7"/>
      <c r="E518" s="7" t="s">
        <v>1600</v>
      </c>
      <c r="F518" s="7" t="s">
        <v>19</v>
      </c>
      <c r="G518" s="7" t="s">
        <v>31</v>
      </c>
      <c r="H518" s="7" t="s">
        <v>17</v>
      </c>
      <c r="I518" s="7" t="s">
        <v>17</v>
      </c>
      <c r="J518" s="7" t="s">
        <v>1424</v>
      </c>
    </row>
    <row r="519" spans="1:10" x14ac:dyDescent="0.25" outlineLevel="2" collapsed="1">
      <c r="A519" s="7" t="s">
        <v>15</v>
      </c>
      <c r="B519" s="7" t="s">
        <v>16</v>
      </c>
      <c r="C519" s="7" t="s">
        <v>17</v>
      </c>
      <c r="D519" s="7"/>
      <c r="E519" s="7" t="s">
        <v>1601</v>
      </c>
      <c r="F519" s="7" t="s">
        <v>19</v>
      </c>
      <c r="G519" s="7" t="s">
        <v>31</v>
      </c>
      <c r="H519" s="7" t="s">
        <v>17</v>
      </c>
      <c r="I519" s="7" t="s">
        <v>17</v>
      </c>
      <c r="J519" s="7" t="s">
        <v>1602</v>
      </c>
    </row>
    <row r="520" spans="1:10" x14ac:dyDescent="0.25" outlineLevel="2" collapsed="1">
      <c r="A520" s="7" t="s">
        <v>15</v>
      </c>
      <c r="B520" s="7" t="s">
        <v>16</v>
      </c>
      <c r="C520" s="7" t="s">
        <v>17</v>
      </c>
      <c r="D520" s="7"/>
      <c r="E520" s="7" t="s">
        <v>1671</v>
      </c>
      <c r="F520" s="7" t="s">
        <v>19</v>
      </c>
      <c r="G520" s="7" t="s">
        <v>31</v>
      </c>
      <c r="H520" s="7" t="s">
        <v>17</v>
      </c>
      <c r="I520" s="7" t="s">
        <v>17</v>
      </c>
      <c r="J520" s="7" t="s">
        <v>1672</v>
      </c>
    </row>
    <row r="521" spans="1:10" x14ac:dyDescent="0.25" outlineLevel="2" collapsed="1">
      <c r="A521" s="7" t="s">
        <v>15</v>
      </c>
      <c r="B521" s="7" t="s">
        <v>16</v>
      </c>
      <c r="C521" s="7" t="s">
        <v>17</v>
      </c>
      <c r="D521" s="7"/>
      <c r="E521" s="7" t="s">
        <v>1673</v>
      </c>
      <c r="F521" s="7" t="s">
        <v>19</v>
      </c>
      <c r="G521" s="7" t="s">
        <v>31</v>
      </c>
      <c r="H521" s="7" t="s">
        <v>17</v>
      </c>
      <c r="I521" s="7" t="s">
        <v>17</v>
      </c>
      <c r="J521" s="7" t="s">
        <v>1674</v>
      </c>
    </row>
    <row r="522" spans="1:10" x14ac:dyDescent="0.25" outlineLevel="2" collapsed="1">
      <c r="A522" s="7" t="s">
        <v>15</v>
      </c>
      <c r="B522" s="7" t="s">
        <v>16</v>
      </c>
      <c r="C522" s="7" t="s">
        <v>17</v>
      </c>
      <c r="D522" s="7"/>
      <c r="E522" s="7" t="s">
        <v>2618</v>
      </c>
      <c r="F522" s="7" t="s">
        <v>19</v>
      </c>
      <c r="G522" s="7" t="s">
        <v>31</v>
      </c>
      <c r="H522" s="7" t="s">
        <v>17</v>
      </c>
      <c r="I522" s="7" t="s">
        <v>17</v>
      </c>
      <c r="J522" s="7" t="s">
        <v>1422</v>
      </c>
    </row>
    <row r="523" spans="1:10" x14ac:dyDescent="0.25" outlineLevel="2" collapsed="1">
      <c r="A523" s="7" t="s">
        <v>15</v>
      </c>
      <c r="B523" s="7" t="s">
        <v>284</v>
      </c>
      <c r="C523" s="11" t="s">
        <v>2619</v>
      </c>
      <c r="D523" s="7"/>
      <c r="E523" s="7" t="s">
        <v>1605</v>
      </c>
      <c r="F523" s="7" t="s">
        <v>19</v>
      </c>
      <c r="G523" s="7" t="s">
        <v>1606</v>
      </c>
      <c r="H523" s="7" t="s">
        <v>17</v>
      </c>
      <c r="I523" s="7" t="s">
        <v>17</v>
      </c>
      <c r="J523" s="7" t="s">
        <v>1607</v>
      </c>
    </row>
    <row r="524" spans="1:10" x14ac:dyDescent="0.25" outlineLevel="2" collapsed="1">
      <c r="A524" s="7" t="s">
        <v>19</v>
      </c>
      <c r="B524" s="7" t="s">
        <v>63</v>
      </c>
      <c r="C524" s="7" t="s">
        <v>17</v>
      </c>
      <c r="D524" s="7">
        <f>EXACT(G523,"Single value")</f>
      </c>
      <c r="E524" s="7" t="s">
        <v>2620</v>
      </c>
      <c r="F524" s="7" t="s">
        <v>19</v>
      </c>
      <c r="G524" s="7">
        <v>1</v>
      </c>
      <c r="H524" s="7" t="s">
        <v>17</v>
      </c>
      <c r="I524" s="7" t="s">
        <v>17</v>
      </c>
      <c r="J524" s="7" t="s">
        <v>1609</v>
      </c>
    </row>
    <row r="525" spans="1:10" x14ac:dyDescent="0.25" outlineLevel="2" collapsed="1">
      <c r="A525" s="7" t="s">
        <v>19</v>
      </c>
      <c r="B525" s="7" t="s">
        <v>16</v>
      </c>
      <c r="C525" s="7" t="s">
        <v>17</v>
      </c>
      <c r="D525" s="7"/>
      <c r="E525" s="7" t="s">
        <v>1677</v>
      </c>
      <c r="F525" s="7" t="s">
        <v>19</v>
      </c>
      <c r="G525" s="7" t="s">
        <v>31</v>
      </c>
      <c r="H525" s="7" t="s">
        <v>17</v>
      </c>
      <c r="I525" s="7" t="s">
        <v>17</v>
      </c>
      <c r="J525" s="7" t="s">
        <v>1678</v>
      </c>
    </row>
    <row r="526" spans="1:10" x14ac:dyDescent="0.25" outlineLevel="2" collapsed="1">
      <c r="A526" s="7" t="s">
        <v>15</v>
      </c>
      <c r="B526" s="7" t="s">
        <v>16</v>
      </c>
      <c r="C526" s="7" t="s">
        <v>17</v>
      </c>
      <c r="D526" s="7"/>
      <c r="E526" s="7" t="s">
        <v>1679</v>
      </c>
      <c r="F526" s="7" t="s">
        <v>19</v>
      </c>
      <c r="G526" s="7" t="s">
        <v>31</v>
      </c>
      <c r="H526" s="7" t="s">
        <v>17</v>
      </c>
      <c r="I526" s="7" t="s">
        <v>17</v>
      </c>
      <c r="J526" s="7" t="s">
        <v>1680</v>
      </c>
    </row>
    <row r="527" spans="1:10" x14ac:dyDescent="0.25" outlineLevel="2" collapsed="1">
      <c r="A527" s="7" t="s">
        <v>15</v>
      </c>
      <c r="B527" s="7" t="s">
        <v>284</v>
      </c>
      <c r="C527" s="11" t="s">
        <v>2621</v>
      </c>
      <c r="D527" s="7"/>
      <c r="E527" s="7" t="s">
        <v>1612</v>
      </c>
      <c r="F527" s="7" t="s">
        <v>19</v>
      </c>
      <c r="G527" s="7" t="s">
        <v>1613</v>
      </c>
      <c r="H527" s="7" t="s">
        <v>17</v>
      </c>
      <c r="I527" s="7" t="s">
        <v>17</v>
      </c>
      <c r="J527" s="7" t="s">
        <v>1614</v>
      </c>
    </row>
    <row r="528" spans="1:10" x14ac:dyDescent="0.25" outlineLevel="2" collapsed="1">
      <c r="A528" s="7" t="s">
        <v>19</v>
      </c>
      <c r="B528" s="7" t="s">
        <v>16</v>
      </c>
      <c r="C528" s="7" t="s">
        <v>17</v>
      </c>
      <c r="D528" s="7"/>
      <c r="E528" s="7" t="s">
        <v>1681</v>
      </c>
      <c r="F528" s="7" t="s">
        <v>19</v>
      </c>
      <c r="G528" s="7" t="s">
        <v>31</v>
      </c>
      <c r="H528" s="7" t="s">
        <v>17</v>
      </c>
      <c r="I528" s="7" t="s">
        <v>17</v>
      </c>
      <c r="J528" s="7" t="s">
        <v>1682</v>
      </c>
    </row>
    <row r="529" spans="1:10" x14ac:dyDescent="0.25" outlineLevel="2" collapsed="1">
      <c r="A529" s="7" t="s">
        <v>19</v>
      </c>
      <c r="B529" s="7" t="s">
        <v>16</v>
      </c>
      <c r="C529" s="7" t="s">
        <v>17</v>
      </c>
      <c r="D529" s="7"/>
      <c r="E529" s="7" t="s">
        <v>1615</v>
      </c>
      <c r="F529" s="7" t="s">
        <v>19</v>
      </c>
      <c r="G529" s="7" t="s">
        <v>31</v>
      </c>
      <c r="H529" s="7" t="s">
        <v>17</v>
      </c>
      <c r="I529" s="7" t="s">
        <v>17</v>
      </c>
      <c r="J529" s="7" t="s">
        <v>1616</v>
      </c>
    </row>
    <row r="530" spans="1:10" x14ac:dyDescent="0.25" outlineLevel="1" collapsed="1">
      <c r="A530" s="8" t="s">
        <v>19</v>
      </c>
      <c r="B530" s="9" t="s">
        <v>2617</v>
      </c>
      <c r="C530" s="8" t="s">
        <v>17</v>
      </c>
      <c r="D530" s="8"/>
      <c r="E530" s="8" t="s">
        <v>1750</v>
      </c>
      <c r="F530" s="8" t="s">
        <v>19</v>
      </c>
      <c r="G530" s="8" t="s">
        <v>17</v>
      </c>
      <c r="H530" s="8" t="s">
        <v>17</v>
      </c>
      <c r="I530" s="8" t="s">
        <v>17</v>
      </c>
      <c r="J530" s="8" t="s">
        <v>1751</v>
      </c>
    </row>
    <row r="531" spans="1:10" x14ac:dyDescent="0.25" outlineLevel="2" collapsed="1">
      <c r="A531" s="7" t="s">
        <v>15</v>
      </c>
      <c r="B531" s="7" t="s">
        <v>16</v>
      </c>
      <c r="C531" s="7" t="s">
        <v>17</v>
      </c>
      <c r="D531" s="7"/>
      <c r="E531" s="7" t="s">
        <v>1670</v>
      </c>
      <c r="F531" s="7" t="s">
        <v>19</v>
      </c>
      <c r="G531" s="7" t="s">
        <v>31</v>
      </c>
      <c r="H531" s="7" t="s">
        <v>17</v>
      </c>
      <c r="I531" s="7" t="s">
        <v>17</v>
      </c>
      <c r="J531" s="7" t="s">
        <v>637</v>
      </c>
    </row>
    <row r="532" spans="1:10" x14ac:dyDescent="0.25" outlineLevel="2" collapsed="1">
      <c r="A532" s="7" t="s">
        <v>15</v>
      </c>
      <c r="B532" s="7" t="s">
        <v>16</v>
      </c>
      <c r="C532" s="7" t="s">
        <v>17</v>
      </c>
      <c r="D532" s="7"/>
      <c r="E532" s="7" t="s">
        <v>638</v>
      </c>
      <c r="F532" s="7" t="s">
        <v>19</v>
      </c>
      <c r="G532" s="7" t="s">
        <v>31</v>
      </c>
      <c r="H532" s="7" t="s">
        <v>17</v>
      </c>
      <c r="I532" s="7" t="s">
        <v>17</v>
      </c>
      <c r="J532" s="7" t="s">
        <v>640</v>
      </c>
    </row>
    <row r="533" spans="1:10" x14ac:dyDescent="0.25" outlineLevel="2" collapsed="1">
      <c r="A533" s="7" t="s">
        <v>15</v>
      </c>
      <c r="B533" s="7" t="s">
        <v>16</v>
      </c>
      <c r="C533" s="7" t="s">
        <v>17</v>
      </c>
      <c r="D533" s="7"/>
      <c r="E533" s="7" t="s">
        <v>9</v>
      </c>
      <c r="F533" s="7" t="s">
        <v>19</v>
      </c>
      <c r="G533" s="7" t="s">
        <v>31</v>
      </c>
      <c r="H533" s="7" t="s">
        <v>17</v>
      </c>
      <c r="I533" s="7" t="s">
        <v>17</v>
      </c>
      <c r="J533" s="7" t="s">
        <v>843</v>
      </c>
    </row>
    <row r="534" spans="1:10" x14ac:dyDescent="0.25" outlineLevel="2" collapsed="1">
      <c r="A534" s="7" t="s">
        <v>19</v>
      </c>
      <c r="B534" s="7" t="s">
        <v>16</v>
      </c>
      <c r="C534" s="7" t="s">
        <v>17</v>
      </c>
      <c r="D534" s="7"/>
      <c r="E534" s="7" t="s">
        <v>1600</v>
      </c>
      <c r="F534" s="7" t="s">
        <v>19</v>
      </c>
      <c r="G534" s="7" t="s">
        <v>31</v>
      </c>
      <c r="H534" s="7" t="s">
        <v>17</v>
      </c>
      <c r="I534" s="7" t="s">
        <v>17</v>
      </c>
      <c r="J534" s="7" t="s">
        <v>1424</v>
      </c>
    </row>
    <row r="535" spans="1:10" x14ac:dyDescent="0.25" outlineLevel="2" collapsed="1">
      <c r="A535" s="7" t="s">
        <v>15</v>
      </c>
      <c r="B535" s="7" t="s">
        <v>16</v>
      </c>
      <c r="C535" s="7" t="s">
        <v>17</v>
      </c>
      <c r="D535" s="7"/>
      <c r="E535" s="7" t="s">
        <v>1601</v>
      </c>
      <c r="F535" s="7" t="s">
        <v>19</v>
      </c>
      <c r="G535" s="7" t="s">
        <v>31</v>
      </c>
      <c r="H535" s="7" t="s">
        <v>17</v>
      </c>
      <c r="I535" s="7" t="s">
        <v>17</v>
      </c>
      <c r="J535" s="7" t="s">
        <v>1602</v>
      </c>
    </row>
    <row r="536" spans="1:10" x14ac:dyDescent="0.25" outlineLevel="2" collapsed="1">
      <c r="A536" s="7" t="s">
        <v>15</v>
      </c>
      <c r="B536" s="7" t="s">
        <v>16</v>
      </c>
      <c r="C536" s="7" t="s">
        <v>17</v>
      </c>
      <c r="D536" s="7"/>
      <c r="E536" s="7" t="s">
        <v>1671</v>
      </c>
      <c r="F536" s="7" t="s">
        <v>19</v>
      </c>
      <c r="G536" s="7" t="s">
        <v>31</v>
      </c>
      <c r="H536" s="7" t="s">
        <v>17</v>
      </c>
      <c r="I536" s="7" t="s">
        <v>17</v>
      </c>
      <c r="J536" s="7" t="s">
        <v>1672</v>
      </c>
    </row>
    <row r="537" spans="1:10" x14ac:dyDescent="0.25" outlineLevel="2" collapsed="1">
      <c r="A537" s="7" t="s">
        <v>15</v>
      </c>
      <c r="B537" s="7" t="s">
        <v>16</v>
      </c>
      <c r="C537" s="7" t="s">
        <v>17</v>
      </c>
      <c r="D537" s="7"/>
      <c r="E537" s="7" t="s">
        <v>1673</v>
      </c>
      <c r="F537" s="7" t="s">
        <v>19</v>
      </c>
      <c r="G537" s="7" t="s">
        <v>31</v>
      </c>
      <c r="H537" s="7" t="s">
        <v>17</v>
      </c>
      <c r="I537" s="7" t="s">
        <v>17</v>
      </c>
      <c r="J537" s="7" t="s">
        <v>1674</v>
      </c>
    </row>
    <row r="538" spans="1:10" x14ac:dyDescent="0.25" outlineLevel="2" collapsed="1">
      <c r="A538" s="7" t="s">
        <v>15</v>
      </c>
      <c r="B538" s="7" t="s">
        <v>16</v>
      </c>
      <c r="C538" s="7" t="s">
        <v>17</v>
      </c>
      <c r="D538" s="7"/>
      <c r="E538" s="7" t="s">
        <v>2618</v>
      </c>
      <c r="F538" s="7" t="s">
        <v>19</v>
      </c>
      <c r="G538" s="7" t="s">
        <v>31</v>
      </c>
      <c r="H538" s="7" t="s">
        <v>17</v>
      </c>
      <c r="I538" s="7" t="s">
        <v>17</v>
      </c>
      <c r="J538" s="7" t="s">
        <v>1422</v>
      </c>
    </row>
    <row r="539" spans="1:10" x14ac:dyDescent="0.25" outlineLevel="2" collapsed="1">
      <c r="A539" s="7" t="s">
        <v>15</v>
      </c>
      <c r="B539" s="7" t="s">
        <v>284</v>
      </c>
      <c r="C539" s="11" t="s">
        <v>2619</v>
      </c>
      <c r="D539" s="7"/>
      <c r="E539" s="7" t="s">
        <v>1605</v>
      </c>
      <c r="F539" s="7" t="s">
        <v>19</v>
      </c>
      <c r="G539" s="7" t="s">
        <v>1606</v>
      </c>
      <c r="H539" s="7" t="s">
        <v>17</v>
      </c>
      <c r="I539" s="7" t="s">
        <v>17</v>
      </c>
      <c r="J539" s="7" t="s">
        <v>1607</v>
      </c>
    </row>
    <row r="540" spans="1:10" x14ac:dyDescent="0.25" outlineLevel="2" collapsed="1">
      <c r="A540" s="7" t="s">
        <v>19</v>
      </c>
      <c r="B540" s="7" t="s">
        <v>63</v>
      </c>
      <c r="C540" s="7" t="s">
        <v>17</v>
      </c>
      <c r="D540" s="7">
        <f>EXACT(G539,"Single value")</f>
      </c>
      <c r="E540" s="7" t="s">
        <v>2620</v>
      </c>
      <c r="F540" s="7" t="s">
        <v>19</v>
      </c>
      <c r="G540" s="7">
        <v>1</v>
      </c>
      <c r="H540" s="7" t="s">
        <v>17</v>
      </c>
      <c r="I540" s="7" t="s">
        <v>17</v>
      </c>
      <c r="J540" s="7" t="s">
        <v>1609</v>
      </c>
    </row>
    <row r="541" spans="1:10" x14ac:dyDescent="0.25" outlineLevel="2" collapsed="1">
      <c r="A541" s="7" t="s">
        <v>19</v>
      </c>
      <c r="B541" s="7" t="s">
        <v>16</v>
      </c>
      <c r="C541" s="7" t="s">
        <v>17</v>
      </c>
      <c r="D541" s="7"/>
      <c r="E541" s="7" t="s">
        <v>1677</v>
      </c>
      <c r="F541" s="7" t="s">
        <v>19</v>
      </c>
      <c r="G541" s="7" t="s">
        <v>31</v>
      </c>
      <c r="H541" s="7" t="s">
        <v>17</v>
      </c>
      <c r="I541" s="7" t="s">
        <v>17</v>
      </c>
      <c r="J541" s="7" t="s">
        <v>1678</v>
      </c>
    </row>
    <row r="542" spans="1:10" x14ac:dyDescent="0.25" outlineLevel="2" collapsed="1">
      <c r="A542" s="7" t="s">
        <v>15</v>
      </c>
      <c r="B542" s="7" t="s">
        <v>16</v>
      </c>
      <c r="C542" s="7" t="s">
        <v>17</v>
      </c>
      <c r="D542" s="7"/>
      <c r="E542" s="7" t="s">
        <v>1679</v>
      </c>
      <c r="F542" s="7" t="s">
        <v>19</v>
      </c>
      <c r="G542" s="7" t="s">
        <v>31</v>
      </c>
      <c r="H542" s="7" t="s">
        <v>17</v>
      </c>
      <c r="I542" s="7" t="s">
        <v>17</v>
      </c>
      <c r="J542" s="7" t="s">
        <v>1680</v>
      </c>
    </row>
    <row r="543" spans="1:10" x14ac:dyDescent="0.25" outlineLevel="2" collapsed="1">
      <c r="A543" s="7" t="s">
        <v>15</v>
      </c>
      <c r="B543" s="7" t="s">
        <v>284</v>
      </c>
      <c r="C543" s="11" t="s">
        <v>2621</v>
      </c>
      <c r="D543" s="7"/>
      <c r="E543" s="7" t="s">
        <v>1612</v>
      </c>
      <c r="F543" s="7" t="s">
        <v>19</v>
      </c>
      <c r="G543" s="7" t="s">
        <v>1613</v>
      </c>
      <c r="H543" s="7" t="s">
        <v>17</v>
      </c>
      <c r="I543" s="7" t="s">
        <v>17</v>
      </c>
      <c r="J543" s="7" t="s">
        <v>1614</v>
      </c>
    </row>
    <row r="544" spans="1:10" x14ac:dyDescent="0.25" outlineLevel="2" collapsed="1">
      <c r="A544" s="7" t="s">
        <v>19</v>
      </c>
      <c r="B544" s="7" t="s">
        <v>16</v>
      </c>
      <c r="C544" s="7" t="s">
        <v>17</v>
      </c>
      <c r="D544" s="7"/>
      <c r="E544" s="7" t="s">
        <v>1681</v>
      </c>
      <c r="F544" s="7" t="s">
        <v>19</v>
      </c>
      <c r="G544" s="7" t="s">
        <v>31</v>
      </c>
      <c r="H544" s="7" t="s">
        <v>17</v>
      </c>
      <c r="I544" s="7" t="s">
        <v>17</v>
      </c>
      <c r="J544" s="7" t="s">
        <v>1682</v>
      </c>
    </row>
    <row r="545" spans="1:10" x14ac:dyDescent="0.25" outlineLevel="2" collapsed="1">
      <c r="A545" s="7" t="s">
        <v>19</v>
      </c>
      <c r="B545" s="7" t="s">
        <v>16</v>
      </c>
      <c r="C545" s="7" t="s">
        <v>17</v>
      </c>
      <c r="D545" s="7"/>
      <c r="E545" s="7" t="s">
        <v>1615</v>
      </c>
      <c r="F545" s="7" t="s">
        <v>19</v>
      </c>
      <c r="G545" s="7" t="s">
        <v>31</v>
      </c>
      <c r="H545" s="7" t="s">
        <v>17</v>
      </c>
      <c r="I545" s="7" t="s">
        <v>17</v>
      </c>
      <c r="J545" s="7" t="s">
        <v>1616</v>
      </c>
    </row>
    <row r="546" spans="1:10" x14ac:dyDescent="0.25" outlineLevel="1" collapsed="1">
      <c r="A546" s="8" t="s">
        <v>19</v>
      </c>
      <c r="B546" s="9" t="s">
        <v>2617</v>
      </c>
      <c r="C546" s="8" t="s">
        <v>17</v>
      </c>
      <c r="D546" s="8"/>
      <c r="E546" s="8" t="s">
        <v>1752</v>
      </c>
      <c r="F546" s="8" t="s">
        <v>19</v>
      </c>
      <c r="G546" s="8" t="s">
        <v>17</v>
      </c>
      <c r="H546" s="8" t="s">
        <v>17</v>
      </c>
      <c r="I546" s="8" t="s">
        <v>17</v>
      </c>
      <c r="J546" s="8" t="s">
        <v>1753</v>
      </c>
    </row>
    <row r="547" spans="1:10" x14ac:dyDescent="0.25" outlineLevel="2" collapsed="1">
      <c r="A547" s="7" t="s">
        <v>15</v>
      </c>
      <c r="B547" s="7" t="s">
        <v>16</v>
      </c>
      <c r="C547" s="7" t="s">
        <v>17</v>
      </c>
      <c r="D547" s="7"/>
      <c r="E547" s="7" t="s">
        <v>1670</v>
      </c>
      <c r="F547" s="7" t="s">
        <v>19</v>
      </c>
      <c r="G547" s="7" t="s">
        <v>31</v>
      </c>
      <c r="H547" s="7" t="s">
        <v>17</v>
      </c>
      <c r="I547" s="7" t="s">
        <v>17</v>
      </c>
      <c r="J547" s="7" t="s">
        <v>637</v>
      </c>
    </row>
    <row r="548" spans="1:10" x14ac:dyDescent="0.25" outlineLevel="2" collapsed="1">
      <c r="A548" s="7" t="s">
        <v>15</v>
      </c>
      <c r="B548" s="7" t="s">
        <v>16</v>
      </c>
      <c r="C548" s="7" t="s">
        <v>17</v>
      </c>
      <c r="D548" s="7"/>
      <c r="E548" s="7" t="s">
        <v>638</v>
      </c>
      <c r="F548" s="7" t="s">
        <v>19</v>
      </c>
      <c r="G548" s="7" t="s">
        <v>31</v>
      </c>
      <c r="H548" s="7" t="s">
        <v>17</v>
      </c>
      <c r="I548" s="7" t="s">
        <v>17</v>
      </c>
      <c r="J548" s="7" t="s">
        <v>640</v>
      </c>
    </row>
    <row r="549" spans="1:10" x14ac:dyDescent="0.25" outlineLevel="2" collapsed="1">
      <c r="A549" s="7" t="s">
        <v>15</v>
      </c>
      <c r="B549" s="7" t="s">
        <v>16</v>
      </c>
      <c r="C549" s="7" t="s">
        <v>17</v>
      </c>
      <c r="D549" s="7"/>
      <c r="E549" s="7" t="s">
        <v>9</v>
      </c>
      <c r="F549" s="7" t="s">
        <v>19</v>
      </c>
      <c r="G549" s="7" t="s">
        <v>31</v>
      </c>
      <c r="H549" s="7" t="s">
        <v>17</v>
      </c>
      <c r="I549" s="7" t="s">
        <v>17</v>
      </c>
      <c r="J549" s="7" t="s">
        <v>843</v>
      </c>
    </row>
    <row r="550" spans="1:10" x14ac:dyDescent="0.25" outlineLevel="2" collapsed="1">
      <c r="A550" s="7" t="s">
        <v>19</v>
      </c>
      <c r="B550" s="7" t="s">
        <v>16</v>
      </c>
      <c r="C550" s="7" t="s">
        <v>17</v>
      </c>
      <c r="D550" s="7"/>
      <c r="E550" s="7" t="s">
        <v>1600</v>
      </c>
      <c r="F550" s="7" t="s">
        <v>19</v>
      </c>
      <c r="G550" s="7" t="s">
        <v>31</v>
      </c>
      <c r="H550" s="7" t="s">
        <v>17</v>
      </c>
      <c r="I550" s="7" t="s">
        <v>17</v>
      </c>
      <c r="J550" s="7" t="s">
        <v>1424</v>
      </c>
    </row>
    <row r="551" spans="1:10" x14ac:dyDescent="0.25" outlineLevel="2" collapsed="1">
      <c r="A551" s="7" t="s">
        <v>15</v>
      </c>
      <c r="B551" s="7" t="s">
        <v>16</v>
      </c>
      <c r="C551" s="7" t="s">
        <v>17</v>
      </c>
      <c r="D551" s="7"/>
      <c r="E551" s="7" t="s">
        <v>1601</v>
      </c>
      <c r="F551" s="7" t="s">
        <v>19</v>
      </c>
      <c r="G551" s="7" t="s">
        <v>31</v>
      </c>
      <c r="H551" s="7" t="s">
        <v>17</v>
      </c>
      <c r="I551" s="7" t="s">
        <v>17</v>
      </c>
      <c r="J551" s="7" t="s">
        <v>1602</v>
      </c>
    </row>
    <row r="552" spans="1:10" x14ac:dyDescent="0.25" outlineLevel="2" collapsed="1">
      <c r="A552" s="7" t="s">
        <v>15</v>
      </c>
      <c r="B552" s="7" t="s">
        <v>16</v>
      </c>
      <c r="C552" s="7" t="s">
        <v>17</v>
      </c>
      <c r="D552" s="7"/>
      <c r="E552" s="7" t="s">
        <v>1671</v>
      </c>
      <c r="F552" s="7" t="s">
        <v>19</v>
      </c>
      <c r="G552" s="7" t="s">
        <v>31</v>
      </c>
      <c r="H552" s="7" t="s">
        <v>17</v>
      </c>
      <c r="I552" s="7" t="s">
        <v>17</v>
      </c>
      <c r="J552" s="7" t="s">
        <v>1672</v>
      </c>
    </row>
    <row r="553" spans="1:10" x14ac:dyDescent="0.25" outlineLevel="2" collapsed="1">
      <c r="A553" s="7" t="s">
        <v>15</v>
      </c>
      <c r="B553" s="7" t="s">
        <v>16</v>
      </c>
      <c r="C553" s="7" t="s">
        <v>17</v>
      </c>
      <c r="D553" s="7"/>
      <c r="E553" s="7" t="s">
        <v>1673</v>
      </c>
      <c r="F553" s="7" t="s">
        <v>19</v>
      </c>
      <c r="G553" s="7" t="s">
        <v>31</v>
      </c>
      <c r="H553" s="7" t="s">
        <v>17</v>
      </c>
      <c r="I553" s="7" t="s">
        <v>17</v>
      </c>
      <c r="J553" s="7" t="s">
        <v>1674</v>
      </c>
    </row>
    <row r="554" spans="1:10" x14ac:dyDescent="0.25" outlineLevel="2" collapsed="1">
      <c r="A554" s="7" t="s">
        <v>15</v>
      </c>
      <c r="B554" s="7" t="s">
        <v>16</v>
      </c>
      <c r="C554" s="7" t="s">
        <v>17</v>
      </c>
      <c r="D554" s="7"/>
      <c r="E554" s="7" t="s">
        <v>2618</v>
      </c>
      <c r="F554" s="7" t="s">
        <v>19</v>
      </c>
      <c r="G554" s="7" t="s">
        <v>31</v>
      </c>
      <c r="H554" s="7" t="s">
        <v>17</v>
      </c>
      <c r="I554" s="7" t="s">
        <v>17</v>
      </c>
      <c r="J554" s="7" t="s">
        <v>1422</v>
      </c>
    </row>
    <row r="555" spans="1:10" x14ac:dyDescent="0.25" outlineLevel="2" collapsed="1">
      <c r="A555" s="7" t="s">
        <v>15</v>
      </c>
      <c r="B555" s="7" t="s">
        <v>284</v>
      </c>
      <c r="C555" s="11" t="s">
        <v>2619</v>
      </c>
      <c r="D555" s="7"/>
      <c r="E555" s="7" t="s">
        <v>1605</v>
      </c>
      <c r="F555" s="7" t="s">
        <v>19</v>
      </c>
      <c r="G555" s="7" t="s">
        <v>1606</v>
      </c>
      <c r="H555" s="7" t="s">
        <v>17</v>
      </c>
      <c r="I555" s="7" t="s">
        <v>17</v>
      </c>
      <c r="J555" s="7" t="s">
        <v>1607</v>
      </c>
    </row>
    <row r="556" spans="1:10" x14ac:dyDescent="0.25" outlineLevel="2" collapsed="1">
      <c r="A556" s="7" t="s">
        <v>19</v>
      </c>
      <c r="B556" s="7" t="s">
        <v>63</v>
      </c>
      <c r="C556" s="7" t="s">
        <v>17</v>
      </c>
      <c r="D556" s="7">
        <f>EXACT(G555,"Single value")</f>
      </c>
      <c r="E556" s="7" t="s">
        <v>2620</v>
      </c>
      <c r="F556" s="7" t="s">
        <v>19</v>
      </c>
      <c r="G556" s="7">
        <v>1</v>
      </c>
      <c r="H556" s="7" t="s">
        <v>17</v>
      </c>
      <c r="I556" s="7" t="s">
        <v>17</v>
      </c>
      <c r="J556" s="7" t="s">
        <v>1609</v>
      </c>
    </row>
    <row r="557" spans="1:10" x14ac:dyDescent="0.25" outlineLevel="2" collapsed="1">
      <c r="A557" s="7" t="s">
        <v>19</v>
      </c>
      <c r="B557" s="7" t="s">
        <v>16</v>
      </c>
      <c r="C557" s="7" t="s">
        <v>17</v>
      </c>
      <c r="D557" s="7"/>
      <c r="E557" s="7" t="s">
        <v>1677</v>
      </c>
      <c r="F557" s="7" t="s">
        <v>19</v>
      </c>
      <c r="G557" s="7" t="s">
        <v>31</v>
      </c>
      <c r="H557" s="7" t="s">
        <v>17</v>
      </c>
      <c r="I557" s="7" t="s">
        <v>17</v>
      </c>
      <c r="J557" s="7" t="s">
        <v>1678</v>
      </c>
    </row>
    <row r="558" spans="1:10" x14ac:dyDescent="0.25" outlineLevel="2" collapsed="1">
      <c r="A558" s="7" t="s">
        <v>15</v>
      </c>
      <c r="B558" s="7" t="s">
        <v>16</v>
      </c>
      <c r="C558" s="7" t="s">
        <v>17</v>
      </c>
      <c r="D558" s="7"/>
      <c r="E558" s="7" t="s">
        <v>1679</v>
      </c>
      <c r="F558" s="7" t="s">
        <v>19</v>
      </c>
      <c r="G558" s="7" t="s">
        <v>31</v>
      </c>
      <c r="H558" s="7" t="s">
        <v>17</v>
      </c>
      <c r="I558" s="7" t="s">
        <v>17</v>
      </c>
      <c r="J558" s="7" t="s">
        <v>1680</v>
      </c>
    </row>
    <row r="559" spans="1:10" x14ac:dyDescent="0.25" outlineLevel="2" collapsed="1">
      <c r="A559" s="7" t="s">
        <v>15</v>
      </c>
      <c r="B559" s="7" t="s">
        <v>284</v>
      </c>
      <c r="C559" s="11" t="s">
        <v>2621</v>
      </c>
      <c r="D559" s="7"/>
      <c r="E559" s="7" t="s">
        <v>1612</v>
      </c>
      <c r="F559" s="7" t="s">
        <v>19</v>
      </c>
      <c r="G559" s="7" t="s">
        <v>1613</v>
      </c>
      <c r="H559" s="7" t="s">
        <v>17</v>
      </c>
      <c r="I559" s="7" t="s">
        <v>17</v>
      </c>
      <c r="J559" s="7" t="s">
        <v>1614</v>
      </c>
    </row>
    <row r="560" spans="1:10" x14ac:dyDescent="0.25" outlineLevel="2" collapsed="1">
      <c r="A560" s="7" t="s">
        <v>19</v>
      </c>
      <c r="B560" s="7" t="s">
        <v>16</v>
      </c>
      <c r="C560" s="7" t="s">
        <v>17</v>
      </c>
      <c r="D560" s="7"/>
      <c r="E560" s="7" t="s">
        <v>1681</v>
      </c>
      <c r="F560" s="7" t="s">
        <v>19</v>
      </c>
      <c r="G560" s="7" t="s">
        <v>31</v>
      </c>
      <c r="H560" s="7" t="s">
        <v>17</v>
      </c>
      <c r="I560" s="7" t="s">
        <v>17</v>
      </c>
      <c r="J560" s="7" t="s">
        <v>1682</v>
      </c>
    </row>
    <row r="561" spans="1:10" x14ac:dyDescent="0.25" outlineLevel="2" collapsed="1">
      <c r="A561" s="7" t="s">
        <v>19</v>
      </c>
      <c r="B561" s="7" t="s">
        <v>16</v>
      </c>
      <c r="C561" s="7" t="s">
        <v>17</v>
      </c>
      <c r="D561" s="7"/>
      <c r="E561" s="7" t="s">
        <v>1615</v>
      </c>
      <c r="F561" s="7" t="s">
        <v>19</v>
      </c>
      <c r="G561" s="7" t="s">
        <v>31</v>
      </c>
      <c r="H561" s="7" t="s">
        <v>17</v>
      </c>
      <c r="I561" s="7" t="s">
        <v>17</v>
      </c>
      <c r="J561" s="7" t="s">
        <v>1616</v>
      </c>
    </row>
    <row r="562" spans="1:10" x14ac:dyDescent="0.25" outlineLevel="1" collapsed="1">
      <c r="A562" s="8" t="s">
        <v>19</v>
      </c>
      <c r="B562" s="9" t="s">
        <v>2617</v>
      </c>
      <c r="C562" s="8" t="s">
        <v>17</v>
      </c>
      <c r="D562" s="8"/>
      <c r="E562" s="8" t="s">
        <v>1754</v>
      </c>
      <c r="F562" s="8" t="s">
        <v>19</v>
      </c>
      <c r="G562" s="8" t="s">
        <v>17</v>
      </c>
      <c r="H562" s="8" t="s">
        <v>17</v>
      </c>
      <c r="I562" s="8" t="s">
        <v>17</v>
      </c>
      <c r="J562" s="8" t="s">
        <v>1755</v>
      </c>
    </row>
    <row r="563" spans="1:10" x14ac:dyDescent="0.25" outlineLevel="2" collapsed="1">
      <c r="A563" s="7" t="s">
        <v>15</v>
      </c>
      <c r="B563" s="7" t="s">
        <v>16</v>
      </c>
      <c r="C563" s="7" t="s">
        <v>17</v>
      </c>
      <c r="D563" s="7"/>
      <c r="E563" s="7" t="s">
        <v>1670</v>
      </c>
      <c r="F563" s="7" t="s">
        <v>19</v>
      </c>
      <c r="G563" s="7" t="s">
        <v>31</v>
      </c>
      <c r="H563" s="7" t="s">
        <v>17</v>
      </c>
      <c r="I563" s="7" t="s">
        <v>17</v>
      </c>
      <c r="J563" s="7" t="s">
        <v>637</v>
      </c>
    </row>
    <row r="564" spans="1:10" x14ac:dyDescent="0.25" outlineLevel="2" collapsed="1">
      <c r="A564" s="7" t="s">
        <v>15</v>
      </c>
      <c r="B564" s="7" t="s">
        <v>16</v>
      </c>
      <c r="C564" s="7" t="s">
        <v>17</v>
      </c>
      <c r="D564" s="7"/>
      <c r="E564" s="7" t="s">
        <v>638</v>
      </c>
      <c r="F564" s="7" t="s">
        <v>19</v>
      </c>
      <c r="G564" s="7" t="s">
        <v>31</v>
      </c>
      <c r="H564" s="7" t="s">
        <v>17</v>
      </c>
      <c r="I564" s="7" t="s">
        <v>17</v>
      </c>
      <c r="J564" s="7" t="s">
        <v>640</v>
      </c>
    </row>
    <row r="565" spans="1:10" x14ac:dyDescent="0.25" outlineLevel="2" collapsed="1">
      <c r="A565" s="7" t="s">
        <v>15</v>
      </c>
      <c r="B565" s="7" t="s">
        <v>16</v>
      </c>
      <c r="C565" s="7" t="s">
        <v>17</v>
      </c>
      <c r="D565" s="7"/>
      <c r="E565" s="7" t="s">
        <v>9</v>
      </c>
      <c r="F565" s="7" t="s">
        <v>19</v>
      </c>
      <c r="G565" s="7" t="s">
        <v>31</v>
      </c>
      <c r="H565" s="7" t="s">
        <v>17</v>
      </c>
      <c r="I565" s="7" t="s">
        <v>17</v>
      </c>
      <c r="J565" s="7" t="s">
        <v>843</v>
      </c>
    </row>
    <row r="566" spans="1:10" x14ac:dyDescent="0.25" outlineLevel="2" collapsed="1">
      <c r="A566" s="7" t="s">
        <v>19</v>
      </c>
      <c r="B566" s="7" t="s">
        <v>16</v>
      </c>
      <c r="C566" s="7" t="s">
        <v>17</v>
      </c>
      <c r="D566" s="7"/>
      <c r="E566" s="7" t="s">
        <v>1600</v>
      </c>
      <c r="F566" s="7" t="s">
        <v>19</v>
      </c>
      <c r="G566" s="7" t="s">
        <v>31</v>
      </c>
      <c r="H566" s="7" t="s">
        <v>17</v>
      </c>
      <c r="I566" s="7" t="s">
        <v>17</v>
      </c>
      <c r="J566" s="7" t="s">
        <v>1424</v>
      </c>
    </row>
    <row r="567" spans="1:10" x14ac:dyDescent="0.25" outlineLevel="2" collapsed="1">
      <c r="A567" s="7" t="s">
        <v>15</v>
      </c>
      <c r="B567" s="7" t="s">
        <v>16</v>
      </c>
      <c r="C567" s="7" t="s">
        <v>17</v>
      </c>
      <c r="D567" s="7"/>
      <c r="E567" s="7" t="s">
        <v>1601</v>
      </c>
      <c r="F567" s="7" t="s">
        <v>19</v>
      </c>
      <c r="G567" s="7" t="s">
        <v>31</v>
      </c>
      <c r="H567" s="7" t="s">
        <v>17</v>
      </c>
      <c r="I567" s="7" t="s">
        <v>17</v>
      </c>
      <c r="J567" s="7" t="s">
        <v>1602</v>
      </c>
    </row>
    <row r="568" spans="1:10" x14ac:dyDescent="0.25" outlineLevel="2" collapsed="1">
      <c r="A568" s="7" t="s">
        <v>15</v>
      </c>
      <c r="B568" s="7" t="s">
        <v>16</v>
      </c>
      <c r="C568" s="7" t="s">
        <v>17</v>
      </c>
      <c r="D568" s="7"/>
      <c r="E568" s="7" t="s">
        <v>1671</v>
      </c>
      <c r="F568" s="7" t="s">
        <v>19</v>
      </c>
      <c r="G568" s="7" t="s">
        <v>31</v>
      </c>
      <c r="H568" s="7" t="s">
        <v>17</v>
      </c>
      <c r="I568" s="7" t="s">
        <v>17</v>
      </c>
      <c r="J568" s="7" t="s">
        <v>1672</v>
      </c>
    </row>
    <row r="569" spans="1:10" x14ac:dyDescent="0.25" outlineLevel="2" collapsed="1">
      <c r="A569" s="7" t="s">
        <v>15</v>
      </c>
      <c r="B569" s="7" t="s">
        <v>16</v>
      </c>
      <c r="C569" s="7" t="s">
        <v>17</v>
      </c>
      <c r="D569" s="7"/>
      <c r="E569" s="7" t="s">
        <v>1673</v>
      </c>
      <c r="F569" s="7" t="s">
        <v>19</v>
      </c>
      <c r="G569" s="7" t="s">
        <v>31</v>
      </c>
      <c r="H569" s="7" t="s">
        <v>17</v>
      </c>
      <c r="I569" s="7" t="s">
        <v>17</v>
      </c>
      <c r="J569" s="7" t="s">
        <v>1674</v>
      </c>
    </row>
    <row r="570" spans="1:10" x14ac:dyDescent="0.25" outlineLevel="2" collapsed="1">
      <c r="A570" s="7" t="s">
        <v>15</v>
      </c>
      <c r="B570" s="7" t="s">
        <v>16</v>
      </c>
      <c r="C570" s="7" t="s">
        <v>17</v>
      </c>
      <c r="D570" s="7"/>
      <c r="E570" s="7" t="s">
        <v>2618</v>
      </c>
      <c r="F570" s="7" t="s">
        <v>19</v>
      </c>
      <c r="G570" s="7" t="s">
        <v>31</v>
      </c>
      <c r="H570" s="7" t="s">
        <v>17</v>
      </c>
      <c r="I570" s="7" t="s">
        <v>17</v>
      </c>
      <c r="J570" s="7" t="s">
        <v>1422</v>
      </c>
    </row>
    <row r="571" spans="1:10" x14ac:dyDescent="0.25" outlineLevel="2" collapsed="1">
      <c r="A571" s="7" t="s">
        <v>15</v>
      </c>
      <c r="B571" s="7" t="s">
        <v>284</v>
      </c>
      <c r="C571" s="11" t="s">
        <v>2619</v>
      </c>
      <c r="D571" s="7"/>
      <c r="E571" s="7" t="s">
        <v>1605</v>
      </c>
      <c r="F571" s="7" t="s">
        <v>19</v>
      </c>
      <c r="G571" s="7" t="s">
        <v>1606</v>
      </c>
      <c r="H571" s="7" t="s">
        <v>17</v>
      </c>
      <c r="I571" s="7" t="s">
        <v>17</v>
      </c>
      <c r="J571" s="7" t="s">
        <v>1607</v>
      </c>
    </row>
    <row r="572" spans="1:10" x14ac:dyDescent="0.25" outlineLevel="2" collapsed="1">
      <c r="A572" s="7" t="s">
        <v>19</v>
      </c>
      <c r="B572" s="7" t="s">
        <v>63</v>
      </c>
      <c r="C572" s="7" t="s">
        <v>17</v>
      </c>
      <c r="D572" s="7">
        <f>EXACT(G571,"Single value")</f>
      </c>
      <c r="E572" s="7" t="s">
        <v>2620</v>
      </c>
      <c r="F572" s="7" t="s">
        <v>19</v>
      </c>
      <c r="G572" s="7">
        <v>1</v>
      </c>
      <c r="H572" s="7" t="s">
        <v>17</v>
      </c>
      <c r="I572" s="7" t="s">
        <v>17</v>
      </c>
      <c r="J572" s="7" t="s">
        <v>1609</v>
      </c>
    </row>
    <row r="573" spans="1:10" x14ac:dyDescent="0.25" outlineLevel="2" collapsed="1">
      <c r="A573" s="7" t="s">
        <v>19</v>
      </c>
      <c r="B573" s="7" t="s">
        <v>16</v>
      </c>
      <c r="C573" s="7" t="s">
        <v>17</v>
      </c>
      <c r="D573" s="7"/>
      <c r="E573" s="7" t="s">
        <v>1677</v>
      </c>
      <c r="F573" s="7" t="s">
        <v>19</v>
      </c>
      <c r="G573" s="7" t="s">
        <v>31</v>
      </c>
      <c r="H573" s="7" t="s">
        <v>17</v>
      </c>
      <c r="I573" s="7" t="s">
        <v>17</v>
      </c>
      <c r="J573" s="7" t="s">
        <v>1678</v>
      </c>
    </row>
    <row r="574" spans="1:10" x14ac:dyDescent="0.25" outlineLevel="2" collapsed="1">
      <c r="A574" s="7" t="s">
        <v>15</v>
      </c>
      <c r="B574" s="7" t="s">
        <v>16</v>
      </c>
      <c r="C574" s="7" t="s">
        <v>17</v>
      </c>
      <c r="D574" s="7"/>
      <c r="E574" s="7" t="s">
        <v>1679</v>
      </c>
      <c r="F574" s="7" t="s">
        <v>19</v>
      </c>
      <c r="G574" s="7" t="s">
        <v>31</v>
      </c>
      <c r="H574" s="7" t="s">
        <v>17</v>
      </c>
      <c r="I574" s="7" t="s">
        <v>17</v>
      </c>
      <c r="J574" s="7" t="s">
        <v>1680</v>
      </c>
    </row>
    <row r="575" spans="1:10" x14ac:dyDescent="0.25" outlineLevel="2" collapsed="1">
      <c r="A575" s="7" t="s">
        <v>15</v>
      </c>
      <c r="B575" s="7" t="s">
        <v>284</v>
      </c>
      <c r="C575" s="11" t="s">
        <v>2621</v>
      </c>
      <c r="D575" s="7"/>
      <c r="E575" s="7" t="s">
        <v>1612</v>
      </c>
      <c r="F575" s="7" t="s">
        <v>19</v>
      </c>
      <c r="G575" s="7" t="s">
        <v>1613</v>
      </c>
      <c r="H575" s="7" t="s">
        <v>17</v>
      </c>
      <c r="I575" s="7" t="s">
        <v>17</v>
      </c>
      <c r="J575" s="7" t="s">
        <v>1614</v>
      </c>
    </row>
    <row r="576" spans="1:10" x14ac:dyDescent="0.25" outlineLevel="2" collapsed="1">
      <c r="A576" s="7" t="s">
        <v>19</v>
      </c>
      <c r="B576" s="7" t="s">
        <v>16</v>
      </c>
      <c r="C576" s="7" t="s">
        <v>17</v>
      </c>
      <c r="D576" s="7"/>
      <c r="E576" s="7" t="s">
        <v>1681</v>
      </c>
      <c r="F576" s="7" t="s">
        <v>19</v>
      </c>
      <c r="G576" s="7" t="s">
        <v>31</v>
      </c>
      <c r="H576" s="7" t="s">
        <v>17</v>
      </c>
      <c r="I576" s="7" t="s">
        <v>17</v>
      </c>
      <c r="J576" s="7" t="s">
        <v>1682</v>
      </c>
    </row>
    <row r="577" spans="1:10" x14ac:dyDescent="0.25" outlineLevel="2" collapsed="1">
      <c r="A577" s="7" t="s">
        <v>19</v>
      </c>
      <c r="B577" s="7" t="s">
        <v>16</v>
      </c>
      <c r="C577" s="7" t="s">
        <v>17</v>
      </c>
      <c r="D577" s="7"/>
      <c r="E577" s="7" t="s">
        <v>1615</v>
      </c>
      <c r="F577" s="7" t="s">
        <v>19</v>
      </c>
      <c r="G577" s="7" t="s">
        <v>31</v>
      </c>
      <c r="H577" s="7" t="s">
        <v>17</v>
      </c>
      <c r="I577" s="7" t="s">
        <v>17</v>
      </c>
      <c r="J577" s="7" t="s">
        <v>1616</v>
      </c>
    </row>
    <row r="578" spans="1:10" x14ac:dyDescent="0.25" outlineLevel="1" collapsed="1">
      <c r="A578" s="8" t="s">
        <v>19</v>
      </c>
      <c r="B578" s="9" t="s">
        <v>2617</v>
      </c>
      <c r="C578" s="8" t="s">
        <v>17</v>
      </c>
      <c r="D578" s="8"/>
      <c r="E578" s="8" t="s">
        <v>1756</v>
      </c>
      <c r="F578" s="8" t="s">
        <v>19</v>
      </c>
      <c r="G578" s="8" t="s">
        <v>17</v>
      </c>
      <c r="H578" s="8" t="s">
        <v>17</v>
      </c>
      <c r="I578" s="8" t="s">
        <v>17</v>
      </c>
      <c r="J578" s="8" t="s">
        <v>1757</v>
      </c>
    </row>
    <row r="579" spans="1:10" x14ac:dyDescent="0.25" outlineLevel="2" collapsed="1">
      <c r="A579" s="7" t="s">
        <v>15</v>
      </c>
      <c r="B579" s="7" t="s">
        <v>16</v>
      </c>
      <c r="C579" s="7" t="s">
        <v>17</v>
      </c>
      <c r="D579" s="7"/>
      <c r="E579" s="7" t="s">
        <v>1670</v>
      </c>
      <c r="F579" s="7" t="s">
        <v>19</v>
      </c>
      <c r="G579" s="7" t="s">
        <v>31</v>
      </c>
      <c r="H579" s="7" t="s">
        <v>17</v>
      </c>
      <c r="I579" s="7" t="s">
        <v>17</v>
      </c>
      <c r="J579" s="7" t="s">
        <v>637</v>
      </c>
    </row>
    <row r="580" spans="1:10" x14ac:dyDescent="0.25" outlineLevel="2" collapsed="1">
      <c r="A580" s="7" t="s">
        <v>15</v>
      </c>
      <c r="B580" s="7" t="s">
        <v>16</v>
      </c>
      <c r="C580" s="7" t="s">
        <v>17</v>
      </c>
      <c r="D580" s="7"/>
      <c r="E580" s="7" t="s">
        <v>638</v>
      </c>
      <c r="F580" s="7" t="s">
        <v>19</v>
      </c>
      <c r="G580" s="7" t="s">
        <v>31</v>
      </c>
      <c r="H580" s="7" t="s">
        <v>17</v>
      </c>
      <c r="I580" s="7" t="s">
        <v>17</v>
      </c>
      <c r="J580" s="7" t="s">
        <v>640</v>
      </c>
    </row>
    <row r="581" spans="1:10" x14ac:dyDescent="0.25" outlineLevel="2" collapsed="1">
      <c r="A581" s="7" t="s">
        <v>15</v>
      </c>
      <c r="B581" s="7" t="s">
        <v>16</v>
      </c>
      <c r="C581" s="7" t="s">
        <v>17</v>
      </c>
      <c r="D581" s="7"/>
      <c r="E581" s="7" t="s">
        <v>9</v>
      </c>
      <c r="F581" s="7" t="s">
        <v>19</v>
      </c>
      <c r="G581" s="7" t="s">
        <v>31</v>
      </c>
      <c r="H581" s="7" t="s">
        <v>17</v>
      </c>
      <c r="I581" s="7" t="s">
        <v>17</v>
      </c>
      <c r="J581" s="7" t="s">
        <v>843</v>
      </c>
    </row>
    <row r="582" spans="1:10" x14ac:dyDescent="0.25" outlineLevel="2" collapsed="1">
      <c r="A582" s="7" t="s">
        <v>19</v>
      </c>
      <c r="B582" s="7" t="s">
        <v>16</v>
      </c>
      <c r="C582" s="7" t="s">
        <v>17</v>
      </c>
      <c r="D582" s="7"/>
      <c r="E582" s="7" t="s">
        <v>1600</v>
      </c>
      <c r="F582" s="7" t="s">
        <v>19</v>
      </c>
      <c r="G582" s="7" t="s">
        <v>31</v>
      </c>
      <c r="H582" s="7" t="s">
        <v>17</v>
      </c>
      <c r="I582" s="7" t="s">
        <v>17</v>
      </c>
      <c r="J582" s="7" t="s">
        <v>1424</v>
      </c>
    </row>
    <row r="583" spans="1:10" x14ac:dyDescent="0.25" outlineLevel="2" collapsed="1">
      <c r="A583" s="7" t="s">
        <v>15</v>
      </c>
      <c r="B583" s="7" t="s">
        <v>16</v>
      </c>
      <c r="C583" s="7" t="s">
        <v>17</v>
      </c>
      <c r="D583" s="7"/>
      <c r="E583" s="7" t="s">
        <v>1601</v>
      </c>
      <c r="F583" s="7" t="s">
        <v>19</v>
      </c>
      <c r="G583" s="7" t="s">
        <v>31</v>
      </c>
      <c r="H583" s="7" t="s">
        <v>17</v>
      </c>
      <c r="I583" s="7" t="s">
        <v>17</v>
      </c>
      <c r="J583" s="7" t="s">
        <v>1602</v>
      </c>
    </row>
    <row r="584" spans="1:10" x14ac:dyDescent="0.25" outlineLevel="2" collapsed="1">
      <c r="A584" s="7" t="s">
        <v>15</v>
      </c>
      <c r="B584" s="7" t="s">
        <v>16</v>
      </c>
      <c r="C584" s="7" t="s">
        <v>17</v>
      </c>
      <c r="D584" s="7"/>
      <c r="E584" s="7" t="s">
        <v>1671</v>
      </c>
      <c r="F584" s="7" t="s">
        <v>19</v>
      </c>
      <c r="G584" s="7" t="s">
        <v>31</v>
      </c>
      <c r="H584" s="7" t="s">
        <v>17</v>
      </c>
      <c r="I584" s="7" t="s">
        <v>17</v>
      </c>
      <c r="J584" s="7" t="s">
        <v>1672</v>
      </c>
    </row>
    <row r="585" spans="1:10" x14ac:dyDescent="0.25" outlineLevel="2" collapsed="1">
      <c r="A585" s="7" t="s">
        <v>15</v>
      </c>
      <c r="B585" s="7" t="s">
        <v>16</v>
      </c>
      <c r="C585" s="7" t="s">
        <v>17</v>
      </c>
      <c r="D585" s="7"/>
      <c r="E585" s="7" t="s">
        <v>1673</v>
      </c>
      <c r="F585" s="7" t="s">
        <v>19</v>
      </c>
      <c r="G585" s="7" t="s">
        <v>31</v>
      </c>
      <c r="H585" s="7" t="s">
        <v>17</v>
      </c>
      <c r="I585" s="7" t="s">
        <v>17</v>
      </c>
      <c r="J585" s="7" t="s">
        <v>1674</v>
      </c>
    </row>
    <row r="586" spans="1:10" x14ac:dyDescent="0.25" outlineLevel="2" collapsed="1">
      <c r="A586" s="7" t="s">
        <v>15</v>
      </c>
      <c r="B586" s="7" t="s">
        <v>16</v>
      </c>
      <c r="C586" s="7" t="s">
        <v>17</v>
      </c>
      <c r="D586" s="7"/>
      <c r="E586" s="7" t="s">
        <v>2618</v>
      </c>
      <c r="F586" s="7" t="s">
        <v>19</v>
      </c>
      <c r="G586" s="7" t="s">
        <v>31</v>
      </c>
      <c r="H586" s="7" t="s">
        <v>17</v>
      </c>
      <c r="I586" s="7" t="s">
        <v>17</v>
      </c>
      <c r="J586" s="7" t="s">
        <v>1422</v>
      </c>
    </row>
    <row r="587" spans="1:10" x14ac:dyDescent="0.25" outlineLevel="2" collapsed="1">
      <c r="A587" s="7" t="s">
        <v>15</v>
      </c>
      <c r="B587" s="7" t="s">
        <v>284</v>
      </c>
      <c r="C587" s="11" t="s">
        <v>2619</v>
      </c>
      <c r="D587" s="7"/>
      <c r="E587" s="7" t="s">
        <v>1605</v>
      </c>
      <c r="F587" s="7" t="s">
        <v>19</v>
      </c>
      <c r="G587" s="7" t="s">
        <v>1606</v>
      </c>
      <c r="H587" s="7" t="s">
        <v>17</v>
      </c>
      <c r="I587" s="7" t="s">
        <v>17</v>
      </c>
      <c r="J587" s="7" t="s">
        <v>1607</v>
      </c>
    </row>
    <row r="588" spans="1:10" x14ac:dyDescent="0.25" outlineLevel="2" collapsed="1">
      <c r="A588" s="7" t="s">
        <v>19</v>
      </c>
      <c r="B588" s="7" t="s">
        <v>63</v>
      </c>
      <c r="C588" s="7" t="s">
        <v>17</v>
      </c>
      <c r="D588" s="7">
        <f>EXACT(G587,"Single value")</f>
      </c>
      <c r="E588" s="7" t="s">
        <v>2620</v>
      </c>
      <c r="F588" s="7" t="s">
        <v>19</v>
      </c>
      <c r="G588" s="7">
        <v>1</v>
      </c>
      <c r="H588" s="7" t="s">
        <v>17</v>
      </c>
      <c r="I588" s="7" t="s">
        <v>17</v>
      </c>
      <c r="J588" s="7" t="s">
        <v>1609</v>
      </c>
    </row>
    <row r="589" spans="1:10" x14ac:dyDescent="0.25" outlineLevel="2" collapsed="1">
      <c r="A589" s="7" t="s">
        <v>19</v>
      </c>
      <c r="B589" s="7" t="s">
        <v>16</v>
      </c>
      <c r="C589" s="7" t="s">
        <v>17</v>
      </c>
      <c r="D589" s="7"/>
      <c r="E589" s="7" t="s">
        <v>1677</v>
      </c>
      <c r="F589" s="7" t="s">
        <v>19</v>
      </c>
      <c r="G589" s="7" t="s">
        <v>31</v>
      </c>
      <c r="H589" s="7" t="s">
        <v>17</v>
      </c>
      <c r="I589" s="7" t="s">
        <v>17</v>
      </c>
      <c r="J589" s="7" t="s">
        <v>1678</v>
      </c>
    </row>
    <row r="590" spans="1:10" x14ac:dyDescent="0.25" outlineLevel="2" collapsed="1">
      <c r="A590" s="7" t="s">
        <v>15</v>
      </c>
      <c r="B590" s="7" t="s">
        <v>16</v>
      </c>
      <c r="C590" s="7" t="s">
        <v>17</v>
      </c>
      <c r="D590" s="7"/>
      <c r="E590" s="7" t="s">
        <v>1679</v>
      </c>
      <c r="F590" s="7" t="s">
        <v>19</v>
      </c>
      <c r="G590" s="7" t="s">
        <v>31</v>
      </c>
      <c r="H590" s="7" t="s">
        <v>17</v>
      </c>
      <c r="I590" s="7" t="s">
        <v>17</v>
      </c>
      <c r="J590" s="7" t="s">
        <v>1680</v>
      </c>
    </row>
    <row r="591" spans="1:10" x14ac:dyDescent="0.25" outlineLevel="2" collapsed="1">
      <c r="A591" s="7" t="s">
        <v>15</v>
      </c>
      <c r="B591" s="7" t="s">
        <v>284</v>
      </c>
      <c r="C591" s="11" t="s">
        <v>2621</v>
      </c>
      <c r="D591" s="7"/>
      <c r="E591" s="7" t="s">
        <v>1612</v>
      </c>
      <c r="F591" s="7" t="s">
        <v>19</v>
      </c>
      <c r="G591" s="7" t="s">
        <v>1613</v>
      </c>
      <c r="H591" s="7" t="s">
        <v>17</v>
      </c>
      <c r="I591" s="7" t="s">
        <v>17</v>
      </c>
      <c r="J591" s="7" t="s">
        <v>1614</v>
      </c>
    </row>
    <row r="592" spans="1:10" x14ac:dyDescent="0.25" outlineLevel="2" collapsed="1">
      <c r="A592" s="7" t="s">
        <v>19</v>
      </c>
      <c r="B592" s="7" t="s">
        <v>16</v>
      </c>
      <c r="C592" s="7" t="s">
        <v>17</v>
      </c>
      <c r="D592" s="7"/>
      <c r="E592" s="7" t="s">
        <v>1681</v>
      </c>
      <c r="F592" s="7" t="s">
        <v>19</v>
      </c>
      <c r="G592" s="7" t="s">
        <v>31</v>
      </c>
      <c r="H592" s="7" t="s">
        <v>17</v>
      </c>
      <c r="I592" s="7" t="s">
        <v>17</v>
      </c>
      <c r="J592" s="7" t="s">
        <v>1682</v>
      </c>
    </row>
    <row r="593" spans="1:10" x14ac:dyDescent="0.25" outlineLevel="2" collapsed="1">
      <c r="A593" s="7" t="s">
        <v>19</v>
      </c>
      <c r="B593" s="7" t="s">
        <v>16</v>
      </c>
      <c r="C593" s="7" t="s">
        <v>17</v>
      </c>
      <c r="D593" s="7"/>
      <c r="E593" s="7" t="s">
        <v>1615</v>
      </c>
      <c r="F593" s="7" t="s">
        <v>19</v>
      </c>
      <c r="G593" s="7" t="s">
        <v>31</v>
      </c>
      <c r="H593" s="7" t="s">
        <v>17</v>
      </c>
      <c r="I593" s="7" t="s">
        <v>17</v>
      </c>
      <c r="J593" s="7" t="s">
        <v>1616</v>
      </c>
    </row>
    <row r="594" spans="1:10" x14ac:dyDescent="0.25" outlineLevel="1" collapsed="1">
      <c r="A594" s="8" t="s">
        <v>19</v>
      </c>
      <c r="B594" s="9" t="s">
        <v>2617</v>
      </c>
      <c r="C594" s="8" t="s">
        <v>17</v>
      </c>
      <c r="D594" s="8"/>
      <c r="E594" s="8" t="s">
        <v>1758</v>
      </c>
      <c r="F594" s="8" t="s">
        <v>19</v>
      </c>
      <c r="G594" s="8" t="s">
        <v>17</v>
      </c>
      <c r="H594" s="8" t="s">
        <v>17</v>
      </c>
      <c r="I594" s="8" t="s">
        <v>17</v>
      </c>
      <c r="J594" s="8" t="s">
        <v>1759</v>
      </c>
    </row>
    <row r="595" spans="1:10" x14ac:dyDescent="0.25" outlineLevel="2" collapsed="1">
      <c r="A595" s="7" t="s">
        <v>15</v>
      </c>
      <c r="B595" s="7" t="s">
        <v>16</v>
      </c>
      <c r="C595" s="7" t="s">
        <v>17</v>
      </c>
      <c r="D595" s="7"/>
      <c r="E595" s="7" t="s">
        <v>1670</v>
      </c>
      <c r="F595" s="7" t="s">
        <v>19</v>
      </c>
      <c r="G595" s="7" t="s">
        <v>31</v>
      </c>
      <c r="H595" s="7" t="s">
        <v>17</v>
      </c>
      <c r="I595" s="7" t="s">
        <v>17</v>
      </c>
      <c r="J595" s="7" t="s">
        <v>637</v>
      </c>
    </row>
    <row r="596" spans="1:10" x14ac:dyDescent="0.25" outlineLevel="2" collapsed="1">
      <c r="A596" s="7" t="s">
        <v>15</v>
      </c>
      <c r="B596" s="7" t="s">
        <v>16</v>
      </c>
      <c r="C596" s="7" t="s">
        <v>17</v>
      </c>
      <c r="D596" s="7"/>
      <c r="E596" s="7" t="s">
        <v>638</v>
      </c>
      <c r="F596" s="7" t="s">
        <v>19</v>
      </c>
      <c r="G596" s="7" t="s">
        <v>31</v>
      </c>
      <c r="H596" s="7" t="s">
        <v>17</v>
      </c>
      <c r="I596" s="7" t="s">
        <v>17</v>
      </c>
      <c r="J596" s="7" t="s">
        <v>640</v>
      </c>
    </row>
    <row r="597" spans="1:10" x14ac:dyDescent="0.25" outlineLevel="2" collapsed="1">
      <c r="A597" s="7" t="s">
        <v>15</v>
      </c>
      <c r="B597" s="7" t="s">
        <v>16</v>
      </c>
      <c r="C597" s="7" t="s">
        <v>17</v>
      </c>
      <c r="D597" s="7"/>
      <c r="E597" s="7" t="s">
        <v>9</v>
      </c>
      <c r="F597" s="7" t="s">
        <v>19</v>
      </c>
      <c r="G597" s="7" t="s">
        <v>31</v>
      </c>
      <c r="H597" s="7" t="s">
        <v>17</v>
      </c>
      <c r="I597" s="7" t="s">
        <v>17</v>
      </c>
      <c r="J597" s="7" t="s">
        <v>843</v>
      </c>
    </row>
    <row r="598" spans="1:10" x14ac:dyDescent="0.25" outlineLevel="2" collapsed="1">
      <c r="A598" s="7" t="s">
        <v>19</v>
      </c>
      <c r="B598" s="7" t="s">
        <v>16</v>
      </c>
      <c r="C598" s="7" t="s">
        <v>17</v>
      </c>
      <c r="D598" s="7"/>
      <c r="E598" s="7" t="s">
        <v>1600</v>
      </c>
      <c r="F598" s="7" t="s">
        <v>19</v>
      </c>
      <c r="G598" s="7" t="s">
        <v>31</v>
      </c>
      <c r="H598" s="7" t="s">
        <v>17</v>
      </c>
      <c r="I598" s="7" t="s">
        <v>17</v>
      </c>
      <c r="J598" s="7" t="s">
        <v>1424</v>
      </c>
    </row>
    <row r="599" spans="1:10" x14ac:dyDescent="0.25" outlineLevel="2" collapsed="1">
      <c r="A599" s="7" t="s">
        <v>15</v>
      </c>
      <c r="B599" s="7" t="s">
        <v>16</v>
      </c>
      <c r="C599" s="7" t="s">
        <v>17</v>
      </c>
      <c r="D599" s="7"/>
      <c r="E599" s="7" t="s">
        <v>1601</v>
      </c>
      <c r="F599" s="7" t="s">
        <v>19</v>
      </c>
      <c r="G599" s="7" t="s">
        <v>31</v>
      </c>
      <c r="H599" s="7" t="s">
        <v>17</v>
      </c>
      <c r="I599" s="7" t="s">
        <v>17</v>
      </c>
      <c r="J599" s="7" t="s">
        <v>1602</v>
      </c>
    </row>
    <row r="600" spans="1:10" x14ac:dyDescent="0.25" outlineLevel="2" collapsed="1">
      <c r="A600" s="7" t="s">
        <v>15</v>
      </c>
      <c r="B600" s="7" t="s">
        <v>16</v>
      </c>
      <c r="C600" s="7" t="s">
        <v>17</v>
      </c>
      <c r="D600" s="7"/>
      <c r="E600" s="7" t="s">
        <v>1671</v>
      </c>
      <c r="F600" s="7" t="s">
        <v>19</v>
      </c>
      <c r="G600" s="7" t="s">
        <v>31</v>
      </c>
      <c r="H600" s="7" t="s">
        <v>17</v>
      </c>
      <c r="I600" s="7" t="s">
        <v>17</v>
      </c>
      <c r="J600" s="7" t="s">
        <v>1672</v>
      </c>
    </row>
    <row r="601" spans="1:10" x14ac:dyDescent="0.25" outlineLevel="2" collapsed="1">
      <c r="A601" s="7" t="s">
        <v>15</v>
      </c>
      <c r="B601" s="7" t="s">
        <v>16</v>
      </c>
      <c r="C601" s="7" t="s">
        <v>17</v>
      </c>
      <c r="D601" s="7"/>
      <c r="E601" s="7" t="s">
        <v>1673</v>
      </c>
      <c r="F601" s="7" t="s">
        <v>19</v>
      </c>
      <c r="G601" s="7" t="s">
        <v>31</v>
      </c>
      <c r="H601" s="7" t="s">
        <v>17</v>
      </c>
      <c r="I601" s="7" t="s">
        <v>17</v>
      </c>
      <c r="J601" s="7" t="s">
        <v>1674</v>
      </c>
    </row>
    <row r="602" spans="1:10" x14ac:dyDescent="0.25" outlineLevel="2" collapsed="1">
      <c r="A602" s="7" t="s">
        <v>15</v>
      </c>
      <c r="B602" s="7" t="s">
        <v>16</v>
      </c>
      <c r="C602" s="7" t="s">
        <v>17</v>
      </c>
      <c r="D602" s="7"/>
      <c r="E602" s="7" t="s">
        <v>2618</v>
      </c>
      <c r="F602" s="7" t="s">
        <v>19</v>
      </c>
      <c r="G602" s="7" t="s">
        <v>31</v>
      </c>
      <c r="H602" s="7" t="s">
        <v>17</v>
      </c>
      <c r="I602" s="7" t="s">
        <v>17</v>
      </c>
      <c r="J602" s="7" t="s">
        <v>1422</v>
      </c>
    </row>
    <row r="603" spans="1:10" x14ac:dyDescent="0.25" outlineLevel="2" collapsed="1">
      <c r="A603" s="7" t="s">
        <v>15</v>
      </c>
      <c r="B603" s="7" t="s">
        <v>284</v>
      </c>
      <c r="C603" s="11" t="s">
        <v>2619</v>
      </c>
      <c r="D603" s="7"/>
      <c r="E603" s="7" t="s">
        <v>1605</v>
      </c>
      <c r="F603" s="7" t="s">
        <v>19</v>
      </c>
      <c r="G603" s="7" t="s">
        <v>1606</v>
      </c>
      <c r="H603" s="7" t="s">
        <v>17</v>
      </c>
      <c r="I603" s="7" t="s">
        <v>17</v>
      </c>
      <c r="J603" s="7" t="s">
        <v>1607</v>
      </c>
    </row>
    <row r="604" spans="1:10" x14ac:dyDescent="0.25" outlineLevel="2" collapsed="1">
      <c r="A604" s="7" t="s">
        <v>19</v>
      </c>
      <c r="B604" s="7" t="s">
        <v>63</v>
      </c>
      <c r="C604" s="7" t="s">
        <v>17</v>
      </c>
      <c r="D604" s="7">
        <f>EXACT(G603,"Single value")</f>
      </c>
      <c r="E604" s="7" t="s">
        <v>2620</v>
      </c>
      <c r="F604" s="7" t="s">
        <v>19</v>
      </c>
      <c r="G604" s="7">
        <v>1</v>
      </c>
      <c r="H604" s="7" t="s">
        <v>17</v>
      </c>
      <c r="I604" s="7" t="s">
        <v>17</v>
      </c>
      <c r="J604" s="7" t="s">
        <v>1609</v>
      </c>
    </row>
    <row r="605" spans="1:10" x14ac:dyDescent="0.25" outlineLevel="2" collapsed="1">
      <c r="A605" s="7" t="s">
        <v>19</v>
      </c>
      <c r="B605" s="7" t="s">
        <v>16</v>
      </c>
      <c r="C605" s="7" t="s">
        <v>17</v>
      </c>
      <c r="D605" s="7"/>
      <c r="E605" s="7" t="s">
        <v>1677</v>
      </c>
      <c r="F605" s="7" t="s">
        <v>19</v>
      </c>
      <c r="G605" s="7" t="s">
        <v>31</v>
      </c>
      <c r="H605" s="7" t="s">
        <v>17</v>
      </c>
      <c r="I605" s="7" t="s">
        <v>17</v>
      </c>
      <c r="J605" s="7" t="s">
        <v>1678</v>
      </c>
    </row>
    <row r="606" spans="1:10" x14ac:dyDescent="0.25" outlineLevel="2" collapsed="1">
      <c r="A606" s="7" t="s">
        <v>15</v>
      </c>
      <c r="B606" s="7" t="s">
        <v>16</v>
      </c>
      <c r="C606" s="7" t="s">
        <v>17</v>
      </c>
      <c r="D606" s="7"/>
      <c r="E606" s="7" t="s">
        <v>1679</v>
      </c>
      <c r="F606" s="7" t="s">
        <v>19</v>
      </c>
      <c r="G606" s="7" t="s">
        <v>31</v>
      </c>
      <c r="H606" s="7" t="s">
        <v>17</v>
      </c>
      <c r="I606" s="7" t="s">
        <v>17</v>
      </c>
      <c r="J606" s="7" t="s">
        <v>1680</v>
      </c>
    </row>
    <row r="607" spans="1:10" x14ac:dyDescent="0.25" outlineLevel="2" collapsed="1">
      <c r="A607" s="7" t="s">
        <v>15</v>
      </c>
      <c r="B607" s="7" t="s">
        <v>284</v>
      </c>
      <c r="C607" s="11" t="s">
        <v>2621</v>
      </c>
      <c r="D607" s="7"/>
      <c r="E607" s="7" t="s">
        <v>1612</v>
      </c>
      <c r="F607" s="7" t="s">
        <v>19</v>
      </c>
      <c r="G607" s="7" t="s">
        <v>1613</v>
      </c>
      <c r="H607" s="7" t="s">
        <v>17</v>
      </c>
      <c r="I607" s="7" t="s">
        <v>17</v>
      </c>
      <c r="J607" s="7" t="s">
        <v>1614</v>
      </c>
    </row>
    <row r="608" spans="1:10" x14ac:dyDescent="0.25" outlineLevel="2" collapsed="1">
      <c r="A608" s="7" t="s">
        <v>19</v>
      </c>
      <c r="B608" s="7" t="s">
        <v>16</v>
      </c>
      <c r="C608" s="7" t="s">
        <v>17</v>
      </c>
      <c r="D608" s="7"/>
      <c r="E608" s="7" t="s">
        <v>1681</v>
      </c>
      <c r="F608" s="7" t="s">
        <v>19</v>
      </c>
      <c r="G608" s="7" t="s">
        <v>31</v>
      </c>
      <c r="H608" s="7" t="s">
        <v>17</v>
      </c>
      <c r="I608" s="7" t="s">
        <v>17</v>
      </c>
      <c r="J608" s="7" t="s">
        <v>1682</v>
      </c>
    </row>
    <row r="609" spans="1:10" x14ac:dyDescent="0.25" outlineLevel="2" collapsed="1">
      <c r="A609" s="7" t="s">
        <v>19</v>
      </c>
      <c r="B609" s="7" t="s">
        <v>16</v>
      </c>
      <c r="C609" s="7" t="s">
        <v>17</v>
      </c>
      <c r="D609" s="7"/>
      <c r="E609" s="7" t="s">
        <v>1615</v>
      </c>
      <c r="F609" s="7" t="s">
        <v>19</v>
      </c>
      <c r="G609" s="7" t="s">
        <v>31</v>
      </c>
      <c r="H609" s="7" t="s">
        <v>17</v>
      </c>
      <c r="I609" s="7" t="s">
        <v>17</v>
      </c>
      <c r="J609" s="7" t="s">
        <v>1616</v>
      </c>
    </row>
    <row r="610" spans="1:10" x14ac:dyDescent="0.25" outlineLevel="1" collapsed="1">
      <c r="A610" s="8" t="s">
        <v>19</v>
      </c>
      <c r="B610" s="9" t="s">
        <v>2617</v>
      </c>
      <c r="C610" s="8" t="s">
        <v>17</v>
      </c>
      <c r="D610" s="8"/>
      <c r="E610" s="8" t="s">
        <v>1760</v>
      </c>
      <c r="F610" s="8" t="s">
        <v>19</v>
      </c>
      <c r="G610" s="8" t="s">
        <v>17</v>
      </c>
      <c r="H610" s="8" t="s">
        <v>17</v>
      </c>
      <c r="I610" s="8" t="s">
        <v>17</v>
      </c>
      <c r="J610" s="8" t="s">
        <v>1761</v>
      </c>
    </row>
    <row r="611" spans="1:10" x14ac:dyDescent="0.25" outlineLevel="2" collapsed="1">
      <c r="A611" s="7" t="s">
        <v>15</v>
      </c>
      <c r="B611" s="7" t="s">
        <v>16</v>
      </c>
      <c r="C611" s="7" t="s">
        <v>17</v>
      </c>
      <c r="D611" s="7"/>
      <c r="E611" s="7" t="s">
        <v>1670</v>
      </c>
      <c r="F611" s="7" t="s">
        <v>19</v>
      </c>
      <c r="G611" s="7" t="s">
        <v>31</v>
      </c>
      <c r="H611" s="7" t="s">
        <v>17</v>
      </c>
      <c r="I611" s="7" t="s">
        <v>17</v>
      </c>
      <c r="J611" s="7" t="s">
        <v>637</v>
      </c>
    </row>
    <row r="612" spans="1:10" x14ac:dyDescent="0.25" outlineLevel="2" collapsed="1">
      <c r="A612" s="7" t="s">
        <v>15</v>
      </c>
      <c r="B612" s="7" t="s">
        <v>16</v>
      </c>
      <c r="C612" s="7" t="s">
        <v>17</v>
      </c>
      <c r="D612" s="7"/>
      <c r="E612" s="7" t="s">
        <v>638</v>
      </c>
      <c r="F612" s="7" t="s">
        <v>19</v>
      </c>
      <c r="G612" s="7" t="s">
        <v>31</v>
      </c>
      <c r="H612" s="7" t="s">
        <v>17</v>
      </c>
      <c r="I612" s="7" t="s">
        <v>17</v>
      </c>
      <c r="J612" s="7" t="s">
        <v>640</v>
      </c>
    </row>
    <row r="613" spans="1:10" x14ac:dyDescent="0.25" outlineLevel="2" collapsed="1">
      <c r="A613" s="7" t="s">
        <v>15</v>
      </c>
      <c r="B613" s="7" t="s">
        <v>16</v>
      </c>
      <c r="C613" s="7" t="s">
        <v>17</v>
      </c>
      <c r="D613" s="7"/>
      <c r="E613" s="7" t="s">
        <v>9</v>
      </c>
      <c r="F613" s="7" t="s">
        <v>19</v>
      </c>
      <c r="G613" s="7" t="s">
        <v>31</v>
      </c>
      <c r="H613" s="7" t="s">
        <v>17</v>
      </c>
      <c r="I613" s="7" t="s">
        <v>17</v>
      </c>
      <c r="J613" s="7" t="s">
        <v>843</v>
      </c>
    </row>
    <row r="614" spans="1:10" x14ac:dyDescent="0.25" outlineLevel="2" collapsed="1">
      <c r="A614" s="7" t="s">
        <v>19</v>
      </c>
      <c r="B614" s="7" t="s">
        <v>16</v>
      </c>
      <c r="C614" s="7" t="s">
        <v>17</v>
      </c>
      <c r="D614" s="7"/>
      <c r="E614" s="7" t="s">
        <v>1600</v>
      </c>
      <c r="F614" s="7" t="s">
        <v>19</v>
      </c>
      <c r="G614" s="7" t="s">
        <v>31</v>
      </c>
      <c r="H614" s="7" t="s">
        <v>17</v>
      </c>
      <c r="I614" s="7" t="s">
        <v>17</v>
      </c>
      <c r="J614" s="7" t="s">
        <v>1424</v>
      </c>
    </row>
    <row r="615" spans="1:10" x14ac:dyDescent="0.25" outlineLevel="2" collapsed="1">
      <c r="A615" s="7" t="s">
        <v>15</v>
      </c>
      <c r="B615" s="7" t="s">
        <v>16</v>
      </c>
      <c r="C615" s="7" t="s">
        <v>17</v>
      </c>
      <c r="D615" s="7"/>
      <c r="E615" s="7" t="s">
        <v>1601</v>
      </c>
      <c r="F615" s="7" t="s">
        <v>19</v>
      </c>
      <c r="G615" s="7" t="s">
        <v>31</v>
      </c>
      <c r="H615" s="7" t="s">
        <v>17</v>
      </c>
      <c r="I615" s="7" t="s">
        <v>17</v>
      </c>
      <c r="J615" s="7" t="s">
        <v>1602</v>
      </c>
    </row>
    <row r="616" spans="1:10" x14ac:dyDescent="0.25" outlineLevel="2" collapsed="1">
      <c r="A616" s="7" t="s">
        <v>15</v>
      </c>
      <c r="B616" s="7" t="s">
        <v>16</v>
      </c>
      <c r="C616" s="7" t="s">
        <v>17</v>
      </c>
      <c r="D616" s="7"/>
      <c r="E616" s="7" t="s">
        <v>1671</v>
      </c>
      <c r="F616" s="7" t="s">
        <v>19</v>
      </c>
      <c r="G616" s="7" t="s">
        <v>31</v>
      </c>
      <c r="H616" s="7" t="s">
        <v>17</v>
      </c>
      <c r="I616" s="7" t="s">
        <v>17</v>
      </c>
      <c r="J616" s="7" t="s">
        <v>1672</v>
      </c>
    </row>
    <row r="617" spans="1:10" x14ac:dyDescent="0.25" outlineLevel="2" collapsed="1">
      <c r="A617" s="7" t="s">
        <v>15</v>
      </c>
      <c r="B617" s="7" t="s">
        <v>16</v>
      </c>
      <c r="C617" s="7" t="s">
        <v>17</v>
      </c>
      <c r="D617" s="7"/>
      <c r="E617" s="7" t="s">
        <v>1673</v>
      </c>
      <c r="F617" s="7" t="s">
        <v>19</v>
      </c>
      <c r="G617" s="7" t="s">
        <v>31</v>
      </c>
      <c r="H617" s="7" t="s">
        <v>17</v>
      </c>
      <c r="I617" s="7" t="s">
        <v>17</v>
      </c>
      <c r="J617" s="7" t="s">
        <v>1674</v>
      </c>
    </row>
    <row r="618" spans="1:10" x14ac:dyDescent="0.25" outlineLevel="2" collapsed="1">
      <c r="A618" s="7" t="s">
        <v>15</v>
      </c>
      <c r="B618" s="7" t="s">
        <v>16</v>
      </c>
      <c r="C618" s="7" t="s">
        <v>17</v>
      </c>
      <c r="D618" s="7"/>
      <c r="E618" s="7" t="s">
        <v>2618</v>
      </c>
      <c r="F618" s="7" t="s">
        <v>19</v>
      </c>
      <c r="G618" s="7" t="s">
        <v>31</v>
      </c>
      <c r="H618" s="7" t="s">
        <v>17</v>
      </c>
      <c r="I618" s="7" t="s">
        <v>17</v>
      </c>
      <c r="J618" s="7" t="s">
        <v>1422</v>
      </c>
    </row>
    <row r="619" spans="1:10" x14ac:dyDescent="0.25" outlineLevel="2" collapsed="1">
      <c r="A619" s="7" t="s">
        <v>15</v>
      </c>
      <c r="B619" s="7" t="s">
        <v>284</v>
      </c>
      <c r="C619" s="11" t="s">
        <v>2619</v>
      </c>
      <c r="D619" s="7"/>
      <c r="E619" s="7" t="s">
        <v>1605</v>
      </c>
      <c r="F619" s="7" t="s">
        <v>19</v>
      </c>
      <c r="G619" s="7" t="s">
        <v>1606</v>
      </c>
      <c r="H619" s="7" t="s">
        <v>17</v>
      </c>
      <c r="I619" s="7" t="s">
        <v>17</v>
      </c>
      <c r="J619" s="7" t="s">
        <v>1607</v>
      </c>
    </row>
    <row r="620" spans="1:10" x14ac:dyDescent="0.25" outlineLevel="2" collapsed="1">
      <c r="A620" s="7" t="s">
        <v>19</v>
      </c>
      <c r="B620" s="7" t="s">
        <v>63</v>
      </c>
      <c r="C620" s="7" t="s">
        <v>17</v>
      </c>
      <c r="D620" s="7">
        <f>EXACT(G619,"Single value")</f>
      </c>
      <c r="E620" s="7" t="s">
        <v>2620</v>
      </c>
      <c r="F620" s="7" t="s">
        <v>19</v>
      </c>
      <c r="G620" s="7">
        <v>1</v>
      </c>
      <c r="H620" s="7" t="s">
        <v>17</v>
      </c>
      <c r="I620" s="7" t="s">
        <v>17</v>
      </c>
      <c r="J620" s="7" t="s">
        <v>1609</v>
      </c>
    </row>
    <row r="621" spans="1:10" x14ac:dyDescent="0.25" outlineLevel="2" collapsed="1">
      <c r="A621" s="7" t="s">
        <v>19</v>
      </c>
      <c r="B621" s="7" t="s">
        <v>16</v>
      </c>
      <c r="C621" s="7" t="s">
        <v>17</v>
      </c>
      <c r="D621" s="7"/>
      <c r="E621" s="7" t="s">
        <v>1677</v>
      </c>
      <c r="F621" s="7" t="s">
        <v>19</v>
      </c>
      <c r="G621" s="7" t="s">
        <v>31</v>
      </c>
      <c r="H621" s="7" t="s">
        <v>17</v>
      </c>
      <c r="I621" s="7" t="s">
        <v>17</v>
      </c>
      <c r="J621" s="7" t="s">
        <v>1678</v>
      </c>
    </row>
    <row r="622" spans="1:10" x14ac:dyDescent="0.25" outlineLevel="2" collapsed="1">
      <c r="A622" s="7" t="s">
        <v>15</v>
      </c>
      <c r="B622" s="7" t="s">
        <v>16</v>
      </c>
      <c r="C622" s="7" t="s">
        <v>17</v>
      </c>
      <c r="D622" s="7"/>
      <c r="E622" s="7" t="s">
        <v>1679</v>
      </c>
      <c r="F622" s="7" t="s">
        <v>19</v>
      </c>
      <c r="G622" s="7" t="s">
        <v>31</v>
      </c>
      <c r="H622" s="7" t="s">
        <v>17</v>
      </c>
      <c r="I622" s="7" t="s">
        <v>17</v>
      </c>
      <c r="J622" s="7" t="s">
        <v>1680</v>
      </c>
    </row>
    <row r="623" spans="1:10" x14ac:dyDescent="0.25" outlineLevel="2" collapsed="1">
      <c r="A623" s="7" t="s">
        <v>15</v>
      </c>
      <c r="B623" s="7" t="s">
        <v>284</v>
      </c>
      <c r="C623" s="11" t="s">
        <v>2621</v>
      </c>
      <c r="D623" s="7"/>
      <c r="E623" s="7" t="s">
        <v>1612</v>
      </c>
      <c r="F623" s="7" t="s">
        <v>19</v>
      </c>
      <c r="G623" s="7" t="s">
        <v>1613</v>
      </c>
      <c r="H623" s="7" t="s">
        <v>17</v>
      </c>
      <c r="I623" s="7" t="s">
        <v>17</v>
      </c>
      <c r="J623" s="7" t="s">
        <v>1614</v>
      </c>
    </row>
    <row r="624" spans="1:10" x14ac:dyDescent="0.25" outlineLevel="2" collapsed="1">
      <c r="A624" s="7" t="s">
        <v>19</v>
      </c>
      <c r="B624" s="7" t="s">
        <v>16</v>
      </c>
      <c r="C624" s="7" t="s">
        <v>17</v>
      </c>
      <c r="D624" s="7"/>
      <c r="E624" s="7" t="s">
        <v>1681</v>
      </c>
      <c r="F624" s="7" t="s">
        <v>19</v>
      </c>
      <c r="G624" s="7" t="s">
        <v>31</v>
      </c>
      <c r="H624" s="7" t="s">
        <v>17</v>
      </c>
      <c r="I624" s="7" t="s">
        <v>17</v>
      </c>
      <c r="J624" s="7" t="s">
        <v>1682</v>
      </c>
    </row>
    <row r="625" spans="1:10" x14ac:dyDescent="0.25" outlineLevel="2" collapsed="1">
      <c r="A625" s="7" t="s">
        <v>19</v>
      </c>
      <c r="B625" s="7" t="s">
        <v>16</v>
      </c>
      <c r="C625" s="7" t="s">
        <v>17</v>
      </c>
      <c r="D625" s="7"/>
      <c r="E625" s="7" t="s">
        <v>1615</v>
      </c>
      <c r="F625" s="7" t="s">
        <v>19</v>
      </c>
      <c r="G625" s="7" t="s">
        <v>31</v>
      </c>
      <c r="H625" s="7" t="s">
        <v>17</v>
      </c>
      <c r="I625" s="7" t="s">
        <v>17</v>
      </c>
      <c r="J625" s="7" t="s">
        <v>1616</v>
      </c>
    </row>
    <row r="626" spans="1:10" x14ac:dyDescent="0.25" outlineLevel="1" collapsed="1">
      <c r="A626" s="8" t="s">
        <v>19</v>
      </c>
      <c r="B626" s="9" t="s">
        <v>2617</v>
      </c>
      <c r="C626" s="8" t="s">
        <v>17</v>
      </c>
      <c r="D626" s="8"/>
      <c r="E626" s="8" t="s">
        <v>1762</v>
      </c>
      <c r="F626" s="8" t="s">
        <v>19</v>
      </c>
      <c r="G626" s="8" t="s">
        <v>17</v>
      </c>
      <c r="H626" s="8" t="s">
        <v>17</v>
      </c>
      <c r="I626" s="8" t="s">
        <v>17</v>
      </c>
      <c r="J626" s="8" t="s">
        <v>1763</v>
      </c>
    </row>
    <row r="627" spans="1:10" x14ac:dyDescent="0.25" outlineLevel="2" collapsed="1">
      <c r="A627" s="7" t="s">
        <v>15</v>
      </c>
      <c r="B627" s="7" t="s">
        <v>16</v>
      </c>
      <c r="C627" s="7" t="s">
        <v>17</v>
      </c>
      <c r="D627" s="7"/>
      <c r="E627" s="7" t="s">
        <v>1670</v>
      </c>
      <c r="F627" s="7" t="s">
        <v>19</v>
      </c>
      <c r="G627" s="7" t="s">
        <v>31</v>
      </c>
      <c r="H627" s="7" t="s">
        <v>17</v>
      </c>
      <c r="I627" s="7" t="s">
        <v>17</v>
      </c>
      <c r="J627" s="7" t="s">
        <v>637</v>
      </c>
    </row>
    <row r="628" spans="1:10" x14ac:dyDescent="0.25" outlineLevel="2" collapsed="1">
      <c r="A628" s="7" t="s">
        <v>15</v>
      </c>
      <c r="B628" s="7" t="s">
        <v>16</v>
      </c>
      <c r="C628" s="7" t="s">
        <v>17</v>
      </c>
      <c r="D628" s="7"/>
      <c r="E628" s="7" t="s">
        <v>638</v>
      </c>
      <c r="F628" s="7" t="s">
        <v>19</v>
      </c>
      <c r="G628" s="7" t="s">
        <v>31</v>
      </c>
      <c r="H628" s="7" t="s">
        <v>17</v>
      </c>
      <c r="I628" s="7" t="s">
        <v>17</v>
      </c>
      <c r="J628" s="7" t="s">
        <v>640</v>
      </c>
    </row>
    <row r="629" spans="1:10" x14ac:dyDescent="0.25" outlineLevel="2" collapsed="1">
      <c r="A629" s="7" t="s">
        <v>15</v>
      </c>
      <c r="B629" s="7" t="s">
        <v>16</v>
      </c>
      <c r="C629" s="7" t="s">
        <v>17</v>
      </c>
      <c r="D629" s="7"/>
      <c r="E629" s="7" t="s">
        <v>9</v>
      </c>
      <c r="F629" s="7" t="s">
        <v>19</v>
      </c>
      <c r="G629" s="7" t="s">
        <v>31</v>
      </c>
      <c r="H629" s="7" t="s">
        <v>17</v>
      </c>
      <c r="I629" s="7" t="s">
        <v>17</v>
      </c>
      <c r="J629" s="7" t="s">
        <v>843</v>
      </c>
    </row>
    <row r="630" spans="1:10" x14ac:dyDescent="0.25" outlineLevel="2" collapsed="1">
      <c r="A630" s="7" t="s">
        <v>19</v>
      </c>
      <c r="B630" s="7" t="s">
        <v>16</v>
      </c>
      <c r="C630" s="7" t="s">
        <v>17</v>
      </c>
      <c r="D630" s="7"/>
      <c r="E630" s="7" t="s">
        <v>1600</v>
      </c>
      <c r="F630" s="7" t="s">
        <v>19</v>
      </c>
      <c r="G630" s="7" t="s">
        <v>31</v>
      </c>
      <c r="H630" s="7" t="s">
        <v>17</v>
      </c>
      <c r="I630" s="7" t="s">
        <v>17</v>
      </c>
      <c r="J630" s="7" t="s">
        <v>1424</v>
      </c>
    </row>
    <row r="631" spans="1:10" x14ac:dyDescent="0.25" outlineLevel="2" collapsed="1">
      <c r="A631" s="7" t="s">
        <v>15</v>
      </c>
      <c r="B631" s="7" t="s">
        <v>16</v>
      </c>
      <c r="C631" s="7" t="s">
        <v>17</v>
      </c>
      <c r="D631" s="7"/>
      <c r="E631" s="7" t="s">
        <v>1601</v>
      </c>
      <c r="F631" s="7" t="s">
        <v>19</v>
      </c>
      <c r="G631" s="7" t="s">
        <v>31</v>
      </c>
      <c r="H631" s="7" t="s">
        <v>17</v>
      </c>
      <c r="I631" s="7" t="s">
        <v>17</v>
      </c>
      <c r="J631" s="7" t="s">
        <v>1602</v>
      </c>
    </row>
    <row r="632" spans="1:10" x14ac:dyDescent="0.25" outlineLevel="2" collapsed="1">
      <c r="A632" s="7" t="s">
        <v>15</v>
      </c>
      <c r="B632" s="7" t="s">
        <v>16</v>
      </c>
      <c r="C632" s="7" t="s">
        <v>17</v>
      </c>
      <c r="D632" s="7"/>
      <c r="E632" s="7" t="s">
        <v>1671</v>
      </c>
      <c r="F632" s="7" t="s">
        <v>19</v>
      </c>
      <c r="G632" s="7" t="s">
        <v>31</v>
      </c>
      <c r="H632" s="7" t="s">
        <v>17</v>
      </c>
      <c r="I632" s="7" t="s">
        <v>17</v>
      </c>
      <c r="J632" s="7" t="s">
        <v>1672</v>
      </c>
    </row>
    <row r="633" spans="1:10" x14ac:dyDescent="0.25" outlineLevel="2" collapsed="1">
      <c r="A633" s="7" t="s">
        <v>15</v>
      </c>
      <c r="B633" s="7" t="s">
        <v>16</v>
      </c>
      <c r="C633" s="7" t="s">
        <v>17</v>
      </c>
      <c r="D633" s="7"/>
      <c r="E633" s="7" t="s">
        <v>1673</v>
      </c>
      <c r="F633" s="7" t="s">
        <v>19</v>
      </c>
      <c r="G633" s="7" t="s">
        <v>31</v>
      </c>
      <c r="H633" s="7" t="s">
        <v>17</v>
      </c>
      <c r="I633" s="7" t="s">
        <v>17</v>
      </c>
      <c r="J633" s="7" t="s">
        <v>1674</v>
      </c>
    </row>
    <row r="634" spans="1:10" x14ac:dyDescent="0.25" outlineLevel="2" collapsed="1">
      <c r="A634" s="7" t="s">
        <v>15</v>
      </c>
      <c r="B634" s="7" t="s">
        <v>16</v>
      </c>
      <c r="C634" s="7" t="s">
        <v>17</v>
      </c>
      <c r="D634" s="7"/>
      <c r="E634" s="7" t="s">
        <v>2618</v>
      </c>
      <c r="F634" s="7" t="s">
        <v>19</v>
      </c>
      <c r="G634" s="7" t="s">
        <v>31</v>
      </c>
      <c r="H634" s="7" t="s">
        <v>17</v>
      </c>
      <c r="I634" s="7" t="s">
        <v>17</v>
      </c>
      <c r="J634" s="7" t="s">
        <v>1422</v>
      </c>
    </row>
    <row r="635" spans="1:10" x14ac:dyDescent="0.25" outlineLevel="2" collapsed="1">
      <c r="A635" s="7" t="s">
        <v>15</v>
      </c>
      <c r="B635" s="7" t="s">
        <v>284</v>
      </c>
      <c r="C635" s="11" t="s">
        <v>2619</v>
      </c>
      <c r="D635" s="7"/>
      <c r="E635" s="7" t="s">
        <v>1605</v>
      </c>
      <c r="F635" s="7" t="s">
        <v>19</v>
      </c>
      <c r="G635" s="7" t="s">
        <v>1606</v>
      </c>
      <c r="H635" s="7" t="s">
        <v>17</v>
      </c>
      <c r="I635" s="7" t="s">
        <v>17</v>
      </c>
      <c r="J635" s="7" t="s">
        <v>1607</v>
      </c>
    </row>
    <row r="636" spans="1:10" x14ac:dyDescent="0.25" outlineLevel="2" collapsed="1">
      <c r="A636" s="7" t="s">
        <v>19</v>
      </c>
      <c r="B636" s="7" t="s">
        <v>63</v>
      </c>
      <c r="C636" s="7" t="s">
        <v>17</v>
      </c>
      <c r="D636" s="7">
        <f>EXACT(G635,"Single value")</f>
      </c>
      <c r="E636" s="7" t="s">
        <v>2620</v>
      </c>
      <c r="F636" s="7" t="s">
        <v>19</v>
      </c>
      <c r="G636" s="7">
        <v>1</v>
      </c>
      <c r="H636" s="7" t="s">
        <v>17</v>
      </c>
      <c r="I636" s="7" t="s">
        <v>17</v>
      </c>
      <c r="J636" s="7" t="s">
        <v>1609</v>
      </c>
    </row>
    <row r="637" spans="1:10" x14ac:dyDescent="0.25" outlineLevel="2" collapsed="1">
      <c r="A637" s="7" t="s">
        <v>19</v>
      </c>
      <c r="B637" s="7" t="s">
        <v>16</v>
      </c>
      <c r="C637" s="7" t="s">
        <v>17</v>
      </c>
      <c r="D637" s="7"/>
      <c r="E637" s="7" t="s">
        <v>1677</v>
      </c>
      <c r="F637" s="7" t="s">
        <v>19</v>
      </c>
      <c r="G637" s="7" t="s">
        <v>31</v>
      </c>
      <c r="H637" s="7" t="s">
        <v>17</v>
      </c>
      <c r="I637" s="7" t="s">
        <v>17</v>
      </c>
      <c r="J637" s="7" t="s">
        <v>1678</v>
      </c>
    </row>
    <row r="638" spans="1:10" x14ac:dyDescent="0.25" outlineLevel="2" collapsed="1">
      <c r="A638" s="7" t="s">
        <v>15</v>
      </c>
      <c r="B638" s="7" t="s">
        <v>16</v>
      </c>
      <c r="C638" s="7" t="s">
        <v>17</v>
      </c>
      <c r="D638" s="7"/>
      <c r="E638" s="7" t="s">
        <v>1679</v>
      </c>
      <c r="F638" s="7" t="s">
        <v>19</v>
      </c>
      <c r="G638" s="7" t="s">
        <v>31</v>
      </c>
      <c r="H638" s="7" t="s">
        <v>17</v>
      </c>
      <c r="I638" s="7" t="s">
        <v>17</v>
      </c>
      <c r="J638" s="7" t="s">
        <v>1680</v>
      </c>
    </row>
    <row r="639" spans="1:10" x14ac:dyDescent="0.25" outlineLevel="2" collapsed="1">
      <c r="A639" s="7" t="s">
        <v>15</v>
      </c>
      <c r="B639" s="7" t="s">
        <v>284</v>
      </c>
      <c r="C639" s="11" t="s">
        <v>2621</v>
      </c>
      <c r="D639" s="7"/>
      <c r="E639" s="7" t="s">
        <v>1612</v>
      </c>
      <c r="F639" s="7" t="s">
        <v>19</v>
      </c>
      <c r="G639" s="7" t="s">
        <v>1613</v>
      </c>
      <c r="H639" s="7" t="s">
        <v>17</v>
      </c>
      <c r="I639" s="7" t="s">
        <v>17</v>
      </c>
      <c r="J639" s="7" t="s">
        <v>1614</v>
      </c>
    </row>
    <row r="640" spans="1:10" x14ac:dyDescent="0.25" outlineLevel="2" collapsed="1">
      <c r="A640" s="7" t="s">
        <v>19</v>
      </c>
      <c r="B640" s="7" t="s">
        <v>16</v>
      </c>
      <c r="C640" s="7" t="s">
        <v>17</v>
      </c>
      <c r="D640" s="7"/>
      <c r="E640" s="7" t="s">
        <v>1681</v>
      </c>
      <c r="F640" s="7" t="s">
        <v>19</v>
      </c>
      <c r="G640" s="7" t="s">
        <v>31</v>
      </c>
      <c r="H640" s="7" t="s">
        <v>17</v>
      </c>
      <c r="I640" s="7" t="s">
        <v>17</v>
      </c>
      <c r="J640" s="7" t="s">
        <v>1682</v>
      </c>
    </row>
    <row r="641" spans="1:10" x14ac:dyDescent="0.25" outlineLevel="2" collapsed="1">
      <c r="A641" s="7" t="s">
        <v>19</v>
      </c>
      <c r="B641" s="7" t="s">
        <v>16</v>
      </c>
      <c r="C641" s="7" t="s">
        <v>17</v>
      </c>
      <c r="D641" s="7"/>
      <c r="E641" s="7" t="s">
        <v>1615</v>
      </c>
      <c r="F641" s="7" t="s">
        <v>19</v>
      </c>
      <c r="G641" s="7" t="s">
        <v>31</v>
      </c>
      <c r="H641" s="7" t="s">
        <v>17</v>
      </c>
      <c r="I641" s="7" t="s">
        <v>17</v>
      </c>
      <c r="J641" s="7" t="s">
        <v>1616</v>
      </c>
    </row>
    <row r="642" spans="1:10" x14ac:dyDescent="0.25" outlineLevel="1" collapsed="1">
      <c r="A642" s="8" t="s">
        <v>19</v>
      </c>
      <c r="B642" s="9" t="s">
        <v>2617</v>
      </c>
      <c r="C642" s="8" t="s">
        <v>17</v>
      </c>
      <c r="D642" s="8"/>
      <c r="E642" s="8" t="s">
        <v>1764</v>
      </c>
      <c r="F642" s="8" t="s">
        <v>19</v>
      </c>
      <c r="G642" s="8" t="s">
        <v>17</v>
      </c>
      <c r="H642" s="8" t="s">
        <v>17</v>
      </c>
      <c r="I642" s="8" t="s">
        <v>17</v>
      </c>
      <c r="J642" s="8" t="s">
        <v>1765</v>
      </c>
    </row>
    <row r="643" spans="1:10" x14ac:dyDescent="0.25" outlineLevel="2" collapsed="1">
      <c r="A643" s="7" t="s">
        <v>15</v>
      </c>
      <c r="B643" s="7" t="s">
        <v>16</v>
      </c>
      <c r="C643" s="7" t="s">
        <v>17</v>
      </c>
      <c r="D643" s="7"/>
      <c r="E643" s="7" t="s">
        <v>1670</v>
      </c>
      <c r="F643" s="7" t="s">
        <v>19</v>
      </c>
      <c r="G643" s="7" t="s">
        <v>31</v>
      </c>
      <c r="H643" s="7" t="s">
        <v>17</v>
      </c>
      <c r="I643" s="7" t="s">
        <v>17</v>
      </c>
      <c r="J643" s="7" t="s">
        <v>637</v>
      </c>
    </row>
    <row r="644" spans="1:10" x14ac:dyDescent="0.25" outlineLevel="2" collapsed="1">
      <c r="A644" s="7" t="s">
        <v>15</v>
      </c>
      <c r="B644" s="7" t="s">
        <v>16</v>
      </c>
      <c r="C644" s="7" t="s">
        <v>17</v>
      </c>
      <c r="D644" s="7"/>
      <c r="E644" s="7" t="s">
        <v>638</v>
      </c>
      <c r="F644" s="7" t="s">
        <v>19</v>
      </c>
      <c r="G644" s="7" t="s">
        <v>31</v>
      </c>
      <c r="H644" s="7" t="s">
        <v>17</v>
      </c>
      <c r="I644" s="7" t="s">
        <v>17</v>
      </c>
      <c r="J644" s="7" t="s">
        <v>640</v>
      </c>
    </row>
    <row r="645" spans="1:10" x14ac:dyDescent="0.25" outlineLevel="2" collapsed="1">
      <c r="A645" s="7" t="s">
        <v>15</v>
      </c>
      <c r="B645" s="7" t="s">
        <v>16</v>
      </c>
      <c r="C645" s="7" t="s">
        <v>17</v>
      </c>
      <c r="D645" s="7"/>
      <c r="E645" s="7" t="s">
        <v>9</v>
      </c>
      <c r="F645" s="7" t="s">
        <v>19</v>
      </c>
      <c r="G645" s="7" t="s">
        <v>31</v>
      </c>
      <c r="H645" s="7" t="s">
        <v>17</v>
      </c>
      <c r="I645" s="7" t="s">
        <v>17</v>
      </c>
      <c r="J645" s="7" t="s">
        <v>843</v>
      </c>
    </row>
    <row r="646" spans="1:10" x14ac:dyDescent="0.25" outlineLevel="2" collapsed="1">
      <c r="A646" s="7" t="s">
        <v>19</v>
      </c>
      <c r="B646" s="7" t="s">
        <v>16</v>
      </c>
      <c r="C646" s="7" t="s">
        <v>17</v>
      </c>
      <c r="D646" s="7"/>
      <c r="E646" s="7" t="s">
        <v>1600</v>
      </c>
      <c r="F646" s="7" t="s">
        <v>19</v>
      </c>
      <c r="G646" s="7" t="s">
        <v>31</v>
      </c>
      <c r="H646" s="7" t="s">
        <v>17</v>
      </c>
      <c r="I646" s="7" t="s">
        <v>17</v>
      </c>
      <c r="J646" s="7" t="s">
        <v>1424</v>
      </c>
    </row>
    <row r="647" spans="1:10" x14ac:dyDescent="0.25" outlineLevel="2" collapsed="1">
      <c r="A647" s="7" t="s">
        <v>15</v>
      </c>
      <c r="B647" s="7" t="s">
        <v>16</v>
      </c>
      <c r="C647" s="7" t="s">
        <v>17</v>
      </c>
      <c r="D647" s="7"/>
      <c r="E647" s="7" t="s">
        <v>1601</v>
      </c>
      <c r="F647" s="7" t="s">
        <v>19</v>
      </c>
      <c r="G647" s="7" t="s">
        <v>31</v>
      </c>
      <c r="H647" s="7" t="s">
        <v>17</v>
      </c>
      <c r="I647" s="7" t="s">
        <v>17</v>
      </c>
      <c r="J647" s="7" t="s">
        <v>1602</v>
      </c>
    </row>
    <row r="648" spans="1:10" x14ac:dyDescent="0.25" outlineLevel="2" collapsed="1">
      <c r="A648" s="7" t="s">
        <v>15</v>
      </c>
      <c r="B648" s="7" t="s">
        <v>16</v>
      </c>
      <c r="C648" s="7" t="s">
        <v>17</v>
      </c>
      <c r="D648" s="7"/>
      <c r="E648" s="7" t="s">
        <v>1671</v>
      </c>
      <c r="F648" s="7" t="s">
        <v>19</v>
      </c>
      <c r="G648" s="7" t="s">
        <v>31</v>
      </c>
      <c r="H648" s="7" t="s">
        <v>17</v>
      </c>
      <c r="I648" s="7" t="s">
        <v>17</v>
      </c>
      <c r="J648" s="7" t="s">
        <v>1672</v>
      </c>
    </row>
    <row r="649" spans="1:10" x14ac:dyDescent="0.25" outlineLevel="2" collapsed="1">
      <c r="A649" s="7" t="s">
        <v>15</v>
      </c>
      <c r="B649" s="7" t="s">
        <v>16</v>
      </c>
      <c r="C649" s="7" t="s">
        <v>17</v>
      </c>
      <c r="D649" s="7"/>
      <c r="E649" s="7" t="s">
        <v>1673</v>
      </c>
      <c r="F649" s="7" t="s">
        <v>19</v>
      </c>
      <c r="G649" s="7" t="s">
        <v>31</v>
      </c>
      <c r="H649" s="7" t="s">
        <v>17</v>
      </c>
      <c r="I649" s="7" t="s">
        <v>17</v>
      </c>
      <c r="J649" s="7" t="s">
        <v>1674</v>
      </c>
    </row>
    <row r="650" spans="1:10" x14ac:dyDescent="0.25" outlineLevel="2" collapsed="1">
      <c r="A650" s="7" t="s">
        <v>15</v>
      </c>
      <c r="B650" s="7" t="s">
        <v>16</v>
      </c>
      <c r="C650" s="7" t="s">
        <v>17</v>
      </c>
      <c r="D650" s="7"/>
      <c r="E650" s="7" t="s">
        <v>2618</v>
      </c>
      <c r="F650" s="7" t="s">
        <v>19</v>
      </c>
      <c r="G650" s="7" t="s">
        <v>31</v>
      </c>
      <c r="H650" s="7" t="s">
        <v>17</v>
      </c>
      <c r="I650" s="7" t="s">
        <v>17</v>
      </c>
      <c r="J650" s="7" t="s">
        <v>1422</v>
      </c>
    </row>
    <row r="651" spans="1:10" x14ac:dyDescent="0.25" outlineLevel="2" collapsed="1">
      <c r="A651" s="7" t="s">
        <v>15</v>
      </c>
      <c r="B651" s="7" t="s">
        <v>284</v>
      </c>
      <c r="C651" s="11" t="s">
        <v>2619</v>
      </c>
      <c r="D651" s="7"/>
      <c r="E651" s="7" t="s">
        <v>1605</v>
      </c>
      <c r="F651" s="7" t="s">
        <v>19</v>
      </c>
      <c r="G651" s="7" t="s">
        <v>1606</v>
      </c>
      <c r="H651" s="7" t="s">
        <v>17</v>
      </c>
      <c r="I651" s="7" t="s">
        <v>17</v>
      </c>
      <c r="J651" s="7" t="s">
        <v>1607</v>
      </c>
    </row>
    <row r="652" spans="1:10" x14ac:dyDescent="0.25" outlineLevel="2" collapsed="1">
      <c r="A652" s="7" t="s">
        <v>19</v>
      </c>
      <c r="B652" s="7" t="s">
        <v>63</v>
      </c>
      <c r="C652" s="7" t="s">
        <v>17</v>
      </c>
      <c r="D652" s="7">
        <f>EXACT(G651,"Single value")</f>
      </c>
      <c r="E652" s="7" t="s">
        <v>2620</v>
      </c>
      <c r="F652" s="7" t="s">
        <v>19</v>
      </c>
      <c r="G652" s="7">
        <v>1</v>
      </c>
      <c r="H652" s="7" t="s">
        <v>17</v>
      </c>
      <c r="I652" s="7" t="s">
        <v>17</v>
      </c>
      <c r="J652" s="7" t="s">
        <v>1609</v>
      </c>
    </row>
    <row r="653" spans="1:10" x14ac:dyDescent="0.25" outlineLevel="2" collapsed="1">
      <c r="A653" s="7" t="s">
        <v>19</v>
      </c>
      <c r="B653" s="7" t="s">
        <v>16</v>
      </c>
      <c r="C653" s="7" t="s">
        <v>17</v>
      </c>
      <c r="D653" s="7"/>
      <c r="E653" s="7" t="s">
        <v>1677</v>
      </c>
      <c r="F653" s="7" t="s">
        <v>19</v>
      </c>
      <c r="G653" s="7" t="s">
        <v>31</v>
      </c>
      <c r="H653" s="7" t="s">
        <v>17</v>
      </c>
      <c r="I653" s="7" t="s">
        <v>17</v>
      </c>
      <c r="J653" s="7" t="s">
        <v>1678</v>
      </c>
    </row>
    <row r="654" spans="1:10" x14ac:dyDescent="0.25" outlineLevel="2" collapsed="1">
      <c r="A654" s="7" t="s">
        <v>15</v>
      </c>
      <c r="B654" s="7" t="s">
        <v>16</v>
      </c>
      <c r="C654" s="7" t="s">
        <v>17</v>
      </c>
      <c r="D654" s="7"/>
      <c r="E654" s="7" t="s">
        <v>1679</v>
      </c>
      <c r="F654" s="7" t="s">
        <v>19</v>
      </c>
      <c r="G654" s="7" t="s">
        <v>31</v>
      </c>
      <c r="H654" s="7" t="s">
        <v>17</v>
      </c>
      <c r="I654" s="7" t="s">
        <v>17</v>
      </c>
      <c r="J654" s="7" t="s">
        <v>1680</v>
      </c>
    </row>
    <row r="655" spans="1:10" x14ac:dyDescent="0.25" outlineLevel="2" collapsed="1">
      <c r="A655" s="7" t="s">
        <v>15</v>
      </c>
      <c r="B655" s="7" t="s">
        <v>284</v>
      </c>
      <c r="C655" s="11" t="s">
        <v>2621</v>
      </c>
      <c r="D655" s="7"/>
      <c r="E655" s="7" t="s">
        <v>1612</v>
      </c>
      <c r="F655" s="7" t="s">
        <v>19</v>
      </c>
      <c r="G655" s="7" t="s">
        <v>1613</v>
      </c>
      <c r="H655" s="7" t="s">
        <v>17</v>
      </c>
      <c r="I655" s="7" t="s">
        <v>17</v>
      </c>
      <c r="J655" s="7" t="s">
        <v>1614</v>
      </c>
    </row>
    <row r="656" spans="1:10" x14ac:dyDescent="0.25" outlineLevel="2" collapsed="1">
      <c r="A656" s="7" t="s">
        <v>19</v>
      </c>
      <c r="B656" s="7" t="s">
        <v>16</v>
      </c>
      <c r="C656" s="7" t="s">
        <v>17</v>
      </c>
      <c r="D656" s="7"/>
      <c r="E656" s="7" t="s">
        <v>1681</v>
      </c>
      <c r="F656" s="7" t="s">
        <v>19</v>
      </c>
      <c r="G656" s="7" t="s">
        <v>31</v>
      </c>
      <c r="H656" s="7" t="s">
        <v>17</v>
      </c>
      <c r="I656" s="7" t="s">
        <v>17</v>
      </c>
      <c r="J656" s="7" t="s">
        <v>1682</v>
      </c>
    </row>
    <row r="657" spans="1:10" x14ac:dyDescent="0.25" outlineLevel="2" collapsed="1">
      <c r="A657" s="7" t="s">
        <v>19</v>
      </c>
      <c r="B657" s="7" t="s">
        <v>16</v>
      </c>
      <c r="C657" s="7" t="s">
        <v>17</v>
      </c>
      <c r="D657" s="7"/>
      <c r="E657" s="7" t="s">
        <v>1615</v>
      </c>
      <c r="F657" s="7" t="s">
        <v>19</v>
      </c>
      <c r="G657" s="7" t="s">
        <v>31</v>
      </c>
      <c r="H657" s="7" t="s">
        <v>17</v>
      </c>
      <c r="I657" s="7" t="s">
        <v>17</v>
      </c>
      <c r="J657" s="7" t="s">
        <v>1616</v>
      </c>
    </row>
    <row r="658" spans="1:10" x14ac:dyDescent="0.25" outlineLevel="1" collapsed="1">
      <c r="A658" s="8" t="s">
        <v>19</v>
      </c>
      <c r="B658" s="9" t="s">
        <v>1766</v>
      </c>
      <c r="C658" s="8" t="s">
        <v>17</v>
      </c>
      <c r="D658" s="8"/>
      <c r="E658" s="8" t="s">
        <v>1767</v>
      </c>
      <c r="F658" s="8" t="s">
        <v>15</v>
      </c>
      <c r="G658" s="8" t="s">
        <v>17</v>
      </c>
      <c r="H658" s="8" t="s">
        <v>17</v>
      </c>
      <c r="I658" s="8" t="s">
        <v>17</v>
      </c>
      <c r="J658" s="8" t="s">
        <v>1768</v>
      </c>
    </row>
    <row r="659" spans="1:10" x14ac:dyDescent="0.25" outlineLevel="2" collapsed="1">
      <c r="A659" s="7" t="s">
        <v>15</v>
      </c>
      <c r="B659" s="7" t="s">
        <v>16</v>
      </c>
      <c r="C659" s="7" t="s">
        <v>17</v>
      </c>
      <c r="D659" s="7"/>
      <c r="E659" s="7" t="s">
        <v>1769</v>
      </c>
      <c r="F659" s="7" t="s">
        <v>19</v>
      </c>
      <c r="G659" s="7" t="s">
        <v>31</v>
      </c>
      <c r="H659" s="7" t="s">
        <v>17</v>
      </c>
      <c r="I659" s="7" t="s">
        <v>17</v>
      </c>
      <c r="J659" s="7" t="s">
        <v>1770</v>
      </c>
    </row>
    <row r="660" spans="1:10" x14ac:dyDescent="0.25" outlineLevel="2" collapsed="1">
      <c r="A660" s="7" t="s">
        <v>15</v>
      </c>
      <c r="B660" s="7" t="s">
        <v>63</v>
      </c>
      <c r="C660" s="7" t="s">
        <v>17</v>
      </c>
      <c r="D660" s="7"/>
      <c r="E660" s="7" t="s">
        <v>1771</v>
      </c>
      <c r="F660" s="7" t="s">
        <v>19</v>
      </c>
      <c r="G660" s="7">
        <v>1</v>
      </c>
      <c r="H660" s="7" t="s">
        <v>17</v>
      </c>
      <c r="I660" s="7" t="s">
        <v>17</v>
      </c>
      <c r="J660" s="7" t="s">
        <v>1739</v>
      </c>
    </row>
    <row r="661" spans="1:10" x14ac:dyDescent="0.25" outlineLevel="2" collapsed="1">
      <c r="A661" s="7" t="s">
        <v>19</v>
      </c>
      <c r="B661" s="7" t="s">
        <v>63</v>
      </c>
      <c r="C661" s="7" t="s">
        <v>17</v>
      </c>
      <c r="D661" s="7"/>
      <c r="E661" s="7" t="s">
        <v>1772</v>
      </c>
      <c r="F661" s="7" t="s">
        <v>19</v>
      </c>
      <c r="G661" s="7">
        <v>1</v>
      </c>
      <c r="H661" s="7" t="s">
        <v>17</v>
      </c>
      <c r="I661" s="7" t="s">
        <v>17</v>
      </c>
      <c r="J661" s="7" t="s">
        <v>1656</v>
      </c>
    </row>
    <row r="662" spans="1:10" x14ac:dyDescent="0.25" outlineLevel="2" collapsed="1">
      <c r="A662" s="7" t="s">
        <v>15</v>
      </c>
      <c r="B662" s="7" t="s">
        <v>63</v>
      </c>
      <c r="C662" s="7" t="s">
        <v>17</v>
      </c>
      <c r="D662" s="7"/>
      <c r="E662" s="7" t="s">
        <v>1773</v>
      </c>
      <c r="F662" s="7" t="s">
        <v>19</v>
      </c>
      <c r="G662" s="7">
        <v>1</v>
      </c>
      <c r="H662" s="7" t="s">
        <v>17</v>
      </c>
      <c r="I662" s="7" t="s">
        <v>17</v>
      </c>
      <c r="J662" s="7" t="s">
        <v>1741</v>
      </c>
    </row>
    <row r="663" spans="1:10" x14ac:dyDescent="0.25" outlineLevel="2" collapsed="1">
      <c r="A663" s="7" t="s">
        <v>19</v>
      </c>
      <c r="B663" s="7" t="s">
        <v>63</v>
      </c>
      <c r="C663" s="7" t="s">
        <v>17</v>
      </c>
      <c r="D663" s="7"/>
      <c r="E663" s="7" t="s">
        <v>1774</v>
      </c>
      <c r="F663" s="7" t="s">
        <v>19</v>
      </c>
      <c r="G663" s="7">
        <v>1</v>
      </c>
      <c r="H663" s="7" t="s">
        <v>17</v>
      </c>
      <c r="I663" s="7" t="s">
        <v>17</v>
      </c>
      <c r="J663" s="7" t="s">
        <v>1761</v>
      </c>
    </row>
    <row r="664" spans="1:10" x14ac:dyDescent="0.25" outlineLevel="2" collapsed="1">
      <c r="A664" s="7" t="s">
        <v>19</v>
      </c>
      <c r="B664" s="7" t="s">
        <v>63</v>
      </c>
      <c r="C664" s="7" t="s">
        <v>17</v>
      </c>
      <c r="D664" s="7"/>
      <c r="E664" s="7" t="s">
        <v>1775</v>
      </c>
      <c r="F664" s="7" t="s">
        <v>19</v>
      </c>
      <c r="G664" s="7">
        <v>1</v>
      </c>
      <c r="H664" s="7" t="s">
        <v>17</v>
      </c>
      <c r="I664" s="7" t="s">
        <v>17</v>
      </c>
      <c r="J664" s="7" t="s">
        <v>1765</v>
      </c>
    </row>
    <row r="665" spans="1:10" x14ac:dyDescent="0.25" outlineLevel="2" collapsed="1">
      <c r="A665" s="7" t="s">
        <v>19</v>
      </c>
      <c r="B665" s="7" t="s">
        <v>63</v>
      </c>
      <c r="C665" s="7" t="s">
        <v>17</v>
      </c>
      <c r="D665" s="7"/>
      <c r="E665" s="7" t="s">
        <v>1776</v>
      </c>
      <c r="F665" s="7" t="s">
        <v>19</v>
      </c>
      <c r="G665" s="7">
        <v>1</v>
      </c>
      <c r="H665" s="7" t="s">
        <v>17</v>
      </c>
      <c r="I665" s="7" t="s">
        <v>17</v>
      </c>
      <c r="J665" s="7" t="s">
        <v>1763</v>
      </c>
    </row>
    <row r="666" spans="1:10" x14ac:dyDescent="0.25" outlineLevel="1" collapsed="1">
      <c r="A666" s="8" t="s">
        <v>19</v>
      </c>
      <c r="B666" s="9" t="s">
        <v>1777</v>
      </c>
      <c r="C666" s="8" t="s">
        <v>17</v>
      </c>
      <c r="D666" s="8"/>
      <c r="E666" s="8" t="s">
        <v>1778</v>
      </c>
      <c r="F666" s="8" t="s">
        <v>15</v>
      </c>
      <c r="G666" s="8" t="s">
        <v>17</v>
      </c>
      <c r="H666" s="8" t="s">
        <v>17</v>
      </c>
      <c r="I666" s="8" t="s">
        <v>17</v>
      </c>
      <c r="J666" s="8" t="s">
        <v>1779</v>
      </c>
    </row>
    <row r="667" spans="1:10" x14ac:dyDescent="0.25" outlineLevel="2" collapsed="1">
      <c r="A667" s="7" t="s">
        <v>15</v>
      </c>
      <c r="B667" s="7" t="s">
        <v>16</v>
      </c>
      <c r="C667" s="7" t="s">
        <v>17</v>
      </c>
      <c r="D667" s="7"/>
      <c r="E667" s="7" t="s">
        <v>1780</v>
      </c>
      <c r="F667" s="7" t="s">
        <v>19</v>
      </c>
      <c r="G667" s="7" t="s">
        <v>31</v>
      </c>
      <c r="H667" s="7" t="s">
        <v>17</v>
      </c>
      <c r="I667" s="7" t="s">
        <v>17</v>
      </c>
      <c r="J667" s="7" t="s">
        <v>1781</v>
      </c>
    </row>
    <row r="668" spans="1:10" x14ac:dyDescent="0.25" outlineLevel="2" collapsed="1">
      <c r="A668" s="7" t="s">
        <v>19</v>
      </c>
      <c r="B668" s="7" t="s">
        <v>63</v>
      </c>
      <c r="C668" s="7" t="s">
        <v>17</v>
      </c>
      <c r="D668" s="7"/>
      <c r="E668" s="7" t="s">
        <v>1782</v>
      </c>
      <c r="F668" s="7" t="s">
        <v>19</v>
      </c>
      <c r="G668" s="7">
        <v>1</v>
      </c>
      <c r="H668" s="7" t="s">
        <v>17</v>
      </c>
      <c r="I668" s="7" t="s">
        <v>17</v>
      </c>
      <c r="J668" s="7" t="s">
        <v>1745</v>
      </c>
    </row>
    <row r="669" spans="1:10" x14ac:dyDescent="0.25" outlineLevel="2" collapsed="1">
      <c r="A669" s="7" t="s">
        <v>19</v>
      </c>
      <c r="B669" s="7" t="s">
        <v>63</v>
      </c>
      <c r="C669" s="7" t="s">
        <v>17</v>
      </c>
      <c r="D669" s="7"/>
      <c r="E669" s="7" t="s">
        <v>1783</v>
      </c>
      <c r="F669" s="7" t="s">
        <v>19</v>
      </c>
      <c r="G669" s="7">
        <v>1</v>
      </c>
      <c r="H669" s="7" t="s">
        <v>17</v>
      </c>
      <c r="I669" s="7" t="s">
        <v>17</v>
      </c>
      <c r="J669" s="7" t="s">
        <v>1755</v>
      </c>
    </row>
    <row r="670" spans="1:10" x14ac:dyDescent="0.25" outlineLevel="2" collapsed="1">
      <c r="A670" s="7" t="s">
        <v>19</v>
      </c>
      <c r="B670" s="7" t="s">
        <v>63</v>
      </c>
      <c r="C670" s="7" t="s">
        <v>17</v>
      </c>
      <c r="D670" s="7"/>
      <c r="E670" s="7" t="s">
        <v>1784</v>
      </c>
      <c r="F670" s="7" t="s">
        <v>19</v>
      </c>
      <c r="G670" s="7">
        <v>1</v>
      </c>
      <c r="H670" s="7" t="s">
        <v>17</v>
      </c>
      <c r="I670" s="7" t="s">
        <v>17</v>
      </c>
      <c r="J670" s="7" t="s">
        <v>1759</v>
      </c>
    </row>
    <row r="671" spans="1:10" x14ac:dyDescent="0.25" outlineLevel="2" collapsed="1">
      <c r="A671" s="7" t="s">
        <v>19</v>
      </c>
      <c r="B671" s="7" t="s">
        <v>63</v>
      </c>
      <c r="C671" s="7" t="s">
        <v>17</v>
      </c>
      <c r="D671" s="7"/>
      <c r="E671" s="7" t="s">
        <v>1785</v>
      </c>
      <c r="F671" s="7" t="s">
        <v>19</v>
      </c>
      <c r="G671" s="7">
        <v>1</v>
      </c>
      <c r="H671" s="7" t="s">
        <v>17</v>
      </c>
      <c r="I671" s="7" t="s">
        <v>17</v>
      </c>
      <c r="J671" s="7" t="s">
        <v>1658</v>
      </c>
    </row>
    <row r="672" spans="1:10" x14ac:dyDescent="0.25" outlineLevel="2" collapsed="1">
      <c r="A672" s="7" t="s">
        <v>19</v>
      </c>
      <c r="B672" s="7" t="s">
        <v>63</v>
      </c>
      <c r="C672" s="7" t="s">
        <v>17</v>
      </c>
      <c r="D672" s="7"/>
      <c r="E672" s="7" t="s">
        <v>1786</v>
      </c>
      <c r="F672" s="7" t="s">
        <v>19</v>
      </c>
      <c r="G672" s="7">
        <v>1</v>
      </c>
      <c r="H672" s="7" t="s">
        <v>17</v>
      </c>
      <c r="I672" s="7" t="s">
        <v>17</v>
      </c>
      <c r="J672" s="7" t="s">
        <v>1747</v>
      </c>
    </row>
    <row r="673" spans="1:10" x14ac:dyDescent="0.25" outlineLevel="2" collapsed="1">
      <c r="A673" s="7" t="s">
        <v>15</v>
      </c>
      <c r="B673" s="7" t="s">
        <v>16</v>
      </c>
      <c r="C673" s="7" t="s">
        <v>17</v>
      </c>
      <c r="D673" s="7"/>
      <c r="E673" s="7" t="s">
        <v>1787</v>
      </c>
      <c r="F673" s="7" t="s">
        <v>19</v>
      </c>
      <c r="G673" s="7" t="s">
        <v>31</v>
      </c>
      <c r="H673" s="7" t="s">
        <v>17</v>
      </c>
      <c r="I673" s="7" t="s">
        <v>17</v>
      </c>
      <c r="J673" s="7" t="s">
        <v>1725</v>
      </c>
    </row>
    <row r="674" spans="1:10" x14ac:dyDescent="0.25" outlineLevel="2" collapsed="1">
      <c r="A674" s="7" t="s">
        <v>19</v>
      </c>
      <c r="B674" s="7" t="s">
        <v>63</v>
      </c>
      <c r="C674" s="7" t="s">
        <v>17</v>
      </c>
      <c r="D674" s="7"/>
      <c r="E674" s="7" t="s">
        <v>1788</v>
      </c>
      <c r="F674" s="7" t="s">
        <v>19</v>
      </c>
      <c r="G674" s="7">
        <v>1</v>
      </c>
      <c r="H674" s="7" t="s">
        <v>17</v>
      </c>
      <c r="I674" s="7" t="s">
        <v>17</v>
      </c>
      <c r="J674" s="7" t="s">
        <v>1749</v>
      </c>
    </row>
    <row r="675" spans="1:10" x14ac:dyDescent="0.25" outlineLevel="2" collapsed="1">
      <c r="A675" s="7" t="s">
        <v>19</v>
      </c>
      <c r="B675" s="7" t="s">
        <v>63</v>
      </c>
      <c r="C675" s="7" t="s">
        <v>17</v>
      </c>
      <c r="D675" s="7"/>
      <c r="E675" s="7" t="s">
        <v>1789</v>
      </c>
      <c r="F675" s="7" t="s">
        <v>19</v>
      </c>
      <c r="G675" s="7">
        <v>1</v>
      </c>
      <c r="H675" s="7" t="s">
        <v>17</v>
      </c>
      <c r="I675" s="7" t="s">
        <v>17</v>
      </c>
      <c r="J675" s="7" t="s">
        <v>1751</v>
      </c>
    </row>
    <row r="676" spans="1:10" x14ac:dyDescent="0.25" outlineLevel="2" collapsed="1">
      <c r="A676" s="7" t="s">
        <v>19</v>
      </c>
      <c r="B676" s="7" t="s">
        <v>63</v>
      </c>
      <c r="C676" s="7" t="s">
        <v>17</v>
      </c>
      <c r="D676" s="7"/>
      <c r="E676" s="7" t="s">
        <v>1790</v>
      </c>
      <c r="F676" s="7" t="s">
        <v>19</v>
      </c>
      <c r="G676" s="7">
        <v>1</v>
      </c>
      <c r="H676" s="7" t="s">
        <v>17</v>
      </c>
      <c r="I676" s="7" t="s">
        <v>17</v>
      </c>
      <c r="J676" s="7" t="s">
        <v>1753</v>
      </c>
    </row>
    <row r="677" spans="1:10" x14ac:dyDescent="0.25">
      <c r="A677" s="5" t="s">
        <v>15</v>
      </c>
      <c r="B677" s="6" t="s">
        <v>2626</v>
      </c>
      <c r="C677" s="5" t="s">
        <v>17</v>
      </c>
      <c r="D677" s="5"/>
      <c r="E677" s="5" t="s">
        <v>1792</v>
      </c>
      <c r="F677" s="5" t="s">
        <v>19</v>
      </c>
      <c r="G677" s="5" t="s">
        <v>17</v>
      </c>
      <c r="H677" s="5" t="s">
        <v>17</v>
      </c>
      <c r="I677" s="5" t="s">
        <v>17</v>
      </c>
      <c r="J677" s="5" t="s">
        <v>1793</v>
      </c>
    </row>
    <row r="678" spans="1:10" x14ac:dyDescent="0.25" outlineLevel="1" collapsed="1">
      <c r="A678" s="8" t="s">
        <v>15</v>
      </c>
      <c r="B678" s="9" t="s">
        <v>2617</v>
      </c>
      <c r="C678" s="8" t="s">
        <v>17</v>
      </c>
      <c r="D678" s="8"/>
      <c r="E678" s="8" t="s">
        <v>1794</v>
      </c>
      <c r="F678" s="8" t="s">
        <v>19</v>
      </c>
      <c r="G678" s="8" t="s">
        <v>17</v>
      </c>
      <c r="H678" s="8" t="s">
        <v>17</v>
      </c>
      <c r="I678" s="8" t="s">
        <v>17</v>
      </c>
      <c r="J678" s="8" t="s">
        <v>1795</v>
      </c>
    </row>
    <row r="679" spans="1:10" x14ac:dyDescent="0.25" outlineLevel="2" collapsed="1">
      <c r="A679" s="7" t="s">
        <v>15</v>
      </c>
      <c r="B679" s="7" t="s">
        <v>16</v>
      </c>
      <c r="C679" s="7" t="s">
        <v>17</v>
      </c>
      <c r="D679" s="7"/>
      <c r="E679" s="7" t="s">
        <v>1670</v>
      </c>
      <c r="F679" s="7" t="s">
        <v>19</v>
      </c>
      <c r="G679" s="7" t="s">
        <v>31</v>
      </c>
      <c r="H679" s="7" t="s">
        <v>17</v>
      </c>
      <c r="I679" s="7" t="s">
        <v>17</v>
      </c>
      <c r="J679" s="7" t="s">
        <v>637</v>
      </c>
    </row>
    <row r="680" spans="1:10" x14ac:dyDescent="0.25" outlineLevel="2" collapsed="1">
      <c r="A680" s="7" t="s">
        <v>15</v>
      </c>
      <c r="B680" s="7" t="s">
        <v>16</v>
      </c>
      <c r="C680" s="7" t="s">
        <v>17</v>
      </c>
      <c r="D680" s="7"/>
      <c r="E680" s="7" t="s">
        <v>638</v>
      </c>
      <c r="F680" s="7" t="s">
        <v>19</v>
      </c>
      <c r="G680" s="7" t="s">
        <v>31</v>
      </c>
      <c r="H680" s="7" t="s">
        <v>17</v>
      </c>
      <c r="I680" s="7" t="s">
        <v>17</v>
      </c>
      <c r="J680" s="7" t="s">
        <v>640</v>
      </c>
    </row>
    <row r="681" spans="1:10" x14ac:dyDescent="0.25" outlineLevel="2" collapsed="1">
      <c r="A681" s="7" t="s">
        <v>15</v>
      </c>
      <c r="B681" s="7" t="s">
        <v>16</v>
      </c>
      <c r="C681" s="7" t="s">
        <v>17</v>
      </c>
      <c r="D681" s="7"/>
      <c r="E681" s="7" t="s">
        <v>9</v>
      </c>
      <c r="F681" s="7" t="s">
        <v>19</v>
      </c>
      <c r="G681" s="7" t="s">
        <v>31</v>
      </c>
      <c r="H681" s="7" t="s">
        <v>17</v>
      </c>
      <c r="I681" s="7" t="s">
        <v>17</v>
      </c>
      <c r="J681" s="7" t="s">
        <v>843</v>
      </c>
    </row>
    <row r="682" spans="1:10" x14ac:dyDescent="0.25" outlineLevel="2" collapsed="1">
      <c r="A682" s="7" t="s">
        <v>19</v>
      </c>
      <c r="B682" s="7" t="s">
        <v>16</v>
      </c>
      <c r="C682" s="7" t="s">
        <v>17</v>
      </c>
      <c r="D682" s="7"/>
      <c r="E682" s="7" t="s">
        <v>1600</v>
      </c>
      <c r="F682" s="7" t="s">
        <v>19</v>
      </c>
      <c r="G682" s="7" t="s">
        <v>31</v>
      </c>
      <c r="H682" s="7" t="s">
        <v>17</v>
      </c>
      <c r="I682" s="7" t="s">
        <v>17</v>
      </c>
      <c r="J682" s="7" t="s">
        <v>1424</v>
      </c>
    </row>
    <row r="683" spans="1:10" x14ac:dyDescent="0.25" outlineLevel="2" collapsed="1">
      <c r="A683" s="7" t="s">
        <v>15</v>
      </c>
      <c r="B683" s="7" t="s">
        <v>16</v>
      </c>
      <c r="C683" s="7" t="s">
        <v>17</v>
      </c>
      <c r="D683" s="7"/>
      <c r="E683" s="7" t="s">
        <v>1601</v>
      </c>
      <c r="F683" s="7" t="s">
        <v>19</v>
      </c>
      <c r="G683" s="7" t="s">
        <v>31</v>
      </c>
      <c r="H683" s="7" t="s">
        <v>17</v>
      </c>
      <c r="I683" s="7" t="s">
        <v>17</v>
      </c>
      <c r="J683" s="7" t="s">
        <v>1602</v>
      </c>
    </row>
    <row r="684" spans="1:10" x14ac:dyDescent="0.25" outlineLevel="2" collapsed="1">
      <c r="A684" s="7" t="s">
        <v>15</v>
      </c>
      <c r="B684" s="7" t="s">
        <v>16</v>
      </c>
      <c r="C684" s="7" t="s">
        <v>17</v>
      </c>
      <c r="D684" s="7"/>
      <c r="E684" s="7" t="s">
        <v>1671</v>
      </c>
      <c r="F684" s="7" t="s">
        <v>19</v>
      </c>
      <c r="G684" s="7" t="s">
        <v>31</v>
      </c>
      <c r="H684" s="7" t="s">
        <v>17</v>
      </c>
      <c r="I684" s="7" t="s">
        <v>17</v>
      </c>
      <c r="J684" s="7" t="s">
        <v>1672</v>
      </c>
    </row>
    <row r="685" spans="1:10" x14ac:dyDescent="0.25" outlineLevel="2" collapsed="1">
      <c r="A685" s="7" t="s">
        <v>15</v>
      </c>
      <c r="B685" s="7" t="s">
        <v>16</v>
      </c>
      <c r="C685" s="7" t="s">
        <v>17</v>
      </c>
      <c r="D685" s="7"/>
      <c r="E685" s="7" t="s">
        <v>1673</v>
      </c>
      <c r="F685" s="7" t="s">
        <v>19</v>
      </c>
      <c r="G685" s="7" t="s">
        <v>31</v>
      </c>
      <c r="H685" s="7" t="s">
        <v>17</v>
      </c>
      <c r="I685" s="7" t="s">
        <v>17</v>
      </c>
      <c r="J685" s="7" t="s">
        <v>1674</v>
      </c>
    </row>
    <row r="686" spans="1:10" x14ac:dyDescent="0.25" outlineLevel="2" collapsed="1">
      <c r="A686" s="7" t="s">
        <v>15</v>
      </c>
      <c r="B686" s="7" t="s">
        <v>16</v>
      </c>
      <c r="C686" s="7" t="s">
        <v>17</v>
      </c>
      <c r="D686" s="7"/>
      <c r="E686" s="7" t="s">
        <v>2618</v>
      </c>
      <c r="F686" s="7" t="s">
        <v>19</v>
      </c>
      <c r="G686" s="7" t="s">
        <v>31</v>
      </c>
      <c r="H686" s="7" t="s">
        <v>17</v>
      </c>
      <c r="I686" s="7" t="s">
        <v>17</v>
      </c>
      <c r="J686" s="7" t="s">
        <v>1422</v>
      </c>
    </row>
    <row r="687" spans="1:10" x14ac:dyDescent="0.25" outlineLevel="2" collapsed="1">
      <c r="A687" s="7" t="s">
        <v>15</v>
      </c>
      <c r="B687" s="7" t="s">
        <v>284</v>
      </c>
      <c r="C687" s="11" t="s">
        <v>2619</v>
      </c>
      <c r="D687" s="7"/>
      <c r="E687" s="7" t="s">
        <v>1605</v>
      </c>
      <c r="F687" s="7" t="s">
        <v>19</v>
      </c>
      <c r="G687" s="7" t="s">
        <v>1606</v>
      </c>
      <c r="H687" s="7" t="s">
        <v>17</v>
      </c>
      <c r="I687" s="7" t="s">
        <v>17</v>
      </c>
      <c r="J687" s="7" t="s">
        <v>1607</v>
      </c>
    </row>
    <row r="688" spans="1:10" x14ac:dyDescent="0.25" outlineLevel="2" collapsed="1">
      <c r="A688" s="7" t="s">
        <v>19</v>
      </c>
      <c r="B688" s="7" t="s">
        <v>63</v>
      </c>
      <c r="C688" s="7" t="s">
        <v>17</v>
      </c>
      <c r="D688" s="7">
        <f>EXACT(G687,"Single value")</f>
      </c>
      <c r="E688" s="7" t="s">
        <v>2620</v>
      </c>
      <c r="F688" s="7" t="s">
        <v>19</v>
      </c>
      <c r="G688" s="7">
        <v>1</v>
      </c>
      <c r="H688" s="7" t="s">
        <v>17</v>
      </c>
      <c r="I688" s="7" t="s">
        <v>17</v>
      </c>
      <c r="J688" s="7" t="s">
        <v>1609</v>
      </c>
    </row>
    <row r="689" spans="1:10" x14ac:dyDescent="0.25" outlineLevel="2" collapsed="1">
      <c r="A689" s="7" t="s">
        <v>19</v>
      </c>
      <c r="B689" s="7" t="s">
        <v>16</v>
      </c>
      <c r="C689" s="7" t="s">
        <v>17</v>
      </c>
      <c r="D689" s="7"/>
      <c r="E689" s="7" t="s">
        <v>1677</v>
      </c>
      <c r="F689" s="7" t="s">
        <v>19</v>
      </c>
      <c r="G689" s="7" t="s">
        <v>31</v>
      </c>
      <c r="H689" s="7" t="s">
        <v>17</v>
      </c>
      <c r="I689" s="7" t="s">
        <v>17</v>
      </c>
      <c r="J689" s="7" t="s">
        <v>1678</v>
      </c>
    </row>
    <row r="690" spans="1:10" x14ac:dyDescent="0.25" outlineLevel="2" collapsed="1">
      <c r="A690" s="7" t="s">
        <v>15</v>
      </c>
      <c r="B690" s="7" t="s">
        <v>16</v>
      </c>
      <c r="C690" s="7" t="s">
        <v>17</v>
      </c>
      <c r="D690" s="7"/>
      <c r="E690" s="7" t="s">
        <v>1679</v>
      </c>
      <c r="F690" s="7" t="s">
        <v>19</v>
      </c>
      <c r="G690" s="7" t="s">
        <v>31</v>
      </c>
      <c r="H690" s="7" t="s">
        <v>17</v>
      </c>
      <c r="I690" s="7" t="s">
        <v>17</v>
      </c>
      <c r="J690" s="7" t="s">
        <v>1680</v>
      </c>
    </row>
    <row r="691" spans="1:10" x14ac:dyDescent="0.25" outlineLevel="2" collapsed="1">
      <c r="A691" s="7" t="s">
        <v>15</v>
      </c>
      <c r="B691" s="7" t="s">
        <v>284</v>
      </c>
      <c r="C691" s="11" t="s">
        <v>2621</v>
      </c>
      <c r="D691" s="7"/>
      <c r="E691" s="7" t="s">
        <v>1612</v>
      </c>
      <c r="F691" s="7" t="s">
        <v>19</v>
      </c>
      <c r="G691" s="7" t="s">
        <v>1613</v>
      </c>
      <c r="H691" s="7" t="s">
        <v>17</v>
      </c>
      <c r="I691" s="7" t="s">
        <v>17</v>
      </c>
      <c r="J691" s="7" t="s">
        <v>1614</v>
      </c>
    </row>
    <row r="692" spans="1:10" x14ac:dyDescent="0.25" outlineLevel="2" collapsed="1">
      <c r="A692" s="7" t="s">
        <v>19</v>
      </c>
      <c r="B692" s="7" t="s">
        <v>16</v>
      </c>
      <c r="C692" s="7" t="s">
        <v>17</v>
      </c>
      <c r="D692" s="7"/>
      <c r="E692" s="7" t="s">
        <v>1681</v>
      </c>
      <c r="F692" s="7" t="s">
        <v>19</v>
      </c>
      <c r="G692" s="7" t="s">
        <v>31</v>
      </c>
      <c r="H692" s="7" t="s">
        <v>17</v>
      </c>
      <c r="I692" s="7" t="s">
        <v>17</v>
      </c>
      <c r="J692" s="7" t="s">
        <v>1682</v>
      </c>
    </row>
    <row r="693" spans="1:10" x14ac:dyDescent="0.25" outlineLevel="2" collapsed="1">
      <c r="A693" s="7" t="s">
        <v>19</v>
      </c>
      <c r="B693" s="7" t="s">
        <v>16</v>
      </c>
      <c r="C693" s="7" t="s">
        <v>17</v>
      </c>
      <c r="D693" s="7"/>
      <c r="E693" s="7" t="s">
        <v>1615</v>
      </c>
      <c r="F693" s="7" t="s">
        <v>19</v>
      </c>
      <c r="G693" s="7" t="s">
        <v>31</v>
      </c>
      <c r="H693" s="7" t="s">
        <v>17</v>
      </c>
      <c r="I693" s="7" t="s">
        <v>17</v>
      </c>
      <c r="J693" s="7" t="s">
        <v>1616</v>
      </c>
    </row>
  </sheetData>
  <mergeCells count="3">
    <mergeCell ref="A1:J1"/>
    <mergeCell ref="B2:J2"/>
    <mergeCell ref="B3:J3"/>
  </mergeCells>
  <dataValidations count="96">
    <dataValidation type="list" allowBlank="1" sqref="G100:I100">
      <formula1>'Enums'!C609:C613</formula1>
    </dataValidation>
    <dataValidation type="list" allowBlank="1" sqref="G109:I109">
      <formula1>'Enums'!C607:C608</formula1>
    </dataValidation>
    <dataValidation type="list" allowBlank="1" sqref="G112:I112">
      <formula1>'Enums'!C609:C613</formula1>
    </dataValidation>
    <dataValidation type="list" allowBlank="1" sqref="G114:I114">
      <formula1>'Enums'!C614:C615</formula1>
    </dataValidation>
    <dataValidation type="list" allowBlank="1" sqref="G122:I122">
      <formula1>'Enums'!C607:C608</formula1>
    </dataValidation>
    <dataValidation type="list" allowBlank="1" sqref="G125:I125">
      <formula1>'Enums'!C609:C613</formula1>
    </dataValidation>
    <dataValidation type="list" allowBlank="1" sqref="G13:I13">
      <formula1>'Enums'!C607:C608</formula1>
    </dataValidation>
    <dataValidation type="list" allowBlank="1" sqref="G134:I134">
      <formula1>'Enums'!C607:C608</formula1>
    </dataValidation>
    <dataValidation type="list" allowBlank="1" sqref="G137:I137">
      <formula1>'Enums'!C609:C613</formula1>
    </dataValidation>
    <dataValidation type="list" allowBlank="1" sqref="G146:I146">
      <formula1>'Enums'!C607:C608</formula1>
    </dataValidation>
    <dataValidation type="list" allowBlank="1" sqref="G149:I149">
      <formula1>'Enums'!C609:C613</formula1>
    </dataValidation>
    <dataValidation type="list" allowBlank="1" sqref="G158:I158">
      <formula1>'Enums'!C607:C608</formula1>
    </dataValidation>
    <dataValidation type="list" allowBlank="1" sqref="G16:I16">
      <formula1>'Enums'!C609:C613</formula1>
    </dataValidation>
    <dataValidation type="list" allowBlank="1" sqref="G161:I161">
      <formula1>'Enums'!C609:C613</formula1>
    </dataValidation>
    <dataValidation type="list" allowBlank="1" sqref="G170:I170">
      <formula1>'Enums'!C607:C608</formula1>
    </dataValidation>
    <dataValidation type="list" allowBlank="1" sqref="G173:I173">
      <formula1>'Enums'!C609:C613</formula1>
    </dataValidation>
    <dataValidation type="list" allowBlank="1" sqref="G183:I183">
      <formula1>'Enums'!C607:C608</formula1>
    </dataValidation>
    <dataValidation type="list" allowBlank="1" sqref="G186:I186">
      <formula1>'Enums'!C609:C613</formula1>
    </dataValidation>
    <dataValidation type="list" allowBlank="1" sqref="G196:I196">
      <formula1>'Enums'!C607:C608</formula1>
    </dataValidation>
    <dataValidation type="list" allowBlank="1" sqref="G199:I199">
      <formula1>'Enums'!C609:C613</formula1>
    </dataValidation>
    <dataValidation type="list" allowBlank="1" sqref="G208:I208">
      <formula1>'Enums'!C607:C608</formula1>
    </dataValidation>
    <dataValidation type="list" allowBlank="1" sqref="G211:I211">
      <formula1>'Enums'!C609:C613</formula1>
    </dataValidation>
    <dataValidation type="list" allowBlank="1" sqref="G221:I221">
      <formula1>'Enums'!C607:C608</formula1>
    </dataValidation>
    <dataValidation type="list" allowBlank="1" sqref="G224:I224">
      <formula1>'Enums'!C609:C613</formula1>
    </dataValidation>
    <dataValidation type="list" allowBlank="1" sqref="G236:I236">
      <formula1>'Enums'!C587:C588</formula1>
    </dataValidation>
    <dataValidation type="list" allowBlank="1" sqref="G240:I240">
      <formula1>'Enums'!C589:C593</formula1>
    </dataValidation>
    <dataValidation type="list" allowBlank="1" sqref="G25:I25">
      <formula1>'Enums'!C607:C608</formula1>
    </dataValidation>
    <dataValidation type="list" allowBlank="1" sqref="G252:I252">
      <formula1>'Enums'!C587:C588</formula1>
    </dataValidation>
    <dataValidation type="list" allowBlank="1" sqref="G256:I256">
      <formula1>'Enums'!C589:C593</formula1>
    </dataValidation>
    <dataValidation type="list" allowBlank="1" sqref="G268:I268">
      <formula1>'Enums'!C587:C588</formula1>
    </dataValidation>
    <dataValidation type="list" allowBlank="1" sqref="G272:I272">
      <formula1>'Enums'!C589:C593</formula1>
    </dataValidation>
    <dataValidation type="list" allowBlank="1" sqref="G28:I28">
      <formula1>'Enums'!C609:C613</formula1>
    </dataValidation>
    <dataValidation type="list" allowBlank="1" sqref="G284:I284">
      <formula1>'Enums'!C587:C588</formula1>
    </dataValidation>
    <dataValidation type="list" allowBlank="1" sqref="G288:I288">
      <formula1>'Enums'!C589:C593</formula1>
    </dataValidation>
    <dataValidation type="list" allowBlank="1" sqref="G300:I300">
      <formula1>'Enums'!C587:C588</formula1>
    </dataValidation>
    <dataValidation type="list" allowBlank="1" sqref="G304:I304">
      <formula1>'Enums'!C589:C593</formula1>
    </dataValidation>
    <dataValidation type="list" allowBlank="1" sqref="G316:I316">
      <formula1>'Enums'!C587:C588</formula1>
    </dataValidation>
    <dataValidation type="list" allowBlank="1" sqref="G320:I320">
      <formula1>'Enums'!C589:C593</formula1>
    </dataValidation>
    <dataValidation type="list" allowBlank="1" sqref="G332:I332">
      <formula1>'Enums'!C587:C588</formula1>
    </dataValidation>
    <dataValidation type="list" allowBlank="1" sqref="G336:I336">
      <formula1>'Enums'!C589:C593</formula1>
    </dataValidation>
    <dataValidation type="list" allowBlank="1" sqref="G349:I349">
      <formula1>'Enums'!C587:C588</formula1>
    </dataValidation>
    <dataValidation type="list" allowBlank="1" sqref="G353:I353">
      <formula1>'Enums'!C589:C593</formula1>
    </dataValidation>
    <dataValidation type="list" allowBlank="1" sqref="G365:I365">
      <formula1>'Enums'!C587:C588</formula1>
    </dataValidation>
    <dataValidation type="list" allowBlank="1" sqref="G369:I369">
      <formula1>'Enums'!C589:C593</formula1>
    </dataValidation>
    <dataValidation type="list" allowBlank="1" sqref="G37:I37">
      <formula1>'Enums'!C607:C608</formula1>
    </dataValidation>
    <dataValidation type="list" allowBlank="1" sqref="G381:I381">
      <formula1>'Enums'!C587:C588</formula1>
    </dataValidation>
    <dataValidation type="list" allowBlank="1" sqref="G385:I385">
      <formula1>'Enums'!C589:C593</formula1>
    </dataValidation>
    <dataValidation type="list" allowBlank="1" sqref="G397:I397">
      <formula1>'Enums'!C587:C588</formula1>
    </dataValidation>
    <dataValidation type="list" allowBlank="1" sqref="G40:I40">
      <formula1>'Enums'!C609:C613</formula1>
    </dataValidation>
    <dataValidation type="list" allowBlank="1" sqref="G401:I401">
      <formula1>'Enums'!C589:C593</formula1>
    </dataValidation>
    <dataValidation type="list" allowBlank="1" sqref="G413:I413">
      <formula1>'Enums'!C587:C588</formula1>
    </dataValidation>
    <dataValidation type="list" allowBlank="1" sqref="G417:I417">
      <formula1>'Enums'!C589:C593</formula1>
    </dataValidation>
    <dataValidation type="list" allowBlank="1" sqref="G420:I420">
      <formula1>'Enums'!C596:C597</formula1>
    </dataValidation>
    <dataValidation type="list" allowBlank="1" sqref="G421:I421">
      <formula1>'Enums'!C598:C599</formula1>
    </dataValidation>
    <dataValidation type="list" allowBlank="1" sqref="G424:I424">
      <formula1>'Enums'!C813:C815</formula1>
    </dataValidation>
    <dataValidation type="list" allowBlank="1" sqref="G426:I426">
      <formula1>'Enums'!C816:C817</formula1>
    </dataValidation>
    <dataValidation type="list" allowBlank="1" sqref="G427:I427">
      <formula1>'Enums'!C818:C819</formula1>
    </dataValidation>
    <dataValidation type="list" allowBlank="1" sqref="G443:I443">
      <formula1>'Enums'!C587:C588</formula1>
    </dataValidation>
    <dataValidation type="list" allowBlank="1" sqref="G447:I447">
      <formula1>'Enums'!C589:C593</formula1>
    </dataValidation>
    <dataValidation type="list" allowBlank="1" sqref="G459:I459">
      <formula1>'Enums'!C587:C588</formula1>
    </dataValidation>
    <dataValidation type="list" allowBlank="1" sqref="G463:I463">
      <formula1>'Enums'!C589:C593</formula1>
    </dataValidation>
    <dataValidation type="list" allowBlank="1" sqref="G475:I475">
      <formula1>'Enums'!C587:C588</formula1>
    </dataValidation>
    <dataValidation type="list" allowBlank="1" sqref="G479:I479">
      <formula1>'Enums'!C589:C593</formula1>
    </dataValidation>
    <dataValidation type="list" allowBlank="1" sqref="G49:I49">
      <formula1>'Enums'!C607:C608</formula1>
    </dataValidation>
    <dataValidation type="list" allowBlank="1" sqref="G491:I491">
      <formula1>'Enums'!C587:C588</formula1>
    </dataValidation>
    <dataValidation type="list" allowBlank="1" sqref="G495:I495">
      <formula1>'Enums'!C589:C593</formula1>
    </dataValidation>
    <dataValidation type="list" allowBlank="1" sqref="G507:I507">
      <formula1>'Enums'!C587:C588</formula1>
    </dataValidation>
    <dataValidation type="list" allowBlank="1" sqref="G511:I511">
      <formula1>'Enums'!C589:C593</formula1>
    </dataValidation>
    <dataValidation type="list" allowBlank="1" sqref="G52:I52">
      <formula1>'Enums'!C609:C613</formula1>
    </dataValidation>
    <dataValidation type="list" allowBlank="1" sqref="G523:I523">
      <formula1>'Enums'!C587:C588</formula1>
    </dataValidation>
    <dataValidation type="list" allowBlank="1" sqref="G527:I527">
      <formula1>'Enums'!C589:C593</formula1>
    </dataValidation>
    <dataValidation type="list" allowBlank="1" sqref="G539:I539">
      <formula1>'Enums'!C587:C588</formula1>
    </dataValidation>
    <dataValidation type="list" allowBlank="1" sqref="G543:I543">
      <formula1>'Enums'!C589:C593</formula1>
    </dataValidation>
    <dataValidation type="list" allowBlank="1" sqref="G555:I555">
      <formula1>'Enums'!C587:C588</formula1>
    </dataValidation>
    <dataValidation type="list" allowBlank="1" sqref="G559:I559">
      <formula1>'Enums'!C589:C593</formula1>
    </dataValidation>
    <dataValidation type="list" allowBlank="1" sqref="G571:I571">
      <formula1>'Enums'!C587:C588</formula1>
    </dataValidation>
    <dataValidation type="list" allowBlank="1" sqref="G575:I575">
      <formula1>'Enums'!C589:C593</formula1>
    </dataValidation>
    <dataValidation type="list" allowBlank="1" sqref="G587:I587">
      <formula1>'Enums'!C587:C588</formula1>
    </dataValidation>
    <dataValidation type="list" allowBlank="1" sqref="G591:I591">
      <formula1>'Enums'!C589:C593</formula1>
    </dataValidation>
    <dataValidation type="list" allowBlank="1" sqref="G603:I603">
      <formula1>'Enums'!C587:C588</formula1>
    </dataValidation>
    <dataValidation type="list" allowBlank="1" sqref="G607:I607">
      <formula1>'Enums'!C589:C593</formula1>
    </dataValidation>
    <dataValidation type="list" allowBlank="1" sqref="G61:I61">
      <formula1>'Enums'!C607:C608</formula1>
    </dataValidation>
    <dataValidation type="list" allowBlank="1" sqref="G619:I619">
      <formula1>'Enums'!C587:C588</formula1>
    </dataValidation>
    <dataValidation type="list" allowBlank="1" sqref="G623:I623">
      <formula1>'Enums'!C589:C593</formula1>
    </dataValidation>
    <dataValidation type="list" allowBlank="1" sqref="G635:I635">
      <formula1>'Enums'!C587:C588</formula1>
    </dataValidation>
    <dataValidation type="list" allowBlank="1" sqref="G639:I639">
      <formula1>'Enums'!C589:C593</formula1>
    </dataValidation>
    <dataValidation type="list" allowBlank="1" sqref="G64:I64">
      <formula1>'Enums'!C609:C613</formula1>
    </dataValidation>
    <dataValidation type="list" allowBlank="1" sqref="G651:I651">
      <formula1>'Enums'!C587:C588</formula1>
    </dataValidation>
    <dataValidation type="list" allowBlank="1" sqref="G655:I655">
      <formula1>'Enums'!C589:C593</formula1>
    </dataValidation>
    <dataValidation type="list" allowBlank="1" sqref="G687:I687">
      <formula1>'Enums'!C587:C588</formula1>
    </dataValidation>
    <dataValidation type="list" allowBlank="1" sqref="G691:I691">
      <formula1>'Enums'!C589:C593</formula1>
    </dataValidation>
    <dataValidation type="list" allowBlank="1" sqref="G73:I73">
      <formula1>'Enums'!C607:C608</formula1>
    </dataValidation>
    <dataValidation type="list" allowBlank="1" sqref="G76:I76">
      <formula1>'Enums'!C609:C613</formula1>
    </dataValidation>
    <dataValidation type="list" allowBlank="1" sqref="G85:I85">
      <formula1>'Enums'!C607:C608</formula1>
    </dataValidation>
    <dataValidation type="list" allowBlank="1" sqref="G88:I88">
      <formula1>'Enums'!C609:C613</formula1>
    </dataValidation>
    <dataValidation type="list" allowBlank="1" sqref="G97:I97">
      <formula1>'Enums'!C607:C608</formula1>
    </dataValidation>
  </dataValidations>
  <hyperlinks>
    <hyperlink ref="B5" r:id="rId1" location="#'VMR0015 A2.1.1 VMR0015  AMS-II'!A1"/>
    <hyperlink ref="B6" r:id="rId2" location="#'VMR0015 A2.1 DataParameter Ava'!A1"/>
    <hyperlink ref="B18" r:id="rId3" location="#'VMR0015 A2.1 DataParameter Ava'!A1"/>
    <hyperlink ref="B30" r:id="rId4" location="#'VMR0015 A2.1 DataParameter Ava'!A1"/>
    <hyperlink ref="B42" r:id="rId5" location="#'VMR0015 A2.1 DataParameter Ava'!A1"/>
    <hyperlink ref="B54" r:id="rId6" location="#'VMR0015 A2.1 DataParameter Ava'!A1"/>
    <hyperlink ref="B66" r:id="rId7" location="#'VMR0015 A2.1 DataParameter Ava'!A1"/>
    <hyperlink ref="B78" r:id="rId8" location="#'VMR0015 A2.1 DataParameter Ava'!A1"/>
    <hyperlink ref="B90" r:id="rId9" location="#'VMR0015 A2.1 DataParameter Ava'!A1"/>
    <hyperlink ref="B102" r:id="rId10" location="#'VMR0015 A2.1 DataParameter Ava'!A1"/>
    <hyperlink ref="B115" r:id="rId11" location="#'VMR0015 A2.1 DataParameter Ava'!A1"/>
    <hyperlink ref="B127" r:id="rId12" location="#'VMR0015 A2.1 DataParameter Ava'!A1"/>
    <hyperlink ref="B139" r:id="rId13" location="#'VMR0015 A2.1 DataParameter Ava'!A1"/>
    <hyperlink ref="B151" r:id="rId14" location="#'VMR0015 A2.1 DataParameter Ava'!A1"/>
    <hyperlink ref="B163" r:id="rId15" location="#'VMR0015 A2.1 DataParameter Ava'!A1"/>
    <hyperlink ref="B175" r:id="rId16" location="#'VMR0015 A2.1.2 TOOL03 paramete'!A1"/>
    <hyperlink ref="B176" r:id="rId17" location="#'VMR0015 A2.1 DataParameter Ava'!A1"/>
    <hyperlink ref="B188" r:id="rId18" location="#'VMR0015 A2.1.3 VT0010  VT0011'!A1"/>
    <hyperlink ref="B189" r:id="rId19" location="#'VMR0015 A2.1 DataParameter Ava'!A1"/>
    <hyperlink ref="B201" r:id="rId20" location="#'VMR0015 A2.1 DataParameter Ava'!A1"/>
    <hyperlink ref="B213" r:id="rId21" location="#'VMR0015 A2.1.4 AMS-I.E paramet'!A1"/>
    <hyperlink ref="B214" r:id="rId22" location="#'VMR0015 A2.1 DataParameter Ava'!A1"/>
    <hyperlink ref="B226" r:id="rId23" location="#'VMR0015 A2.2.1 VMR0015  AMS-II'!A1"/>
    <hyperlink ref="B227" r:id="rId24" location="#'VMR0015 A2.2 DataParameter Mon'!A1"/>
    <hyperlink ref="B243" r:id="rId25" location="#'VMR0015 A2.2 DataParameter Mon'!A1"/>
    <hyperlink ref="B259" r:id="rId26" location="#'VMR0015 A2.2 DataParameter Mon'!A1"/>
    <hyperlink ref="B275" r:id="rId27" location="#'VMR0015 A2.2 DataParameter Mon'!A1"/>
    <hyperlink ref="B291" r:id="rId28" location="#'VMR0015 A2.2 DataParameter Mon'!A1"/>
    <hyperlink ref="B307" r:id="rId29" location="#'VMR0015 A2.2 DataParameter Mon'!A1"/>
    <hyperlink ref="B323" r:id="rId30" location="#'VMR0015 A2.2 DataParameter Mon'!A1"/>
    <hyperlink ref="B339" r:id="rId31" location="#'VMR0015 A2.2.2 TOOL03 monitore'!A1"/>
    <hyperlink ref="B340" r:id="rId32" location="#'VMR0015 A2.2 DataParameter Mon'!A1"/>
    <hyperlink ref="B356" r:id="rId33" location="#'VMR0015 A2.2 DataParameter Mon'!A1"/>
    <hyperlink ref="B372" r:id="rId34" location="#'VMR0015 A2.2 DataParameter Mon'!A1"/>
    <hyperlink ref="B388" r:id="rId35" location="#'VMR0015 A2.2 DataParameter Mon'!A1"/>
    <hyperlink ref="B404" r:id="rId36" location="#'VMR0015 A2.2 DataParameter Mon'!A1"/>
    <hyperlink ref="B422" r:id="rId37" location="#'TOOL03 fuel combustion row (fu'!A1"/>
    <hyperlink ref="B433" r:id="rId38" location="#'VMR0015 A2.2.3 VT0010  VT0011'!A1"/>
    <hyperlink ref="B434" r:id="rId39" location="#'VMR0015 A2.2 DataParameter Mon'!A1"/>
    <hyperlink ref="B450" r:id="rId40" location="#'VMR0015 A2.2 DataParameter Mon'!A1"/>
    <hyperlink ref="B466" r:id="rId41" location="#'VMR0015 A2.2 DataParameter Mon'!A1"/>
    <hyperlink ref="B482" r:id="rId42" location="#'VMR0015 A2.2 DataParameter Mon'!A1"/>
    <hyperlink ref="B498" r:id="rId43" location="#'VMR0015 A2.2 DataParameter Mon'!A1"/>
    <hyperlink ref="B514" r:id="rId44" location="#'VMR0015 A2.2 DataParameter Mon'!A1"/>
    <hyperlink ref="B530" r:id="rId45" location="#'VMR0015 A2.2 DataParameter Mon'!A1"/>
    <hyperlink ref="B546" r:id="rId46" location="#'VMR0015 A2.2 DataParameter Mon'!A1"/>
    <hyperlink ref="B562" r:id="rId47" location="#'VMR0015 A2.2 DataParameter Mon'!A1"/>
    <hyperlink ref="B578" r:id="rId48" location="#'VMR0015 A2.2 DataParameter Mon'!A1"/>
    <hyperlink ref="B594" r:id="rId49" location="#'VMR0015 A2.2 DataParameter Mon'!A1"/>
    <hyperlink ref="B610" r:id="rId50" location="#'VMR0015 A2.2 DataParameter Mon'!A1"/>
    <hyperlink ref="B626" r:id="rId51" location="#'VMR0015 A2.2 DataParameter Mon'!A1"/>
    <hyperlink ref="B642" r:id="rId52" location="#'VMR0015 A2.2 DataParameter Mon'!A1"/>
    <hyperlink ref="B658" r:id="rId53" location="#'VT0010 grid load row (load L;'!A1"/>
    <hyperlink ref="B666" r:id="rId54" location="#'VT0010 shared plant fuel row ('!A1"/>
    <hyperlink ref="B677" r:id="rId55" location="#'VMR0015 A2.2.4 fNRB monitored'!A1"/>
    <hyperlink ref="B678" r:id="rId56" location="#'VMR0015 A2.2 DataParameter Mon'!A1"/>
  </hyperlinks>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9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3446</v>
      </c>
      <c r="B1" s="1"/>
      <c r="C1" s="1"/>
      <c r="D1" s="1"/>
      <c r="E1" s="1"/>
      <c r="F1" s="1"/>
      <c r="G1" s="1"/>
      <c r="H1" s="1"/>
      <c r="I1" s="1"/>
      <c r="J1" s="1"/>
    </row>
    <row r="2" spans="1:10" x14ac:dyDescent="0.25">
      <c r="A2" s="2" t="s">
        <v>1</v>
      </c>
      <c r="B2" s="3" t="s">
        <v>3447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1594</v>
      </c>
      <c r="C5" s="5" t="s">
        <v>17</v>
      </c>
      <c r="D5" s="5"/>
      <c r="E5" s="5" t="s">
        <v>1595</v>
      </c>
      <c r="F5" s="5" t="s">
        <v>19</v>
      </c>
      <c r="G5" s="5" t="s">
        <v>17</v>
      </c>
      <c r="H5" s="5" t="s">
        <v>17</v>
      </c>
      <c r="I5" s="5" t="s">
        <v>17</v>
      </c>
      <c r="J5" s="5" t="s">
        <v>1596</v>
      </c>
    </row>
    <row r="6" spans="1:10" x14ac:dyDescent="0.25" outlineLevel="1" collapsed="1">
      <c r="A6" s="8" t="s">
        <v>15</v>
      </c>
      <c r="B6" s="9" t="s">
        <v>1597</v>
      </c>
      <c r="C6" s="8" t="s">
        <v>17</v>
      </c>
      <c r="D6" s="8"/>
      <c r="E6" s="8" t="s">
        <v>1598</v>
      </c>
      <c r="F6" s="8" t="s">
        <v>19</v>
      </c>
      <c r="G6" s="8" t="s">
        <v>17</v>
      </c>
      <c r="H6" s="8" t="s">
        <v>17</v>
      </c>
      <c r="I6" s="8" t="s">
        <v>17</v>
      </c>
      <c r="J6" s="8" t="s">
        <v>1599</v>
      </c>
    </row>
    <row r="7" spans="1:10" x14ac:dyDescent="0.25" outlineLevel="2" collapsed="1">
      <c r="A7" s="7" t="s">
        <v>15</v>
      </c>
      <c r="B7" s="7" t="s">
        <v>16</v>
      </c>
      <c r="C7" s="7" t="s">
        <v>17</v>
      </c>
      <c r="D7" s="7"/>
      <c r="E7" s="7" t="s">
        <v>1431</v>
      </c>
      <c r="F7" s="7" t="s">
        <v>19</v>
      </c>
      <c r="G7" s="7" t="s">
        <v>31</v>
      </c>
      <c r="H7" s="7" t="s">
        <v>17</v>
      </c>
      <c r="I7" s="7" t="s">
        <v>17</v>
      </c>
      <c r="J7" s="7" t="s">
        <v>637</v>
      </c>
    </row>
    <row r="8" spans="1:10" x14ac:dyDescent="0.25" outlineLevel="2" collapsed="1">
      <c r="A8" s="7" t="s">
        <v>15</v>
      </c>
      <c r="B8" s="7" t="s">
        <v>16</v>
      </c>
      <c r="C8" s="7" t="s">
        <v>17</v>
      </c>
      <c r="D8" s="7"/>
      <c r="E8" s="7" t="s">
        <v>638</v>
      </c>
      <c r="F8" s="7" t="s">
        <v>19</v>
      </c>
      <c r="G8" s="7" t="s">
        <v>31</v>
      </c>
      <c r="H8" s="7" t="s">
        <v>17</v>
      </c>
      <c r="I8" s="7" t="s">
        <v>17</v>
      </c>
      <c r="J8" s="7" t="s">
        <v>640</v>
      </c>
    </row>
    <row r="9" spans="1:10" x14ac:dyDescent="0.25" outlineLevel="2" collapsed="1">
      <c r="A9" s="7" t="s">
        <v>15</v>
      </c>
      <c r="B9" s="7" t="s">
        <v>16</v>
      </c>
      <c r="C9" s="7" t="s">
        <v>17</v>
      </c>
      <c r="D9" s="7"/>
      <c r="E9" s="7" t="s">
        <v>9</v>
      </c>
      <c r="F9" s="7" t="s">
        <v>19</v>
      </c>
      <c r="G9" s="7" t="s">
        <v>31</v>
      </c>
      <c r="H9" s="7" t="s">
        <v>17</v>
      </c>
      <c r="I9" s="7" t="s">
        <v>17</v>
      </c>
      <c r="J9" s="7" t="s">
        <v>843</v>
      </c>
    </row>
    <row r="10" spans="1:10" x14ac:dyDescent="0.25" outlineLevel="2" collapsed="1">
      <c r="A10" s="7" t="s">
        <v>19</v>
      </c>
      <c r="B10" s="7" t="s">
        <v>16</v>
      </c>
      <c r="C10" s="7" t="s">
        <v>17</v>
      </c>
      <c r="D10" s="7"/>
      <c r="E10" s="7" t="s">
        <v>1600</v>
      </c>
      <c r="F10" s="7" t="s">
        <v>19</v>
      </c>
      <c r="G10" s="7" t="s">
        <v>31</v>
      </c>
      <c r="H10" s="7" t="s">
        <v>17</v>
      </c>
      <c r="I10" s="7" t="s">
        <v>17</v>
      </c>
      <c r="J10" s="7" t="s">
        <v>1424</v>
      </c>
    </row>
    <row r="11" spans="1:10" x14ac:dyDescent="0.25" outlineLevel="2" collapsed="1">
      <c r="A11" s="7" t="s">
        <v>15</v>
      </c>
      <c r="B11" s="7" t="s">
        <v>16</v>
      </c>
      <c r="C11" s="7" t="s">
        <v>17</v>
      </c>
      <c r="D11" s="7"/>
      <c r="E11" s="7" t="s">
        <v>1601</v>
      </c>
      <c r="F11" s="7" t="s">
        <v>19</v>
      </c>
      <c r="G11" s="7" t="s">
        <v>31</v>
      </c>
      <c r="H11" s="7" t="s">
        <v>17</v>
      </c>
      <c r="I11" s="7" t="s">
        <v>17</v>
      </c>
      <c r="J11" s="7" t="s">
        <v>1602</v>
      </c>
    </row>
    <row r="12" spans="1:10" x14ac:dyDescent="0.25" outlineLevel="2" collapsed="1">
      <c r="A12" s="7" t="s">
        <v>15</v>
      </c>
      <c r="B12" s="7" t="s">
        <v>16</v>
      </c>
      <c r="C12" s="7" t="s">
        <v>17</v>
      </c>
      <c r="D12" s="7"/>
      <c r="E12" s="7" t="s">
        <v>1603</v>
      </c>
      <c r="F12" s="7" t="s">
        <v>19</v>
      </c>
      <c r="G12" s="7" t="s">
        <v>31</v>
      </c>
      <c r="H12" s="7" t="s">
        <v>17</v>
      </c>
      <c r="I12" s="7" t="s">
        <v>17</v>
      </c>
      <c r="J12" s="7" t="s">
        <v>1422</v>
      </c>
    </row>
    <row r="13" spans="1:10" x14ac:dyDescent="0.25" outlineLevel="2" collapsed="1">
      <c r="A13" s="7" t="s">
        <v>15</v>
      </c>
      <c r="B13" s="7" t="s">
        <v>284</v>
      </c>
      <c r="C13" s="11" t="s">
        <v>1604</v>
      </c>
      <c r="D13" s="7"/>
      <c r="E13" s="7" t="s">
        <v>1605</v>
      </c>
      <c r="F13" s="7" t="s">
        <v>19</v>
      </c>
      <c r="G13" s="7" t="s">
        <v>1606</v>
      </c>
      <c r="H13" s="7" t="s">
        <v>17</v>
      </c>
      <c r="I13" s="7" t="s">
        <v>17</v>
      </c>
      <c r="J13" s="7" t="s">
        <v>1607</v>
      </c>
    </row>
    <row r="14" spans="1:10" x14ac:dyDescent="0.25" outlineLevel="2" collapsed="1">
      <c r="A14" s="7" t="s">
        <v>19</v>
      </c>
      <c r="B14" s="7" t="s">
        <v>63</v>
      </c>
      <c r="C14" s="7" t="s">
        <v>17</v>
      </c>
      <c r="D14" s="7">
        <f>EXACT(G13,"Single value")</f>
      </c>
      <c r="E14" s="7" t="s">
        <v>1608</v>
      </c>
      <c r="F14" s="7" t="s">
        <v>19</v>
      </c>
      <c r="G14" s="7">
        <v>1</v>
      </c>
      <c r="H14" s="7" t="s">
        <v>17</v>
      </c>
      <c r="I14" s="7" t="s">
        <v>17</v>
      </c>
      <c r="J14" s="7" t="s">
        <v>1609</v>
      </c>
    </row>
    <row r="15" spans="1:10" x14ac:dyDescent="0.25" outlineLevel="2" collapsed="1">
      <c r="A15" s="7" t="s">
        <v>15</v>
      </c>
      <c r="B15" s="7" t="s">
        <v>16</v>
      </c>
      <c r="C15" s="7" t="s">
        <v>17</v>
      </c>
      <c r="D15" s="7"/>
      <c r="E15" s="7" t="s">
        <v>1610</v>
      </c>
      <c r="F15" s="7" t="s">
        <v>19</v>
      </c>
      <c r="G15" s="7" t="s">
        <v>31</v>
      </c>
      <c r="H15" s="7" t="s">
        <v>17</v>
      </c>
      <c r="I15" s="7" t="s">
        <v>17</v>
      </c>
      <c r="J15" s="7" t="s">
        <v>1191</v>
      </c>
    </row>
    <row r="16" spans="1:10" x14ac:dyDescent="0.25" outlineLevel="2" collapsed="1">
      <c r="A16" s="7" t="s">
        <v>15</v>
      </c>
      <c r="B16" s="7" t="s">
        <v>284</v>
      </c>
      <c r="C16" s="11" t="s">
        <v>1611</v>
      </c>
      <c r="D16" s="7"/>
      <c r="E16" s="7" t="s">
        <v>1612</v>
      </c>
      <c r="F16" s="7" t="s">
        <v>19</v>
      </c>
      <c r="G16" s="7" t="s">
        <v>1613</v>
      </c>
      <c r="H16" s="7" t="s">
        <v>17</v>
      </c>
      <c r="I16" s="7" t="s">
        <v>17</v>
      </c>
      <c r="J16" s="7" t="s">
        <v>1614</v>
      </c>
    </row>
    <row r="17" spans="1:10" x14ac:dyDescent="0.25" outlineLevel="2" collapsed="1">
      <c r="A17" s="7" t="s">
        <v>19</v>
      </c>
      <c r="B17" s="7" t="s">
        <v>16</v>
      </c>
      <c r="C17" s="7" t="s">
        <v>17</v>
      </c>
      <c r="D17" s="7"/>
      <c r="E17" s="7" t="s">
        <v>1615</v>
      </c>
      <c r="F17" s="7" t="s">
        <v>19</v>
      </c>
      <c r="G17" s="7" t="s">
        <v>31</v>
      </c>
      <c r="H17" s="7" t="s">
        <v>17</v>
      </c>
      <c r="I17" s="7" t="s">
        <v>17</v>
      </c>
      <c r="J17" s="7" t="s">
        <v>1616</v>
      </c>
    </row>
    <row r="18" spans="1:10" x14ac:dyDescent="0.25" outlineLevel="1" collapsed="1">
      <c r="A18" s="8" t="s">
        <v>15</v>
      </c>
      <c r="B18" s="9" t="s">
        <v>1597</v>
      </c>
      <c r="C18" s="8" t="s">
        <v>17</v>
      </c>
      <c r="D18" s="8"/>
      <c r="E18" s="8" t="s">
        <v>1617</v>
      </c>
      <c r="F18" s="8" t="s">
        <v>19</v>
      </c>
      <c r="G18" s="8" t="s">
        <v>17</v>
      </c>
      <c r="H18" s="8" t="s">
        <v>17</v>
      </c>
      <c r="I18" s="8" t="s">
        <v>17</v>
      </c>
      <c r="J18" s="8" t="s">
        <v>1618</v>
      </c>
    </row>
    <row r="19" spans="1:10" x14ac:dyDescent="0.25" outlineLevel="2" collapsed="1">
      <c r="A19" s="7" t="s">
        <v>15</v>
      </c>
      <c r="B19" s="7" t="s">
        <v>16</v>
      </c>
      <c r="C19" s="7" t="s">
        <v>17</v>
      </c>
      <c r="D19" s="7"/>
      <c r="E19" s="7" t="s">
        <v>1431</v>
      </c>
      <c r="F19" s="7" t="s">
        <v>19</v>
      </c>
      <c r="G19" s="7" t="s">
        <v>31</v>
      </c>
      <c r="H19" s="7" t="s">
        <v>17</v>
      </c>
      <c r="I19" s="7" t="s">
        <v>17</v>
      </c>
      <c r="J19" s="7" t="s">
        <v>637</v>
      </c>
    </row>
    <row r="20" spans="1:10" x14ac:dyDescent="0.25" outlineLevel="2" collapsed="1">
      <c r="A20" s="7" t="s">
        <v>15</v>
      </c>
      <c r="B20" s="7" t="s">
        <v>16</v>
      </c>
      <c r="C20" s="7" t="s">
        <v>17</v>
      </c>
      <c r="D20" s="7"/>
      <c r="E20" s="7" t="s">
        <v>638</v>
      </c>
      <c r="F20" s="7" t="s">
        <v>19</v>
      </c>
      <c r="G20" s="7" t="s">
        <v>31</v>
      </c>
      <c r="H20" s="7" t="s">
        <v>17</v>
      </c>
      <c r="I20" s="7" t="s">
        <v>17</v>
      </c>
      <c r="J20" s="7" t="s">
        <v>640</v>
      </c>
    </row>
    <row r="21" spans="1:10" x14ac:dyDescent="0.25" outlineLevel="2" collapsed="1">
      <c r="A21" s="7" t="s">
        <v>15</v>
      </c>
      <c r="B21" s="7" t="s">
        <v>16</v>
      </c>
      <c r="C21" s="7" t="s">
        <v>17</v>
      </c>
      <c r="D21" s="7"/>
      <c r="E21" s="7" t="s">
        <v>9</v>
      </c>
      <c r="F21" s="7" t="s">
        <v>19</v>
      </c>
      <c r="G21" s="7" t="s">
        <v>31</v>
      </c>
      <c r="H21" s="7" t="s">
        <v>17</v>
      </c>
      <c r="I21" s="7" t="s">
        <v>17</v>
      </c>
      <c r="J21" s="7" t="s">
        <v>843</v>
      </c>
    </row>
    <row r="22" spans="1:10" x14ac:dyDescent="0.25" outlineLevel="2" collapsed="1">
      <c r="A22" s="7" t="s">
        <v>19</v>
      </c>
      <c r="B22" s="7" t="s">
        <v>16</v>
      </c>
      <c r="C22" s="7" t="s">
        <v>17</v>
      </c>
      <c r="D22" s="7"/>
      <c r="E22" s="7" t="s">
        <v>1600</v>
      </c>
      <c r="F22" s="7" t="s">
        <v>19</v>
      </c>
      <c r="G22" s="7" t="s">
        <v>31</v>
      </c>
      <c r="H22" s="7" t="s">
        <v>17</v>
      </c>
      <c r="I22" s="7" t="s">
        <v>17</v>
      </c>
      <c r="J22" s="7" t="s">
        <v>1424</v>
      </c>
    </row>
    <row r="23" spans="1:10" x14ac:dyDescent="0.25" outlineLevel="2" collapsed="1">
      <c r="A23" s="7" t="s">
        <v>15</v>
      </c>
      <c r="B23" s="7" t="s">
        <v>16</v>
      </c>
      <c r="C23" s="7" t="s">
        <v>17</v>
      </c>
      <c r="D23" s="7"/>
      <c r="E23" s="7" t="s">
        <v>1601</v>
      </c>
      <c r="F23" s="7" t="s">
        <v>19</v>
      </c>
      <c r="G23" s="7" t="s">
        <v>31</v>
      </c>
      <c r="H23" s="7" t="s">
        <v>17</v>
      </c>
      <c r="I23" s="7" t="s">
        <v>17</v>
      </c>
      <c r="J23" s="7" t="s">
        <v>1602</v>
      </c>
    </row>
    <row r="24" spans="1:10" x14ac:dyDescent="0.25" outlineLevel="2" collapsed="1">
      <c r="A24" s="7" t="s">
        <v>15</v>
      </c>
      <c r="B24" s="7" t="s">
        <v>16</v>
      </c>
      <c r="C24" s="7" t="s">
        <v>17</v>
      </c>
      <c r="D24" s="7"/>
      <c r="E24" s="7" t="s">
        <v>1603</v>
      </c>
      <c r="F24" s="7" t="s">
        <v>19</v>
      </c>
      <c r="G24" s="7" t="s">
        <v>31</v>
      </c>
      <c r="H24" s="7" t="s">
        <v>17</v>
      </c>
      <c r="I24" s="7" t="s">
        <v>17</v>
      </c>
      <c r="J24" s="7" t="s">
        <v>1422</v>
      </c>
    </row>
    <row r="25" spans="1:10" x14ac:dyDescent="0.25" outlineLevel="2" collapsed="1">
      <c r="A25" s="7" t="s">
        <v>15</v>
      </c>
      <c r="B25" s="7" t="s">
        <v>284</v>
      </c>
      <c r="C25" s="11" t="s">
        <v>1604</v>
      </c>
      <c r="D25" s="7"/>
      <c r="E25" s="7" t="s">
        <v>1605</v>
      </c>
      <c r="F25" s="7" t="s">
        <v>19</v>
      </c>
      <c r="G25" s="7" t="s">
        <v>1606</v>
      </c>
      <c r="H25" s="7" t="s">
        <v>17</v>
      </c>
      <c r="I25" s="7" t="s">
        <v>17</v>
      </c>
      <c r="J25" s="7" t="s">
        <v>1607</v>
      </c>
    </row>
    <row r="26" spans="1:10" x14ac:dyDescent="0.25" outlineLevel="2" collapsed="1">
      <c r="A26" s="7" t="s">
        <v>19</v>
      </c>
      <c r="B26" s="7" t="s">
        <v>63</v>
      </c>
      <c r="C26" s="7" t="s">
        <v>17</v>
      </c>
      <c r="D26" s="7">
        <f>EXACT(G25,"Single value")</f>
      </c>
      <c r="E26" s="7" t="s">
        <v>1608</v>
      </c>
      <c r="F26" s="7" t="s">
        <v>19</v>
      </c>
      <c r="G26" s="7">
        <v>1</v>
      </c>
      <c r="H26" s="7" t="s">
        <v>17</v>
      </c>
      <c r="I26" s="7" t="s">
        <v>17</v>
      </c>
      <c r="J26" s="7" t="s">
        <v>1609</v>
      </c>
    </row>
    <row r="27" spans="1:10" x14ac:dyDescent="0.25" outlineLevel="2" collapsed="1">
      <c r="A27" s="7" t="s">
        <v>15</v>
      </c>
      <c r="B27" s="7" t="s">
        <v>16</v>
      </c>
      <c r="C27" s="7" t="s">
        <v>17</v>
      </c>
      <c r="D27" s="7"/>
      <c r="E27" s="7" t="s">
        <v>1610</v>
      </c>
      <c r="F27" s="7" t="s">
        <v>19</v>
      </c>
      <c r="G27" s="7" t="s">
        <v>31</v>
      </c>
      <c r="H27" s="7" t="s">
        <v>17</v>
      </c>
      <c r="I27" s="7" t="s">
        <v>17</v>
      </c>
      <c r="J27" s="7" t="s">
        <v>1191</v>
      </c>
    </row>
    <row r="28" spans="1:10" x14ac:dyDescent="0.25" outlineLevel="2" collapsed="1">
      <c r="A28" s="7" t="s">
        <v>15</v>
      </c>
      <c r="B28" s="7" t="s">
        <v>284</v>
      </c>
      <c r="C28" s="11" t="s">
        <v>1611</v>
      </c>
      <c r="D28" s="7"/>
      <c r="E28" s="7" t="s">
        <v>1612</v>
      </c>
      <c r="F28" s="7" t="s">
        <v>19</v>
      </c>
      <c r="G28" s="7" t="s">
        <v>1613</v>
      </c>
      <c r="H28" s="7" t="s">
        <v>17</v>
      </c>
      <c r="I28" s="7" t="s">
        <v>17</v>
      </c>
      <c r="J28" s="7" t="s">
        <v>1614</v>
      </c>
    </row>
    <row r="29" spans="1:10" x14ac:dyDescent="0.25" outlineLevel="2" collapsed="1">
      <c r="A29" s="7" t="s">
        <v>19</v>
      </c>
      <c r="B29" s="7" t="s">
        <v>16</v>
      </c>
      <c r="C29" s="7" t="s">
        <v>17</v>
      </c>
      <c r="D29" s="7"/>
      <c r="E29" s="7" t="s">
        <v>1615</v>
      </c>
      <c r="F29" s="7" t="s">
        <v>19</v>
      </c>
      <c r="G29" s="7" t="s">
        <v>31</v>
      </c>
      <c r="H29" s="7" t="s">
        <v>17</v>
      </c>
      <c r="I29" s="7" t="s">
        <v>17</v>
      </c>
      <c r="J29" s="7" t="s">
        <v>1616</v>
      </c>
    </row>
    <row r="30" spans="1:10" x14ac:dyDescent="0.25" outlineLevel="1" collapsed="1">
      <c r="A30" s="8" t="s">
        <v>15</v>
      </c>
      <c r="B30" s="9" t="s">
        <v>1597</v>
      </c>
      <c r="C30" s="8" t="s">
        <v>17</v>
      </c>
      <c r="D30" s="8"/>
      <c r="E30" s="8" t="s">
        <v>1619</v>
      </c>
      <c r="F30" s="8" t="s">
        <v>19</v>
      </c>
      <c r="G30" s="8" t="s">
        <v>17</v>
      </c>
      <c r="H30" s="8" t="s">
        <v>17</v>
      </c>
      <c r="I30" s="8" t="s">
        <v>17</v>
      </c>
      <c r="J30" s="8" t="s">
        <v>1620</v>
      </c>
    </row>
    <row r="31" spans="1:10" x14ac:dyDescent="0.25" outlineLevel="2" collapsed="1">
      <c r="A31" s="7" t="s">
        <v>15</v>
      </c>
      <c r="B31" s="7" t="s">
        <v>16</v>
      </c>
      <c r="C31" s="7" t="s">
        <v>17</v>
      </c>
      <c r="D31" s="7"/>
      <c r="E31" s="7" t="s">
        <v>1431</v>
      </c>
      <c r="F31" s="7" t="s">
        <v>19</v>
      </c>
      <c r="G31" s="7" t="s">
        <v>31</v>
      </c>
      <c r="H31" s="7" t="s">
        <v>17</v>
      </c>
      <c r="I31" s="7" t="s">
        <v>17</v>
      </c>
      <c r="J31" s="7" t="s">
        <v>637</v>
      </c>
    </row>
    <row r="32" spans="1:10" x14ac:dyDescent="0.25" outlineLevel="2" collapsed="1">
      <c r="A32" s="7" t="s">
        <v>15</v>
      </c>
      <c r="B32" s="7" t="s">
        <v>16</v>
      </c>
      <c r="C32" s="7" t="s">
        <v>17</v>
      </c>
      <c r="D32" s="7"/>
      <c r="E32" s="7" t="s">
        <v>638</v>
      </c>
      <c r="F32" s="7" t="s">
        <v>19</v>
      </c>
      <c r="G32" s="7" t="s">
        <v>31</v>
      </c>
      <c r="H32" s="7" t="s">
        <v>17</v>
      </c>
      <c r="I32" s="7" t="s">
        <v>17</v>
      </c>
      <c r="J32" s="7" t="s">
        <v>640</v>
      </c>
    </row>
    <row r="33" spans="1:10" x14ac:dyDescent="0.25" outlineLevel="2" collapsed="1">
      <c r="A33" s="7" t="s">
        <v>15</v>
      </c>
      <c r="B33" s="7" t="s">
        <v>16</v>
      </c>
      <c r="C33" s="7" t="s">
        <v>17</v>
      </c>
      <c r="D33" s="7"/>
      <c r="E33" s="7" t="s">
        <v>9</v>
      </c>
      <c r="F33" s="7" t="s">
        <v>19</v>
      </c>
      <c r="G33" s="7" t="s">
        <v>31</v>
      </c>
      <c r="H33" s="7" t="s">
        <v>17</v>
      </c>
      <c r="I33" s="7" t="s">
        <v>17</v>
      </c>
      <c r="J33" s="7" t="s">
        <v>843</v>
      </c>
    </row>
    <row r="34" spans="1:10" x14ac:dyDescent="0.25" outlineLevel="2" collapsed="1">
      <c r="A34" s="7" t="s">
        <v>19</v>
      </c>
      <c r="B34" s="7" t="s">
        <v>16</v>
      </c>
      <c r="C34" s="7" t="s">
        <v>17</v>
      </c>
      <c r="D34" s="7"/>
      <c r="E34" s="7" t="s">
        <v>1600</v>
      </c>
      <c r="F34" s="7" t="s">
        <v>19</v>
      </c>
      <c r="G34" s="7" t="s">
        <v>31</v>
      </c>
      <c r="H34" s="7" t="s">
        <v>17</v>
      </c>
      <c r="I34" s="7" t="s">
        <v>17</v>
      </c>
      <c r="J34" s="7" t="s">
        <v>1424</v>
      </c>
    </row>
    <row r="35" spans="1:10" x14ac:dyDescent="0.25" outlineLevel="2" collapsed="1">
      <c r="A35" s="7" t="s">
        <v>15</v>
      </c>
      <c r="B35" s="7" t="s">
        <v>16</v>
      </c>
      <c r="C35" s="7" t="s">
        <v>17</v>
      </c>
      <c r="D35" s="7"/>
      <c r="E35" s="7" t="s">
        <v>1601</v>
      </c>
      <c r="F35" s="7" t="s">
        <v>19</v>
      </c>
      <c r="G35" s="7" t="s">
        <v>31</v>
      </c>
      <c r="H35" s="7" t="s">
        <v>17</v>
      </c>
      <c r="I35" s="7" t="s">
        <v>17</v>
      </c>
      <c r="J35" s="7" t="s">
        <v>1602</v>
      </c>
    </row>
    <row r="36" spans="1:10" x14ac:dyDescent="0.25" outlineLevel="2" collapsed="1">
      <c r="A36" s="7" t="s">
        <v>15</v>
      </c>
      <c r="B36" s="7" t="s">
        <v>16</v>
      </c>
      <c r="C36" s="7" t="s">
        <v>17</v>
      </c>
      <c r="D36" s="7"/>
      <c r="E36" s="7" t="s">
        <v>1603</v>
      </c>
      <c r="F36" s="7" t="s">
        <v>19</v>
      </c>
      <c r="G36" s="7" t="s">
        <v>31</v>
      </c>
      <c r="H36" s="7" t="s">
        <v>17</v>
      </c>
      <c r="I36" s="7" t="s">
        <v>17</v>
      </c>
      <c r="J36" s="7" t="s">
        <v>1422</v>
      </c>
    </row>
    <row r="37" spans="1:10" x14ac:dyDescent="0.25" outlineLevel="2" collapsed="1">
      <c r="A37" s="7" t="s">
        <v>15</v>
      </c>
      <c r="B37" s="7" t="s">
        <v>284</v>
      </c>
      <c r="C37" s="11" t="s">
        <v>1604</v>
      </c>
      <c r="D37" s="7"/>
      <c r="E37" s="7" t="s">
        <v>1605</v>
      </c>
      <c r="F37" s="7" t="s">
        <v>19</v>
      </c>
      <c r="G37" s="7" t="s">
        <v>1606</v>
      </c>
      <c r="H37" s="7" t="s">
        <v>17</v>
      </c>
      <c r="I37" s="7" t="s">
        <v>17</v>
      </c>
      <c r="J37" s="7" t="s">
        <v>1607</v>
      </c>
    </row>
    <row r="38" spans="1:10" x14ac:dyDescent="0.25" outlineLevel="2" collapsed="1">
      <c r="A38" s="7" t="s">
        <v>19</v>
      </c>
      <c r="B38" s="7" t="s">
        <v>63</v>
      </c>
      <c r="C38" s="7" t="s">
        <v>17</v>
      </c>
      <c r="D38" s="7">
        <f>EXACT(G37,"Single value")</f>
      </c>
      <c r="E38" s="7" t="s">
        <v>1608</v>
      </c>
      <c r="F38" s="7" t="s">
        <v>19</v>
      </c>
      <c r="G38" s="7">
        <v>1</v>
      </c>
      <c r="H38" s="7" t="s">
        <v>17</v>
      </c>
      <c r="I38" s="7" t="s">
        <v>17</v>
      </c>
      <c r="J38" s="7" t="s">
        <v>1609</v>
      </c>
    </row>
    <row r="39" spans="1:10" x14ac:dyDescent="0.25" outlineLevel="2" collapsed="1">
      <c r="A39" s="7" t="s">
        <v>15</v>
      </c>
      <c r="B39" s="7" t="s">
        <v>16</v>
      </c>
      <c r="C39" s="7" t="s">
        <v>17</v>
      </c>
      <c r="D39" s="7"/>
      <c r="E39" s="7" t="s">
        <v>1610</v>
      </c>
      <c r="F39" s="7" t="s">
        <v>19</v>
      </c>
      <c r="G39" s="7" t="s">
        <v>31</v>
      </c>
      <c r="H39" s="7" t="s">
        <v>17</v>
      </c>
      <c r="I39" s="7" t="s">
        <v>17</v>
      </c>
      <c r="J39" s="7" t="s">
        <v>1191</v>
      </c>
    </row>
    <row r="40" spans="1:10" x14ac:dyDescent="0.25" outlineLevel="2" collapsed="1">
      <c r="A40" s="7" t="s">
        <v>15</v>
      </c>
      <c r="B40" s="7" t="s">
        <v>284</v>
      </c>
      <c r="C40" s="11" t="s">
        <v>1611</v>
      </c>
      <c r="D40" s="7"/>
      <c r="E40" s="7" t="s">
        <v>1612</v>
      </c>
      <c r="F40" s="7" t="s">
        <v>19</v>
      </c>
      <c r="G40" s="7" t="s">
        <v>1613</v>
      </c>
      <c r="H40" s="7" t="s">
        <v>17</v>
      </c>
      <c r="I40" s="7" t="s">
        <v>17</v>
      </c>
      <c r="J40" s="7" t="s">
        <v>1614</v>
      </c>
    </row>
    <row r="41" spans="1:10" x14ac:dyDescent="0.25" outlineLevel="2" collapsed="1">
      <c r="A41" s="7" t="s">
        <v>19</v>
      </c>
      <c r="B41" s="7" t="s">
        <v>16</v>
      </c>
      <c r="C41" s="7" t="s">
        <v>17</v>
      </c>
      <c r="D41" s="7"/>
      <c r="E41" s="7" t="s">
        <v>1615</v>
      </c>
      <c r="F41" s="7" t="s">
        <v>19</v>
      </c>
      <c r="G41" s="7" t="s">
        <v>31</v>
      </c>
      <c r="H41" s="7" t="s">
        <v>17</v>
      </c>
      <c r="I41" s="7" t="s">
        <v>17</v>
      </c>
      <c r="J41" s="7" t="s">
        <v>1616</v>
      </c>
    </row>
    <row r="42" spans="1:10" x14ac:dyDescent="0.25" outlineLevel="1" collapsed="1">
      <c r="A42" s="8" t="s">
        <v>19</v>
      </c>
      <c r="B42" s="9" t="s">
        <v>1597</v>
      </c>
      <c r="C42" s="8" t="s">
        <v>17</v>
      </c>
      <c r="D42" s="8"/>
      <c r="E42" s="8" t="s">
        <v>1621</v>
      </c>
      <c r="F42" s="8" t="s">
        <v>19</v>
      </c>
      <c r="G42" s="8" t="s">
        <v>17</v>
      </c>
      <c r="H42" s="8" t="s">
        <v>17</v>
      </c>
      <c r="I42" s="8" t="s">
        <v>17</v>
      </c>
      <c r="J42" s="8" t="s">
        <v>1622</v>
      </c>
    </row>
    <row r="43" spans="1:10" x14ac:dyDescent="0.25" outlineLevel="2" collapsed="1">
      <c r="A43" s="7" t="s">
        <v>15</v>
      </c>
      <c r="B43" s="7" t="s">
        <v>16</v>
      </c>
      <c r="C43" s="7" t="s">
        <v>17</v>
      </c>
      <c r="D43" s="7"/>
      <c r="E43" s="7" t="s">
        <v>1431</v>
      </c>
      <c r="F43" s="7" t="s">
        <v>19</v>
      </c>
      <c r="G43" s="7" t="s">
        <v>31</v>
      </c>
      <c r="H43" s="7" t="s">
        <v>17</v>
      </c>
      <c r="I43" s="7" t="s">
        <v>17</v>
      </c>
      <c r="J43" s="7" t="s">
        <v>637</v>
      </c>
    </row>
    <row r="44" spans="1:10" x14ac:dyDescent="0.25" outlineLevel="2" collapsed="1">
      <c r="A44" s="7" t="s">
        <v>15</v>
      </c>
      <c r="B44" s="7" t="s">
        <v>16</v>
      </c>
      <c r="C44" s="7" t="s">
        <v>17</v>
      </c>
      <c r="D44" s="7"/>
      <c r="E44" s="7" t="s">
        <v>638</v>
      </c>
      <c r="F44" s="7" t="s">
        <v>19</v>
      </c>
      <c r="G44" s="7" t="s">
        <v>31</v>
      </c>
      <c r="H44" s="7" t="s">
        <v>17</v>
      </c>
      <c r="I44" s="7" t="s">
        <v>17</v>
      </c>
      <c r="J44" s="7" t="s">
        <v>640</v>
      </c>
    </row>
    <row r="45" spans="1:10" x14ac:dyDescent="0.25" outlineLevel="2" collapsed="1">
      <c r="A45" s="7" t="s">
        <v>15</v>
      </c>
      <c r="B45" s="7" t="s">
        <v>16</v>
      </c>
      <c r="C45" s="7" t="s">
        <v>17</v>
      </c>
      <c r="D45" s="7"/>
      <c r="E45" s="7" t="s">
        <v>9</v>
      </c>
      <c r="F45" s="7" t="s">
        <v>19</v>
      </c>
      <c r="G45" s="7" t="s">
        <v>31</v>
      </c>
      <c r="H45" s="7" t="s">
        <v>17</v>
      </c>
      <c r="I45" s="7" t="s">
        <v>17</v>
      </c>
      <c r="J45" s="7" t="s">
        <v>843</v>
      </c>
    </row>
    <row r="46" spans="1:10" x14ac:dyDescent="0.25" outlineLevel="2" collapsed="1">
      <c r="A46" s="7" t="s">
        <v>19</v>
      </c>
      <c r="B46" s="7" t="s">
        <v>16</v>
      </c>
      <c r="C46" s="7" t="s">
        <v>17</v>
      </c>
      <c r="D46" s="7"/>
      <c r="E46" s="7" t="s">
        <v>1600</v>
      </c>
      <c r="F46" s="7" t="s">
        <v>19</v>
      </c>
      <c r="G46" s="7" t="s">
        <v>31</v>
      </c>
      <c r="H46" s="7" t="s">
        <v>17</v>
      </c>
      <c r="I46" s="7" t="s">
        <v>17</v>
      </c>
      <c r="J46" s="7" t="s">
        <v>1424</v>
      </c>
    </row>
    <row r="47" spans="1:10" x14ac:dyDescent="0.25" outlineLevel="2" collapsed="1">
      <c r="A47" s="7" t="s">
        <v>15</v>
      </c>
      <c r="B47" s="7" t="s">
        <v>16</v>
      </c>
      <c r="C47" s="7" t="s">
        <v>17</v>
      </c>
      <c r="D47" s="7"/>
      <c r="E47" s="7" t="s">
        <v>1601</v>
      </c>
      <c r="F47" s="7" t="s">
        <v>19</v>
      </c>
      <c r="G47" s="7" t="s">
        <v>31</v>
      </c>
      <c r="H47" s="7" t="s">
        <v>17</v>
      </c>
      <c r="I47" s="7" t="s">
        <v>17</v>
      </c>
      <c r="J47" s="7" t="s">
        <v>1602</v>
      </c>
    </row>
    <row r="48" spans="1:10" x14ac:dyDescent="0.25" outlineLevel="2" collapsed="1">
      <c r="A48" s="7" t="s">
        <v>15</v>
      </c>
      <c r="B48" s="7" t="s">
        <v>16</v>
      </c>
      <c r="C48" s="7" t="s">
        <v>17</v>
      </c>
      <c r="D48" s="7"/>
      <c r="E48" s="7" t="s">
        <v>1603</v>
      </c>
      <c r="F48" s="7" t="s">
        <v>19</v>
      </c>
      <c r="G48" s="7" t="s">
        <v>31</v>
      </c>
      <c r="H48" s="7" t="s">
        <v>17</v>
      </c>
      <c r="I48" s="7" t="s">
        <v>17</v>
      </c>
      <c r="J48" s="7" t="s">
        <v>1422</v>
      </c>
    </row>
    <row r="49" spans="1:10" x14ac:dyDescent="0.25" outlineLevel="2" collapsed="1">
      <c r="A49" s="7" t="s">
        <v>15</v>
      </c>
      <c r="B49" s="7" t="s">
        <v>284</v>
      </c>
      <c r="C49" s="11" t="s">
        <v>1604</v>
      </c>
      <c r="D49" s="7"/>
      <c r="E49" s="7" t="s">
        <v>1605</v>
      </c>
      <c r="F49" s="7" t="s">
        <v>19</v>
      </c>
      <c r="G49" s="7" t="s">
        <v>1606</v>
      </c>
      <c r="H49" s="7" t="s">
        <v>17</v>
      </c>
      <c r="I49" s="7" t="s">
        <v>17</v>
      </c>
      <c r="J49" s="7" t="s">
        <v>1607</v>
      </c>
    </row>
    <row r="50" spans="1:10" x14ac:dyDescent="0.25" outlineLevel="2" collapsed="1">
      <c r="A50" s="7" t="s">
        <v>19</v>
      </c>
      <c r="B50" s="7" t="s">
        <v>63</v>
      </c>
      <c r="C50" s="7" t="s">
        <v>17</v>
      </c>
      <c r="D50" s="7">
        <f>EXACT(G49,"Single value")</f>
      </c>
      <c r="E50" s="7" t="s">
        <v>1608</v>
      </c>
      <c r="F50" s="7" t="s">
        <v>19</v>
      </c>
      <c r="G50" s="7">
        <v>1</v>
      </c>
      <c r="H50" s="7" t="s">
        <v>17</v>
      </c>
      <c r="I50" s="7" t="s">
        <v>17</v>
      </c>
      <c r="J50" s="7" t="s">
        <v>1609</v>
      </c>
    </row>
    <row r="51" spans="1:10" x14ac:dyDescent="0.25" outlineLevel="2" collapsed="1">
      <c r="A51" s="7" t="s">
        <v>15</v>
      </c>
      <c r="B51" s="7" t="s">
        <v>16</v>
      </c>
      <c r="C51" s="7" t="s">
        <v>17</v>
      </c>
      <c r="D51" s="7"/>
      <c r="E51" s="7" t="s">
        <v>1610</v>
      </c>
      <c r="F51" s="7" t="s">
        <v>19</v>
      </c>
      <c r="G51" s="7" t="s">
        <v>31</v>
      </c>
      <c r="H51" s="7" t="s">
        <v>17</v>
      </c>
      <c r="I51" s="7" t="s">
        <v>17</v>
      </c>
      <c r="J51" s="7" t="s">
        <v>1191</v>
      </c>
    </row>
    <row r="52" spans="1:10" x14ac:dyDescent="0.25" outlineLevel="2" collapsed="1">
      <c r="A52" s="7" t="s">
        <v>15</v>
      </c>
      <c r="B52" s="7" t="s">
        <v>284</v>
      </c>
      <c r="C52" s="11" t="s">
        <v>1611</v>
      </c>
      <c r="D52" s="7"/>
      <c r="E52" s="7" t="s">
        <v>1612</v>
      </c>
      <c r="F52" s="7" t="s">
        <v>19</v>
      </c>
      <c r="G52" s="7" t="s">
        <v>1613</v>
      </c>
      <c r="H52" s="7" t="s">
        <v>17</v>
      </c>
      <c r="I52" s="7" t="s">
        <v>17</v>
      </c>
      <c r="J52" s="7" t="s">
        <v>1614</v>
      </c>
    </row>
    <row r="53" spans="1:10" x14ac:dyDescent="0.25" outlineLevel="2" collapsed="1">
      <c r="A53" s="7" t="s">
        <v>19</v>
      </c>
      <c r="B53" s="7" t="s">
        <v>16</v>
      </c>
      <c r="C53" s="7" t="s">
        <v>17</v>
      </c>
      <c r="D53" s="7"/>
      <c r="E53" s="7" t="s">
        <v>1615</v>
      </c>
      <c r="F53" s="7" t="s">
        <v>19</v>
      </c>
      <c r="G53" s="7" t="s">
        <v>31</v>
      </c>
      <c r="H53" s="7" t="s">
        <v>17</v>
      </c>
      <c r="I53" s="7" t="s">
        <v>17</v>
      </c>
      <c r="J53" s="7" t="s">
        <v>1616</v>
      </c>
    </row>
    <row r="54" spans="1:10" x14ac:dyDescent="0.25" outlineLevel="1" collapsed="1">
      <c r="A54" s="8" t="s">
        <v>15</v>
      </c>
      <c r="B54" s="9" t="s">
        <v>1597</v>
      </c>
      <c r="C54" s="8" t="s">
        <v>17</v>
      </c>
      <c r="D54" s="8"/>
      <c r="E54" s="8" t="s">
        <v>1623</v>
      </c>
      <c r="F54" s="8" t="s">
        <v>19</v>
      </c>
      <c r="G54" s="8" t="s">
        <v>17</v>
      </c>
      <c r="H54" s="8" t="s">
        <v>17</v>
      </c>
      <c r="I54" s="8" t="s">
        <v>17</v>
      </c>
      <c r="J54" s="8" t="s">
        <v>1624</v>
      </c>
    </row>
    <row r="55" spans="1:10" x14ac:dyDescent="0.25" outlineLevel="2" collapsed="1">
      <c r="A55" s="7" t="s">
        <v>15</v>
      </c>
      <c r="B55" s="7" t="s">
        <v>16</v>
      </c>
      <c r="C55" s="7" t="s">
        <v>17</v>
      </c>
      <c r="D55" s="7"/>
      <c r="E55" s="7" t="s">
        <v>1431</v>
      </c>
      <c r="F55" s="7" t="s">
        <v>19</v>
      </c>
      <c r="G55" s="7" t="s">
        <v>31</v>
      </c>
      <c r="H55" s="7" t="s">
        <v>17</v>
      </c>
      <c r="I55" s="7" t="s">
        <v>17</v>
      </c>
      <c r="J55" s="7" t="s">
        <v>637</v>
      </c>
    </row>
    <row r="56" spans="1:10" x14ac:dyDescent="0.25" outlineLevel="2" collapsed="1">
      <c r="A56" s="7" t="s">
        <v>15</v>
      </c>
      <c r="B56" s="7" t="s">
        <v>16</v>
      </c>
      <c r="C56" s="7" t="s">
        <v>17</v>
      </c>
      <c r="D56" s="7"/>
      <c r="E56" s="7" t="s">
        <v>638</v>
      </c>
      <c r="F56" s="7" t="s">
        <v>19</v>
      </c>
      <c r="G56" s="7" t="s">
        <v>31</v>
      </c>
      <c r="H56" s="7" t="s">
        <v>17</v>
      </c>
      <c r="I56" s="7" t="s">
        <v>17</v>
      </c>
      <c r="J56" s="7" t="s">
        <v>640</v>
      </c>
    </row>
    <row r="57" spans="1:10" x14ac:dyDescent="0.25" outlineLevel="2" collapsed="1">
      <c r="A57" s="7" t="s">
        <v>15</v>
      </c>
      <c r="B57" s="7" t="s">
        <v>16</v>
      </c>
      <c r="C57" s="7" t="s">
        <v>17</v>
      </c>
      <c r="D57" s="7"/>
      <c r="E57" s="7" t="s">
        <v>9</v>
      </c>
      <c r="F57" s="7" t="s">
        <v>19</v>
      </c>
      <c r="G57" s="7" t="s">
        <v>31</v>
      </c>
      <c r="H57" s="7" t="s">
        <v>17</v>
      </c>
      <c r="I57" s="7" t="s">
        <v>17</v>
      </c>
      <c r="J57" s="7" t="s">
        <v>843</v>
      </c>
    </row>
    <row r="58" spans="1:10" x14ac:dyDescent="0.25" outlineLevel="2" collapsed="1">
      <c r="A58" s="7" t="s">
        <v>19</v>
      </c>
      <c r="B58" s="7" t="s">
        <v>16</v>
      </c>
      <c r="C58" s="7" t="s">
        <v>17</v>
      </c>
      <c r="D58" s="7"/>
      <c r="E58" s="7" t="s">
        <v>1600</v>
      </c>
      <c r="F58" s="7" t="s">
        <v>19</v>
      </c>
      <c r="G58" s="7" t="s">
        <v>31</v>
      </c>
      <c r="H58" s="7" t="s">
        <v>17</v>
      </c>
      <c r="I58" s="7" t="s">
        <v>17</v>
      </c>
      <c r="J58" s="7" t="s">
        <v>1424</v>
      </c>
    </row>
    <row r="59" spans="1:10" x14ac:dyDescent="0.25" outlineLevel="2" collapsed="1">
      <c r="A59" s="7" t="s">
        <v>15</v>
      </c>
      <c r="B59" s="7" t="s">
        <v>16</v>
      </c>
      <c r="C59" s="7" t="s">
        <v>17</v>
      </c>
      <c r="D59" s="7"/>
      <c r="E59" s="7" t="s">
        <v>1601</v>
      </c>
      <c r="F59" s="7" t="s">
        <v>19</v>
      </c>
      <c r="G59" s="7" t="s">
        <v>31</v>
      </c>
      <c r="H59" s="7" t="s">
        <v>17</v>
      </c>
      <c r="I59" s="7" t="s">
        <v>17</v>
      </c>
      <c r="J59" s="7" t="s">
        <v>1602</v>
      </c>
    </row>
    <row r="60" spans="1:10" x14ac:dyDescent="0.25" outlineLevel="2" collapsed="1">
      <c r="A60" s="7" t="s">
        <v>15</v>
      </c>
      <c r="B60" s="7" t="s">
        <v>16</v>
      </c>
      <c r="C60" s="7" t="s">
        <v>17</v>
      </c>
      <c r="D60" s="7"/>
      <c r="E60" s="7" t="s">
        <v>1603</v>
      </c>
      <c r="F60" s="7" t="s">
        <v>19</v>
      </c>
      <c r="G60" s="7" t="s">
        <v>31</v>
      </c>
      <c r="H60" s="7" t="s">
        <v>17</v>
      </c>
      <c r="I60" s="7" t="s">
        <v>17</v>
      </c>
      <c r="J60" s="7" t="s">
        <v>1422</v>
      </c>
    </row>
    <row r="61" spans="1:10" x14ac:dyDescent="0.25" outlineLevel="2" collapsed="1">
      <c r="A61" s="7" t="s">
        <v>15</v>
      </c>
      <c r="B61" s="7" t="s">
        <v>284</v>
      </c>
      <c r="C61" s="11" t="s">
        <v>1604</v>
      </c>
      <c r="D61" s="7"/>
      <c r="E61" s="7" t="s">
        <v>1605</v>
      </c>
      <c r="F61" s="7" t="s">
        <v>19</v>
      </c>
      <c r="G61" s="7" t="s">
        <v>1606</v>
      </c>
      <c r="H61" s="7" t="s">
        <v>17</v>
      </c>
      <c r="I61" s="7" t="s">
        <v>17</v>
      </c>
      <c r="J61" s="7" t="s">
        <v>1607</v>
      </c>
    </row>
    <row r="62" spans="1:10" x14ac:dyDescent="0.25" outlineLevel="2" collapsed="1">
      <c r="A62" s="7" t="s">
        <v>19</v>
      </c>
      <c r="B62" s="7" t="s">
        <v>63</v>
      </c>
      <c r="C62" s="7" t="s">
        <v>17</v>
      </c>
      <c r="D62" s="7">
        <f>EXACT(G61,"Single value")</f>
      </c>
      <c r="E62" s="7" t="s">
        <v>1608</v>
      </c>
      <c r="F62" s="7" t="s">
        <v>19</v>
      </c>
      <c r="G62" s="7">
        <v>1</v>
      </c>
      <c r="H62" s="7" t="s">
        <v>17</v>
      </c>
      <c r="I62" s="7" t="s">
        <v>17</v>
      </c>
      <c r="J62" s="7" t="s">
        <v>1609</v>
      </c>
    </row>
    <row r="63" spans="1:10" x14ac:dyDescent="0.25" outlineLevel="2" collapsed="1">
      <c r="A63" s="7" t="s">
        <v>15</v>
      </c>
      <c r="B63" s="7" t="s">
        <v>16</v>
      </c>
      <c r="C63" s="7" t="s">
        <v>17</v>
      </c>
      <c r="D63" s="7"/>
      <c r="E63" s="7" t="s">
        <v>1610</v>
      </c>
      <c r="F63" s="7" t="s">
        <v>19</v>
      </c>
      <c r="G63" s="7" t="s">
        <v>31</v>
      </c>
      <c r="H63" s="7" t="s">
        <v>17</v>
      </c>
      <c r="I63" s="7" t="s">
        <v>17</v>
      </c>
      <c r="J63" s="7" t="s">
        <v>1191</v>
      </c>
    </row>
    <row r="64" spans="1:10" x14ac:dyDescent="0.25" outlineLevel="2" collapsed="1">
      <c r="A64" s="7" t="s">
        <v>15</v>
      </c>
      <c r="B64" s="7" t="s">
        <v>284</v>
      </c>
      <c r="C64" s="11" t="s">
        <v>1611</v>
      </c>
      <c r="D64" s="7"/>
      <c r="E64" s="7" t="s">
        <v>1612</v>
      </c>
      <c r="F64" s="7" t="s">
        <v>19</v>
      </c>
      <c r="G64" s="7" t="s">
        <v>1613</v>
      </c>
      <c r="H64" s="7" t="s">
        <v>17</v>
      </c>
      <c r="I64" s="7" t="s">
        <v>17</v>
      </c>
      <c r="J64" s="7" t="s">
        <v>1614</v>
      </c>
    </row>
    <row r="65" spans="1:10" x14ac:dyDescent="0.25" outlineLevel="2" collapsed="1">
      <c r="A65" s="7" t="s">
        <v>19</v>
      </c>
      <c r="B65" s="7" t="s">
        <v>16</v>
      </c>
      <c r="C65" s="7" t="s">
        <v>17</v>
      </c>
      <c r="D65" s="7"/>
      <c r="E65" s="7" t="s">
        <v>1615</v>
      </c>
      <c r="F65" s="7" t="s">
        <v>19</v>
      </c>
      <c r="G65" s="7" t="s">
        <v>31</v>
      </c>
      <c r="H65" s="7" t="s">
        <v>17</v>
      </c>
      <c r="I65" s="7" t="s">
        <v>17</v>
      </c>
      <c r="J65" s="7" t="s">
        <v>1616</v>
      </c>
    </row>
    <row r="66" spans="1:10" x14ac:dyDescent="0.25" outlineLevel="1" collapsed="1">
      <c r="A66" s="8" t="s">
        <v>15</v>
      </c>
      <c r="B66" s="9" t="s">
        <v>1597</v>
      </c>
      <c r="C66" s="8" t="s">
        <v>17</v>
      </c>
      <c r="D66" s="8"/>
      <c r="E66" s="8" t="s">
        <v>1625</v>
      </c>
      <c r="F66" s="8" t="s">
        <v>19</v>
      </c>
      <c r="G66" s="8" t="s">
        <v>17</v>
      </c>
      <c r="H66" s="8" t="s">
        <v>17</v>
      </c>
      <c r="I66" s="8" t="s">
        <v>17</v>
      </c>
      <c r="J66" s="8" t="s">
        <v>1626</v>
      </c>
    </row>
    <row r="67" spans="1:10" x14ac:dyDescent="0.25" outlineLevel="2" collapsed="1">
      <c r="A67" s="7" t="s">
        <v>15</v>
      </c>
      <c r="B67" s="7" t="s">
        <v>16</v>
      </c>
      <c r="C67" s="7" t="s">
        <v>17</v>
      </c>
      <c r="D67" s="7"/>
      <c r="E67" s="7" t="s">
        <v>1431</v>
      </c>
      <c r="F67" s="7" t="s">
        <v>19</v>
      </c>
      <c r="G67" s="7" t="s">
        <v>31</v>
      </c>
      <c r="H67" s="7" t="s">
        <v>17</v>
      </c>
      <c r="I67" s="7" t="s">
        <v>17</v>
      </c>
      <c r="J67" s="7" t="s">
        <v>637</v>
      </c>
    </row>
    <row r="68" spans="1:10" x14ac:dyDescent="0.25" outlineLevel="2" collapsed="1">
      <c r="A68" s="7" t="s">
        <v>15</v>
      </c>
      <c r="B68" s="7" t="s">
        <v>16</v>
      </c>
      <c r="C68" s="7" t="s">
        <v>17</v>
      </c>
      <c r="D68" s="7"/>
      <c r="E68" s="7" t="s">
        <v>638</v>
      </c>
      <c r="F68" s="7" t="s">
        <v>19</v>
      </c>
      <c r="G68" s="7" t="s">
        <v>31</v>
      </c>
      <c r="H68" s="7" t="s">
        <v>17</v>
      </c>
      <c r="I68" s="7" t="s">
        <v>17</v>
      </c>
      <c r="J68" s="7" t="s">
        <v>640</v>
      </c>
    </row>
    <row r="69" spans="1:10" x14ac:dyDescent="0.25" outlineLevel="2" collapsed="1">
      <c r="A69" s="7" t="s">
        <v>15</v>
      </c>
      <c r="B69" s="7" t="s">
        <v>16</v>
      </c>
      <c r="C69" s="7" t="s">
        <v>17</v>
      </c>
      <c r="D69" s="7"/>
      <c r="E69" s="7" t="s">
        <v>9</v>
      </c>
      <c r="F69" s="7" t="s">
        <v>19</v>
      </c>
      <c r="G69" s="7" t="s">
        <v>31</v>
      </c>
      <c r="H69" s="7" t="s">
        <v>17</v>
      </c>
      <c r="I69" s="7" t="s">
        <v>17</v>
      </c>
      <c r="J69" s="7" t="s">
        <v>843</v>
      </c>
    </row>
    <row r="70" spans="1:10" x14ac:dyDescent="0.25" outlineLevel="2" collapsed="1">
      <c r="A70" s="7" t="s">
        <v>19</v>
      </c>
      <c r="B70" s="7" t="s">
        <v>16</v>
      </c>
      <c r="C70" s="7" t="s">
        <v>17</v>
      </c>
      <c r="D70" s="7"/>
      <c r="E70" s="7" t="s">
        <v>1600</v>
      </c>
      <c r="F70" s="7" t="s">
        <v>19</v>
      </c>
      <c r="G70" s="7" t="s">
        <v>31</v>
      </c>
      <c r="H70" s="7" t="s">
        <v>17</v>
      </c>
      <c r="I70" s="7" t="s">
        <v>17</v>
      </c>
      <c r="J70" s="7" t="s">
        <v>1424</v>
      </c>
    </row>
    <row r="71" spans="1:10" x14ac:dyDescent="0.25" outlineLevel="2" collapsed="1">
      <c r="A71" s="7" t="s">
        <v>15</v>
      </c>
      <c r="B71" s="7" t="s">
        <v>16</v>
      </c>
      <c r="C71" s="7" t="s">
        <v>17</v>
      </c>
      <c r="D71" s="7"/>
      <c r="E71" s="7" t="s">
        <v>1601</v>
      </c>
      <c r="F71" s="7" t="s">
        <v>19</v>
      </c>
      <c r="G71" s="7" t="s">
        <v>31</v>
      </c>
      <c r="H71" s="7" t="s">
        <v>17</v>
      </c>
      <c r="I71" s="7" t="s">
        <v>17</v>
      </c>
      <c r="J71" s="7" t="s">
        <v>1602</v>
      </c>
    </row>
    <row r="72" spans="1:10" x14ac:dyDescent="0.25" outlineLevel="2" collapsed="1">
      <c r="A72" s="7" t="s">
        <v>15</v>
      </c>
      <c r="B72" s="7" t="s">
        <v>16</v>
      </c>
      <c r="C72" s="7" t="s">
        <v>17</v>
      </c>
      <c r="D72" s="7"/>
      <c r="E72" s="7" t="s">
        <v>1603</v>
      </c>
      <c r="F72" s="7" t="s">
        <v>19</v>
      </c>
      <c r="G72" s="7" t="s">
        <v>31</v>
      </c>
      <c r="H72" s="7" t="s">
        <v>17</v>
      </c>
      <c r="I72" s="7" t="s">
        <v>17</v>
      </c>
      <c r="J72" s="7" t="s">
        <v>1422</v>
      </c>
    </row>
    <row r="73" spans="1:10" x14ac:dyDescent="0.25" outlineLevel="2" collapsed="1">
      <c r="A73" s="7" t="s">
        <v>15</v>
      </c>
      <c r="B73" s="7" t="s">
        <v>284</v>
      </c>
      <c r="C73" s="11" t="s">
        <v>1604</v>
      </c>
      <c r="D73" s="7"/>
      <c r="E73" s="7" t="s">
        <v>1605</v>
      </c>
      <c r="F73" s="7" t="s">
        <v>19</v>
      </c>
      <c r="G73" s="7" t="s">
        <v>1606</v>
      </c>
      <c r="H73" s="7" t="s">
        <v>17</v>
      </c>
      <c r="I73" s="7" t="s">
        <v>17</v>
      </c>
      <c r="J73" s="7" t="s">
        <v>1607</v>
      </c>
    </row>
    <row r="74" spans="1:10" x14ac:dyDescent="0.25" outlineLevel="2" collapsed="1">
      <c r="A74" s="7" t="s">
        <v>19</v>
      </c>
      <c r="B74" s="7" t="s">
        <v>63</v>
      </c>
      <c r="C74" s="7" t="s">
        <v>17</v>
      </c>
      <c r="D74" s="7">
        <f>EXACT(G73,"Single value")</f>
      </c>
      <c r="E74" s="7" t="s">
        <v>1608</v>
      </c>
      <c r="F74" s="7" t="s">
        <v>19</v>
      </c>
      <c r="G74" s="7">
        <v>1</v>
      </c>
      <c r="H74" s="7" t="s">
        <v>17</v>
      </c>
      <c r="I74" s="7" t="s">
        <v>17</v>
      </c>
      <c r="J74" s="7" t="s">
        <v>1609</v>
      </c>
    </row>
    <row r="75" spans="1:10" x14ac:dyDescent="0.25" outlineLevel="2" collapsed="1">
      <c r="A75" s="7" t="s">
        <v>15</v>
      </c>
      <c r="B75" s="7" t="s">
        <v>16</v>
      </c>
      <c r="C75" s="7" t="s">
        <v>17</v>
      </c>
      <c r="D75" s="7"/>
      <c r="E75" s="7" t="s">
        <v>1610</v>
      </c>
      <c r="F75" s="7" t="s">
        <v>19</v>
      </c>
      <c r="G75" s="7" t="s">
        <v>31</v>
      </c>
      <c r="H75" s="7" t="s">
        <v>17</v>
      </c>
      <c r="I75" s="7" t="s">
        <v>17</v>
      </c>
      <c r="J75" s="7" t="s">
        <v>1191</v>
      </c>
    </row>
    <row r="76" spans="1:10" x14ac:dyDescent="0.25" outlineLevel="2" collapsed="1">
      <c r="A76" s="7" t="s">
        <v>15</v>
      </c>
      <c r="B76" s="7" t="s">
        <v>284</v>
      </c>
      <c r="C76" s="11" t="s">
        <v>1611</v>
      </c>
      <c r="D76" s="7"/>
      <c r="E76" s="7" t="s">
        <v>1612</v>
      </c>
      <c r="F76" s="7" t="s">
        <v>19</v>
      </c>
      <c r="G76" s="7" t="s">
        <v>1613</v>
      </c>
      <c r="H76" s="7" t="s">
        <v>17</v>
      </c>
      <c r="I76" s="7" t="s">
        <v>17</v>
      </c>
      <c r="J76" s="7" t="s">
        <v>1614</v>
      </c>
    </row>
    <row r="77" spans="1:10" x14ac:dyDescent="0.25" outlineLevel="2" collapsed="1">
      <c r="A77" s="7" t="s">
        <v>19</v>
      </c>
      <c r="B77" s="7" t="s">
        <v>16</v>
      </c>
      <c r="C77" s="7" t="s">
        <v>17</v>
      </c>
      <c r="D77" s="7"/>
      <c r="E77" s="7" t="s">
        <v>1615</v>
      </c>
      <c r="F77" s="7" t="s">
        <v>19</v>
      </c>
      <c r="G77" s="7" t="s">
        <v>31</v>
      </c>
      <c r="H77" s="7" t="s">
        <v>17</v>
      </c>
      <c r="I77" s="7" t="s">
        <v>17</v>
      </c>
      <c r="J77" s="7" t="s">
        <v>1616</v>
      </c>
    </row>
    <row r="78" spans="1:10" x14ac:dyDescent="0.25" outlineLevel="1" collapsed="1">
      <c r="A78" s="8" t="s">
        <v>19</v>
      </c>
      <c r="B78" s="9" t="s">
        <v>1597</v>
      </c>
      <c r="C78" s="8" t="s">
        <v>17</v>
      </c>
      <c r="D78" s="8"/>
      <c r="E78" s="8" t="s">
        <v>1627</v>
      </c>
      <c r="F78" s="8" t="s">
        <v>19</v>
      </c>
      <c r="G78" s="8" t="s">
        <v>17</v>
      </c>
      <c r="H78" s="8" t="s">
        <v>17</v>
      </c>
      <c r="I78" s="8" t="s">
        <v>17</v>
      </c>
      <c r="J78" s="8" t="s">
        <v>1628</v>
      </c>
    </row>
    <row r="79" spans="1:10" x14ac:dyDescent="0.25" outlineLevel="2" collapsed="1">
      <c r="A79" s="7" t="s">
        <v>15</v>
      </c>
      <c r="B79" s="7" t="s">
        <v>16</v>
      </c>
      <c r="C79" s="7" t="s">
        <v>17</v>
      </c>
      <c r="D79" s="7"/>
      <c r="E79" s="7" t="s">
        <v>1431</v>
      </c>
      <c r="F79" s="7" t="s">
        <v>19</v>
      </c>
      <c r="G79" s="7" t="s">
        <v>31</v>
      </c>
      <c r="H79" s="7" t="s">
        <v>17</v>
      </c>
      <c r="I79" s="7" t="s">
        <v>17</v>
      </c>
      <c r="J79" s="7" t="s">
        <v>637</v>
      </c>
    </row>
    <row r="80" spans="1:10" x14ac:dyDescent="0.25" outlineLevel="2" collapsed="1">
      <c r="A80" s="7" t="s">
        <v>15</v>
      </c>
      <c r="B80" s="7" t="s">
        <v>16</v>
      </c>
      <c r="C80" s="7" t="s">
        <v>17</v>
      </c>
      <c r="D80" s="7"/>
      <c r="E80" s="7" t="s">
        <v>638</v>
      </c>
      <c r="F80" s="7" t="s">
        <v>19</v>
      </c>
      <c r="G80" s="7" t="s">
        <v>31</v>
      </c>
      <c r="H80" s="7" t="s">
        <v>17</v>
      </c>
      <c r="I80" s="7" t="s">
        <v>17</v>
      </c>
      <c r="J80" s="7" t="s">
        <v>640</v>
      </c>
    </row>
    <row r="81" spans="1:10" x14ac:dyDescent="0.25" outlineLevel="2" collapsed="1">
      <c r="A81" s="7" t="s">
        <v>15</v>
      </c>
      <c r="B81" s="7" t="s">
        <v>16</v>
      </c>
      <c r="C81" s="7" t="s">
        <v>17</v>
      </c>
      <c r="D81" s="7"/>
      <c r="E81" s="7" t="s">
        <v>9</v>
      </c>
      <c r="F81" s="7" t="s">
        <v>19</v>
      </c>
      <c r="G81" s="7" t="s">
        <v>31</v>
      </c>
      <c r="H81" s="7" t="s">
        <v>17</v>
      </c>
      <c r="I81" s="7" t="s">
        <v>17</v>
      </c>
      <c r="J81" s="7" t="s">
        <v>843</v>
      </c>
    </row>
    <row r="82" spans="1:10" x14ac:dyDescent="0.25" outlineLevel="2" collapsed="1">
      <c r="A82" s="7" t="s">
        <v>19</v>
      </c>
      <c r="B82" s="7" t="s">
        <v>16</v>
      </c>
      <c r="C82" s="7" t="s">
        <v>17</v>
      </c>
      <c r="D82" s="7"/>
      <c r="E82" s="7" t="s">
        <v>1600</v>
      </c>
      <c r="F82" s="7" t="s">
        <v>19</v>
      </c>
      <c r="G82" s="7" t="s">
        <v>31</v>
      </c>
      <c r="H82" s="7" t="s">
        <v>17</v>
      </c>
      <c r="I82" s="7" t="s">
        <v>17</v>
      </c>
      <c r="J82" s="7" t="s">
        <v>1424</v>
      </c>
    </row>
    <row r="83" spans="1:10" x14ac:dyDescent="0.25" outlineLevel="2" collapsed="1">
      <c r="A83" s="7" t="s">
        <v>15</v>
      </c>
      <c r="B83" s="7" t="s">
        <v>16</v>
      </c>
      <c r="C83" s="7" t="s">
        <v>17</v>
      </c>
      <c r="D83" s="7"/>
      <c r="E83" s="7" t="s">
        <v>1601</v>
      </c>
      <c r="F83" s="7" t="s">
        <v>19</v>
      </c>
      <c r="G83" s="7" t="s">
        <v>31</v>
      </c>
      <c r="H83" s="7" t="s">
        <v>17</v>
      </c>
      <c r="I83" s="7" t="s">
        <v>17</v>
      </c>
      <c r="J83" s="7" t="s">
        <v>1602</v>
      </c>
    </row>
    <row r="84" spans="1:10" x14ac:dyDescent="0.25" outlineLevel="2" collapsed="1">
      <c r="A84" s="7" t="s">
        <v>15</v>
      </c>
      <c r="B84" s="7" t="s">
        <v>16</v>
      </c>
      <c r="C84" s="7" t="s">
        <v>17</v>
      </c>
      <c r="D84" s="7"/>
      <c r="E84" s="7" t="s">
        <v>1603</v>
      </c>
      <c r="F84" s="7" t="s">
        <v>19</v>
      </c>
      <c r="G84" s="7" t="s">
        <v>31</v>
      </c>
      <c r="H84" s="7" t="s">
        <v>17</v>
      </c>
      <c r="I84" s="7" t="s">
        <v>17</v>
      </c>
      <c r="J84" s="7" t="s">
        <v>1422</v>
      </c>
    </row>
    <row r="85" spans="1:10" x14ac:dyDescent="0.25" outlineLevel="2" collapsed="1">
      <c r="A85" s="7" t="s">
        <v>15</v>
      </c>
      <c r="B85" s="7" t="s">
        <v>284</v>
      </c>
      <c r="C85" s="11" t="s">
        <v>1604</v>
      </c>
      <c r="D85" s="7"/>
      <c r="E85" s="7" t="s">
        <v>1605</v>
      </c>
      <c r="F85" s="7" t="s">
        <v>19</v>
      </c>
      <c r="G85" s="7" t="s">
        <v>1606</v>
      </c>
      <c r="H85" s="7" t="s">
        <v>17</v>
      </c>
      <c r="I85" s="7" t="s">
        <v>17</v>
      </c>
      <c r="J85" s="7" t="s">
        <v>1607</v>
      </c>
    </row>
    <row r="86" spans="1:10" x14ac:dyDescent="0.25" outlineLevel="2" collapsed="1">
      <c r="A86" s="7" t="s">
        <v>19</v>
      </c>
      <c r="B86" s="7" t="s">
        <v>63</v>
      </c>
      <c r="C86" s="7" t="s">
        <v>17</v>
      </c>
      <c r="D86" s="7">
        <f>EXACT(G85,"Single value")</f>
      </c>
      <c r="E86" s="7" t="s">
        <v>1608</v>
      </c>
      <c r="F86" s="7" t="s">
        <v>19</v>
      </c>
      <c r="G86" s="7">
        <v>1</v>
      </c>
      <c r="H86" s="7" t="s">
        <v>17</v>
      </c>
      <c r="I86" s="7" t="s">
        <v>17</v>
      </c>
      <c r="J86" s="7" t="s">
        <v>1609</v>
      </c>
    </row>
    <row r="87" spans="1:10" x14ac:dyDescent="0.25" outlineLevel="2" collapsed="1">
      <c r="A87" s="7" t="s">
        <v>15</v>
      </c>
      <c r="B87" s="7" t="s">
        <v>16</v>
      </c>
      <c r="C87" s="7" t="s">
        <v>17</v>
      </c>
      <c r="D87" s="7"/>
      <c r="E87" s="7" t="s">
        <v>1610</v>
      </c>
      <c r="F87" s="7" t="s">
        <v>19</v>
      </c>
      <c r="G87" s="7" t="s">
        <v>31</v>
      </c>
      <c r="H87" s="7" t="s">
        <v>17</v>
      </c>
      <c r="I87" s="7" t="s">
        <v>17</v>
      </c>
      <c r="J87" s="7" t="s">
        <v>1191</v>
      </c>
    </row>
    <row r="88" spans="1:10" x14ac:dyDescent="0.25" outlineLevel="2" collapsed="1">
      <c r="A88" s="7" t="s">
        <v>15</v>
      </c>
      <c r="B88" s="7" t="s">
        <v>284</v>
      </c>
      <c r="C88" s="11" t="s">
        <v>1611</v>
      </c>
      <c r="D88" s="7"/>
      <c r="E88" s="7" t="s">
        <v>1612</v>
      </c>
      <c r="F88" s="7" t="s">
        <v>19</v>
      </c>
      <c r="G88" s="7" t="s">
        <v>1613</v>
      </c>
      <c r="H88" s="7" t="s">
        <v>17</v>
      </c>
      <c r="I88" s="7" t="s">
        <v>17</v>
      </c>
      <c r="J88" s="7" t="s">
        <v>1614</v>
      </c>
    </row>
    <row r="89" spans="1:10" x14ac:dyDescent="0.25" outlineLevel="2" collapsed="1">
      <c r="A89" s="7" t="s">
        <v>19</v>
      </c>
      <c r="B89" s="7" t="s">
        <v>16</v>
      </c>
      <c r="C89" s="7" t="s">
        <v>17</v>
      </c>
      <c r="D89" s="7"/>
      <c r="E89" s="7" t="s">
        <v>1615</v>
      </c>
      <c r="F89" s="7" t="s">
        <v>19</v>
      </c>
      <c r="G89" s="7" t="s">
        <v>31</v>
      </c>
      <c r="H89" s="7" t="s">
        <v>17</v>
      </c>
      <c r="I89" s="7" t="s">
        <v>17</v>
      </c>
      <c r="J89" s="7" t="s">
        <v>1616</v>
      </c>
    </row>
    <row r="90" spans="1:10" x14ac:dyDescent="0.25" outlineLevel="1" collapsed="1">
      <c r="A90" s="8" t="s">
        <v>19</v>
      </c>
      <c r="B90" s="9" t="s">
        <v>1597</v>
      </c>
      <c r="C90" s="8" t="s">
        <v>17</v>
      </c>
      <c r="D90" s="8"/>
      <c r="E90" s="8" t="s">
        <v>1629</v>
      </c>
      <c r="F90" s="8" t="s">
        <v>19</v>
      </c>
      <c r="G90" s="8" t="s">
        <v>17</v>
      </c>
      <c r="H90" s="8" t="s">
        <v>17</v>
      </c>
      <c r="I90" s="8" t="s">
        <v>17</v>
      </c>
      <c r="J90" s="8" t="s">
        <v>1630</v>
      </c>
    </row>
    <row r="91" spans="1:10" x14ac:dyDescent="0.25" outlineLevel="2" collapsed="1">
      <c r="A91" s="7" t="s">
        <v>15</v>
      </c>
      <c r="B91" s="7" t="s">
        <v>16</v>
      </c>
      <c r="C91" s="7" t="s">
        <v>17</v>
      </c>
      <c r="D91" s="7"/>
      <c r="E91" s="7" t="s">
        <v>1431</v>
      </c>
      <c r="F91" s="7" t="s">
        <v>19</v>
      </c>
      <c r="G91" s="7" t="s">
        <v>31</v>
      </c>
      <c r="H91" s="7" t="s">
        <v>17</v>
      </c>
      <c r="I91" s="7" t="s">
        <v>17</v>
      </c>
      <c r="J91" s="7" t="s">
        <v>637</v>
      </c>
    </row>
    <row r="92" spans="1:10" x14ac:dyDescent="0.25" outlineLevel="2" collapsed="1">
      <c r="A92" s="7" t="s">
        <v>15</v>
      </c>
      <c r="B92" s="7" t="s">
        <v>16</v>
      </c>
      <c r="C92" s="7" t="s">
        <v>17</v>
      </c>
      <c r="D92" s="7"/>
      <c r="E92" s="7" t="s">
        <v>638</v>
      </c>
      <c r="F92" s="7" t="s">
        <v>19</v>
      </c>
      <c r="G92" s="7" t="s">
        <v>31</v>
      </c>
      <c r="H92" s="7" t="s">
        <v>17</v>
      </c>
      <c r="I92" s="7" t="s">
        <v>17</v>
      </c>
      <c r="J92" s="7" t="s">
        <v>640</v>
      </c>
    </row>
    <row r="93" spans="1:10" x14ac:dyDescent="0.25" outlineLevel="2" collapsed="1">
      <c r="A93" s="7" t="s">
        <v>15</v>
      </c>
      <c r="B93" s="7" t="s">
        <v>16</v>
      </c>
      <c r="C93" s="7" t="s">
        <v>17</v>
      </c>
      <c r="D93" s="7"/>
      <c r="E93" s="7" t="s">
        <v>9</v>
      </c>
      <c r="F93" s="7" t="s">
        <v>19</v>
      </c>
      <c r="G93" s="7" t="s">
        <v>31</v>
      </c>
      <c r="H93" s="7" t="s">
        <v>17</v>
      </c>
      <c r="I93" s="7" t="s">
        <v>17</v>
      </c>
      <c r="J93" s="7" t="s">
        <v>843</v>
      </c>
    </row>
    <row r="94" spans="1:10" x14ac:dyDescent="0.25" outlineLevel="2" collapsed="1">
      <c r="A94" s="7" t="s">
        <v>19</v>
      </c>
      <c r="B94" s="7" t="s">
        <v>16</v>
      </c>
      <c r="C94" s="7" t="s">
        <v>17</v>
      </c>
      <c r="D94" s="7"/>
      <c r="E94" s="7" t="s">
        <v>1600</v>
      </c>
      <c r="F94" s="7" t="s">
        <v>19</v>
      </c>
      <c r="G94" s="7" t="s">
        <v>31</v>
      </c>
      <c r="H94" s="7" t="s">
        <v>17</v>
      </c>
      <c r="I94" s="7" t="s">
        <v>17</v>
      </c>
      <c r="J94" s="7" t="s">
        <v>1424</v>
      </c>
    </row>
    <row r="95" spans="1:10" x14ac:dyDescent="0.25" outlineLevel="2" collapsed="1">
      <c r="A95" s="7" t="s">
        <v>15</v>
      </c>
      <c r="B95" s="7" t="s">
        <v>16</v>
      </c>
      <c r="C95" s="7" t="s">
        <v>17</v>
      </c>
      <c r="D95" s="7"/>
      <c r="E95" s="7" t="s">
        <v>1601</v>
      </c>
      <c r="F95" s="7" t="s">
        <v>19</v>
      </c>
      <c r="G95" s="7" t="s">
        <v>31</v>
      </c>
      <c r="H95" s="7" t="s">
        <v>17</v>
      </c>
      <c r="I95" s="7" t="s">
        <v>17</v>
      </c>
      <c r="J95" s="7" t="s">
        <v>1602</v>
      </c>
    </row>
    <row r="96" spans="1:10" x14ac:dyDescent="0.25" outlineLevel="2" collapsed="1">
      <c r="A96" s="7" t="s">
        <v>15</v>
      </c>
      <c r="B96" s="7" t="s">
        <v>16</v>
      </c>
      <c r="C96" s="7" t="s">
        <v>17</v>
      </c>
      <c r="D96" s="7"/>
      <c r="E96" s="7" t="s">
        <v>1603</v>
      </c>
      <c r="F96" s="7" t="s">
        <v>19</v>
      </c>
      <c r="G96" s="7" t="s">
        <v>31</v>
      </c>
      <c r="H96" s="7" t="s">
        <v>17</v>
      </c>
      <c r="I96" s="7" t="s">
        <v>17</v>
      </c>
      <c r="J96" s="7" t="s">
        <v>1422</v>
      </c>
    </row>
    <row r="97" spans="1:10" x14ac:dyDescent="0.25" outlineLevel="2" collapsed="1">
      <c r="A97" s="7" t="s">
        <v>15</v>
      </c>
      <c r="B97" s="7" t="s">
        <v>284</v>
      </c>
      <c r="C97" s="11" t="s">
        <v>1604</v>
      </c>
      <c r="D97" s="7"/>
      <c r="E97" s="7" t="s">
        <v>1605</v>
      </c>
      <c r="F97" s="7" t="s">
        <v>19</v>
      </c>
      <c r="G97" s="7" t="s">
        <v>1606</v>
      </c>
      <c r="H97" s="7" t="s">
        <v>17</v>
      </c>
      <c r="I97" s="7" t="s">
        <v>17</v>
      </c>
      <c r="J97" s="7" t="s">
        <v>1607</v>
      </c>
    </row>
    <row r="98" spans="1:10" x14ac:dyDescent="0.25" outlineLevel="2" collapsed="1">
      <c r="A98" s="7" t="s">
        <v>19</v>
      </c>
      <c r="B98" s="7" t="s">
        <v>63</v>
      </c>
      <c r="C98" s="7" t="s">
        <v>17</v>
      </c>
      <c r="D98" s="7">
        <f>EXACT(G97,"Single value")</f>
      </c>
      <c r="E98" s="7" t="s">
        <v>1608</v>
      </c>
      <c r="F98" s="7" t="s">
        <v>19</v>
      </c>
      <c r="G98" s="7">
        <v>1</v>
      </c>
      <c r="H98" s="7" t="s">
        <v>17</v>
      </c>
      <c r="I98" s="7" t="s">
        <v>17</v>
      </c>
      <c r="J98" s="7" t="s">
        <v>1609</v>
      </c>
    </row>
    <row r="99" spans="1:10" x14ac:dyDescent="0.25" outlineLevel="2" collapsed="1">
      <c r="A99" s="7" t="s">
        <v>15</v>
      </c>
      <c r="B99" s="7" t="s">
        <v>16</v>
      </c>
      <c r="C99" s="7" t="s">
        <v>17</v>
      </c>
      <c r="D99" s="7"/>
      <c r="E99" s="7" t="s">
        <v>1610</v>
      </c>
      <c r="F99" s="7" t="s">
        <v>19</v>
      </c>
      <c r="G99" s="7" t="s">
        <v>31</v>
      </c>
      <c r="H99" s="7" t="s">
        <v>17</v>
      </c>
      <c r="I99" s="7" t="s">
        <v>17</v>
      </c>
      <c r="J99" s="7" t="s">
        <v>1191</v>
      </c>
    </row>
    <row r="100" spans="1:10" x14ac:dyDescent="0.25" outlineLevel="2" collapsed="1">
      <c r="A100" s="7" t="s">
        <v>15</v>
      </c>
      <c r="B100" s="7" t="s">
        <v>284</v>
      </c>
      <c r="C100" s="11" t="s">
        <v>1611</v>
      </c>
      <c r="D100" s="7"/>
      <c r="E100" s="7" t="s">
        <v>1612</v>
      </c>
      <c r="F100" s="7" t="s">
        <v>19</v>
      </c>
      <c r="G100" s="7" t="s">
        <v>1613</v>
      </c>
      <c r="H100" s="7" t="s">
        <v>17</v>
      </c>
      <c r="I100" s="7" t="s">
        <v>17</v>
      </c>
      <c r="J100" s="7" t="s">
        <v>1614</v>
      </c>
    </row>
    <row r="101" spans="1:10" x14ac:dyDescent="0.25" outlineLevel="2" collapsed="1">
      <c r="A101" s="7" t="s">
        <v>19</v>
      </c>
      <c r="B101" s="7" t="s">
        <v>16</v>
      </c>
      <c r="C101" s="7" t="s">
        <v>17</v>
      </c>
      <c r="D101" s="7"/>
      <c r="E101" s="7" t="s">
        <v>1615</v>
      </c>
      <c r="F101" s="7" t="s">
        <v>19</v>
      </c>
      <c r="G101" s="7" t="s">
        <v>31</v>
      </c>
      <c r="H101" s="7" t="s">
        <v>17</v>
      </c>
      <c r="I101" s="7" t="s">
        <v>17</v>
      </c>
      <c r="J101" s="7" t="s">
        <v>1616</v>
      </c>
    </row>
    <row r="102" spans="1:10" x14ac:dyDescent="0.25" outlineLevel="1" collapsed="1">
      <c r="A102" s="8" t="s">
        <v>15</v>
      </c>
      <c r="B102" s="9" t="s">
        <v>1597</v>
      </c>
      <c r="C102" s="8" t="s">
        <v>17</v>
      </c>
      <c r="D102" s="8"/>
      <c r="E102" s="8" t="s">
        <v>1631</v>
      </c>
      <c r="F102" s="8" t="s">
        <v>19</v>
      </c>
      <c r="G102" s="8" t="s">
        <v>17</v>
      </c>
      <c r="H102" s="8" t="s">
        <v>17</v>
      </c>
      <c r="I102" s="8" t="s">
        <v>17</v>
      </c>
      <c r="J102" s="8" t="s">
        <v>1632</v>
      </c>
    </row>
    <row r="103" spans="1:10" x14ac:dyDescent="0.25" outlineLevel="2" collapsed="1">
      <c r="A103" s="7" t="s">
        <v>15</v>
      </c>
      <c r="B103" s="7" t="s">
        <v>16</v>
      </c>
      <c r="C103" s="7" t="s">
        <v>17</v>
      </c>
      <c r="D103" s="7"/>
      <c r="E103" s="7" t="s">
        <v>1431</v>
      </c>
      <c r="F103" s="7" t="s">
        <v>19</v>
      </c>
      <c r="G103" s="7" t="s">
        <v>31</v>
      </c>
      <c r="H103" s="7" t="s">
        <v>17</v>
      </c>
      <c r="I103" s="7" t="s">
        <v>17</v>
      </c>
      <c r="J103" s="7" t="s">
        <v>637</v>
      </c>
    </row>
    <row r="104" spans="1:10" x14ac:dyDescent="0.25" outlineLevel="2" collapsed="1">
      <c r="A104" s="7" t="s">
        <v>15</v>
      </c>
      <c r="B104" s="7" t="s">
        <v>16</v>
      </c>
      <c r="C104" s="7" t="s">
        <v>17</v>
      </c>
      <c r="D104" s="7"/>
      <c r="E104" s="7" t="s">
        <v>638</v>
      </c>
      <c r="F104" s="7" t="s">
        <v>19</v>
      </c>
      <c r="G104" s="7" t="s">
        <v>31</v>
      </c>
      <c r="H104" s="7" t="s">
        <v>17</v>
      </c>
      <c r="I104" s="7" t="s">
        <v>17</v>
      </c>
      <c r="J104" s="7" t="s">
        <v>640</v>
      </c>
    </row>
    <row r="105" spans="1:10" x14ac:dyDescent="0.25" outlineLevel="2" collapsed="1">
      <c r="A105" s="7" t="s">
        <v>15</v>
      </c>
      <c r="B105" s="7" t="s">
        <v>16</v>
      </c>
      <c r="C105" s="7" t="s">
        <v>17</v>
      </c>
      <c r="D105" s="7"/>
      <c r="E105" s="7" t="s">
        <v>9</v>
      </c>
      <c r="F105" s="7" t="s">
        <v>19</v>
      </c>
      <c r="G105" s="7" t="s">
        <v>31</v>
      </c>
      <c r="H105" s="7" t="s">
        <v>17</v>
      </c>
      <c r="I105" s="7" t="s">
        <v>17</v>
      </c>
      <c r="J105" s="7" t="s">
        <v>843</v>
      </c>
    </row>
    <row r="106" spans="1:10" x14ac:dyDescent="0.25" outlineLevel="2" collapsed="1">
      <c r="A106" s="7" t="s">
        <v>19</v>
      </c>
      <c r="B106" s="7" t="s">
        <v>16</v>
      </c>
      <c r="C106" s="7" t="s">
        <v>17</v>
      </c>
      <c r="D106" s="7"/>
      <c r="E106" s="7" t="s">
        <v>1600</v>
      </c>
      <c r="F106" s="7" t="s">
        <v>19</v>
      </c>
      <c r="G106" s="7" t="s">
        <v>31</v>
      </c>
      <c r="H106" s="7" t="s">
        <v>17</v>
      </c>
      <c r="I106" s="7" t="s">
        <v>17</v>
      </c>
      <c r="J106" s="7" t="s">
        <v>1424</v>
      </c>
    </row>
    <row r="107" spans="1:10" x14ac:dyDescent="0.25" outlineLevel="2" collapsed="1">
      <c r="A107" s="7" t="s">
        <v>15</v>
      </c>
      <c r="B107" s="7" t="s">
        <v>16</v>
      </c>
      <c r="C107" s="7" t="s">
        <v>17</v>
      </c>
      <c r="D107" s="7"/>
      <c r="E107" s="7" t="s">
        <v>1601</v>
      </c>
      <c r="F107" s="7" t="s">
        <v>19</v>
      </c>
      <c r="G107" s="7" t="s">
        <v>31</v>
      </c>
      <c r="H107" s="7" t="s">
        <v>17</v>
      </c>
      <c r="I107" s="7" t="s">
        <v>17</v>
      </c>
      <c r="J107" s="7" t="s">
        <v>1602</v>
      </c>
    </row>
    <row r="108" spans="1:10" x14ac:dyDescent="0.25" outlineLevel="2" collapsed="1">
      <c r="A108" s="7" t="s">
        <v>15</v>
      </c>
      <c r="B108" s="7" t="s">
        <v>16</v>
      </c>
      <c r="C108" s="7" t="s">
        <v>17</v>
      </c>
      <c r="D108" s="7"/>
      <c r="E108" s="7" t="s">
        <v>1603</v>
      </c>
      <c r="F108" s="7" t="s">
        <v>19</v>
      </c>
      <c r="G108" s="7" t="s">
        <v>31</v>
      </c>
      <c r="H108" s="7" t="s">
        <v>17</v>
      </c>
      <c r="I108" s="7" t="s">
        <v>17</v>
      </c>
      <c r="J108" s="7" t="s">
        <v>1422</v>
      </c>
    </row>
    <row r="109" spans="1:10" x14ac:dyDescent="0.25" outlineLevel="2" collapsed="1">
      <c r="A109" s="7" t="s">
        <v>15</v>
      </c>
      <c r="B109" s="7" t="s">
        <v>284</v>
      </c>
      <c r="C109" s="11" t="s">
        <v>1604</v>
      </c>
      <c r="D109" s="7"/>
      <c r="E109" s="7" t="s">
        <v>1605</v>
      </c>
      <c r="F109" s="7" t="s">
        <v>19</v>
      </c>
      <c r="G109" s="7" t="s">
        <v>1606</v>
      </c>
      <c r="H109" s="7" t="s">
        <v>17</v>
      </c>
      <c r="I109" s="7" t="s">
        <v>17</v>
      </c>
      <c r="J109" s="7" t="s">
        <v>1607</v>
      </c>
    </row>
    <row r="110" spans="1:10" x14ac:dyDescent="0.25" outlineLevel="2" collapsed="1">
      <c r="A110" s="7" t="s">
        <v>19</v>
      </c>
      <c r="B110" s="7" t="s">
        <v>63</v>
      </c>
      <c r="C110" s="7" t="s">
        <v>17</v>
      </c>
      <c r="D110" s="7">
        <f>EXACT(G109,"Single value")</f>
      </c>
      <c r="E110" s="7" t="s">
        <v>1608</v>
      </c>
      <c r="F110" s="7" t="s">
        <v>19</v>
      </c>
      <c r="G110" s="7">
        <v>1</v>
      </c>
      <c r="H110" s="7" t="s">
        <v>17</v>
      </c>
      <c r="I110" s="7" t="s">
        <v>17</v>
      </c>
      <c r="J110" s="7" t="s">
        <v>1609</v>
      </c>
    </row>
    <row r="111" spans="1:10" x14ac:dyDescent="0.25" outlineLevel="2" collapsed="1">
      <c r="A111" s="7" t="s">
        <v>15</v>
      </c>
      <c r="B111" s="7" t="s">
        <v>16</v>
      </c>
      <c r="C111" s="7" t="s">
        <v>17</v>
      </c>
      <c r="D111" s="7"/>
      <c r="E111" s="7" t="s">
        <v>1610</v>
      </c>
      <c r="F111" s="7" t="s">
        <v>19</v>
      </c>
      <c r="G111" s="7" t="s">
        <v>31</v>
      </c>
      <c r="H111" s="7" t="s">
        <v>17</v>
      </c>
      <c r="I111" s="7" t="s">
        <v>17</v>
      </c>
      <c r="J111" s="7" t="s">
        <v>1191</v>
      </c>
    </row>
    <row r="112" spans="1:10" x14ac:dyDescent="0.25" outlineLevel="2" collapsed="1">
      <c r="A112" s="7" t="s">
        <v>15</v>
      </c>
      <c r="B112" s="7" t="s">
        <v>284</v>
      </c>
      <c r="C112" s="11" t="s">
        <v>1611</v>
      </c>
      <c r="D112" s="7"/>
      <c r="E112" s="7" t="s">
        <v>1612</v>
      </c>
      <c r="F112" s="7" t="s">
        <v>19</v>
      </c>
      <c r="G112" s="7" t="s">
        <v>1613</v>
      </c>
      <c r="H112" s="7" t="s">
        <v>17</v>
      </c>
      <c r="I112" s="7" t="s">
        <v>17</v>
      </c>
      <c r="J112" s="7" t="s">
        <v>1614</v>
      </c>
    </row>
    <row r="113" spans="1:10" x14ac:dyDescent="0.25" outlineLevel="2" collapsed="1">
      <c r="A113" s="7" t="s">
        <v>19</v>
      </c>
      <c r="B113" s="7" t="s">
        <v>16</v>
      </c>
      <c r="C113" s="7" t="s">
        <v>17</v>
      </c>
      <c r="D113" s="7"/>
      <c r="E113" s="7" t="s">
        <v>1615</v>
      </c>
      <c r="F113" s="7" t="s">
        <v>19</v>
      </c>
      <c r="G113" s="7" t="s">
        <v>31</v>
      </c>
      <c r="H113" s="7" t="s">
        <v>17</v>
      </c>
      <c r="I113" s="7" t="s">
        <v>17</v>
      </c>
      <c r="J113" s="7" t="s">
        <v>1616</v>
      </c>
    </row>
    <row r="114" spans="1:10" x14ac:dyDescent="0.25" outlineLevel="1" collapsed="1">
      <c r="A114" s="7" t="s">
        <v>15</v>
      </c>
      <c r="B114" s="7" t="s">
        <v>284</v>
      </c>
      <c r="C114" s="11" t="s">
        <v>1633</v>
      </c>
      <c r="D114" s="7"/>
      <c r="E114" s="7" t="s">
        <v>1634</v>
      </c>
      <c r="F114" s="7" t="s">
        <v>19</v>
      </c>
      <c r="G114" s="7" t="s">
        <v>1635</v>
      </c>
      <c r="H114" s="7" t="s">
        <v>17</v>
      </c>
      <c r="I114" s="7" t="s">
        <v>17</v>
      </c>
      <c r="J114" s="7" t="s">
        <v>1636</v>
      </c>
    </row>
    <row r="115" spans="1:10" x14ac:dyDescent="0.25" outlineLevel="1" collapsed="1">
      <c r="A115" s="8" t="s">
        <v>19</v>
      </c>
      <c r="B115" s="9" t="s">
        <v>1597</v>
      </c>
      <c r="C115" s="8" t="s">
        <v>17</v>
      </c>
      <c r="D115" s="8">
        <f>EXACT(G114,"Eq.(4) - project-specific T_i, WH, T_f or WHE")</f>
      </c>
      <c r="E115" s="8" t="s">
        <v>1637</v>
      </c>
      <c r="F115" s="8" t="s">
        <v>19</v>
      </c>
      <c r="G115" s="8" t="s">
        <v>17</v>
      </c>
      <c r="H115" s="8" t="s">
        <v>17</v>
      </c>
      <c r="I115" s="8" t="s">
        <v>17</v>
      </c>
      <c r="J115" s="8" t="s">
        <v>1638</v>
      </c>
    </row>
    <row r="116" spans="1:10" x14ac:dyDescent="0.25" outlineLevel="2" collapsed="1">
      <c r="A116" s="7" t="s">
        <v>15</v>
      </c>
      <c r="B116" s="7" t="s">
        <v>16</v>
      </c>
      <c r="C116" s="7" t="s">
        <v>17</v>
      </c>
      <c r="D116" s="7"/>
      <c r="E116" s="7" t="s">
        <v>1431</v>
      </c>
      <c r="F116" s="7" t="s">
        <v>19</v>
      </c>
      <c r="G116" s="7" t="s">
        <v>31</v>
      </c>
      <c r="H116" s="7" t="s">
        <v>17</v>
      </c>
      <c r="I116" s="7" t="s">
        <v>17</v>
      </c>
      <c r="J116" s="7" t="s">
        <v>637</v>
      </c>
    </row>
    <row r="117" spans="1:10" x14ac:dyDescent="0.25" outlineLevel="2" collapsed="1">
      <c r="A117" s="7" t="s">
        <v>15</v>
      </c>
      <c r="B117" s="7" t="s">
        <v>16</v>
      </c>
      <c r="C117" s="7" t="s">
        <v>17</v>
      </c>
      <c r="D117" s="7"/>
      <c r="E117" s="7" t="s">
        <v>638</v>
      </c>
      <c r="F117" s="7" t="s">
        <v>19</v>
      </c>
      <c r="G117" s="7" t="s">
        <v>31</v>
      </c>
      <c r="H117" s="7" t="s">
        <v>17</v>
      </c>
      <c r="I117" s="7" t="s">
        <v>17</v>
      </c>
      <c r="J117" s="7" t="s">
        <v>640</v>
      </c>
    </row>
    <row r="118" spans="1:10" x14ac:dyDescent="0.25" outlineLevel="2" collapsed="1">
      <c r="A118" s="7" t="s">
        <v>15</v>
      </c>
      <c r="B118" s="7" t="s">
        <v>16</v>
      </c>
      <c r="C118" s="7" t="s">
        <v>17</v>
      </c>
      <c r="D118" s="7"/>
      <c r="E118" s="7" t="s">
        <v>9</v>
      </c>
      <c r="F118" s="7" t="s">
        <v>19</v>
      </c>
      <c r="G118" s="7" t="s">
        <v>31</v>
      </c>
      <c r="H118" s="7" t="s">
        <v>17</v>
      </c>
      <c r="I118" s="7" t="s">
        <v>17</v>
      </c>
      <c r="J118" s="7" t="s">
        <v>843</v>
      </c>
    </row>
    <row r="119" spans="1:10" x14ac:dyDescent="0.25" outlineLevel="2" collapsed="1">
      <c r="A119" s="7" t="s">
        <v>19</v>
      </c>
      <c r="B119" s="7" t="s">
        <v>16</v>
      </c>
      <c r="C119" s="7" t="s">
        <v>17</v>
      </c>
      <c r="D119" s="7"/>
      <c r="E119" s="7" t="s">
        <v>1600</v>
      </c>
      <c r="F119" s="7" t="s">
        <v>19</v>
      </c>
      <c r="G119" s="7" t="s">
        <v>31</v>
      </c>
      <c r="H119" s="7" t="s">
        <v>17</v>
      </c>
      <c r="I119" s="7" t="s">
        <v>17</v>
      </c>
      <c r="J119" s="7" t="s">
        <v>1424</v>
      </c>
    </row>
    <row r="120" spans="1:10" x14ac:dyDescent="0.25" outlineLevel="2" collapsed="1">
      <c r="A120" s="7" t="s">
        <v>15</v>
      </c>
      <c r="B120" s="7" t="s">
        <v>16</v>
      </c>
      <c r="C120" s="7" t="s">
        <v>17</v>
      </c>
      <c r="D120" s="7"/>
      <c r="E120" s="7" t="s">
        <v>1601</v>
      </c>
      <c r="F120" s="7" t="s">
        <v>19</v>
      </c>
      <c r="G120" s="7" t="s">
        <v>31</v>
      </c>
      <c r="H120" s="7" t="s">
        <v>17</v>
      </c>
      <c r="I120" s="7" t="s">
        <v>17</v>
      </c>
      <c r="J120" s="7" t="s">
        <v>1602</v>
      </c>
    </row>
    <row r="121" spans="1:10" x14ac:dyDescent="0.25" outlineLevel="2" collapsed="1">
      <c r="A121" s="7" t="s">
        <v>15</v>
      </c>
      <c r="B121" s="7" t="s">
        <v>16</v>
      </c>
      <c r="C121" s="7" t="s">
        <v>17</v>
      </c>
      <c r="D121" s="7"/>
      <c r="E121" s="7" t="s">
        <v>1603</v>
      </c>
      <c r="F121" s="7" t="s">
        <v>19</v>
      </c>
      <c r="G121" s="7" t="s">
        <v>31</v>
      </c>
      <c r="H121" s="7" t="s">
        <v>17</v>
      </c>
      <c r="I121" s="7" t="s">
        <v>17</v>
      </c>
      <c r="J121" s="7" t="s">
        <v>1422</v>
      </c>
    </row>
    <row r="122" spans="1:10" x14ac:dyDescent="0.25" outlineLevel="2" collapsed="1">
      <c r="A122" s="7" t="s">
        <v>15</v>
      </c>
      <c r="B122" s="7" t="s">
        <v>284</v>
      </c>
      <c r="C122" s="11" t="s">
        <v>1604</v>
      </c>
      <c r="D122" s="7"/>
      <c r="E122" s="7" t="s">
        <v>1605</v>
      </c>
      <c r="F122" s="7" t="s">
        <v>19</v>
      </c>
      <c r="G122" s="7" t="s">
        <v>1606</v>
      </c>
      <c r="H122" s="7" t="s">
        <v>17</v>
      </c>
      <c r="I122" s="7" t="s">
        <v>17</v>
      </c>
      <c r="J122" s="7" t="s">
        <v>1607</v>
      </c>
    </row>
    <row r="123" spans="1:10" x14ac:dyDescent="0.25" outlineLevel="2" collapsed="1">
      <c r="A123" s="7" t="s">
        <v>19</v>
      </c>
      <c r="B123" s="7" t="s">
        <v>63</v>
      </c>
      <c r="C123" s="7" t="s">
        <v>17</v>
      </c>
      <c r="D123" s="7">
        <f>EXACT(G122,"Single value")</f>
      </c>
      <c r="E123" s="7" t="s">
        <v>1608</v>
      </c>
      <c r="F123" s="7" t="s">
        <v>19</v>
      </c>
      <c r="G123" s="7">
        <v>1</v>
      </c>
      <c r="H123" s="7" t="s">
        <v>17</v>
      </c>
      <c r="I123" s="7" t="s">
        <v>17</v>
      </c>
      <c r="J123" s="7" t="s">
        <v>1609</v>
      </c>
    </row>
    <row r="124" spans="1:10" x14ac:dyDescent="0.25" outlineLevel="2" collapsed="1">
      <c r="A124" s="7" t="s">
        <v>15</v>
      </c>
      <c r="B124" s="7" t="s">
        <v>16</v>
      </c>
      <c r="C124" s="7" t="s">
        <v>17</v>
      </c>
      <c r="D124" s="7"/>
      <c r="E124" s="7" t="s">
        <v>1610</v>
      </c>
      <c r="F124" s="7" t="s">
        <v>19</v>
      </c>
      <c r="G124" s="7" t="s">
        <v>31</v>
      </c>
      <c r="H124" s="7" t="s">
        <v>17</v>
      </c>
      <c r="I124" s="7" t="s">
        <v>17</v>
      </c>
      <c r="J124" s="7" t="s">
        <v>1191</v>
      </c>
    </row>
    <row r="125" spans="1:10" x14ac:dyDescent="0.25" outlineLevel="2" collapsed="1">
      <c r="A125" s="7" t="s">
        <v>15</v>
      </c>
      <c r="B125" s="7" t="s">
        <v>284</v>
      </c>
      <c r="C125" s="11" t="s">
        <v>1611</v>
      </c>
      <c r="D125" s="7"/>
      <c r="E125" s="7" t="s">
        <v>1612</v>
      </c>
      <c r="F125" s="7" t="s">
        <v>19</v>
      </c>
      <c r="G125" s="7" t="s">
        <v>1613</v>
      </c>
      <c r="H125" s="7" t="s">
        <v>17</v>
      </c>
      <c r="I125" s="7" t="s">
        <v>17</v>
      </c>
      <c r="J125" s="7" t="s">
        <v>1614</v>
      </c>
    </row>
    <row r="126" spans="1:10" x14ac:dyDescent="0.25" outlineLevel="2" collapsed="1">
      <c r="A126" s="7" t="s">
        <v>19</v>
      </c>
      <c r="B126" s="7" t="s">
        <v>16</v>
      </c>
      <c r="C126" s="7" t="s">
        <v>17</v>
      </c>
      <c r="D126" s="7"/>
      <c r="E126" s="7" t="s">
        <v>1615</v>
      </c>
      <c r="F126" s="7" t="s">
        <v>19</v>
      </c>
      <c r="G126" s="7" t="s">
        <v>31</v>
      </c>
      <c r="H126" s="7" t="s">
        <v>17</v>
      </c>
      <c r="I126" s="7" t="s">
        <v>17</v>
      </c>
      <c r="J126" s="7" t="s">
        <v>1616</v>
      </c>
    </row>
    <row r="127" spans="1:10" x14ac:dyDescent="0.25" outlineLevel="1" collapsed="1">
      <c r="A127" s="8" t="s">
        <v>19</v>
      </c>
      <c r="B127" s="9" t="s">
        <v>1597</v>
      </c>
      <c r="C127" s="8" t="s">
        <v>17</v>
      </c>
      <c r="D127" s="8">
        <f>EXACT(G114,"Eq.(4) - project-specific T_i, WH, T_f or WHE")</f>
      </c>
      <c r="E127" s="8" t="s">
        <v>1639</v>
      </c>
      <c r="F127" s="8" t="s">
        <v>19</v>
      </c>
      <c r="G127" s="8" t="s">
        <v>17</v>
      </c>
      <c r="H127" s="8" t="s">
        <v>17</v>
      </c>
      <c r="I127" s="8" t="s">
        <v>17</v>
      </c>
      <c r="J127" s="8" t="s">
        <v>1640</v>
      </c>
    </row>
    <row r="128" spans="1:10" x14ac:dyDescent="0.25" outlineLevel="2" collapsed="1">
      <c r="A128" s="7" t="s">
        <v>15</v>
      </c>
      <c r="B128" s="7" t="s">
        <v>16</v>
      </c>
      <c r="C128" s="7" t="s">
        <v>17</v>
      </c>
      <c r="D128" s="7"/>
      <c r="E128" s="7" t="s">
        <v>1431</v>
      </c>
      <c r="F128" s="7" t="s">
        <v>19</v>
      </c>
      <c r="G128" s="7" t="s">
        <v>31</v>
      </c>
      <c r="H128" s="7" t="s">
        <v>17</v>
      </c>
      <c r="I128" s="7" t="s">
        <v>17</v>
      </c>
      <c r="J128" s="7" t="s">
        <v>637</v>
      </c>
    </row>
    <row r="129" spans="1:10" x14ac:dyDescent="0.25" outlineLevel="2" collapsed="1">
      <c r="A129" s="7" t="s">
        <v>15</v>
      </c>
      <c r="B129" s="7" t="s">
        <v>16</v>
      </c>
      <c r="C129" s="7" t="s">
        <v>17</v>
      </c>
      <c r="D129" s="7"/>
      <c r="E129" s="7" t="s">
        <v>638</v>
      </c>
      <c r="F129" s="7" t="s">
        <v>19</v>
      </c>
      <c r="G129" s="7" t="s">
        <v>31</v>
      </c>
      <c r="H129" s="7" t="s">
        <v>17</v>
      </c>
      <c r="I129" s="7" t="s">
        <v>17</v>
      </c>
      <c r="J129" s="7" t="s">
        <v>640</v>
      </c>
    </row>
    <row r="130" spans="1:10" x14ac:dyDescent="0.25" outlineLevel="2" collapsed="1">
      <c r="A130" s="7" t="s">
        <v>15</v>
      </c>
      <c r="B130" s="7" t="s">
        <v>16</v>
      </c>
      <c r="C130" s="7" t="s">
        <v>17</v>
      </c>
      <c r="D130" s="7"/>
      <c r="E130" s="7" t="s">
        <v>9</v>
      </c>
      <c r="F130" s="7" t="s">
        <v>19</v>
      </c>
      <c r="G130" s="7" t="s">
        <v>31</v>
      </c>
      <c r="H130" s="7" t="s">
        <v>17</v>
      </c>
      <c r="I130" s="7" t="s">
        <v>17</v>
      </c>
      <c r="J130" s="7" t="s">
        <v>843</v>
      </c>
    </row>
    <row r="131" spans="1:10" x14ac:dyDescent="0.25" outlineLevel="2" collapsed="1">
      <c r="A131" s="7" t="s">
        <v>19</v>
      </c>
      <c r="B131" s="7" t="s">
        <v>16</v>
      </c>
      <c r="C131" s="7" t="s">
        <v>17</v>
      </c>
      <c r="D131" s="7"/>
      <c r="E131" s="7" t="s">
        <v>1600</v>
      </c>
      <c r="F131" s="7" t="s">
        <v>19</v>
      </c>
      <c r="G131" s="7" t="s">
        <v>31</v>
      </c>
      <c r="H131" s="7" t="s">
        <v>17</v>
      </c>
      <c r="I131" s="7" t="s">
        <v>17</v>
      </c>
      <c r="J131" s="7" t="s">
        <v>1424</v>
      </c>
    </row>
    <row r="132" spans="1:10" x14ac:dyDescent="0.25" outlineLevel="2" collapsed="1">
      <c r="A132" s="7" t="s">
        <v>15</v>
      </c>
      <c r="B132" s="7" t="s">
        <v>16</v>
      </c>
      <c r="C132" s="7" t="s">
        <v>17</v>
      </c>
      <c r="D132" s="7"/>
      <c r="E132" s="7" t="s">
        <v>1601</v>
      </c>
      <c r="F132" s="7" t="s">
        <v>19</v>
      </c>
      <c r="G132" s="7" t="s">
        <v>31</v>
      </c>
      <c r="H132" s="7" t="s">
        <v>17</v>
      </c>
      <c r="I132" s="7" t="s">
        <v>17</v>
      </c>
      <c r="J132" s="7" t="s">
        <v>1602</v>
      </c>
    </row>
    <row r="133" spans="1:10" x14ac:dyDescent="0.25" outlineLevel="2" collapsed="1">
      <c r="A133" s="7" t="s">
        <v>15</v>
      </c>
      <c r="B133" s="7" t="s">
        <v>16</v>
      </c>
      <c r="C133" s="7" t="s">
        <v>17</v>
      </c>
      <c r="D133" s="7"/>
      <c r="E133" s="7" t="s">
        <v>1603</v>
      </c>
      <c r="F133" s="7" t="s">
        <v>19</v>
      </c>
      <c r="G133" s="7" t="s">
        <v>31</v>
      </c>
      <c r="H133" s="7" t="s">
        <v>17</v>
      </c>
      <c r="I133" s="7" t="s">
        <v>17</v>
      </c>
      <c r="J133" s="7" t="s">
        <v>1422</v>
      </c>
    </row>
    <row r="134" spans="1:10" x14ac:dyDescent="0.25" outlineLevel="2" collapsed="1">
      <c r="A134" s="7" t="s">
        <v>15</v>
      </c>
      <c r="B134" s="7" t="s">
        <v>284</v>
      </c>
      <c r="C134" s="11" t="s">
        <v>1604</v>
      </c>
      <c r="D134" s="7"/>
      <c r="E134" s="7" t="s">
        <v>1605</v>
      </c>
      <c r="F134" s="7" t="s">
        <v>19</v>
      </c>
      <c r="G134" s="7" t="s">
        <v>1606</v>
      </c>
      <c r="H134" s="7" t="s">
        <v>17</v>
      </c>
      <c r="I134" s="7" t="s">
        <v>17</v>
      </c>
      <c r="J134" s="7" t="s">
        <v>1607</v>
      </c>
    </row>
    <row r="135" spans="1:10" x14ac:dyDescent="0.25" outlineLevel="2" collapsed="1">
      <c r="A135" s="7" t="s">
        <v>19</v>
      </c>
      <c r="B135" s="7" t="s">
        <v>63</v>
      </c>
      <c r="C135" s="7" t="s">
        <v>17</v>
      </c>
      <c r="D135" s="7">
        <f>EXACT(G134,"Single value")</f>
      </c>
      <c r="E135" s="7" t="s">
        <v>1608</v>
      </c>
      <c r="F135" s="7" t="s">
        <v>19</v>
      </c>
      <c r="G135" s="7">
        <v>1</v>
      </c>
      <c r="H135" s="7" t="s">
        <v>17</v>
      </c>
      <c r="I135" s="7" t="s">
        <v>17</v>
      </c>
      <c r="J135" s="7" t="s">
        <v>1609</v>
      </c>
    </row>
    <row r="136" spans="1:10" x14ac:dyDescent="0.25" outlineLevel="2" collapsed="1">
      <c r="A136" s="7" t="s">
        <v>15</v>
      </c>
      <c r="B136" s="7" t="s">
        <v>16</v>
      </c>
      <c r="C136" s="7" t="s">
        <v>17</v>
      </c>
      <c r="D136" s="7"/>
      <c r="E136" s="7" t="s">
        <v>1610</v>
      </c>
      <c r="F136" s="7" t="s">
        <v>19</v>
      </c>
      <c r="G136" s="7" t="s">
        <v>31</v>
      </c>
      <c r="H136" s="7" t="s">
        <v>17</v>
      </c>
      <c r="I136" s="7" t="s">
        <v>17</v>
      </c>
      <c r="J136" s="7" t="s">
        <v>1191</v>
      </c>
    </row>
    <row r="137" spans="1:10" x14ac:dyDescent="0.25" outlineLevel="2" collapsed="1">
      <c r="A137" s="7" t="s">
        <v>15</v>
      </c>
      <c r="B137" s="7" t="s">
        <v>284</v>
      </c>
      <c r="C137" s="11" t="s">
        <v>1611</v>
      </c>
      <c r="D137" s="7"/>
      <c r="E137" s="7" t="s">
        <v>1612</v>
      </c>
      <c r="F137" s="7" t="s">
        <v>19</v>
      </c>
      <c r="G137" s="7" t="s">
        <v>1613</v>
      </c>
      <c r="H137" s="7" t="s">
        <v>17</v>
      </c>
      <c r="I137" s="7" t="s">
        <v>17</v>
      </c>
      <c r="J137" s="7" t="s">
        <v>1614</v>
      </c>
    </row>
    <row r="138" spans="1:10" x14ac:dyDescent="0.25" outlineLevel="2" collapsed="1">
      <c r="A138" s="7" t="s">
        <v>19</v>
      </c>
      <c r="B138" s="7" t="s">
        <v>16</v>
      </c>
      <c r="C138" s="7" t="s">
        <v>17</v>
      </c>
      <c r="D138" s="7"/>
      <c r="E138" s="7" t="s">
        <v>1615</v>
      </c>
      <c r="F138" s="7" t="s">
        <v>19</v>
      </c>
      <c r="G138" s="7" t="s">
        <v>31</v>
      </c>
      <c r="H138" s="7" t="s">
        <v>17</v>
      </c>
      <c r="I138" s="7" t="s">
        <v>17</v>
      </c>
      <c r="J138" s="7" t="s">
        <v>1616</v>
      </c>
    </row>
    <row r="139" spans="1:10" x14ac:dyDescent="0.25" outlineLevel="1" collapsed="1">
      <c r="A139" s="8" t="s">
        <v>19</v>
      </c>
      <c r="B139" s="9" t="s">
        <v>1597</v>
      </c>
      <c r="C139" s="8" t="s">
        <v>17</v>
      </c>
      <c r="D139" s="8">
        <f>EXACT(G114,"Eq.(4) - project-specific T_i, WH, T_f or WHE")</f>
      </c>
      <c r="E139" s="8" t="s">
        <v>1641</v>
      </c>
      <c r="F139" s="8" t="s">
        <v>19</v>
      </c>
      <c r="G139" s="8" t="s">
        <v>17</v>
      </c>
      <c r="H139" s="8" t="s">
        <v>17</v>
      </c>
      <c r="I139" s="8" t="s">
        <v>17</v>
      </c>
      <c r="J139" s="8" t="s">
        <v>1642</v>
      </c>
    </row>
    <row r="140" spans="1:10" x14ac:dyDescent="0.25" outlineLevel="2" collapsed="1">
      <c r="A140" s="7" t="s">
        <v>15</v>
      </c>
      <c r="B140" s="7" t="s">
        <v>16</v>
      </c>
      <c r="C140" s="7" t="s">
        <v>17</v>
      </c>
      <c r="D140" s="7"/>
      <c r="E140" s="7" t="s">
        <v>1431</v>
      </c>
      <c r="F140" s="7" t="s">
        <v>19</v>
      </c>
      <c r="G140" s="7" t="s">
        <v>31</v>
      </c>
      <c r="H140" s="7" t="s">
        <v>17</v>
      </c>
      <c r="I140" s="7" t="s">
        <v>17</v>
      </c>
      <c r="J140" s="7" t="s">
        <v>637</v>
      </c>
    </row>
    <row r="141" spans="1:10" x14ac:dyDescent="0.25" outlineLevel="2" collapsed="1">
      <c r="A141" s="7" t="s">
        <v>15</v>
      </c>
      <c r="B141" s="7" t="s">
        <v>16</v>
      </c>
      <c r="C141" s="7" t="s">
        <v>17</v>
      </c>
      <c r="D141" s="7"/>
      <c r="E141" s="7" t="s">
        <v>638</v>
      </c>
      <c r="F141" s="7" t="s">
        <v>19</v>
      </c>
      <c r="G141" s="7" t="s">
        <v>31</v>
      </c>
      <c r="H141" s="7" t="s">
        <v>17</v>
      </c>
      <c r="I141" s="7" t="s">
        <v>17</v>
      </c>
      <c r="J141" s="7" t="s">
        <v>640</v>
      </c>
    </row>
    <row r="142" spans="1:10" x14ac:dyDescent="0.25" outlineLevel="2" collapsed="1">
      <c r="A142" s="7" t="s">
        <v>15</v>
      </c>
      <c r="B142" s="7" t="s">
        <v>16</v>
      </c>
      <c r="C142" s="7" t="s">
        <v>17</v>
      </c>
      <c r="D142" s="7"/>
      <c r="E142" s="7" t="s">
        <v>9</v>
      </c>
      <c r="F142" s="7" t="s">
        <v>19</v>
      </c>
      <c r="G142" s="7" t="s">
        <v>31</v>
      </c>
      <c r="H142" s="7" t="s">
        <v>17</v>
      </c>
      <c r="I142" s="7" t="s">
        <v>17</v>
      </c>
      <c r="J142" s="7" t="s">
        <v>843</v>
      </c>
    </row>
    <row r="143" spans="1:10" x14ac:dyDescent="0.25" outlineLevel="2" collapsed="1">
      <c r="A143" s="7" t="s">
        <v>19</v>
      </c>
      <c r="B143" s="7" t="s">
        <v>16</v>
      </c>
      <c r="C143" s="7" t="s">
        <v>17</v>
      </c>
      <c r="D143" s="7"/>
      <c r="E143" s="7" t="s">
        <v>1600</v>
      </c>
      <c r="F143" s="7" t="s">
        <v>19</v>
      </c>
      <c r="G143" s="7" t="s">
        <v>31</v>
      </c>
      <c r="H143" s="7" t="s">
        <v>17</v>
      </c>
      <c r="I143" s="7" t="s">
        <v>17</v>
      </c>
      <c r="J143" s="7" t="s">
        <v>1424</v>
      </c>
    </row>
    <row r="144" spans="1:10" x14ac:dyDescent="0.25" outlineLevel="2" collapsed="1">
      <c r="A144" s="7" t="s">
        <v>15</v>
      </c>
      <c r="B144" s="7" t="s">
        <v>16</v>
      </c>
      <c r="C144" s="7" t="s">
        <v>17</v>
      </c>
      <c r="D144" s="7"/>
      <c r="E144" s="7" t="s">
        <v>1601</v>
      </c>
      <c r="F144" s="7" t="s">
        <v>19</v>
      </c>
      <c r="G144" s="7" t="s">
        <v>31</v>
      </c>
      <c r="H144" s="7" t="s">
        <v>17</v>
      </c>
      <c r="I144" s="7" t="s">
        <v>17</v>
      </c>
      <c r="J144" s="7" t="s">
        <v>1602</v>
      </c>
    </row>
    <row r="145" spans="1:10" x14ac:dyDescent="0.25" outlineLevel="2" collapsed="1">
      <c r="A145" s="7" t="s">
        <v>15</v>
      </c>
      <c r="B145" s="7" t="s">
        <v>16</v>
      </c>
      <c r="C145" s="7" t="s">
        <v>17</v>
      </c>
      <c r="D145" s="7"/>
      <c r="E145" s="7" t="s">
        <v>1603</v>
      </c>
      <c r="F145" s="7" t="s">
        <v>19</v>
      </c>
      <c r="G145" s="7" t="s">
        <v>31</v>
      </c>
      <c r="H145" s="7" t="s">
        <v>17</v>
      </c>
      <c r="I145" s="7" t="s">
        <v>17</v>
      </c>
      <c r="J145" s="7" t="s">
        <v>1422</v>
      </c>
    </row>
    <row r="146" spans="1:10" x14ac:dyDescent="0.25" outlineLevel="2" collapsed="1">
      <c r="A146" s="7" t="s">
        <v>15</v>
      </c>
      <c r="B146" s="7" t="s">
        <v>284</v>
      </c>
      <c r="C146" s="11" t="s">
        <v>1604</v>
      </c>
      <c r="D146" s="7"/>
      <c r="E146" s="7" t="s">
        <v>1605</v>
      </c>
      <c r="F146" s="7" t="s">
        <v>19</v>
      </c>
      <c r="G146" s="7" t="s">
        <v>1606</v>
      </c>
      <c r="H146" s="7" t="s">
        <v>17</v>
      </c>
      <c r="I146" s="7" t="s">
        <v>17</v>
      </c>
      <c r="J146" s="7" t="s">
        <v>1607</v>
      </c>
    </row>
    <row r="147" spans="1:10" x14ac:dyDescent="0.25" outlineLevel="2" collapsed="1">
      <c r="A147" s="7" t="s">
        <v>19</v>
      </c>
      <c r="B147" s="7" t="s">
        <v>63</v>
      </c>
      <c r="C147" s="7" t="s">
        <v>17</v>
      </c>
      <c r="D147" s="7">
        <f>EXACT(G146,"Single value")</f>
      </c>
      <c r="E147" s="7" t="s">
        <v>1608</v>
      </c>
      <c r="F147" s="7" t="s">
        <v>19</v>
      </c>
      <c r="G147" s="7">
        <v>1</v>
      </c>
      <c r="H147" s="7" t="s">
        <v>17</v>
      </c>
      <c r="I147" s="7" t="s">
        <v>17</v>
      </c>
      <c r="J147" s="7" t="s">
        <v>1609</v>
      </c>
    </row>
    <row r="148" spans="1:10" x14ac:dyDescent="0.25" outlineLevel="2" collapsed="1">
      <c r="A148" s="7" t="s">
        <v>15</v>
      </c>
      <c r="B148" s="7" t="s">
        <v>16</v>
      </c>
      <c r="C148" s="7" t="s">
        <v>17</v>
      </c>
      <c r="D148" s="7"/>
      <c r="E148" s="7" t="s">
        <v>1610</v>
      </c>
      <c r="F148" s="7" t="s">
        <v>19</v>
      </c>
      <c r="G148" s="7" t="s">
        <v>31</v>
      </c>
      <c r="H148" s="7" t="s">
        <v>17</v>
      </c>
      <c r="I148" s="7" t="s">
        <v>17</v>
      </c>
      <c r="J148" s="7" t="s">
        <v>1191</v>
      </c>
    </row>
    <row r="149" spans="1:10" x14ac:dyDescent="0.25" outlineLevel="2" collapsed="1">
      <c r="A149" s="7" t="s">
        <v>15</v>
      </c>
      <c r="B149" s="7" t="s">
        <v>284</v>
      </c>
      <c r="C149" s="11" t="s">
        <v>1611</v>
      </c>
      <c r="D149" s="7"/>
      <c r="E149" s="7" t="s">
        <v>1612</v>
      </c>
      <c r="F149" s="7" t="s">
        <v>19</v>
      </c>
      <c r="G149" s="7" t="s">
        <v>1613</v>
      </c>
      <c r="H149" s="7" t="s">
        <v>17</v>
      </c>
      <c r="I149" s="7" t="s">
        <v>17</v>
      </c>
      <c r="J149" s="7" t="s">
        <v>1614</v>
      </c>
    </row>
    <row r="150" spans="1:10" x14ac:dyDescent="0.25" outlineLevel="2" collapsed="1">
      <c r="A150" s="7" t="s">
        <v>19</v>
      </c>
      <c r="B150" s="7" t="s">
        <v>16</v>
      </c>
      <c r="C150" s="7" t="s">
        <v>17</v>
      </c>
      <c r="D150" s="7"/>
      <c r="E150" s="7" t="s">
        <v>1615</v>
      </c>
      <c r="F150" s="7" t="s">
        <v>19</v>
      </c>
      <c r="G150" s="7" t="s">
        <v>31</v>
      </c>
      <c r="H150" s="7" t="s">
        <v>17</v>
      </c>
      <c r="I150" s="7" t="s">
        <v>17</v>
      </c>
      <c r="J150" s="7" t="s">
        <v>1616</v>
      </c>
    </row>
    <row r="151" spans="1:10" x14ac:dyDescent="0.25" outlineLevel="1" collapsed="1">
      <c r="A151" s="8" t="s">
        <v>19</v>
      </c>
      <c r="B151" s="9" t="s">
        <v>1597</v>
      </c>
      <c r="C151" s="8" t="s">
        <v>17</v>
      </c>
      <c r="D151" s="8">
        <f>EXACT(G114,"Eq.(4) - project-specific T_i, WH, T_f or WHE")</f>
      </c>
      <c r="E151" s="8" t="s">
        <v>1643</v>
      </c>
      <c r="F151" s="8" t="s">
        <v>19</v>
      </c>
      <c r="G151" s="8" t="s">
        <v>17</v>
      </c>
      <c r="H151" s="8" t="s">
        <v>17</v>
      </c>
      <c r="I151" s="8" t="s">
        <v>17</v>
      </c>
      <c r="J151" s="8" t="s">
        <v>1644</v>
      </c>
    </row>
    <row r="152" spans="1:10" x14ac:dyDescent="0.25" outlineLevel="2" collapsed="1">
      <c r="A152" s="7" t="s">
        <v>15</v>
      </c>
      <c r="B152" s="7" t="s">
        <v>16</v>
      </c>
      <c r="C152" s="7" t="s">
        <v>17</v>
      </c>
      <c r="D152" s="7"/>
      <c r="E152" s="7" t="s">
        <v>1431</v>
      </c>
      <c r="F152" s="7" t="s">
        <v>19</v>
      </c>
      <c r="G152" s="7" t="s">
        <v>31</v>
      </c>
      <c r="H152" s="7" t="s">
        <v>17</v>
      </c>
      <c r="I152" s="7" t="s">
        <v>17</v>
      </c>
      <c r="J152" s="7" t="s">
        <v>637</v>
      </c>
    </row>
    <row r="153" spans="1:10" x14ac:dyDescent="0.25" outlineLevel="2" collapsed="1">
      <c r="A153" s="7" t="s">
        <v>15</v>
      </c>
      <c r="B153" s="7" t="s">
        <v>16</v>
      </c>
      <c r="C153" s="7" t="s">
        <v>17</v>
      </c>
      <c r="D153" s="7"/>
      <c r="E153" s="7" t="s">
        <v>638</v>
      </c>
      <c r="F153" s="7" t="s">
        <v>19</v>
      </c>
      <c r="G153" s="7" t="s">
        <v>31</v>
      </c>
      <c r="H153" s="7" t="s">
        <v>17</v>
      </c>
      <c r="I153" s="7" t="s">
        <v>17</v>
      </c>
      <c r="J153" s="7" t="s">
        <v>640</v>
      </c>
    </row>
    <row r="154" spans="1:10" x14ac:dyDescent="0.25" outlineLevel="2" collapsed="1">
      <c r="A154" s="7" t="s">
        <v>15</v>
      </c>
      <c r="B154" s="7" t="s">
        <v>16</v>
      </c>
      <c r="C154" s="7" t="s">
        <v>17</v>
      </c>
      <c r="D154" s="7"/>
      <c r="E154" s="7" t="s">
        <v>9</v>
      </c>
      <c r="F154" s="7" t="s">
        <v>19</v>
      </c>
      <c r="G154" s="7" t="s">
        <v>31</v>
      </c>
      <c r="H154" s="7" t="s">
        <v>17</v>
      </c>
      <c r="I154" s="7" t="s">
        <v>17</v>
      </c>
      <c r="J154" s="7" t="s">
        <v>843</v>
      </c>
    </row>
    <row r="155" spans="1:10" x14ac:dyDescent="0.25" outlineLevel="2" collapsed="1">
      <c r="A155" s="7" t="s">
        <v>19</v>
      </c>
      <c r="B155" s="7" t="s">
        <v>16</v>
      </c>
      <c r="C155" s="7" t="s">
        <v>17</v>
      </c>
      <c r="D155" s="7"/>
      <c r="E155" s="7" t="s">
        <v>1600</v>
      </c>
      <c r="F155" s="7" t="s">
        <v>19</v>
      </c>
      <c r="G155" s="7" t="s">
        <v>31</v>
      </c>
      <c r="H155" s="7" t="s">
        <v>17</v>
      </c>
      <c r="I155" s="7" t="s">
        <v>17</v>
      </c>
      <c r="J155" s="7" t="s">
        <v>1424</v>
      </c>
    </row>
    <row r="156" spans="1:10" x14ac:dyDescent="0.25" outlineLevel="2" collapsed="1">
      <c r="A156" s="7" t="s">
        <v>15</v>
      </c>
      <c r="B156" s="7" t="s">
        <v>16</v>
      </c>
      <c r="C156" s="7" t="s">
        <v>17</v>
      </c>
      <c r="D156" s="7"/>
      <c r="E156" s="7" t="s">
        <v>1601</v>
      </c>
      <c r="F156" s="7" t="s">
        <v>19</v>
      </c>
      <c r="G156" s="7" t="s">
        <v>31</v>
      </c>
      <c r="H156" s="7" t="s">
        <v>17</v>
      </c>
      <c r="I156" s="7" t="s">
        <v>17</v>
      </c>
      <c r="J156" s="7" t="s">
        <v>1602</v>
      </c>
    </row>
    <row r="157" spans="1:10" x14ac:dyDescent="0.25" outlineLevel="2" collapsed="1">
      <c r="A157" s="7" t="s">
        <v>15</v>
      </c>
      <c r="B157" s="7" t="s">
        <v>16</v>
      </c>
      <c r="C157" s="7" t="s">
        <v>17</v>
      </c>
      <c r="D157" s="7"/>
      <c r="E157" s="7" t="s">
        <v>1603</v>
      </c>
      <c r="F157" s="7" t="s">
        <v>19</v>
      </c>
      <c r="G157" s="7" t="s">
        <v>31</v>
      </c>
      <c r="H157" s="7" t="s">
        <v>17</v>
      </c>
      <c r="I157" s="7" t="s">
        <v>17</v>
      </c>
      <c r="J157" s="7" t="s">
        <v>1422</v>
      </c>
    </row>
    <row r="158" spans="1:10" x14ac:dyDescent="0.25" outlineLevel="2" collapsed="1">
      <c r="A158" s="7" t="s">
        <v>15</v>
      </c>
      <c r="B158" s="7" t="s">
        <v>284</v>
      </c>
      <c r="C158" s="11" t="s">
        <v>1604</v>
      </c>
      <c r="D158" s="7"/>
      <c r="E158" s="7" t="s">
        <v>1605</v>
      </c>
      <c r="F158" s="7" t="s">
        <v>19</v>
      </c>
      <c r="G158" s="7" t="s">
        <v>1606</v>
      </c>
      <c r="H158" s="7" t="s">
        <v>17</v>
      </c>
      <c r="I158" s="7" t="s">
        <v>17</v>
      </c>
      <c r="J158" s="7" t="s">
        <v>1607</v>
      </c>
    </row>
    <row r="159" spans="1:10" x14ac:dyDescent="0.25" outlineLevel="2" collapsed="1">
      <c r="A159" s="7" t="s">
        <v>19</v>
      </c>
      <c r="B159" s="7" t="s">
        <v>63</v>
      </c>
      <c r="C159" s="7" t="s">
        <v>17</v>
      </c>
      <c r="D159" s="7">
        <f>EXACT(G158,"Single value")</f>
      </c>
      <c r="E159" s="7" t="s">
        <v>1608</v>
      </c>
      <c r="F159" s="7" t="s">
        <v>19</v>
      </c>
      <c r="G159" s="7">
        <v>1</v>
      </c>
      <c r="H159" s="7" t="s">
        <v>17</v>
      </c>
      <c r="I159" s="7" t="s">
        <v>17</v>
      </c>
      <c r="J159" s="7" t="s">
        <v>1609</v>
      </c>
    </row>
    <row r="160" spans="1:10" x14ac:dyDescent="0.25" outlineLevel="2" collapsed="1">
      <c r="A160" s="7" t="s">
        <v>15</v>
      </c>
      <c r="B160" s="7" t="s">
        <v>16</v>
      </c>
      <c r="C160" s="7" t="s">
        <v>17</v>
      </c>
      <c r="D160" s="7"/>
      <c r="E160" s="7" t="s">
        <v>1610</v>
      </c>
      <c r="F160" s="7" t="s">
        <v>19</v>
      </c>
      <c r="G160" s="7" t="s">
        <v>31</v>
      </c>
      <c r="H160" s="7" t="s">
        <v>17</v>
      </c>
      <c r="I160" s="7" t="s">
        <v>17</v>
      </c>
      <c r="J160" s="7" t="s">
        <v>1191</v>
      </c>
    </row>
    <row r="161" spans="1:10" x14ac:dyDescent="0.25" outlineLevel="2" collapsed="1">
      <c r="A161" s="7" t="s">
        <v>15</v>
      </c>
      <c r="B161" s="7" t="s">
        <v>284</v>
      </c>
      <c r="C161" s="11" t="s">
        <v>1611</v>
      </c>
      <c r="D161" s="7"/>
      <c r="E161" s="7" t="s">
        <v>1612</v>
      </c>
      <c r="F161" s="7" t="s">
        <v>19</v>
      </c>
      <c r="G161" s="7" t="s">
        <v>1613</v>
      </c>
      <c r="H161" s="7" t="s">
        <v>17</v>
      </c>
      <c r="I161" s="7" t="s">
        <v>17</v>
      </c>
      <c r="J161" s="7" t="s">
        <v>1614</v>
      </c>
    </row>
    <row r="162" spans="1:10" x14ac:dyDescent="0.25" outlineLevel="2" collapsed="1">
      <c r="A162" s="7" t="s">
        <v>19</v>
      </c>
      <c r="B162" s="7" t="s">
        <v>16</v>
      </c>
      <c r="C162" s="7" t="s">
        <v>17</v>
      </c>
      <c r="D162" s="7"/>
      <c r="E162" s="7" t="s">
        <v>1615</v>
      </c>
      <c r="F162" s="7" t="s">
        <v>19</v>
      </c>
      <c r="G162" s="7" t="s">
        <v>31</v>
      </c>
      <c r="H162" s="7" t="s">
        <v>17</v>
      </c>
      <c r="I162" s="7" t="s">
        <v>17</v>
      </c>
      <c r="J162" s="7" t="s">
        <v>1616</v>
      </c>
    </row>
    <row r="163" spans="1:10" x14ac:dyDescent="0.25" outlineLevel="1" collapsed="1">
      <c r="A163" s="8" t="s">
        <v>15</v>
      </c>
      <c r="B163" s="9" t="s">
        <v>1597</v>
      </c>
      <c r="C163" s="8" t="s">
        <v>17</v>
      </c>
      <c r="D163" s="8"/>
      <c r="E163" s="8" t="s">
        <v>1645</v>
      </c>
      <c r="F163" s="8" t="s">
        <v>19</v>
      </c>
      <c r="G163" s="8" t="s">
        <v>17</v>
      </c>
      <c r="H163" s="8" t="s">
        <v>17</v>
      </c>
      <c r="I163" s="8" t="s">
        <v>17</v>
      </c>
      <c r="J163" s="8" t="s">
        <v>1646</v>
      </c>
    </row>
    <row r="164" spans="1:10" x14ac:dyDescent="0.25" outlineLevel="2" collapsed="1">
      <c r="A164" s="7" t="s">
        <v>15</v>
      </c>
      <c r="B164" s="7" t="s">
        <v>16</v>
      </c>
      <c r="C164" s="7" t="s">
        <v>17</v>
      </c>
      <c r="D164" s="7"/>
      <c r="E164" s="7" t="s">
        <v>1431</v>
      </c>
      <c r="F164" s="7" t="s">
        <v>19</v>
      </c>
      <c r="G164" s="7" t="s">
        <v>31</v>
      </c>
      <c r="H164" s="7" t="s">
        <v>17</v>
      </c>
      <c r="I164" s="7" t="s">
        <v>17</v>
      </c>
      <c r="J164" s="7" t="s">
        <v>637</v>
      </c>
    </row>
    <row r="165" spans="1:10" x14ac:dyDescent="0.25" outlineLevel="2" collapsed="1">
      <c r="A165" s="7" t="s">
        <v>15</v>
      </c>
      <c r="B165" s="7" t="s">
        <v>16</v>
      </c>
      <c r="C165" s="7" t="s">
        <v>17</v>
      </c>
      <c r="D165" s="7"/>
      <c r="E165" s="7" t="s">
        <v>638</v>
      </c>
      <c r="F165" s="7" t="s">
        <v>19</v>
      </c>
      <c r="G165" s="7" t="s">
        <v>31</v>
      </c>
      <c r="H165" s="7" t="s">
        <v>17</v>
      </c>
      <c r="I165" s="7" t="s">
        <v>17</v>
      </c>
      <c r="J165" s="7" t="s">
        <v>640</v>
      </c>
    </row>
    <row r="166" spans="1:10" x14ac:dyDescent="0.25" outlineLevel="2" collapsed="1">
      <c r="A166" s="7" t="s">
        <v>15</v>
      </c>
      <c r="B166" s="7" t="s">
        <v>16</v>
      </c>
      <c r="C166" s="7" t="s">
        <v>17</v>
      </c>
      <c r="D166" s="7"/>
      <c r="E166" s="7" t="s">
        <v>9</v>
      </c>
      <c r="F166" s="7" t="s">
        <v>19</v>
      </c>
      <c r="G166" s="7" t="s">
        <v>31</v>
      </c>
      <c r="H166" s="7" t="s">
        <v>17</v>
      </c>
      <c r="I166" s="7" t="s">
        <v>17</v>
      </c>
      <c r="J166" s="7" t="s">
        <v>843</v>
      </c>
    </row>
    <row r="167" spans="1:10" x14ac:dyDescent="0.25" outlineLevel="2" collapsed="1">
      <c r="A167" s="7" t="s">
        <v>19</v>
      </c>
      <c r="B167" s="7" t="s">
        <v>16</v>
      </c>
      <c r="C167" s="7" t="s">
        <v>17</v>
      </c>
      <c r="D167" s="7"/>
      <c r="E167" s="7" t="s">
        <v>1600</v>
      </c>
      <c r="F167" s="7" t="s">
        <v>19</v>
      </c>
      <c r="G167" s="7" t="s">
        <v>31</v>
      </c>
      <c r="H167" s="7" t="s">
        <v>17</v>
      </c>
      <c r="I167" s="7" t="s">
        <v>17</v>
      </c>
      <c r="J167" s="7" t="s">
        <v>1424</v>
      </c>
    </row>
    <row r="168" spans="1:10" x14ac:dyDescent="0.25" outlineLevel="2" collapsed="1">
      <c r="A168" s="7" t="s">
        <v>15</v>
      </c>
      <c r="B168" s="7" t="s">
        <v>16</v>
      </c>
      <c r="C168" s="7" t="s">
        <v>17</v>
      </c>
      <c r="D168" s="7"/>
      <c r="E168" s="7" t="s">
        <v>1601</v>
      </c>
      <c r="F168" s="7" t="s">
        <v>19</v>
      </c>
      <c r="G168" s="7" t="s">
        <v>31</v>
      </c>
      <c r="H168" s="7" t="s">
        <v>17</v>
      </c>
      <c r="I168" s="7" t="s">
        <v>17</v>
      </c>
      <c r="J168" s="7" t="s">
        <v>1602</v>
      </c>
    </row>
    <row r="169" spans="1:10" x14ac:dyDescent="0.25" outlineLevel="2" collapsed="1">
      <c r="A169" s="7" t="s">
        <v>15</v>
      </c>
      <c r="B169" s="7" t="s">
        <v>16</v>
      </c>
      <c r="C169" s="7" t="s">
        <v>17</v>
      </c>
      <c r="D169" s="7"/>
      <c r="E169" s="7" t="s">
        <v>1603</v>
      </c>
      <c r="F169" s="7" t="s">
        <v>19</v>
      </c>
      <c r="G169" s="7" t="s">
        <v>31</v>
      </c>
      <c r="H169" s="7" t="s">
        <v>17</v>
      </c>
      <c r="I169" s="7" t="s">
        <v>17</v>
      </c>
      <c r="J169" s="7" t="s">
        <v>1422</v>
      </c>
    </row>
    <row r="170" spans="1:10" x14ac:dyDescent="0.25" outlineLevel="2" collapsed="1">
      <c r="A170" s="7" t="s">
        <v>15</v>
      </c>
      <c r="B170" s="7" t="s">
        <v>284</v>
      </c>
      <c r="C170" s="11" t="s">
        <v>1604</v>
      </c>
      <c r="D170" s="7"/>
      <c r="E170" s="7" t="s">
        <v>1605</v>
      </c>
      <c r="F170" s="7" t="s">
        <v>19</v>
      </c>
      <c r="G170" s="7" t="s">
        <v>1606</v>
      </c>
      <c r="H170" s="7" t="s">
        <v>17</v>
      </c>
      <c r="I170" s="7" t="s">
        <v>17</v>
      </c>
      <c r="J170" s="7" t="s">
        <v>1607</v>
      </c>
    </row>
    <row r="171" spans="1:10" x14ac:dyDescent="0.25" outlineLevel="2" collapsed="1">
      <c r="A171" s="7" t="s">
        <v>19</v>
      </c>
      <c r="B171" s="7" t="s">
        <v>63</v>
      </c>
      <c r="C171" s="7" t="s">
        <v>17</v>
      </c>
      <c r="D171" s="7">
        <f>EXACT(G170,"Single value")</f>
      </c>
      <c r="E171" s="7" t="s">
        <v>1608</v>
      </c>
      <c r="F171" s="7" t="s">
        <v>19</v>
      </c>
      <c r="G171" s="7">
        <v>1</v>
      </c>
      <c r="H171" s="7" t="s">
        <v>17</v>
      </c>
      <c r="I171" s="7" t="s">
        <v>17</v>
      </c>
      <c r="J171" s="7" t="s">
        <v>1609</v>
      </c>
    </row>
    <row r="172" spans="1:10" x14ac:dyDescent="0.25" outlineLevel="2" collapsed="1">
      <c r="A172" s="7" t="s">
        <v>15</v>
      </c>
      <c r="B172" s="7" t="s">
        <v>16</v>
      </c>
      <c r="C172" s="7" t="s">
        <v>17</v>
      </c>
      <c r="D172" s="7"/>
      <c r="E172" s="7" t="s">
        <v>1610</v>
      </c>
      <c r="F172" s="7" t="s">
        <v>19</v>
      </c>
      <c r="G172" s="7" t="s">
        <v>31</v>
      </c>
      <c r="H172" s="7" t="s">
        <v>17</v>
      </c>
      <c r="I172" s="7" t="s">
        <v>17</v>
      </c>
      <c r="J172" s="7" t="s">
        <v>1191</v>
      </c>
    </row>
    <row r="173" spans="1:10" x14ac:dyDescent="0.25" outlineLevel="2" collapsed="1">
      <c r="A173" s="7" t="s">
        <v>15</v>
      </c>
      <c r="B173" s="7" t="s">
        <v>284</v>
      </c>
      <c r="C173" s="11" t="s">
        <v>1611</v>
      </c>
      <c r="D173" s="7"/>
      <c r="E173" s="7" t="s">
        <v>1612</v>
      </c>
      <c r="F173" s="7" t="s">
        <v>19</v>
      </c>
      <c r="G173" s="7" t="s">
        <v>1613</v>
      </c>
      <c r="H173" s="7" t="s">
        <v>17</v>
      </c>
      <c r="I173" s="7" t="s">
        <v>17</v>
      </c>
      <c r="J173" s="7" t="s">
        <v>1614</v>
      </c>
    </row>
    <row r="174" spans="1:10" x14ac:dyDescent="0.25" outlineLevel="2" collapsed="1">
      <c r="A174" s="7" t="s">
        <v>19</v>
      </c>
      <c r="B174" s="7" t="s">
        <v>16</v>
      </c>
      <c r="C174" s="7" t="s">
        <v>17</v>
      </c>
      <c r="D174" s="7"/>
      <c r="E174" s="7" t="s">
        <v>1615</v>
      </c>
      <c r="F174" s="7" t="s">
        <v>19</v>
      </c>
      <c r="G174" s="7" t="s">
        <v>31</v>
      </c>
      <c r="H174" s="7" t="s">
        <v>17</v>
      </c>
      <c r="I174" s="7" t="s">
        <v>17</v>
      </c>
      <c r="J174" s="7" t="s">
        <v>1616</v>
      </c>
    </row>
    <row r="175" spans="1:10" x14ac:dyDescent="0.25">
      <c r="A175" s="5" t="s">
        <v>19</v>
      </c>
      <c r="B175" s="6" t="s">
        <v>1647</v>
      </c>
      <c r="C175" s="5" t="s">
        <v>17</v>
      </c>
      <c r="D175" s="5"/>
      <c r="E175" s="5" t="s">
        <v>1648</v>
      </c>
      <c r="F175" s="5" t="s">
        <v>19</v>
      </c>
      <c r="G175" s="5" t="s">
        <v>17</v>
      </c>
      <c r="H175" s="5" t="s">
        <v>17</v>
      </c>
      <c r="I175" s="5" t="s">
        <v>17</v>
      </c>
      <c r="J175" s="5" t="s">
        <v>1649</v>
      </c>
    </row>
    <row r="176" spans="1:10" x14ac:dyDescent="0.25" outlineLevel="1" collapsed="1">
      <c r="A176" s="8" t="s">
        <v>19</v>
      </c>
      <c r="B176" s="9" t="s">
        <v>1597</v>
      </c>
      <c r="C176" s="8" t="s">
        <v>17</v>
      </c>
      <c r="D176" s="8"/>
      <c r="E176" s="8" t="s">
        <v>1650</v>
      </c>
      <c r="F176" s="8" t="s">
        <v>19</v>
      </c>
      <c r="G176" s="8" t="s">
        <v>17</v>
      </c>
      <c r="H176" s="8" t="s">
        <v>17</v>
      </c>
      <c r="I176" s="8" t="s">
        <v>17</v>
      </c>
      <c r="J176" s="8" t="s">
        <v>1651</v>
      </c>
    </row>
    <row r="177" spans="1:10" x14ac:dyDescent="0.25" outlineLevel="2" collapsed="1">
      <c r="A177" s="7" t="s">
        <v>15</v>
      </c>
      <c r="B177" s="7" t="s">
        <v>16</v>
      </c>
      <c r="C177" s="7" t="s">
        <v>17</v>
      </c>
      <c r="D177" s="7"/>
      <c r="E177" s="7" t="s">
        <v>1431</v>
      </c>
      <c r="F177" s="7" t="s">
        <v>19</v>
      </c>
      <c r="G177" s="7" t="s">
        <v>31</v>
      </c>
      <c r="H177" s="7" t="s">
        <v>17</v>
      </c>
      <c r="I177" s="7" t="s">
        <v>17</v>
      </c>
      <c r="J177" s="7" t="s">
        <v>637</v>
      </c>
    </row>
    <row r="178" spans="1:10" x14ac:dyDescent="0.25" outlineLevel="2" collapsed="1">
      <c r="A178" s="7" t="s">
        <v>15</v>
      </c>
      <c r="B178" s="7" t="s">
        <v>16</v>
      </c>
      <c r="C178" s="7" t="s">
        <v>17</v>
      </c>
      <c r="D178" s="7"/>
      <c r="E178" s="7" t="s">
        <v>638</v>
      </c>
      <c r="F178" s="7" t="s">
        <v>19</v>
      </c>
      <c r="G178" s="7" t="s">
        <v>31</v>
      </c>
      <c r="H178" s="7" t="s">
        <v>17</v>
      </c>
      <c r="I178" s="7" t="s">
        <v>17</v>
      </c>
      <c r="J178" s="7" t="s">
        <v>640</v>
      </c>
    </row>
    <row r="179" spans="1:10" x14ac:dyDescent="0.25" outlineLevel="2" collapsed="1">
      <c r="A179" s="7" t="s">
        <v>15</v>
      </c>
      <c r="B179" s="7" t="s">
        <v>16</v>
      </c>
      <c r="C179" s="7" t="s">
        <v>17</v>
      </c>
      <c r="D179" s="7"/>
      <c r="E179" s="7" t="s">
        <v>9</v>
      </c>
      <c r="F179" s="7" t="s">
        <v>19</v>
      </c>
      <c r="G179" s="7" t="s">
        <v>31</v>
      </c>
      <c r="H179" s="7" t="s">
        <v>17</v>
      </c>
      <c r="I179" s="7" t="s">
        <v>17</v>
      </c>
      <c r="J179" s="7" t="s">
        <v>843</v>
      </c>
    </row>
    <row r="180" spans="1:10" x14ac:dyDescent="0.25" outlineLevel="2" collapsed="1">
      <c r="A180" s="7" t="s">
        <v>19</v>
      </c>
      <c r="B180" s="7" t="s">
        <v>16</v>
      </c>
      <c r="C180" s="7" t="s">
        <v>17</v>
      </c>
      <c r="D180" s="7"/>
      <c r="E180" s="7" t="s">
        <v>1600</v>
      </c>
      <c r="F180" s="7" t="s">
        <v>19</v>
      </c>
      <c r="G180" s="7" t="s">
        <v>31</v>
      </c>
      <c r="H180" s="7" t="s">
        <v>17</v>
      </c>
      <c r="I180" s="7" t="s">
        <v>17</v>
      </c>
      <c r="J180" s="7" t="s">
        <v>1424</v>
      </c>
    </row>
    <row r="181" spans="1:10" x14ac:dyDescent="0.25" outlineLevel="2" collapsed="1">
      <c r="A181" s="7" t="s">
        <v>15</v>
      </c>
      <c r="B181" s="7" t="s">
        <v>16</v>
      </c>
      <c r="C181" s="7" t="s">
        <v>17</v>
      </c>
      <c r="D181" s="7"/>
      <c r="E181" s="7" t="s">
        <v>1601</v>
      </c>
      <c r="F181" s="7" t="s">
        <v>19</v>
      </c>
      <c r="G181" s="7" t="s">
        <v>31</v>
      </c>
      <c r="H181" s="7" t="s">
        <v>17</v>
      </c>
      <c r="I181" s="7" t="s">
        <v>17</v>
      </c>
      <c r="J181" s="7" t="s">
        <v>1602</v>
      </c>
    </row>
    <row r="182" spans="1:10" x14ac:dyDescent="0.25" outlineLevel="2" collapsed="1">
      <c r="A182" s="7" t="s">
        <v>15</v>
      </c>
      <c r="B182" s="7" t="s">
        <v>16</v>
      </c>
      <c r="C182" s="7" t="s">
        <v>17</v>
      </c>
      <c r="D182" s="7"/>
      <c r="E182" s="7" t="s">
        <v>1603</v>
      </c>
      <c r="F182" s="7" t="s">
        <v>19</v>
      </c>
      <c r="G182" s="7" t="s">
        <v>31</v>
      </c>
      <c r="H182" s="7" t="s">
        <v>17</v>
      </c>
      <c r="I182" s="7" t="s">
        <v>17</v>
      </c>
      <c r="J182" s="7" t="s">
        <v>1422</v>
      </c>
    </row>
    <row r="183" spans="1:10" x14ac:dyDescent="0.25" outlineLevel="2" collapsed="1">
      <c r="A183" s="7" t="s">
        <v>15</v>
      </c>
      <c r="B183" s="7" t="s">
        <v>284</v>
      </c>
      <c r="C183" s="11" t="s">
        <v>1604</v>
      </c>
      <c r="D183" s="7"/>
      <c r="E183" s="7" t="s">
        <v>1605</v>
      </c>
      <c r="F183" s="7" t="s">
        <v>19</v>
      </c>
      <c r="G183" s="7" t="s">
        <v>1606</v>
      </c>
      <c r="H183" s="7" t="s">
        <v>17</v>
      </c>
      <c r="I183" s="7" t="s">
        <v>17</v>
      </c>
      <c r="J183" s="7" t="s">
        <v>1607</v>
      </c>
    </row>
    <row r="184" spans="1:10" x14ac:dyDescent="0.25" outlineLevel="2" collapsed="1">
      <c r="A184" s="7" t="s">
        <v>19</v>
      </c>
      <c r="B184" s="7" t="s">
        <v>63</v>
      </c>
      <c r="C184" s="7" t="s">
        <v>17</v>
      </c>
      <c r="D184" s="7">
        <f>EXACT(G183,"Single value")</f>
      </c>
      <c r="E184" s="7" t="s">
        <v>1608</v>
      </c>
      <c r="F184" s="7" t="s">
        <v>19</v>
      </c>
      <c r="G184" s="7">
        <v>1</v>
      </c>
      <c r="H184" s="7" t="s">
        <v>17</v>
      </c>
      <c r="I184" s="7" t="s">
        <v>17</v>
      </c>
      <c r="J184" s="7" t="s">
        <v>1609</v>
      </c>
    </row>
    <row r="185" spans="1:10" x14ac:dyDescent="0.25" outlineLevel="2" collapsed="1">
      <c r="A185" s="7" t="s">
        <v>15</v>
      </c>
      <c r="B185" s="7" t="s">
        <v>16</v>
      </c>
      <c r="C185" s="7" t="s">
        <v>17</v>
      </c>
      <c r="D185" s="7"/>
      <c r="E185" s="7" t="s">
        <v>1610</v>
      </c>
      <c r="F185" s="7" t="s">
        <v>19</v>
      </c>
      <c r="G185" s="7" t="s">
        <v>31</v>
      </c>
      <c r="H185" s="7" t="s">
        <v>17</v>
      </c>
      <c r="I185" s="7" t="s">
        <v>17</v>
      </c>
      <c r="J185" s="7" t="s">
        <v>1191</v>
      </c>
    </row>
    <row r="186" spans="1:10" x14ac:dyDescent="0.25" outlineLevel="2" collapsed="1">
      <c r="A186" s="7" t="s">
        <v>15</v>
      </c>
      <c r="B186" s="7" t="s">
        <v>284</v>
      </c>
      <c r="C186" s="11" t="s">
        <v>1611</v>
      </c>
      <c r="D186" s="7"/>
      <c r="E186" s="7" t="s">
        <v>1612</v>
      </c>
      <c r="F186" s="7" t="s">
        <v>19</v>
      </c>
      <c r="G186" s="7" t="s">
        <v>1613</v>
      </c>
      <c r="H186" s="7" t="s">
        <v>17</v>
      </c>
      <c r="I186" s="7" t="s">
        <v>17</v>
      </c>
      <c r="J186" s="7" t="s">
        <v>1614</v>
      </c>
    </row>
    <row r="187" spans="1:10" x14ac:dyDescent="0.25" outlineLevel="2" collapsed="1">
      <c r="A187" s="7" t="s">
        <v>19</v>
      </c>
      <c r="B187" s="7" t="s">
        <v>16</v>
      </c>
      <c r="C187" s="7" t="s">
        <v>17</v>
      </c>
      <c r="D187" s="7"/>
      <c r="E187" s="7" t="s">
        <v>1615</v>
      </c>
      <c r="F187" s="7" t="s">
        <v>19</v>
      </c>
      <c r="G187" s="7" t="s">
        <v>31</v>
      </c>
      <c r="H187" s="7" t="s">
        <v>17</v>
      </c>
      <c r="I187" s="7" t="s">
        <v>17</v>
      </c>
      <c r="J187" s="7" t="s">
        <v>1616</v>
      </c>
    </row>
    <row r="188" spans="1:10" x14ac:dyDescent="0.25">
      <c r="A188" s="5" t="s">
        <v>19</v>
      </c>
      <c r="B188" s="6" t="s">
        <v>1652</v>
      </c>
      <c r="C188" s="5" t="s">
        <v>17</v>
      </c>
      <c r="D188" s="5"/>
      <c r="E188" s="5" t="s">
        <v>1653</v>
      </c>
      <c r="F188" s="5" t="s">
        <v>19</v>
      </c>
      <c r="G188" s="5" t="s">
        <v>17</v>
      </c>
      <c r="H188" s="5" t="s">
        <v>17</v>
      </c>
      <c r="I188" s="5" t="s">
        <v>17</v>
      </c>
      <c r="J188" s="5" t="s">
        <v>1654</v>
      </c>
    </row>
    <row r="189" spans="1:10" x14ac:dyDescent="0.25" outlineLevel="1" collapsed="1">
      <c r="A189" s="8" t="s">
        <v>19</v>
      </c>
      <c r="B189" s="9" t="s">
        <v>1597</v>
      </c>
      <c r="C189" s="8" t="s">
        <v>17</v>
      </c>
      <c r="D189" s="8"/>
      <c r="E189" s="8" t="s">
        <v>1655</v>
      </c>
      <c r="F189" s="8" t="s">
        <v>19</v>
      </c>
      <c r="G189" s="8" t="s">
        <v>17</v>
      </c>
      <c r="H189" s="8" t="s">
        <v>17</v>
      </c>
      <c r="I189" s="8" t="s">
        <v>17</v>
      </c>
      <c r="J189" s="8" t="s">
        <v>1656</v>
      </c>
    </row>
    <row r="190" spans="1:10" x14ac:dyDescent="0.25" outlineLevel="2" collapsed="1">
      <c r="A190" s="7" t="s">
        <v>15</v>
      </c>
      <c r="B190" s="7" t="s">
        <v>16</v>
      </c>
      <c r="C190" s="7" t="s">
        <v>17</v>
      </c>
      <c r="D190" s="7"/>
      <c r="E190" s="7" t="s">
        <v>1431</v>
      </c>
      <c r="F190" s="7" t="s">
        <v>19</v>
      </c>
      <c r="G190" s="7" t="s">
        <v>31</v>
      </c>
      <c r="H190" s="7" t="s">
        <v>17</v>
      </c>
      <c r="I190" s="7" t="s">
        <v>17</v>
      </c>
      <c r="J190" s="7" t="s">
        <v>637</v>
      </c>
    </row>
    <row r="191" spans="1:10" x14ac:dyDescent="0.25" outlineLevel="2" collapsed="1">
      <c r="A191" s="7" t="s">
        <v>15</v>
      </c>
      <c r="B191" s="7" t="s">
        <v>16</v>
      </c>
      <c r="C191" s="7" t="s">
        <v>17</v>
      </c>
      <c r="D191" s="7"/>
      <c r="E191" s="7" t="s">
        <v>638</v>
      </c>
      <c r="F191" s="7" t="s">
        <v>19</v>
      </c>
      <c r="G191" s="7" t="s">
        <v>31</v>
      </c>
      <c r="H191" s="7" t="s">
        <v>17</v>
      </c>
      <c r="I191" s="7" t="s">
        <v>17</v>
      </c>
      <c r="J191" s="7" t="s">
        <v>640</v>
      </c>
    </row>
    <row r="192" spans="1:10" x14ac:dyDescent="0.25" outlineLevel="2" collapsed="1">
      <c r="A192" s="7" t="s">
        <v>15</v>
      </c>
      <c r="B192" s="7" t="s">
        <v>16</v>
      </c>
      <c r="C192" s="7" t="s">
        <v>17</v>
      </c>
      <c r="D192" s="7"/>
      <c r="E192" s="7" t="s">
        <v>9</v>
      </c>
      <c r="F192" s="7" t="s">
        <v>19</v>
      </c>
      <c r="G192" s="7" t="s">
        <v>31</v>
      </c>
      <c r="H192" s="7" t="s">
        <v>17</v>
      </c>
      <c r="I192" s="7" t="s">
        <v>17</v>
      </c>
      <c r="J192" s="7" t="s">
        <v>843</v>
      </c>
    </row>
    <row r="193" spans="1:10" x14ac:dyDescent="0.25" outlineLevel="2" collapsed="1">
      <c r="A193" s="7" t="s">
        <v>19</v>
      </c>
      <c r="B193" s="7" t="s">
        <v>16</v>
      </c>
      <c r="C193" s="7" t="s">
        <v>17</v>
      </c>
      <c r="D193" s="7"/>
      <c r="E193" s="7" t="s">
        <v>1600</v>
      </c>
      <c r="F193" s="7" t="s">
        <v>19</v>
      </c>
      <c r="G193" s="7" t="s">
        <v>31</v>
      </c>
      <c r="H193" s="7" t="s">
        <v>17</v>
      </c>
      <c r="I193" s="7" t="s">
        <v>17</v>
      </c>
      <c r="J193" s="7" t="s">
        <v>1424</v>
      </c>
    </row>
    <row r="194" spans="1:10" x14ac:dyDescent="0.25" outlineLevel="2" collapsed="1">
      <c r="A194" s="7" t="s">
        <v>15</v>
      </c>
      <c r="B194" s="7" t="s">
        <v>16</v>
      </c>
      <c r="C194" s="7" t="s">
        <v>17</v>
      </c>
      <c r="D194" s="7"/>
      <c r="E194" s="7" t="s">
        <v>1601</v>
      </c>
      <c r="F194" s="7" t="s">
        <v>19</v>
      </c>
      <c r="G194" s="7" t="s">
        <v>31</v>
      </c>
      <c r="H194" s="7" t="s">
        <v>17</v>
      </c>
      <c r="I194" s="7" t="s">
        <v>17</v>
      </c>
      <c r="J194" s="7" t="s">
        <v>1602</v>
      </c>
    </row>
    <row r="195" spans="1:10" x14ac:dyDescent="0.25" outlineLevel="2" collapsed="1">
      <c r="A195" s="7" t="s">
        <v>15</v>
      </c>
      <c r="B195" s="7" t="s">
        <v>16</v>
      </c>
      <c r="C195" s="7" t="s">
        <v>17</v>
      </c>
      <c r="D195" s="7"/>
      <c r="E195" s="7" t="s">
        <v>1603</v>
      </c>
      <c r="F195" s="7" t="s">
        <v>19</v>
      </c>
      <c r="G195" s="7" t="s">
        <v>31</v>
      </c>
      <c r="H195" s="7" t="s">
        <v>17</v>
      </c>
      <c r="I195" s="7" t="s">
        <v>17</v>
      </c>
      <c r="J195" s="7" t="s">
        <v>1422</v>
      </c>
    </row>
    <row r="196" spans="1:10" x14ac:dyDescent="0.25" outlineLevel="2" collapsed="1">
      <c r="A196" s="7" t="s">
        <v>15</v>
      </c>
      <c r="B196" s="7" t="s">
        <v>284</v>
      </c>
      <c r="C196" s="11" t="s">
        <v>1604</v>
      </c>
      <c r="D196" s="7"/>
      <c r="E196" s="7" t="s">
        <v>1605</v>
      </c>
      <c r="F196" s="7" t="s">
        <v>19</v>
      </c>
      <c r="G196" s="7" t="s">
        <v>1606</v>
      </c>
      <c r="H196" s="7" t="s">
        <v>17</v>
      </c>
      <c r="I196" s="7" t="s">
        <v>17</v>
      </c>
      <c r="J196" s="7" t="s">
        <v>1607</v>
      </c>
    </row>
    <row r="197" spans="1:10" x14ac:dyDescent="0.25" outlineLevel="2" collapsed="1">
      <c r="A197" s="7" t="s">
        <v>19</v>
      </c>
      <c r="B197" s="7" t="s">
        <v>63</v>
      </c>
      <c r="C197" s="7" t="s">
        <v>17</v>
      </c>
      <c r="D197" s="7">
        <f>EXACT(G196,"Single value")</f>
      </c>
      <c r="E197" s="7" t="s">
        <v>1608</v>
      </c>
      <c r="F197" s="7" t="s">
        <v>19</v>
      </c>
      <c r="G197" s="7">
        <v>1</v>
      </c>
      <c r="H197" s="7" t="s">
        <v>17</v>
      </c>
      <c r="I197" s="7" t="s">
        <v>17</v>
      </c>
      <c r="J197" s="7" t="s">
        <v>1609</v>
      </c>
    </row>
    <row r="198" spans="1:10" x14ac:dyDescent="0.25" outlineLevel="2" collapsed="1">
      <c r="A198" s="7" t="s">
        <v>15</v>
      </c>
      <c r="B198" s="7" t="s">
        <v>16</v>
      </c>
      <c r="C198" s="7" t="s">
        <v>17</v>
      </c>
      <c r="D198" s="7"/>
      <c r="E198" s="7" t="s">
        <v>1610</v>
      </c>
      <c r="F198" s="7" t="s">
        <v>19</v>
      </c>
      <c r="G198" s="7" t="s">
        <v>31</v>
      </c>
      <c r="H198" s="7" t="s">
        <v>17</v>
      </c>
      <c r="I198" s="7" t="s">
        <v>17</v>
      </c>
      <c r="J198" s="7" t="s">
        <v>1191</v>
      </c>
    </row>
    <row r="199" spans="1:10" x14ac:dyDescent="0.25" outlineLevel="2" collapsed="1">
      <c r="A199" s="7" t="s">
        <v>15</v>
      </c>
      <c r="B199" s="7" t="s">
        <v>284</v>
      </c>
      <c r="C199" s="11" t="s">
        <v>1611</v>
      </c>
      <c r="D199" s="7"/>
      <c r="E199" s="7" t="s">
        <v>1612</v>
      </c>
      <c r="F199" s="7" t="s">
        <v>19</v>
      </c>
      <c r="G199" s="7" t="s">
        <v>1613</v>
      </c>
      <c r="H199" s="7" t="s">
        <v>17</v>
      </c>
      <c r="I199" s="7" t="s">
        <v>17</v>
      </c>
      <c r="J199" s="7" t="s">
        <v>1614</v>
      </c>
    </row>
    <row r="200" spans="1:10" x14ac:dyDescent="0.25" outlineLevel="2" collapsed="1">
      <c r="A200" s="7" t="s">
        <v>19</v>
      </c>
      <c r="B200" s="7" t="s">
        <v>16</v>
      </c>
      <c r="C200" s="7" t="s">
        <v>17</v>
      </c>
      <c r="D200" s="7"/>
      <c r="E200" s="7" t="s">
        <v>1615</v>
      </c>
      <c r="F200" s="7" t="s">
        <v>19</v>
      </c>
      <c r="G200" s="7" t="s">
        <v>31</v>
      </c>
      <c r="H200" s="7" t="s">
        <v>17</v>
      </c>
      <c r="I200" s="7" t="s">
        <v>17</v>
      </c>
      <c r="J200" s="7" t="s">
        <v>1616</v>
      </c>
    </row>
    <row r="201" spans="1:10" x14ac:dyDescent="0.25" outlineLevel="1" collapsed="1">
      <c r="A201" s="8" t="s">
        <v>19</v>
      </c>
      <c r="B201" s="9" t="s">
        <v>1597</v>
      </c>
      <c r="C201" s="8" t="s">
        <v>17</v>
      </c>
      <c r="D201" s="8"/>
      <c r="E201" s="8" t="s">
        <v>1657</v>
      </c>
      <c r="F201" s="8" t="s">
        <v>19</v>
      </c>
      <c r="G201" s="8" t="s">
        <v>17</v>
      </c>
      <c r="H201" s="8" t="s">
        <v>17</v>
      </c>
      <c r="I201" s="8" t="s">
        <v>17</v>
      </c>
      <c r="J201" s="8" t="s">
        <v>1658</v>
      </c>
    </row>
    <row r="202" spans="1:10" x14ac:dyDescent="0.25" outlineLevel="2" collapsed="1">
      <c r="A202" s="7" t="s">
        <v>15</v>
      </c>
      <c r="B202" s="7" t="s">
        <v>16</v>
      </c>
      <c r="C202" s="7" t="s">
        <v>17</v>
      </c>
      <c r="D202" s="7"/>
      <c r="E202" s="7" t="s">
        <v>1431</v>
      </c>
      <c r="F202" s="7" t="s">
        <v>19</v>
      </c>
      <c r="G202" s="7" t="s">
        <v>31</v>
      </c>
      <c r="H202" s="7" t="s">
        <v>17</v>
      </c>
      <c r="I202" s="7" t="s">
        <v>17</v>
      </c>
      <c r="J202" s="7" t="s">
        <v>637</v>
      </c>
    </row>
    <row r="203" spans="1:10" x14ac:dyDescent="0.25" outlineLevel="2" collapsed="1">
      <c r="A203" s="7" t="s">
        <v>15</v>
      </c>
      <c r="B203" s="7" t="s">
        <v>16</v>
      </c>
      <c r="C203" s="7" t="s">
        <v>17</v>
      </c>
      <c r="D203" s="7"/>
      <c r="E203" s="7" t="s">
        <v>638</v>
      </c>
      <c r="F203" s="7" t="s">
        <v>19</v>
      </c>
      <c r="G203" s="7" t="s">
        <v>31</v>
      </c>
      <c r="H203" s="7" t="s">
        <v>17</v>
      </c>
      <c r="I203" s="7" t="s">
        <v>17</v>
      </c>
      <c r="J203" s="7" t="s">
        <v>640</v>
      </c>
    </row>
    <row r="204" spans="1:10" x14ac:dyDescent="0.25" outlineLevel="2" collapsed="1">
      <c r="A204" s="7" t="s">
        <v>15</v>
      </c>
      <c r="B204" s="7" t="s">
        <v>16</v>
      </c>
      <c r="C204" s="7" t="s">
        <v>17</v>
      </c>
      <c r="D204" s="7"/>
      <c r="E204" s="7" t="s">
        <v>9</v>
      </c>
      <c r="F204" s="7" t="s">
        <v>19</v>
      </c>
      <c r="G204" s="7" t="s">
        <v>31</v>
      </c>
      <c r="H204" s="7" t="s">
        <v>17</v>
      </c>
      <c r="I204" s="7" t="s">
        <v>17</v>
      </c>
      <c r="J204" s="7" t="s">
        <v>843</v>
      </c>
    </row>
    <row r="205" spans="1:10" x14ac:dyDescent="0.25" outlineLevel="2" collapsed="1">
      <c r="A205" s="7" t="s">
        <v>19</v>
      </c>
      <c r="B205" s="7" t="s">
        <v>16</v>
      </c>
      <c r="C205" s="7" t="s">
        <v>17</v>
      </c>
      <c r="D205" s="7"/>
      <c r="E205" s="7" t="s">
        <v>1600</v>
      </c>
      <c r="F205" s="7" t="s">
        <v>19</v>
      </c>
      <c r="G205" s="7" t="s">
        <v>31</v>
      </c>
      <c r="H205" s="7" t="s">
        <v>17</v>
      </c>
      <c r="I205" s="7" t="s">
        <v>17</v>
      </c>
      <c r="J205" s="7" t="s">
        <v>1424</v>
      </c>
    </row>
    <row r="206" spans="1:10" x14ac:dyDescent="0.25" outlineLevel="2" collapsed="1">
      <c r="A206" s="7" t="s">
        <v>15</v>
      </c>
      <c r="B206" s="7" t="s">
        <v>16</v>
      </c>
      <c r="C206" s="7" t="s">
        <v>17</v>
      </c>
      <c r="D206" s="7"/>
      <c r="E206" s="7" t="s">
        <v>1601</v>
      </c>
      <c r="F206" s="7" t="s">
        <v>19</v>
      </c>
      <c r="G206" s="7" t="s">
        <v>31</v>
      </c>
      <c r="H206" s="7" t="s">
        <v>17</v>
      </c>
      <c r="I206" s="7" t="s">
        <v>17</v>
      </c>
      <c r="J206" s="7" t="s">
        <v>1602</v>
      </c>
    </row>
    <row r="207" spans="1:10" x14ac:dyDescent="0.25" outlineLevel="2" collapsed="1">
      <c r="A207" s="7" t="s">
        <v>15</v>
      </c>
      <c r="B207" s="7" t="s">
        <v>16</v>
      </c>
      <c r="C207" s="7" t="s">
        <v>17</v>
      </c>
      <c r="D207" s="7"/>
      <c r="E207" s="7" t="s">
        <v>1603</v>
      </c>
      <c r="F207" s="7" t="s">
        <v>19</v>
      </c>
      <c r="G207" s="7" t="s">
        <v>31</v>
      </c>
      <c r="H207" s="7" t="s">
        <v>17</v>
      </c>
      <c r="I207" s="7" t="s">
        <v>17</v>
      </c>
      <c r="J207" s="7" t="s">
        <v>1422</v>
      </c>
    </row>
    <row r="208" spans="1:10" x14ac:dyDescent="0.25" outlineLevel="2" collapsed="1">
      <c r="A208" s="7" t="s">
        <v>15</v>
      </c>
      <c r="B208" s="7" t="s">
        <v>284</v>
      </c>
      <c r="C208" s="11" t="s">
        <v>1604</v>
      </c>
      <c r="D208" s="7"/>
      <c r="E208" s="7" t="s">
        <v>1605</v>
      </c>
      <c r="F208" s="7" t="s">
        <v>19</v>
      </c>
      <c r="G208" s="7" t="s">
        <v>1606</v>
      </c>
      <c r="H208" s="7" t="s">
        <v>17</v>
      </c>
      <c r="I208" s="7" t="s">
        <v>17</v>
      </c>
      <c r="J208" s="7" t="s">
        <v>1607</v>
      </c>
    </row>
    <row r="209" spans="1:10" x14ac:dyDescent="0.25" outlineLevel="2" collapsed="1">
      <c r="A209" s="7" t="s">
        <v>19</v>
      </c>
      <c r="B209" s="7" t="s">
        <v>63</v>
      </c>
      <c r="C209" s="7" t="s">
        <v>17</v>
      </c>
      <c r="D209" s="7">
        <f>EXACT(G208,"Single value")</f>
      </c>
      <c r="E209" s="7" t="s">
        <v>1608</v>
      </c>
      <c r="F209" s="7" t="s">
        <v>19</v>
      </c>
      <c r="G209" s="7">
        <v>1</v>
      </c>
      <c r="H209" s="7" t="s">
        <v>17</v>
      </c>
      <c r="I209" s="7" t="s">
        <v>17</v>
      </c>
      <c r="J209" s="7" t="s">
        <v>1609</v>
      </c>
    </row>
    <row r="210" spans="1:10" x14ac:dyDescent="0.25" outlineLevel="2" collapsed="1">
      <c r="A210" s="7" t="s">
        <v>15</v>
      </c>
      <c r="B210" s="7" t="s">
        <v>16</v>
      </c>
      <c r="C210" s="7" t="s">
        <v>17</v>
      </c>
      <c r="D210" s="7"/>
      <c r="E210" s="7" t="s">
        <v>1610</v>
      </c>
      <c r="F210" s="7" t="s">
        <v>19</v>
      </c>
      <c r="G210" s="7" t="s">
        <v>31</v>
      </c>
      <c r="H210" s="7" t="s">
        <v>17</v>
      </c>
      <c r="I210" s="7" t="s">
        <v>17</v>
      </c>
      <c r="J210" s="7" t="s">
        <v>1191</v>
      </c>
    </row>
    <row r="211" spans="1:10" x14ac:dyDescent="0.25" outlineLevel="2" collapsed="1">
      <c r="A211" s="7" t="s">
        <v>15</v>
      </c>
      <c r="B211" s="7" t="s">
        <v>284</v>
      </c>
      <c r="C211" s="11" t="s">
        <v>1611</v>
      </c>
      <c r="D211" s="7"/>
      <c r="E211" s="7" t="s">
        <v>1612</v>
      </c>
      <c r="F211" s="7" t="s">
        <v>19</v>
      </c>
      <c r="G211" s="7" t="s">
        <v>1613</v>
      </c>
      <c r="H211" s="7" t="s">
        <v>17</v>
      </c>
      <c r="I211" s="7" t="s">
        <v>17</v>
      </c>
      <c r="J211" s="7" t="s">
        <v>1614</v>
      </c>
    </row>
    <row r="212" spans="1:10" x14ac:dyDescent="0.25" outlineLevel="2" collapsed="1">
      <c r="A212" s="7" t="s">
        <v>19</v>
      </c>
      <c r="B212" s="7" t="s">
        <v>16</v>
      </c>
      <c r="C212" s="7" t="s">
        <v>17</v>
      </c>
      <c r="D212" s="7"/>
      <c r="E212" s="7" t="s">
        <v>1615</v>
      </c>
      <c r="F212" s="7" t="s">
        <v>19</v>
      </c>
      <c r="G212" s="7" t="s">
        <v>31</v>
      </c>
      <c r="H212" s="7" t="s">
        <v>17</v>
      </c>
      <c r="I212" s="7" t="s">
        <v>17</v>
      </c>
      <c r="J212" s="7" t="s">
        <v>1616</v>
      </c>
    </row>
    <row r="213" spans="1:10" x14ac:dyDescent="0.25">
      <c r="A213" s="5" t="s">
        <v>19</v>
      </c>
      <c r="B213" s="6" t="s">
        <v>1659</v>
      </c>
      <c r="C213" s="5" t="s">
        <v>17</v>
      </c>
      <c r="D213" s="5"/>
      <c r="E213" s="5" t="s">
        <v>1660</v>
      </c>
      <c r="F213" s="5" t="s">
        <v>19</v>
      </c>
      <c r="G213" s="5" t="s">
        <v>17</v>
      </c>
      <c r="H213" s="5" t="s">
        <v>17</v>
      </c>
      <c r="I213" s="5" t="s">
        <v>17</v>
      </c>
      <c r="J213" s="5" t="s">
        <v>1661</v>
      </c>
    </row>
    <row r="214" spans="1:10" x14ac:dyDescent="0.25" outlineLevel="1" collapsed="1">
      <c r="A214" s="8" t="s">
        <v>15</v>
      </c>
      <c r="B214" s="9" t="s">
        <v>1597</v>
      </c>
      <c r="C214" s="8" t="s">
        <v>17</v>
      </c>
      <c r="D214" s="8"/>
      <c r="E214" s="8" t="s">
        <v>1662</v>
      </c>
      <c r="F214" s="8" t="s">
        <v>19</v>
      </c>
      <c r="G214" s="8" t="s">
        <v>17</v>
      </c>
      <c r="H214" s="8" t="s">
        <v>17</v>
      </c>
      <c r="I214" s="8" t="s">
        <v>17</v>
      </c>
      <c r="J214" s="8" t="s">
        <v>1663</v>
      </c>
    </row>
    <row r="215" spans="1:10" x14ac:dyDescent="0.25" outlineLevel="2" collapsed="1">
      <c r="A215" s="7" t="s">
        <v>15</v>
      </c>
      <c r="B215" s="7" t="s">
        <v>16</v>
      </c>
      <c r="C215" s="7" t="s">
        <v>17</v>
      </c>
      <c r="D215" s="7"/>
      <c r="E215" s="7" t="s">
        <v>1431</v>
      </c>
      <c r="F215" s="7" t="s">
        <v>19</v>
      </c>
      <c r="G215" s="7" t="s">
        <v>31</v>
      </c>
      <c r="H215" s="7" t="s">
        <v>17</v>
      </c>
      <c r="I215" s="7" t="s">
        <v>17</v>
      </c>
      <c r="J215" s="7" t="s">
        <v>637</v>
      </c>
    </row>
    <row r="216" spans="1:10" x14ac:dyDescent="0.25" outlineLevel="2" collapsed="1">
      <c r="A216" s="7" t="s">
        <v>15</v>
      </c>
      <c r="B216" s="7" t="s">
        <v>16</v>
      </c>
      <c r="C216" s="7" t="s">
        <v>17</v>
      </c>
      <c r="D216" s="7"/>
      <c r="E216" s="7" t="s">
        <v>638</v>
      </c>
      <c r="F216" s="7" t="s">
        <v>19</v>
      </c>
      <c r="G216" s="7" t="s">
        <v>31</v>
      </c>
      <c r="H216" s="7" t="s">
        <v>17</v>
      </c>
      <c r="I216" s="7" t="s">
        <v>17</v>
      </c>
      <c r="J216" s="7" t="s">
        <v>640</v>
      </c>
    </row>
    <row r="217" spans="1:10" x14ac:dyDescent="0.25" outlineLevel="2" collapsed="1">
      <c r="A217" s="7" t="s">
        <v>15</v>
      </c>
      <c r="B217" s="7" t="s">
        <v>16</v>
      </c>
      <c r="C217" s="7" t="s">
        <v>17</v>
      </c>
      <c r="D217" s="7"/>
      <c r="E217" s="7" t="s">
        <v>9</v>
      </c>
      <c r="F217" s="7" t="s">
        <v>19</v>
      </c>
      <c r="G217" s="7" t="s">
        <v>31</v>
      </c>
      <c r="H217" s="7" t="s">
        <v>17</v>
      </c>
      <c r="I217" s="7" t="s">
        <v>17</v>
      </c>
      <c r="J217" s="7" t="s">
        <v>843</v>
      </c>
    </row>
    <row r="218" spans="1:10" x14ac:dyDescent="0.25" outlineLevel="2" collapsed="1">
      <c r="A218" s="7" t="s">
        <v>19</v>
      </c>
      <c r="B218" s="7" t="s">
        <v>16</v>
      </c>
      <c r="C218" s="7" t="s">
        <v>17</v>
      </c>
      <c r="D218" s="7"/>
      <c r="E218" s="7" t="s">
        <v>1600</v>
      </c>
      <c r="F218" s="7" t="s">
        <v>19</v>
      </c>
      <c r="G218" s="7" t="s">
        <v>31</v>
      </c>
      <c r="H218" s="7" t="s">
        <v>17</v>
      </c>
      <c r="I218" s="7" t="s">
        <v>17</v>
      </c>
      <c r="J218" s="7" t="s">
        <v>1424</v>
      </c>
    </row>
    <row r="219" spans="1:10" x14ac:dyDescent="0.25" outlineLevel="2" collapsed="1">
      <c r="A219" s="7" t="s">
        <v>15</v>
      </c>
      <c r="B219" s="7" t="s">
        <v>16</v>
      </c>
      <c r="C219" s="7" t="s">
        <v>17</v>
      </c>
      <c r="D219" s="7"/>
      <c r="E219" s="7" t="s">
        <v>1601</v>
      </c>
      <c r="F219" s="7" t="s">
        <v>19</v>
      </c>
      <c r="G219" s="7" t="s">
        <v>31</v>
      </c>
      <c r="H219" s="7" t="s">
        <v>17</v>
      </c>
      <c r="I219" s="7" t="s">
        <v>17</v>
      </c>
      <c r="J219" s="7" t="s">
        <v>1602</v>
      </c>
    </row>
    <row r="220" spans="1:10" x14ac:dyDescent="0.25" outlineLevel="2" collapsed="1">
      <c r="A220" s="7" t="s">
        <v>15</v>
      </c>
      <c r="B220" s="7" t="s">
        <v>16</v>
      </c>
      <c r="C220" s="7" t="s">
        <v>17</v>
      </c>
      <c r="D220" s="7"/>
      <c r="E220" s="7" t="s">
        <v>1603</v>
      </c>
      <c r="F220" s="7" t="s">
        <v>19</v>
      </c>
      <c r="G220" s="7" t="s">
        <v>31</v>
      </c>
      <c r="H220" s="7" t="s">
        <v>17</v>
      </c>
      <c r="I220" s="7" t="s">
        <v>17</v>
      </c>
      <c r="J220" s="7" t="s">
        <v>1422</v>
      </c>
    </row>
    <row r="221" spans="1:10" x14ac:dyDescent="0.25" outlineLevel="2" collapsed="1">
      <c r="A221" s="7" t="s">
        <v>15</v>
      </c>
      <c r="B221" s="7" t="s">
        <v>284</v>
      </c>
      <c r="C221" s="11" t="s">
        <v>1604</v>
      </c>
      <c r="D221" s="7"/>
      <c r="E221" s="7" t="s">
        <v>1605</v>
      </c>
      <c r="F221" s="7" t="s">
        <v>19</v>
      </c>
      <c r="G221" s="7" t="s">
        <v>1606</v>
      </c>
      <c r="H221" s="7" t="s">
        <v>17</v>
      </c>
      <c r="I221" s="7" t="s">
        <v>17</v>
      </c>
      <c r="J221" s="7" t="s">
        <v>1607</v>
      </c>
    </row>
    <row r="222" spans="1:10" x14ac:dyDescent="0.25" outlineLevel="2" collapsed="1">
      <c r="A222" s="7" t="s">
        <v>19</v>
      </c>
      <c r="B222" s="7" t="s">
        <v>63</v>
      </c>
      <c r="C222" s="7" t="s">
        <v>17</v>
      </c>
      <c r="D222" s="7">
        <f>EXACT(G221,"Single value")</f>
      </c>
      <c r="E222" s="7" t="s">
        <v>1608</v>
      </c>
      <c r="F222" s="7" t="s">
        <v>19</v>
      </c>
      <c r="G222" s="7">
        <v>1</v>
      </c>
      <c r="H222" s="7" t="s">
        <v>17</v>
      </c>
      <c r="I222" s="7" t="s">
        <v>17</v>
      </c>
      <c r="J222" s="7" t="s">
        <v>1609</v>
      </c>
    </row>
    <row r="223" spans="1:10" x14ac:dyDescent="0.25" outlineLevel="2" collapsed="1">
      <c r="A223" s="7" t="s">
        <v>15</v>
      </c>
      <c r="B223" s="7" t="s">
        <v>16</v>
      </c>
      <c r="C223" s="7" t="s">
        <v>17</v>
      </c>
      <c r="D223" s="7"/>
      <c r="E223" s="7" t="s">
        <v>1610</v>
      </c>
      <c r="F223" s="7" t="s">
        <v>19</v>
      </c>
      <c r="G223" s="7" t="s">
        <v>31</v>
      </c>
      <c r="H223" s="7" t="s">
        <v>17</v>
      </c>
      <c r="I223" s="7" t="s">
        <v>17</v>
      </c>
      <c r="J223" s="7" t="s">
        <v>1191</v>
      </c>
    </row>
    <row r="224" spans="1:10" x14ac:dyDescent="0.25" outlineLevel="2" collapsed="1">
      <c r="A224" s="7" t="s">
        <v>15</v>
      </c>
      <c r="B224" s="7" t="s">
        <v>284</v>
      </c>
      <c r="C224" s="11" t="s">
        <v>1611</v>
      </c>
      <c r="D224" s="7"/>
      <c r="E224" s="7" t="s">
        <v>1612</v>
      </c>
      <c r="F224" s="7" t="s">
        <v>19</v>
      </c>
      <c r="G224" s="7" t="s">
        <v>1613</v>
      </c>
      <c r="H224" s="7" t="s">
        <v>17</v>
      </c>
      <c r="I224" s="7" t="s">
        <v>17</v>
      </c>
      <c r="J224" s="7" t="s">
        <v>1614</v>
      </c>
    </row>
    <row r="225" spans="1:10" x14ac:dyDescent="0.25" outlineLevel="2" collapsed="1">
      <c r="A225" s="7" t="s">
        <v>19</v>
      </c>
      <c r="B225" s="7" t="s">
        <v>16</v>
      </c>
      <c r="C225" s="7" t="s">
        <v>17</v>
      </c>
      <c r="D225" s="7"/>
      <c r="E225" s="7" t="s">
        <v>1615</v>
      </c>
      <c r="F225" s="7" t="s">
        <v>19</v>
      </c>
      <c r="G225" s="7" t="s">
        <v>31</v>
      </c>
      <c r="H225" s="7" t="s">
        <v>17</v>
      </c>
      <c r="I225" s="7" t="s">
        <v>17</v>
      </c>
      <c r="J225" s="7" t="s">
        <v>1616</v>
      </c>
    </row>
    <row r="226" spans="1:10" x14ac:dyDescent="0.25">
      <c r="A226" s="5" t="s">
        <v>15</v>
      </c>
      <c r="B226" s="6" t="s">
        <v>1664</v>
      </c>
      <c r="C226" s="5" t="s">
        <v>17</v>
      </c>
      <c r="D226" s="5"/>
      <c r="E226" s="5" t="s">
        <v>1665</v>
      </c>
      <c r="F226" s="5" t="s">
        <v>19</v>
      </c>
      <c r="G226" s="5" t="s">
        <v>17</v>
      </c>
      <c r="H226" s="5" t="s">
        <v>17</v>
      </c>
      <c r="I226" s="5" t="s">
        <v>17</v>
      </c>
      <c r="J226" s="5" t="s">
        <v>1666</v>
      </c>
    </row>
    <row r="227" spans="1:10" x14ac:dyDescent="0.25" outlineLevel="1" collapsed="1">
      <c r="A227" s="8" t="s">
        <v>15</v>
      </c>
      <c r="B227" s="9" t="s">
        <v>1667</v>
      </c>
      <c r="C227" s="8" t="s">
        <v>17</v>
      </c>
      <c r="D227" s="8"/>
      <c r="E227" s="8" t="s">
        <v>1668</v>
      </c>
      <c r="F227" s="8" t="s">
        <v>19</v>
      </c>
      <c r="G227" s="8" t="s">
        <v>17</v>
      </c>
      <c r="H227" s="8" t="s">
        <v>17</v>
      </c>
      <c r="I227" s="8" t="s">
        <v>17</v>
      </c>
      <c r="J227" s="8" t="s">
        <v>1669</v>
      </c>
    </row>
    <row r="228" spans="1:10" x14ac:dyDescent="0.25" outlineLevel="2" collapsed="1">
      <c r="A228" s="7" t="s">
        <v>15</v>
      </c>
      <c r="B228" s="7" t="s">
        <v>16</v>
      </c>
      <c r="C228" s="7" t="s">
        <v>17</v>
      </c>
      <c r="D228" s="7"/>
      <c r="E228" s="7" t="s">
        <v>1670</v>
      </c>
      <c r="F228" s="7" t="s">
        <v>19</v>
      </c>
      <c r="G228" s="7" t="s">
        <v>31</v>
      </c>
      <c r="H228" s="7" t="s">
        <v>17</v>
      </c>
      <c r="I228" s="7" t="s">
        <v>17</v>
      </c>
      <c r="J228" s="7" t="s">
        <v>637</v>
      </c>
    </row>
    <row r="229" spans="1:10" x14ac:dyDescent="0.25" outlineLevel="2" collapsed="1">
      <c r="A229" s="7" t="s">
        <v>15</v>
      </c>
      <c r="B229" s="7" t="s">
        <v>16</v>
      </c>
      <c r="C229" s="7" t="s">
        <v>17</v>
      </c>
      <c r="D229" s="7"/>
      <c r="E229" s="7" t="s">
        <v>638</v>
      </c>
      <c r="F229" s="7" t="s">
        <v>19</v>
      </c>
      <c r="G229" s="7" t="s">
        <v>31</v>
      </c>
      <c r="H229" s="7" t="s">
        <v>17</v>
      </c>
      <c r="I229" s="7" t="s">
        <v>17</v>
      </c>
      <c r="J229" s="7" t="s">
        <v>640</v>
      </c>
    </row>
    <row r="230" spans="1:10" x14ac:dyDescent="0.25" outlineLevel="2" collapsed="1">
      <c r="A230" s="7" t="s">
        <v>15</v>
      </c>
      <c r="B230" s="7" t="s">
        <v>16</v>
      </c>
      <c r="C230" s="7" t="s">
        <v>17</v>
      </c>
      <c r="D230" s="7"/>
      <c r="E230" s="7" t="s">
        <v>9</v>
      </c>
      <c r="F230" s="7" t="s">
        <v>19</v>
      </c>
      <c r="G230" s="7" t="s">
        <v>31</v>
      </c>
      <c r="H230" s="7" t="s">
        <v>17</v>
      </c>
      <c r="I230" s="7" t="s">
        <v>17</v>
      </c>
      <c r="J230" s="7" t="s">
        <v>843</v>
      </c>
    </row>
    <row r="231" spans="1:10" x14ac:dyDescent="0.25" outlineLevel="2" collapsed="1">
      <c r="A231" s="7" t="s">
        <v>19</v>
      </c>
      <c r="B231" s="7" t="s">
        <v>16</v>
      </c>
      <c r="C231" s="7" t="s">
        <v>17</v>
      </c>
      <c r="D231" s="7"/>
      <c r="E231" s="7" t="s">
        <v>1600</v>
      </c>
      <c r="F231" s="7" t="s">
        <v>19</v>
      </c>
      <c r="G231" s="7" t="s">
        <v>31</v>
      </c>
      <c r="H231" s="7" t="s">
        <v>17</v>
      </c>
      <c r="I231" s="7" t="s">
        <v>17</v>
      </c>
      <c r="J231" s="7" t="s">
        <v>1424</v>
      </c>
    </row>
    <row r="232" spans="1:10" x14ac:dyDescent="0.25" outlineLevel="2" collapsed="1">
      <c r="A232" s="7" t="s">
        <v>15</v>
      </c>
      <c r="B232" s="7" t="s">
        <v>16</v>
      </c>
      <c r="C232" s="7" t="s">
        <v>17</v>
      </c>
      <c r="D232" s="7"/>
      <c r="E232" s="7" t="s">
        <v>1601</v>
      </c>
      <c r="F232" s="7" t="s">
        <v>19</v>
      </c>
      <c r="G232" s="7" t="s">
        <v>31</v>
      </c>
      <c r="H232" s="7" t="s">
        <v>17</v>
      </c>
      <c r="I232" s="7" t="s">
        <v>17</v>
      </c>
      <c r="J232" s="7" t="s">
        <v>1602</v>
      </c>
    </row>
    <row r="233" spans="1:10" x14ac:dyDescent="0.25" outlineLevel="2" collapsed="1">
      <c r="A233" s="7" t="s">
        <v>15</v>
      </c>
      <c r="B233" s="7" t="s">
        <v>16</v>
      </c>
      <c r="C233" s="7" t="s">
        <v>17</v>
      </c>
      <c r="D233" s="7"/>
      <c r="E233" s="7" t="s">
        <v>1671</v>
      </c>
      <c r="F233" s="7" t="s">
        <v>19</v>
      </c>
      <c r="G233" s="7" t="s">
        <v>31</v>
      </c>
      <c r="H233" s="7" t="s">
        <v>17</v>
      </c>
      <c r="I233" s="7" t="s">
        <v>17</v>
      </c>
      <c r="J233" s="7" t="s">
        <v>1672</v>
      </c>
    </row>
    <row r="234" spans="1:10" x14ac:dyDescent="0.25" outlineLevel="2" collapsed="1">
      <c r="A234" s="7" t="s">
        <v>15</v>
      </c>
      <c r="B234" s="7" t="s">
        <v>16</v>
      </c>
      <c r="C234" s="7" t="s">
        <v>17</v>
      </c>
      <c r="D234" s="7"/>
      <c r="E234" s="7" t="s">
        <v>1673</v>
      </c>
      <c r="F234" s="7" t="s">
        <v>19</v>
      </c>
      <c r="G234" s="7" t="s">
        <v>31</v>
      </c>
      <c r="H234" s="7" t="s">
        <v>17</v>
      </c>
      <c r="I234" s="7" t="s">
        <v>17</v>
      </c>
      <c r="J234" s="7" t="s">
        <v>1674</v>
      </c>
    </row>
    <row r="235" spans="1:10" x14ac:dyDescent="0.25" outlineLevel="2" collapsed="1">
      <c r="A235" s="7" t="s">
        <v>15</v>
      </c>
      <c r="B235" s="7" t="s">
        <v>16</v>
      </c>
      <c r="C235" s="7" t="s">
        <v>17</v>
      </c>
      <c r="D235" s="7"/>
      <c r="E235" s="7" t="s">
        <v>1675</v>
      </c>
      <c r="F235" s="7" t="s">
        <v>19</v>
      </c>
      <c r="G235" s="7" t="s">
        <v>31</v>
      </c>
      <c r="H235" s="7" t="s">
        <v>17</v>
      </c>
      <c r="I235" s="7" t="s">
        <v>17</v>
      </c>
      <c r="J235" s="7" t="s">
        <v>1422</v>
      </c>
    </row>
    <row r="236" spans="1:10" x14ac:dyDescent="0.25" outlineLevel="2" collapsed="1">
      <c r="A236" s="7" t="s">
        <v>15</v>
      </c>
      <c r="B236" s="7" t="s">
        <v>284</v>
      </c>
      <c r="C236" s="11" t="s">
        <v>1604</v>
      </c>
      <c r="D236" s="7"/>
      <c r="E236" s="7" t="s">
        <v>1605</v>
      </c>
      <c r="F236" s="7" t="s">
        <v>19</v>
      </c>
      <c r="G236" s="7" t="s">
        <v>1606</v>
      </c>
      <c r="H236" s="7" t="s">
        <v>17</v>
      </c>
      <c r="I236" s="7" t="s">
        <v>17</v>
      </c>
      <c r="J236" s="7" t="s">
        <v>1607</v>
      </c>
    </row>
    <row r="237" spans="1:10" x14ac:dyDescent="0.25" outlineLevel="2" collapsed="1">
      <c r="A237" s="7" t="s">
        <v>19</v>
      </c>
      <c r="B237" s="7" t="s">
        <v>63</v>
      </c>
      <c r="C237" s="7" t="s">
        <v>17</v>
      </c>
      <c r="D237" s="7">
        <f>EXACT(G236,"Single value")</f>
      </c>
      <c r="E237" s="7" t="s">
        <v>1676</v>
      </c>
      <c r="F237" s="7" t="s">
        <v>19</v>
      </c>
      <c r="G237" s="7">
        <v>1</v>
      </c>
      <c r="H237" s="7" t="s">
        <v>17</v>
      </c>
      <c r="I237" s="7" t="s">
        <v>17</v>
      </c>
      <c r="J237" s="7" t="s">
        <v>1609</v>
      </c>
    </row>
    <row r="238" spans="1:10" x14ac:dyDescent="0.25" outlineLevel="2" collapsed="1">
      <c r="A238" s="7" t="s">
        <v>19</v>
      </c>
      <c r="B238" s="7" t="s">
        <v>16</v>
      </c>
      <c r="C238" s="7" t="s">
        <v>17</v>
      </c>
      <c r="D238" s="7"/>
      <c r="E238" s="7" t="s">
        <v>1677</v>
      </c>
      <c r="F238" s="7" t="s">
        <v>19</v>
      </c>
      <c r="G238" s="7" t="s">
        <v>31</v>
      </c>
      <c r="H238" s="7" t="s">
        <v>17</v>
      </c>
      <c r="I238" s="7" t="s">
        <v>17</v>
      </c>
      <c r="J238" s="7" t="s">
        <v>1678</v>
      </c>
    </row>
    <row r="239" spans="1:10" x14ac:dyDescent="0.25" outlineLevel="2" collapsed="1">
      <c r="A239" s="7" t="s">
        <v>15</v>
      </c>
      <c r="B239" s="7" t="s">
        <v>16</v>
      </c>
      <c r="C239" s="7" t="s">
        <v>17</v>
      </c>
      <c r="D239" s="7"/>
      <c r="E239" s="7" t="s">
        <v>1679</v>
      </c>
      <c r="F239" s="7" t="s">
        <v>19</v>
      </c>
      <c r="G239" s="7" t="s">
        <v>31</v>
      </c>
      <c r="H239" s="7" t="s">
        <v>17</v>
      </c>
      <c r="I239" s="7" t="s">
        <v>17</v>
      </c>
      <c r="J239" s="7" t="s">
        <v>1680</v>
      </c>
    </row>
    <row r="240" spans="1:10" x14ac:dyDescent="0.25" outlineLevel="2" collapsed="1">
      <c r="A240" s="7" t="s">
        <v>15</v>
      </c>
      <c r="B240" s="7" t="s">
        <v>284</v>
      </c>
      <c r="C240" s="11" t="s">
        <v>1611</v>
      </c>
      <c r="D240" s="7"/>
      <c r="E240" s="7" t="s">
        <v>1612</v>
      </c>
      <c r="F240" s="7" t="s">
        <v>19</v>
      </c>
      <c r="G240" s="7" t="s">
        <v>1613</v>
      </c>
      <c r="H240" s="7" t="s">
        <v>17</v>
      </c>
      <c r="I240" s="7" t="s">
        <v>17</v>
      </c>
      <c r="J240" s="7" t="s">
        <v>1614</v>
      </c>
    </row>
    <row r="241" spans="1:10" x14ac:dyDescent="0.25" outlineLevel="2" collapsed="1">
      <c r="A241" s="7" t="s">
        <v>19</v>
      </c>
      <c r="B241" s="7" t="s">
        <v>16</v>
      </c>
      <c r="C241" s="7" t="s">
        <v>17</v>
      </c>
      <c r="D241" s="7"/>
      <c r="E241" s="7" t="s">
        <v>1681</v>
      </c>
      <c r="F241" s="7" t="s">
        <v>19</v>
      </c>
      <c r="G241" s="7" t="s">
        <v>31</v>
      </c>
      <c r="H241" s="7" t="s">
        <v>17</v>
      </c>
      <c r="I241" s="7" t="s">
        <v>17</v>
      </c>
      <c r="J241" s="7" t="s">
        <v>1682</v>
      </c>
    </row>
    <row r="242" spans="1:10" x14ac:dyDescent="0.25" outlineLevel="2" collapsed="1">
      <c r="A242" s="7" t="s">
        <v>19</v>
      </c>
      <c r="B242" s="7" t="s">
        <v>16</v>
      </c>
      <c r="C242" s="7" t="s">
        <v>17</v>
      </c>
      <c r="D242" s="7"/>
      <c r="E242" s="7" t="s">
        <v>1615</v>
      </c>
      <c r="F242" s="7" t="s">
        <v>19</v>
      </c>
      <c r="G242" s="7" t="s">
        <v>31</v>
      </c>
      <c r="H242" s="7" t="s">
        <v>17</v>
      </c>
      <c r="I242" s="7" t="s">
        <v>17</v>
      </c>
      <c r="J242" s="7" t="s">
        <v>1616</v>
      </c>
    </row>
    <row r="243" spans="1:10" x14ac:dyDescent="0.25" outlineLevel="1" collapsed="1">
      <c r="A243" s="8" t="s">
        <v>15</v>
      </c>
      <c r="B243" s="9" t="s">
        <v>1667</v>
      </c>
      <c r="C243" s="8" t="s">
        <v>17</v>
      </c>
      <c r="D243" s="8"/>
      <c r="E243" s="8" t="s">
        <v>1683</v>
      </c>
      <c r="F243" s="8" t="s">
        <v>19</v>
      </c>
      <c r="G243" s="8" t="s">
        <v>17</v>
      </c>
      <c r="H243" s="8" t="s">
        <v>17</v>
      </c>
      <c r="I243" s="8" t="s">
        <v>17</v>
      </c>
      <c r="J243" s="8" t="s">
        <v>1684</v>
      </c>
    </row>
    <row r="244" spans="1:10" x14ac:dyDescent="0.25" outlineLevel="2" collapsed="1">
      <c r="A244" s="7" t="s">
        <v>15</v>
      </c>
      <c r="B244" s="7" t="s">
        <v>16</v>
      </c>
      <c r="C244" s="7" t="s">
        <v>17</v>
      </c>
      <c r="D244" s="7"/>
      <c r="E244" s="7" t="s">
        <v>1670</v>
      </c>
      <c r="F244" s="7" t="s">
        <v>19</v>
      </c>
      <c r="G244" s="7" t="s">
        <v>31</v>
      </c>
      <c r="H244" s="7" t="s">
        <v>17</v>
      </c>
      <c r="I244" s="7" t="s">
        <v>17</v>
      </c>
      <c r="J244" s="7" t="s">
        <v>637</v>
      </c>
    </row>
    <row r="245" spans="1:10" x14ac:dyDescent="0.25" outlineLevel="2" collapsed="1">
      <c r="A245" s="7" t="s">
        <v>15</v>
      </c>
      <c r="B245" s="7" t="s">
        <v>16</v>
      </c>
      <c r="C245" s="7" t="s">
        <v>17</v>
      </c>
      <c r="D245" s="7"/>
      <c r="E245" s="7" t="s">
        <v>638</v>
      </c>
      <c r="F245" s="7" t="s">
        <v>19</v>
      </c>
      <c r="G245" s="7" t="s">
        <v>31</v>
      </c>
      <c r="H245" s="7" t="s">
        <v>17</v>
      </c>
      <c r="I245" s="7" t="s">
        <v>17</v>
      </c>
      <c r="J245" s="7" t="s">
        <v>640</v>
      </c>
    </row>
    <row r="246" spans="1:10" x14ac:dyDescent="0.25" outlineLevel="2" collapsed="1">
      <c r="A246" s="7" t="s">
        <v>15</v>
      </c>
      <c r="B246" s="7" t="s">
        <v>16</v>
      </c>
      <c r="C246" s="7" t="s">
        <v>17</v>
      </c>
      <c r="D246" s="7"/>
      <c r="E246" s="7" t="s">
        <v>9</v>
      </c>
      <c r="F246" s="7" t="s">
        <v>19</v>
      </c>
      <c r="G246" s="7" t="s">
        <v>31</v>
      </c>
      <c r="H246" s="7" t="s">
        <v>17</v>
      </c>
      <c r="I246" s="7" t="s">
        <v>17</v>
      </c>
      <c r="J246" s="7" t="s">
        <v>843</v>
      </c>
    </row>
    <row r="247" spans="1:10" x14ac:dyDescent="0.25" outlineLevel="2" collapsed="1">
      <c r="A247" s="7" t="s">
        <v>19</v>
      </c>
      <c r="B247" s="7" t="s">
        <v>16</v>
      </c>
      <c r="C247" s="7" t="s">
        <v>17</v>
      </c>
      <c r="D247" s="7"/>
      <c r="E247" s="7" t="s">
        <v>1600</v>
      </c>
      <c r="F247" s="7" t="s">
        <v>19</v>
      </c>
      <c r="G247" s="7" t="s">
        <v>31</v>
      </c>
      <c r="H247" s="7" t="s">
        <v>17</v>
      </c>
      <c r="I247" s="7" t="s">
        <v>17</v>
      </c>
      <c r="J247" s="7" t="s">
        <v>1424</v>
      </c>
    </row>
    <row r="248" spans="1:10" x14ac:dyDescent="0.25" outlineLevel="2" collapsed="1">
      <c r="A248" s="7" t="s">
        <v>15</v>
      </c>
      <c r="B248" s="7" t="s">
        <v>16</v>
      </c>
      <c r="C248" s="7" t="s">
        <v>17</v>
      </c>
      <c r="D248" s="7"/>
      <c r="E248" s="7" t="s">
        <v>1601</v>
      </c>
      <c r="F248" s="7" t="s">
        <v>19</v>
      </c>
      <c r="G248" s="7" t="s">
        <v>31</v>
      </c>
      <c r="H248" s="7" t="s">
        <v>17</v>
      </c>
      <c r="I248" s="7" t="s">
        <v>17</v>
      </c>
      <c r="J248" s="7" t="s">
        <v>1602</v>
      </c>
    </row>
    <row r="249" spans="1:10" x14ac:dyDescent="0.25" outlineLevel="2" collapsed="1">
      <c r="A249" s="7" t="s">
        <v>15</v>
      </c>
      <c r="B249" s="7" t="s">
        <v>16</v>
      </c>
      <c r="C249" s="7" t="s">
        <v>17</v>
      </c>
      <c r="D249" s="7"/>
      <c r="E249" s="7" t="s">
        <v>1671</v>
      </c>
      <c r="F249" s="7" t="s">
        <v>19</v>
      </c>
      <c r="G249" s="7" t="s">
        <v>31</v>
      </c>
      <c r="H249" s="7" t="s">
        <v>17</v>
      </c>
      <c r="I249" s="7" t="s">
        <v>17</v>
      </c>
      <c r="J249" s="7" t="s">
        <v>1672</v>
      </c>
    </row>
    <row r="250" spans="1:10" x14ac:dyDescent="0.25" outlineLevel="2" collapsed="1">
      <c r="A250" s="7" t="s">
        <v>15</v>
      </c>
      <c r="B250" s="7" t="s">
        <v>16</v>
      </c>
      <c r="C250" s="7" t="s">
        <v>17</v>
      </c>
      <c r="D250" s="7"/>
      <c r="E250" s="7" t="s">
        <v>1673</v>
      </c>
      <c r="F250" s="7" t="s">
        <v>19</v>
      </c>
      <c r="G250" s="7" t="s">
        <v>31</v>
      </c>
      <c r="H250" s="7" t="s">
        <v>17</v>
      </c>
      <c r="I250" s="7" t="s">
        <v>17</v>
      </c>
      <c r="J250" s="7" t="s">
        <v>1674</v>
      </c>
    </row>
    <row r="251" spans="1:10" x14ac:dyDescent="0.25" outlineLevel="2" collapsed="1">
      <c r="A251" s="7" t="s">
        <v>15</v>
      </c>
      <c r="B251" s="7" t="s">
        <v>16</v>
      </c>
      <c r="C251" s="7" t="s">
        <v>17</v>
      </c>
      <c r="D251" s="7"/>
      <c r="E251" s="7" t="s">
        <v>1675</v>
      </c>
      <c r="F251" s="7" t="s">
        <v>19</v>
      </c>
      <c r="G251" s="7" t="s">
        <v>31</v>
      </c>
      <c r="H251" s="7" t="s">
        <v>17</v>
      </c>
      <c r="I251" s="7" t="s">
        <v>17</v>
      </c>
      <c r="J251" s="7" t="s">
        <v>1422</v>
      </c>
    </row>
    <row r="252" spans="1:10" x14ac:dyDescent="0.25" outlineLevel="2" collapsed="1">
      <c r="A252" s="7" t="s">
        <v>15</v>
      </c>
      <c r="B252" s="7" t="s">
        <v>284</v>
      </c>
      <c r="C252" s="11" t="s">
        <v>1604</v>
      </c>
      <c r="D252" s="7"/>
      <c r="E252" s="7" t="s">
        <v>1605</v>
      </c>
      <c r="F252" s="7" t="s">
        <v>19</v>
      </c>
      <c r="G252" s="7" t="s">
        <v>1606</v>
      </c>
      <c r="H252" s="7" t="s">
        <v>17</v>
      </c>
      <c r="I252" s="7" t="s">
        <v>17</v>
      </c>
      <c r="J252" s="7" t="s">
        <v>1607</v>
      </c>
    </row>
    <row r="253" spans="1:10" x14ac:dyDescent="0.25" outlineLevel="2" collapsed="1">
      <c r="A253" s="7" t="s">
        <v>19</v>
      </c>
      <c r="B253" s="7" t="s">
        <v>63</v>
      </c>
      <c r="C253" s="7" t="s">
        <v>17</v>
      </c>
      <c r="D253" s="7">
        <f>EXACT(G252,"Single value")</f>
      </c>
      <c r="E253" s="7" t="s">
        <v>1676</v>
      </c>
      <c r="F253" s="7" t="s">
        <v>19</v>
      </c>
      <c r="G253" s="7">
        <v>1</v>
      </c>
      <c r="H253" s="7" t="s">
        <v>17</v>
      </c>
      <c r="I253" s="7" t="s">
        <v>17</v>
      </c>
      <c r="J253" s="7" t="s">
        <v>1609</v>
      </c>
    </row>
    <row r="254" spans="1:10" x14ac:dyDescent="0.25" outlineLevel="2" collapsed="1">
      <c r="A254" s="7" t="s">
        <v>19</v>
      </c>
      <c r="B254" s="7" t="s">
        <v>16</v>
      </c>
      <c r="C254" s="7" t="s">
        <v>17</v>
      </c>
      <c r="D254" s="7"/>
      <c r="E254" s="7" t="s">
        <v>1677</v>
      </c>
      <c r="F254" s="7" t="s">
        <v>19</v>
      </c>
      <c r="G254" s="7" t="s">
        <v>31</v>
      </c>
      <c r="H254" s="7" t="s">
        <v>17</v>
      </c>
      <c r="I254" s="7" t="s">
        <v>17</v>
      </c>
      <c r="J254" s="7" t="s">
        <v>1678</v>
      </c>
    </row>
    <row r="255" spans="1:10" x14ac:dyDescent="0.25" outlineLevel="2" collapsed="1">
      <c r="A255" s="7" t="s">
        <v>15</v>
      </c>
      <c r="B255" s="7" t="s">
        <v>16</v>
      </c>
      <c r="C255" s="7" t="s">
        <v>17</v>
      </c>
      <c r="D255" s="7"/>
      <c r="E255" s="7" t="s">
        <v>1679</v>
      </c>
      <c r="F255" s="7" t="s">
        <v>19</v>
      </c>
      <c r="G255" s="7" t="s">
        <v>31</v>
      </c>
      <c r="H255" s="7" t="s">
        <v>17</v>
      </c>
      <c r="I255" s="7" t="s">
        <v>17</v>
      </c>
      <c r="J255" s="7" t="s">
        <v>1680</v>
      </c>
    </row>
    <row r="256" spans="1:10" x14ac:dyDescent="0.25" outlineLevel="2" collapsed="1">
      <c r="A256" s="7" t="s">
        <v>15</v>
      </c>
      <c r="B256" s="7" t="s">
        <v>284</v>
      </c>
      <c r="C256" s="11" t="s">
        <v>1611</v>
      </c>
      <c r="D256" s="7"/>
      <c r="E256" s="7" t="s">
        <v>1612</v>
      </c>
      <c r="F256" s="7" t="s">
        <v>19</v>
      </c>
      <c r="G256" s="7" t="s">
        <v>1613</v>
      </c>
      <c r="H256" s="7" t="s">
        <v>17</v>
      </c>
      <c r="I256" s="7" t="s">
        <v>17</v>
      </c>
      <c r="J256" s="7" t="s">
        <v>1614</v>
      </c>
    </row>
    <row r="257" spans="1:10" x14ac:dyDescent="0.25" outlineLevel="2" collapsed="1">
      <c r="A257" s="7" t="s">
        <v>19</v>
      </c>
      <c r="B257" s="7" t="s">
        <v>16</v>
      </c>
      <c r="C257" s="7" t="s">
        <v>17</v>
      </c>
      <c r="D257" s="7"/>
      <c r="E257" s="7" t="s">
        <v>1681</v>
      </c>
      <c r="F257" s="7" t="s">
        <v>19</v>
      </c>
      <c r="G257" s="7" t="s">
        <v>31</v>
      </c>
      <c r="H257" s="7" t="s">
        <v>17</v>
      </c>
      <c r="I257" s="7" t="s">
        <v>17</v>
      </c>
      <c r="J257" s="7" t="s">
        <v>1682</v>
      </c>
    </row>
    <row r="258" spans="1:10" x14ac:dyDescent="0.25" outlineLevel="2" collapsed="1">
      <c r="A258" s="7" t="s">
        <v>19</v>
      </c>
      <c r="B258" s="7" t="s">
        <v>16</v>
      </c>
      <c r="C258" s="7" t="s">
        <v>17</v>
      </c>
      <c r="D258" s="7"/>
      <c r="E258" s="7" t="s">
        <v>1615</v>
      </c>
      <c r="F258" s="7" t="s">
        <v>19</v>
      </c>
      <c r="G258" s="7" t="s">
        <v>31</v>
      </c>
      <c r="H258" s="7" t="s">
        <v>17</v>
      </c>
      <c r="I258" s="7" t="s">
        <v>17</v>
      </c>
      <c r="J258" s="7" t="s">
        <v>1616</v>
      </c>
    </row>
    <row r="259" spans="1:10" x14ac:dyDescent="0.25" outlineLevel="1" collapsed="1">
      <c r="A259" s="8" t="s">
        <v>15</v>
      </c>
      <c r="B259" s="9" t="s">
        <v>1667</v>
      </c>
      <c r="C259" s="8" t="s">
        <v>17</v>
      </c>
      <c r="D259" s="8"/>
      <c r="E259" s="8" t="s">
        <v>1685</v>
      </c>
      <c r="F259" s="8" t="s">
        <v>19</v>
      </c>
      <c r="G259" s="8" t="s">
        <v>17</v>
      </c>
      <c r="H259" s="8" t="s">
        <v>17</v>
      </c>
      <c r="I259" s="8" t="s">
        <v>17</v>
      </c>
      <c r="J259" s="8" t="s">
        <v>636</v>
      </c>
    </row>
    <row r="260" spans="1:10" x14ac:dyDescent="0.25" outlineLevel="2" collapsed="1">
      <c r="A260" s="7" t="s">
        <v>15</v>
      </c>
      <c r="B260" s="7" t="s">
        <v>16</v>
      </c>
      <c r="C260" s="7" t="s">
        <v>17</v>
      </c>
      <c r="D260" s="7"/>
      <c r="E260" s="7" t="s">
        <v>1670</v>
      </c>
      <c r="F260" s="7" t="s">
        <v>19</v>
      </c>
      <c r="G260" s="7" t="s">
        <v>31</v>
      </c>
      <c r="H260" s="7" t="s">
        <v>17</v>
      </c>
      <c r="I260" s="7" t="s">
        <v>17</v>
      </c>
      <c r="J260" s="7" t="s">
        <v>637</v>
      </c>
    </row>
    <row r="261" spans="1:10" x14ac:dyDescent="0.25" outlineLevel="2" collapsed="1">
      <c r="A261" s="7" t="s">
        <v>15</v>
      </c>
      <c r="B261" s="7" t="s">
        <v>16</v>
      </c>
      <c r="C261" s="7" t="s">
        <v>17</v>
      </c>
      <c r="D261" s="7"/>
      <c r="E261" s="7" t="s">
        <v>638</v>
      </c>
      <c r="F261" s="7" t="s">
        <v>19</v>
      </c>
      <c r="G261" s="7" t="s">
        <v>31</v>
      </c>
      <c r="H261" s="7" t="s">
        <v>17</v>
      </c>
      <c r="I261" s="7" t="s">
        <v>17</v>
      </c>
      <c r="J261" s="7" t="s">
        <v>640</v>
      </c>
    </row>
    <row r="262" spans="1:10" x14ac:dyDescent="0.25" outlineLevel="2" collapsed="1">
      <c r="A262" s="7" t="s">
        <v>15</v>
      </c>
      <c r="B262" s="7" t="s">
        <v>16</v>
      </c>
      <c r="C262" s="7" t="s">
        <v>17</v>
      </c>
      <c r="D262" s="7"/>
      <c r="E262" s="7" t="s">
        <v>9</v>
      </c>
      <c r="F262" s="7" t="s">
        <v>19</v>
      </c>
      <c r="G262" s="7" t="s">
        <v>31</v>
      </c>
      <c r="H262" s="7" t="s">
        <v>17</v>
      </c>
      <c r="I262" s="7" t="s">
        <v>17</v>
      </c>
      <c r="J262" s="7" t="s">
        <v>843</v>
      </c>
    </row>
    <row r="263" spans="1:10" x14ac:dyDescent="0.25" outlineLevel="2" collapsed="1">
      <c r="A263" s="7" t="s">
        <v>19</v>
      </c>
      <c r="B263" s="7" t="s">
        <v>16</v>
      </c>
      <c r="C263" s="7" t="s">
        <v>17</v>
      </c>
      <c r="D263" s="7"/>
      <c r="E263" s="7" t="s">
        <v>1600</v>
      </c>
      <c r="F263" s="7" t="s">
        <v>19</v>
      </c>
      <c r="G263" s="7" t="s">
        <v>31</v>
      </c>
      <c r="H263" s="7" t="s">
        <v>17</v>
      </c>
      <c r="I263" s="7" t="s">
        <v>17</v>
      </c>
      <c r="J263" s="7" t="s">
        <v>1424</v>
      </c>
    </row>
    <row r="264" spans="1:10" x14ac:dyDescent="0.25" outlineLevel="2" collapsed="1">
      <c r="A264" s="7" t="s">
        <v>15</v>
      </c>
      <c r="B264" s="7" t="s">
        <v>16</v>
      </c>
      <c r="C264" s="7" t="s">
        <v>17</v>
      </c>
      <c r="D264" s="7"/>
      <c r="E264" s="7" t="s">
        <v>1601</v>
      </c>
      <c r="F264" s="7" t="s">
        <v>19</v>
      </c>
      <c r="G264" s="7" t="s">
        <v>31</v>
      </c>
      <c r="H264" s="7" t="s">
        <v>17</v>
      </c>
      <c r="I264" s="7" t="s">
        <v>17</v>
      </c>
      <c r="J264" s="7" t="s">
        <v>1602</v>
      </c>
    </row>
    <row r="265" spans="1:10" x14ac:dyDescent="0.25" outlineLevel="2" collapsed="1">
      <c r="A265" s="7" t="s">
        <v>15</v>
      </c>
      <c r="B265" s="7" t="s">
        <v>16</v>
      </c>
      <c r="C265" s="7" t="s">
        <v>17</v>
      </c>
      <c r="D265" s="7"/>
      <c r="E265" s="7" t="s">
        <v>1671</v>
      </c>
      <c r="F265" s="7" t="s">
        <v>19</v>
      </c>
      <c r="G265" s="7" t="s">
        <v>31</v>
      </c>
      <c r="H265" s="7" t="s">
        <v>17</v>
      </c>
      <c r="I265" s="7" t="s">
        <v>17</v>
      </c>
      <c r="J265" s="7" t="s">
        <v>1672</v>
      </c>
    </row>
    <row r="266" spans="1:10" x14ac:dyDescent="0.25" outlineLevel="2" collapsed="1">
      <c r="A266" s="7" t="s">
        <v>15</v>
      </c>
      <c r="B266" s="7" t="s">
        <v>16</v>
      </c>
      <c r="C266" s="7" t="s">
        <v>17</v>
      </c>
      <c r="D266" s="7"/>
      <c r="E266" s="7" t="s">
        <v>1673</v>
      </c>
      <c r="F266" s="7" t="s">
        <v>19</v>
      </c>
      <c r="G266" s="7" t="s">
        <v>31</v>
      </c>
      <c r="H266" s="7" t="s">
        <v>17</v>
      </c>
      <c r="I266" s="7" t="s">
        <v>17</v>
      </c>
      <c r="J266" s="7" t="s">
        <v>1674</v>
      </c>
    </row>
    <row r="267" spans="1:10" x14ac:dyDescent="0.25" outlineLevel="2" collapsed="1">
      <c r="A267" s="7" t="s">
        <v>15</v>
      </c>
      <c r="B267" s="7" t="s">
        <v>16</v>
      </c>
      <c r="C267" s="7" t="s">
        <v>17</v>
      </c>
      <c r="D267" s="7"/>
      <c r="E267" s="7" t="s">
        <v>1675</v>
      </c>
      <c r="F267" s="7" t="s">
        <v>19</v>
      </c>
      <c r="G267" s="7" t="s">
        <v>31</v>
      </c>
      <c r="H267" s="7" t="s">
        <v>17</v>
      </c>
      <c r="I267" s="7" t="s">
        <v>17</v>
      </c>
      <c r="J267" s="7" t="s">
        <v>1422</v>
      </c>
    </row>
    <row r="268" spans="1:10" x14ac:dyDescent="0.25" outlineLevel="2" collapsed="1">
      <c r="A268" s="7" t="s">
        <v>15</v>
      </c>
      <c r="B268" s="7" t="s">
        <v>284</v>
      </c>
      <c r="C268" s="11" t="s">
        <v>1604</v>
      </c>
      <c r="D268" s="7"/>
      <c r="E268" s="7" t="s">
        <v>1605</v>
      </c>
      <c r="F268" s="7" t="s">
        <v>19</v>
      </c>
      <c r="G268" s="7" t="s">
        <v>1606</v>
      </c>
      <c r="H268" s="7" t="s">
        <v>17</v>
      </c>
      <c r="I268" s="7" t="s">
        <v>17</v>
      </c>
      <c r="J268" s="7" t="s">
        <v>1607</v>
      </c>
    </row>
    <row r="269" spans="1:10" x14ac:dyDescent="0.25" outlineLevel="2" collapsed="1">
      <c r="A269" s="7" t="s">
        <v>19</v>
      </c>
      <c r="B269" s="7" t="s">
        <v>63</v>
      </c>
      <c r="C269" s="7" t="s">
        <v>17</v>
      </c>
      <c r="D269" s="7">
        <f>EXACT(G268,"Single value")</f>
      </c>
      <c r="E269" s="7" t="s">
        <v>1676</v>
      </c>
      <c r="F269" s="7" t="s">
        <v>19</v>
      </c>
      <c r="G269" s="7">
        <v>1</v>
      </c>
      <c r="H269" s="7" t="s">
        <v>17</v>
      </c>
      <c r="I269" s="7" t="s">
        <v>17</v>
      </c>
      <c r="J269" s="7" t="s">
        <v>1609</v>
      </c>
    </row>
    <row r="270" spans="1:10" x14ac:dyDescent="0.25" outlineLevel="2" collapsed="1">
      <c r="A270" s="7" t="s">
        <v>19</v>
      </c>
      <c r="B270" s="7" t="s">
        <v>16</v>
      </c>
      <c r="C270" s="7" t="s">
        <v>17</v>
      </c>
      <c r="D270" s="7"/>
      <c r="E270" s="7" t="s">
        <v>1677</v>
      </c>
      <c r="F270" s="7" t="s">
        <v>19</v>
      </c>
      <c r="G270" s="7" t="s">
        <v>31</v>
      </c>
      <c r="H270" s="7" t="s">
        <v>17</v>
      </c>
      <c r="I270" s="7" t="s">
        <v>17</v>
      </c>
      <c r="J270" s="7" t="s">
        <v>1678</v>
      </c>
    </row>
    <row r="271" spans="1:10" x14ac:dyDescent="0.25" outlineLevel="2" collapsed="1">
      <c r="A271" s="7" t="s">
        <v>15</v>
      </c>
      <c r="B271" s="7" t="s">
        <v>16</v>
      </c>
      <c r="C271" s="7" t="s">
        <v>17</v>
      </c>
      <c r="D271" s="7"/>
      <c r="E271" s="7" t="s">
        <v>1679</v>
      </c>
      <c r="F271" s="7" t="s">
        <v>19</v>
      </c>
      <c r="G271" s="7" t="s">
        <v>31</v>
      </c>
      <c r="H271" s="7" t="s">
        <v>17</v>
      </c>
      <c r="I271" s="7" t="s">
        <v>17</v>
      </c>
      <c r="J271" s="7" t="s">
        <v>1680</v>
      </c>
    </row>
    <row r="272" spans="1:10" x14ac:dyDescent="0.25" outlineLevel="2" collapsed="1">
      <c r="A272" s="7" t="s">
        <v>15</v>
      </c>
      <c r="B272" s="7" t="s">
        <v>284</v>
      </c>
      <c r="C272" s="11" t="s">
        <v>1611</v>
      </c>
      <c r="D272" s="7"/>
      <c r="E272" s="7" t="s">
        <v>1612</v>
      </c>
      <c r="F272" s="7" t="s">
        <v>19</v>
      </c>
      <c r="G272" s="7" t="s">
        <v>1613</v>
      </c>
      <c r="H272" s="7" t="s">
        <v>17</v>
      </c>
      <c r="I272" s="7" t="s">
        <v>17</v>
      </c>
      <c r="J272" s="7" t="s">
        <v>1614</v>
      </c>
    </row>
    <row r="273" spans="1:10" x14ac:dyDescent="0.25" outlineLevel="2" collapsed="1">
      <c r="A273" s="7" t="s">
        <v>19</v>
      </c>
      <c r="B273" s="7" t="s">
        <v>16</v>
      </c>
      <c r="C273" s="7" t="s">
        <v>17</v>
      </c>
      <c r="D273" s="7"/>
      <c r="E273" s="7" t="s">
        <v>1681</v>
      </c>
      <c r="F273" s="7" t="s">
        <v>19</v>
      </c>
      <c r="G273" s="7" t="s">
        <v>31</v>
      </c>
      <c r="H273" s="7" t="s">
        <v>17</v>
      </c>
      <c r="I273" s="7" t="s">
        <v>17</v>
      </c>
      <c r="J273" s="7" t="s">
        <v>1682</v>
      </c>
    </row>
    <row r="274" spans="1:10" x14ac:dyDescent="0.25" outlineLevel="2" collapsed="1">
      <c r="A274" s="7" t="s">
        <v>19</v>
      </c>
      <c r="B274" s="7" t="s">
        <v>16</v>
      </c>
      <c r="C274" s="7" t="s">
        <v>17</v>
      </c>
      <c r="D274" s="7"/>
      <c r="E274" s="7" t="s">
        <v>1615</v>
      </c>
      <c r="F274" s="7" t="s">
        <v>19</v>
      </c>
      <c r="G274" s="7" t="s">
        <v>31</v>
      </c>
      <c r="H274" s="7" t="s">
        <v>17</v>
      </c>
      <c r="I274" s="7" t="s">
        <v>17</v>
      </c>
      <c r="J274" s="7" t="s">
        <v>1616</v>
      </c>
    </row>
    <row r="275" spans="1:10" x14ac:dyDescent="0.25" outlineLevel="1" collapsed="1">
      <c r="A275" s="8" t="s">
        <v>15</v>
      </c>
      <c r="B275" s="9" t="s">
        <v>1667</v>
      </c>
      <c r="C275" s="8" t="s">
        <v>17</v>
      </c>
      <c r="D275" s="8"/>
      <c r="E275" s="8" t="s">
        <v>1686</v>
      </c>
      <c r="F275" s="8" t="s">
        <v>19</v>
      </c>
      <c r="G275" s="8" t="s">
        <v>17</v>
      </c>
      <c r="H275" s="8" t="s">
        <v>17</v>
      </c>
      <c r="I275" s="8" t="s">
        <v>17</v>
      </c>
      <c r="J275" s="8" t="s">
        <v>1687</v>
      </c>
    </row>
    <row r="276" spans="1:10" x14ac:dyDescent="0.25" outlineLevel="2" collapsed="1">
      <c r="A276" s="7" t="s">
        <v>15</v>
      </c>
      <c r="B276" s="7" t="s">
        <v>16</v>
      </c>
      <c r="C276" s="7" t="s">
        <v>17</v>
      </c>
      <c r="D276" s="7"/>
      <c r="E276" s="7" t="s">
        <v>1670</v>
      </c>
      <c r="F276" s="7" t="s">
        <v>19</v>
      </c>
      <c r="G276" s="7" t="s">
        <v>31</v>
      </c>
      <c r="H276" s="7" t="s">
        <v>17</v>
      </c>
      <c r="I276" s="7" t="s">
        <v>17</v>
      </c>
      <c r="J276" s="7" t="s">
        <v>637</v>
      </c>
    </row>
    <row r="277" spans="1:10" x14ac:dyDescent="0.25" outlineLevel="2" collapsed="1">
      <c r="A277" s="7" t="s">
        <v>15</v>
      </c>
      <c r="B277" s="7" t="s">
        <v>16</v>
      </c>
      <c r="C277" s="7" t="s">
        <v>17</v>
      </c>
      <c r="D277" s="7"/>
      <c r="E277" s="7" t="s">
        <v>638</v>
      </c>
      <c r="F277" s="7" t="s">
        <v>19</v>
      </c>
      <c r="G277" s="7" t="s">
        <v>31</v>
      </c>
      <c r="H277" s="7" t="s">
        <v>17</v>
      </c>
      <c r="I277" s="7" t="s">
        <v>17</v>
      </c>
      <c r="J277" s="7" t="s">
        <v>640</v>
      </c>
    </row>
    <row r="278" spans="1:10" x14ac:dyDescent="0.25" outlineLevel="2" collapsed="1">
      <c r="A278" s="7" t="s">
        <v>15</v>
      </c>
      <c r="B278" s="7" t="s">
        <v>16</v>
      </c>
      <c r="C278" s="7" t="s">
        <v>17</v>
      </c>
      <c r="D278" s="7"/>
      <c r="E278" s="7" t="s">
        <v>9</v>
      </c>
      <c r="F278" s="7" t="s">
        <v>19</v>
      </c>
      <c r="G278" s="7" t="s">
        <v>31</v>
      </c>
      <c r="H278" s="7" t="s">
        <v>17</v>
      </c>
      <c r="I278" s="7" t="s">
        <v>17</v>
      </c>
      <c r="J278" s="7" t="s">
        <v>843</v>
      </c>
    </row>
    <row r="279" spans="1:10" x14ac:dyDescent="0.25" outlineLevel="2" collapsed="1">
      <c r="A279" s="7" t="s">
        <v>19</v>
      </c>
      <c r="B279" s="7" t="s">
        <v>16</v>
      </c>
      <c r="C279" s="7" t="s">
        <v>17</v>
      </c>
      <c r="D279" s="7"/>
      <c r="E279" s="7" t="s">
        <v>1600</v>
      </c>
      <c r="F279" s="7" t="s">
        <v>19</v>
      </c>
      <c r="G279" s="7" t="s">
        <v>31</v>
      </c>
      <c r="H279" s="7" t="s">
        <v>17</v>
      </c>
      <c r="I279" s="7" t="s">
        <v>17</v>
      </c>
      <c r="J279" s="7" t="s">
        <v>1424</v>
      </c>
    </row>
    <row r="280" spans="1:10" x14ac:dyDescent="0.25" outlineLevel="2" collapsed="1">
      <c r="A280" s="7" t="s">
        <v>15</v>
      </c>
      <c r="B280" s="7" t="s">
        <v>16</v>
      </c>
      <c r="C280" s="7" t="s">
        <v>17</v>
      </c>
      <c r="D280" s="7"/>
      <c r="E280" s="7" t="s">
        <v>1601</v>
      </c>
      <c r="F280" s="7" t="s">
        <v>19</v>
      </c>
      <c r="G280" s="7" t="s">
        <v>31</v>
      </c>
      <c r="H280" s="7" t="s">
        <v>17</v>
      </c>
      <c r="I280" s="7" t="s">
        <v>17</v>
      </c>
      <c r="J280" s="7" t="s">
        <v>1602</v>
      </c>
    </row>
    <row r="281" spans="1:10" x14ac:dyDescent="0.25" outlineLevel="2" collapsed="1">
      <c r="A281" s="7" t="s">
        <v>15</v>
      </c>
      <c r="B281" s="7" t="s">
        <v>16</v>
      </c>
      <c r="C281" s="7" t="s">
        <v>17</v>
      </c>
      <c r="D281" s="7"/>
      <c r="E281" s="7" t="s">
        <v>1671</v>
      </c>
      <c r="F281" s="7" t="s">
        <v>19</v>
      </c>
      <c r="G281" s="7" t="s">
        <v>31</v>
      </c>
      <c r="H281" s="7" t="s">
        <v>17</v>
      </c>
      <c r="I281" s="7" t="s">
        <v>17</v>
      </c>
      <c r="J281" s="7" t="s">
        <v>1672</v>
      </c>
    </row>
    <row r="282" spans="1:10" x14ac:dyDescent="0.25" outlineLevel="2" collapsed="1">
      <c r="A282" s="7" t="s">
        <v>15</v>
      </c>
      <c r="B282" s="7" t="s">
        <v>16</v>
      </c>
      <c r="C282" s="7" t="s">
        <v>17</v>
      </c>
      <c r="D282" s="7"/>
      <c r="E282" s="7" t="s">
        <v>1673</v>
      </c>
      <c r="F282" s="7" t="s">
        <v>19</v>
      </c>
      <c r="G282" s="7" t="s">
        <v>31</v>
      </c>
      <c r="H282" s="7" t="s">
        <v>17</v>
      </c>
      <c r="I282" s="7" t="s">
        <v>17</v>
      </c>
      <c r="J282" s="7" t="s">
        <v>1674</v>
      </c>
    </row>
    <row r="283" spans="1:10" x14ac:dyDescent="0.25" outlineLevel="2" collapsed="1">
      <c r="A283" s="7" t="s">
        <v>15</v>
      </c>
      <c r="B283" s="7" t="s">
        <v>16</v>
      </c>
      <c r="C283" s="7" t="s">
        <v>17</v>
      </c>
      <c r="D283" s="7"/>
      <c r="E283" s="7" t="s">
        <v>1675</v>
      </c>
      <c r="F283" s="7" t="s">
        <v>19</v>
      </c>
      <c r="G283" s="7" t="s">
        <v>31</v>
      </c>
      <c r="H283" s="7" t="s">
        <v>17</v>
      </c>
      <c r="I283" s="7" t="s">
        <v>17</v>
      </c>
      <c r="J283" s="7" t="s">
        <v>1422</v>
      </c>
    </row>
    <row r="284" spans="1:10" x14ac:dyDescent="0.25" outlineLevel="2" collapsed="1">
      <c r="A284" s="7" t="s">
        <v>15</v>
      </c>
      <c r="B284" s="7" t="s">
        <v>284</v>
      </c>
      <c r="C284" s="11" t="s">
        <v>1604</v>
      </c>
      <c r="D284" s="7"/>
      <c r="E284" s="7" t="s">
        <v>1605</v>
      </c>
      <c r="F284" s="7" t="s">
        <v>19</v>
      </c>
      <c r="G284" s="7" t="s">
        <v>1606</v>
      </c>
      <c r="H284" s="7" t="s">
        <v>17</v>
      </c>
      <c r="I284" s="7" t="s">
        <v>17</v>
      </c>
      <c r="J284" s="7" t="s">
        <v>1607</v>
      </c>
    </row>
    <row r="285" spans="1:10" x14ac:dyDescent="0.25" outlineLevel="2" collapsed="1">
      <c r="A285" s="7" t="s">
        <v>19</v>
      </c>
      <c r="B285" s="7" t="s">
        <v>63</v>
      </c>
      <c r="C285" s="7" t="s">
        <v>17</v>
      </c>
      <c r="D285" s="7">
        <f>EXACT(G284,"Single value")</f>
      </c>
      <c r="E285" s="7" t="s">
        <v>1676</v>
      </c>
      <c r="F285" s="7" t="s">
        <v>19</v>
      </c>
      <c r="G285" s="7">
        <v>1</v>
      </c>
      <c r="H285" s="7" t="s">
        <v>17</v>
      </c>
      <c r="I285" s="7" t="s">
        <v>17</v>
      </c>
      <c r="J285" s="7" t="s">
        <v>1609</v>
      </c>
    </row>
    <row r="286" spans="1:10" x14ac:dyDescent="0.25" outlineLevel="2" collapsed="1">
      <c r="A286" s="7" t="s">
        <v>19</v>
      </c>
      <c r="B286" s="7" t="s">
        <v>16</v>
      </c>
      <c r="C286" s="7" t="s">
        <v>17</v>
      </c>
      <c r="D286" s="7"/>
      <c r="E286" s="7" t="s">
        <v>1677</v>
      </c>
      <c r="F286" s="7" t="s">
        <v>19</v>
      </c>
      <c r="G286" s="7" t="s">
        <v>31</v>
      </c>
      <c r="H286" s="7" t="s">
        <v>17</v>
      </c>
      <c r="I286" s="7" t="s">
        <v>17</v>
      </c>
      <c r="J286" s="7" t="s">
        <v>1678</v>
      </c>
    </row>
    <row r="287" spans="1:10" x14ac:dyDescent="0.25" outlineLevel="2" collapsed="1">
      <c r="A287" s="7" t="s">
        <v>15</v>
      </c>
      <c r="B287" s="7" t="s">
        <v>16</v>
      </c>
      <c r="C287" s="7" t="s">
        <v>17</v>
      </c>
      <c r="D287" s="7"/>
      <c r="E287" s="7" t="s">
        <v>1679</v>
      </c>
      <c r="F287" s="7" t="s">
        <v>19</v>
      </c>
      <c r="G287" s="7" t="s">
        <v>31</v>
      </c>
      <c r="H287" s="7" t="s">
        <v>17</v>
      </c>
      <c r="I287" s="7" t="s">
        <v>17</v>
      </c>
      <c r="J287" s="7" t="s">
        <v>1680</v>
      </c>
    </row>
    <row r="288" spans="1:10" x14ac:dyDescent="0.25" outlineLevel="2" collapsed="1">
      <c r="A288" s="7" t="s">
        <v>15</v>
      </c>
      <c r="B288" s="7" t="s">
        <v>284</v>
      </c>
      <c r="C288" s="11" t="s">
        <v>1611</v>
      </c>
      <c r="D288" s="7"/>
      <c r="E288" s="7" t="s">
        <v>1612</v>
      </c>
      <c r="F288" s="7" t="s">
        <v>19</v>
      </c>
      <c r="G288" s="7" t="s">
        <v>1613</v>
      </c>
      <c r="H288" s="7" t="s">
        <v>17</v>
      </c>
      <c r="I288" s="7" t="s">
        <v>17</v>
      </c>
      <c r="J288" s="7" t="s">
        <v>1614</v>
      </c>
    </row>
    <row r="289" spans="1:10" x14ac:dyDescent="0.25" outlineLevel="2" collapsed="1">
      <c r="A289" s="7" t="s">
        <v>19</v>
      </c>
      <c r="B289" s="7" t="s">
        <v>16</v>
      </c>
      <c r="C289" s="7" t="s">
        <v>17</v>
      </c>
      <c r="D289" s="7"/>
      <c r="E289" s="7" t="s">
        <v>1681</v>
      </c>
      <c r="F289" s="7" t="s">
        <v>19</v>
      </c>
      <c r="G289" s="7" t="s">
        <v>31</v>
      </c>
      <c r="H289" s="7" t="s">
        <v>17</v>
      </c>
      <c r="I289" s="7" t="s">
        <v>17</v>
      </c>
      <c r="J289" s="7" t="s">
        <v>1682</v>
      </c>
    </row>
    <row r="290" spans="1:10" x14ac:dyDescent="0.25" outlineLevel="2" collapsed="1">
      <c r="A290" s="7" t="s">
        <v>19</v>
      </c>
      <c r="B290" s="7" t="s">
        <v>16</v>
      </c>
      <c r="C290" s="7" t="s">
        <v>17</v>
      </c>
      <c r="D290" s="7"/>
      <c r="E290" s="7" t="s">
        <v>1615</v>
      </c>
      <c r="F290" s="7" t="s">
        <v>19</v>
      </c>
      <c r="G290" s="7" t="s">
        <v>31</v>
      </c>
      <c r="H290" s="7" t="s">
        <v>17</v>
      </c>
      <c r="I290" s="7" t="s">
        <v>17</v>
      </c>
      <c r="J290" s="7" t="s">
        <v>1616</v>
      </c>
    </row>
    <row r="291" spans="1:10" x14ac:dyDescent="0.25" outlineLevel="1" collapsed="1">
      <c r="A291" s="8" t="s">
        <v>15</v>
      </c>
      <c r="B291" s="9" t="s">
        <v>1667</v>
      </c>
      <c r="C291" s="8" t="s">
        <v>17</v>
      </c>
      <c r="D291" s="8"/>
      <c r="E291" s="8" t="s">
        <v>1688</v>
      </c>
      <c r="F291" s="8" t="s">
        <v>19</v>
      </c>
      <c r="G291" s="8" t="s">
        <v>17</v>
      </c>
      <c r="H291" s="8" t="s">
        <v>17</v>
      </c>
      <c r="I291" s="8" t="s">
        <v>17</v>
      </c>
      <c r="J291" s="8" t="s">
        <v>1689</v>
      </c>
    </row>
    <row r="292" spans="1:10" x14ac:dyDescent="0.25" outlineLevel="2" collapsed="1">
      <c r="A292" s="7" t="s">
        <v>15</v>
      </c>
      <c r="B292" s="7" t="s">
        <v>16</v>
      </c>
      <c r="C292" s="7" t="s">
        <v>17</v>
      </c>
      <c r="D292" s="7"/>
      <c r="E292" s="7" t="s">
        <v>1670</v>
      </c>
      <c r="F292" s="7" t="s">
        <v>19</v>
      </c>
      <c r="G292" s="7" t="s">
        <v>31</v>
      </c>
      <c r="H292" s="7" t="s">
        <v>17</v>
      </c>
      <c r="I292" s="7" t="s">
        <v>17</v>
      </c>
      <c r="J292" s="7" t="s">
        <v>637</v>
      </c>
    </row>
    <row r="293" spans="1:10" x14ac:dyDescent="0.25" outlineLevel="2" collapsed="1">
      <c r="A293" s="7" t="s">
        <v>15</v>
      </c>
      <c r="B293" s="7" t="s">
        <v>16</v>
      </c>
      <c r="C293" s="7" t="s">
        <v>17</v>
      </c>
      <c r="D293" s="7"/>
      <c r="E293" s="7" t="s">
        <v>638</v>
      </c>
      <c r="F293" s="7" t="s">
        <v>19</v>
      </c>
      <c r="G293" s="7" t="s">
        <v>31</v>
      </c>
      <c r="H293" s="7" t="s">
        <v>17</v>
      </c>
      <c r="I293" s="7" t="s">
        <v>17</v>
      </c>
      <c r="J293" s="7" t="s">
        <v>640</v>
      </c>
    </row>
    <row r="294" spans="1:10" x14ac:dyDescent="0.25" outlineLevel="2" collapsed="1">
      <c r="A294" s="7" t="s">
        <v>15</v>
      </c>
      <c r="B294" s="7" t="s">
        <v>16</v>
      </c>
      <c r="C294" s="7" t="s">
        <v>17</v>
      </c>
      <c r="D294" s="7"/>
      <c r="E294" s="7" t="s">
        <v>9</v>
      </c>
      <c r="F294" s="7" t="s">
        <v>19</v>
      </c>
      <c r="G294" s="7" t="s">
        <v>31</v>
      </c>
      <c r="H294" s="7" t="s">
        <v>17</v>
      </c>
      <c r="I294" s="7" t="s">
        <v>17</v>
      </c>
      <c r="J294" s="7" t="s">
        <v>843</v>
      </c>
    </row>
    <row r="295" spans="1:10" x14ac:dyDescent="0.25" outlineLevel="2" collapsed="1">
      <c r="A295" s="7" t="s">
        <v>19</v>
      </c>
      <c r="B295" s="7" t="s">
        <v>16</v>
      </c>
      <c r="C295" s="7" t="s">
        <v>17</v>
      </c>
      <c r="D295" s="7"/>
      <c r="E295" s="7" t="s">
        <v>1600</v>
      </c>
      <c r="F295" s="7" t="s">
        <v>19</v>
      </c>
      <c r="G295" s="7" t="s">
        <v>31</v>
      </c>
      <c r="H295" s="7" t="s">
        <v>17</v>
      </c>
      <c r="I295" s="7" t="s">
        <v>17</v>
      </c>
      <c r="J295" s="7" t="s">
        <v>1424</v>
      </c>
    </row>
    <row r="296" spans="1:10" x14ac:dyDescent="0.25" outlineLevel="2" collapsed="1">
      <c r="A296" s="7" t="s">
        <v>15</v>
      </c>
      <c r="B296" s="7" t="s">
        <v>16</v>
      </c>
      <c r="C296" s="7" t="s">
        <v>17</v>
      </c>
      <c r="D296" s="7"/>
      <c r="E296" s="7" t="s">
        <v>1601</v>
      </c>
      <c r="F296" s="7" t="s">
        <v>19</v>
      </c>
      <c r="G296" s="7" t="s">
        <v>31</v>
      </c>
      <c r="H296" s="7" t="s">
        <v>17</v>
      </c>
      <c r="I296" s="7" t="s">
        <v>17</v>
      </c>
      <c r="J296" s="7" t="s">
        <v>1602</v>
      </c>
    </row>
    <row r="297" spans="1:10" x14ac:dyDescent="0.25" outlineLevel="2" collapsed="1">
      <c r="A297" s="7" t="s">
        <v>15</v>
      </c>
      <c r="B297" s="7" t="s">
        <v>16</v>
      </c>
      <c r="C297" s="7" t="s">
        <v>17</v>
      </c>
      <c r="D297" s="7"/>
      <c r="E297" s="7" t="s">
        <v>1671</v>
      </c>
      <c r="F297" s="7" t="s">
        <v>19</v>
      </c>
      <c r="G297" s="7" t="s">
        <v>31</v>
      </c>
      <c r="H297" s="7" t="s">
        <v>17</v>
      </c>
      <c r="I297" s="7" t="s">
        <v>17</v>
      </c>
      <c r="J297" s="7" t="s">
        <v>1672</v>
      </c>
    </row>
    <row r="298" spans="1:10" x14ac:dyDescent="0.25" outlineLevel="2" collapsed="1">
      <c r="A298" s="7" t="s">
        <v>15</v>
      </c>
      <c r="B298" s="7" t="s">
        <v>16</v>
      </c>
      <c r="C298" s="7" t="s">
        <v>17</v>
      </c>
      <c r="D298" s="7"/>
      <c r="E298" s="7" t="s">
        <v>1673</v>
      </c>
      <c r="F298" s="7" t="s">
        <v>19</v>
      </c>
      <c r="G298" s="7" t="s">
        <v>31</v>
      </c>
      <c r="H298" s="7" t="s">
        <v>17</v>
      </c>
      <c r="I298" s="7" t="s">
        <v>17</v>
      </c>
      <c r="J298" s="7" t="s">
        <v>1674</v>
      </c>
    </row>
    <row r="299" spans="1:10" x14ac:dyDescent="0.25" outlineLevel="2" collapsed="1">
      <c r="A299" s="7" t="s">
        <v>15</v>
      </c>
      <c r="B299" s="7" t="s">
        <v>16</v>
      </c>
      <c r="C299" s="7" t="s">
        <v>17</v>
      </c>
      <c r="D299" s="7"/>
      <c r="E299" s="7" t="s">
        <v>1675</v>
      </c>
      <c r="F299" s="7" t="s">
        <v>19</v>
      </c>
      <c r="G299" s="7" t="s">
        <v>31</v>
      </c>
      <c r="H299" s="7" t="s">
        <v>17</v>
      </c>
      <c r="I299" s="7" t="s">
        <v>17</v>
      </c>
      <c r="J299" s="7" t="s">
        <v>1422</v>
      </c>
    </row>
    <row r="300" spans="1:10" x14ac:dyDescent="0.25" outlineLevel="2" collapsed="1">
      <c r="A300" s="7" t="s">
        <v>15</v>
      </c>
      <c r="B300" s="7" t="s">
        <v>284</v>
      </c>
      <c r="C300" s="11" t="s">
        <v>1604</v>
      </c>
      <c r="D300" s="7"/>
      <c r="E300" s="7" t="s">
        <v>1605</v>
      </c>
      <c r="F300" s="7" t="s">
        <v>19</v>
      </c>
      <c r="G300" s="7" t="s">
        <v>1606</v>
      </c>
      <c r="H300" s="7" t="s">
        <v>17</v>
      </c>
      <c r="I300" s="7" t="s">
        <v>17</v>
      </c>
      <c r="J300" s="7" t="s">
        <v>1607</v>
      </c>
    </row>
    <row r="301" spans="1:10" x14ac:dyDescent="0.25" outlineLevel="2" collapsed="1">
      <c r="A301" s="7" t="s">
        <v>19</v>
      </c>
      <c r="B301" s="7" t="s">
        <v>63</v>
      </c>
      <c r="C301" s="7" t="s">
        <v>17</v>
      </c>
      <c r="D301" s="7">
        <f>EXACT(G300,"Single value")</f>
      </c>
      <c r="E301" s="7" t="s">
        <v>1676</v>
      </c>
      <c r="F301" s="7" t="s">
        <v>19</v>
      </c>
      <c r="G301" s="7">
        <v>1</v>
      </c>
      <c r="H301" s="7" t="s">
        <v>17</v>
      </c>
      <c r="I301" s="7" t="s">
        <v>17</v>
      </c>
      <c r="J301" s="7" t="s">
        <v>1609</v>
      </c>
    </row>
    <row r="302" spans="1:10" x14ac:dyDescent="0.25" outlineLevel="2" collapsed="1">
      <c r="A302" s="7" t="s">
        <v>19</v>
      </c>
      <c r="B302" s="7" t="s">
        <v>16</v>
      </c>
      <c r="C302" s="7" t="s">
        <v>17</v>
      </c>
      <c r="D302" s="7"/>
      <c r="E302" s="7" t="s">
        <v>1677</v>
      </c>
      <c r="F302" s="7" t="s">
        <v>19</v>
      </c>
      <c r="G302" s="7" t="s">
        <v>31</v>
      </c>
      <c r="H302" s="7" t="s">
        <v>17</v>
      </c>
      <c r="I302" s="7" t="s">
        <v>17</v>
      </c>
      <c r="J302" s="7" t="s">
        <v>1678</v>
      </c>
    </row>
    <row r="303" spans="1:10" x14ac:dyDescent="0.25" outlineLevel="2" collapsed="1">
      <c r="A303" s="7" t="s">
        <v>15</v>
      </c>
      <c r="B303" s="7" t="s">
        <v>16</v>
      </c>
      <c r="C303" s="7" t="s">
        <v>17</v>
      </c>
      <c r="D303" s="7"/>
      <c r="E303" s="7" t="s">
        <v>1679</v>
      </c>
      <c r="F303" s="7" t="s">
        <v>19</v>
      </c>
      <c r="G303" s="7" t="s">
        <v>31</v>
      </c>
      <c r="H303" s="7" t="s">
        <v>17</v>
      </c>
      <c r="I303" s="7" t="s">
        <v>17</v>
      </c>
      <c r="J303" s="7" t="s">
        <v>1680</v>
      </c>
    </row>
    <row r="304" spans="1:10" x14ac:dyDescent="0.25" outlineLevel="2" collapsed="1">
      <c r="A304" s="7" t="s">
        <v>15</v>
      </c>
      <c r="B304" s="7" t="s">
        <v>284</v>
      </c>
      <c r="C304" s="11" t="s">
        <v>1611</v>
      </c>
      <c r="D304" s="7"/>
      <c r="E304" s="7" t="s">
        <v>1612</v>
      </c>
      <c r="F304" s="7" t="s">
        <v>19</v>
      </c>
      <c r="G304" s="7" t="s">
        <v>1613</v>
      </c>
      <c r="H304" s="7" t="s">
        <v>17</v>
      </c>
      <c r="I304" s="7" t="s">
        <v>17</v>
      </c>
      <c r="J304" s="7" t="s">
        <v>1614</v>
      </c>
    </row>
    <row r="305" spans="1:10" x14ac:dyDescent="0.25" outlineLevel="2" collapsed="1">
      <c r="A305" s="7" t="s">
        <v>19</v>
      </c>
      <c r="B305" s="7" t="s">
        <v>16</v>
      </c>
      <c r="C305" s="7" t="s">
        <v>17</v>
      </c>
      <c r="D305" s="7"/>
      <c r="E305" s="7" t="s">
        <v>1681</v>
      </c>
      <c r="F305" s="7" t="s">
        <v>19</v>
      </c>
      <c r="G305" s="7" t="s">
        <v>31</v>
      </c>
      <c r="H305" s="7" t="s">
        <v>17</v>
      </c>
      <c r="I305" s="7" t="s">
        <v>17</v>
      </c>
      <c r="J305" s="7" t="s">
        <v>1682</v>
      </c>
    </row>
    <row r="306" spans="1:10" x14ac:dyDescent="0.25" outlineLevel="2" collapsed="1">
      <c r="A306" s="7" t="s">
        <v>19</v>
      </c>
      <c r="B306" s="7" t="s">
        <v>16</v>
      </c>
      <c r="C306" s="7" t="s">
        <v>17</v>
      </c>
      <c r="D306" s="7"/>
      <c r="E306" s="7" t="s">
        <v>1615</v>
      </c>
      <c r="F306" s="7" t="s">
        <v>19</v>
      </c>
      <c r="G306" s="7" t="s">
        <v>31</v>
      </c>
      <c r="H306" s="7" t="s">
        <v>17</v>
      </c>
      <c r="I306" s="7" t="s">
        <v>17</v>
      </c>
      <c r="J306" s="7" t="s">
        <v>1616</v>
      </c>
    </row>
    <row r="307" spans="1:10" x14ac:dyDescent="0.25" outlineLevel="1" collapsed="1">
      <c r="A307" s="8" t="s">
        <v>19</v>
      </c>
      <c r="B307" s="9" t="s">
        <v>1667</v>
      </c>
      <c r="C307" s="8" t="s">
        <v>17</v>
      </c>
      <c r="D307" s="8"/>
      <c r="E307" s="8" t="s">
        <v>1690</v>
      </c>
      <c r="F307" s="8" t="s">
        <v>19</v>
      </c>
      <c r="G307" s="8" t="s">
        <v>17</v>
      </c>
      <c r="H307" s="8" t="s">
        <v>17</v>
      </c>
      <c r="I307" s="8" t="s">
        <v>17</v>
      </c>
      <c r="J307" s="8" t="s">
        <v>1691</v>
      </c>
    </row>
    <row r="308" spans="1:10" x14ac:dyDescent="0.25" outlineLevel="2" collapsed="1">
      <c r="A308" s="7" t="s">
        <v>15</v>
      </c>
      <c r="B308" s="7" t="s">
        <v>16</v>
      </c>
      <c r="C308" s="7" t="s">
        <v>17</v>
      </c>
      <c r="D308" s="7"/>
      <c r="E308" s="7" t="s">
        <v>1670</v>
      </c>
      <c r="F308" s="7" t="s">
        <v>19</v>
      </c>
      <c r="G308" s="7" t="s">
        <v>31</v>
      </c>
      <c r="H308" s="7" t="s">
        <v>17</v>
      </c>
      <c r="I308" s="7" t="s">
        <v>17</v>
      </c>
      <c r="J308" s="7" t="s">
        <v>637</v>
      </c>
    </row>
    <row r="309" spans="1:10" x14ac:dyDescent="0.25" outlineLevel="2" collapsed="1">
      <c r="A309" s="7" t="s">
        <v>15</v>
      </c>
      <c r="B309" s="7" t="s">
        <v>16</v>
      </c>
      <c r="C309" s="7" t="s">
        <v>17</v>
      </c>
      <c r="D309" s="7"/>
      <c r="E309" s="7" t="s">
        <v>638</v>
      </c>
      <c r="F309" s="7" t="s">
        <v>19</v>
      </c>
      <c r="G309" s="7" t="s">
        <v>31</v>
      </c>
      <c r="H309" s="7" t="s">
        <v>17</v>
      </c>
      <c r="I309" s="7" t="s">
        <v>17</v>
      </c>
      <c r="J309" s="7" t="s">
        <v>640</v>
      </c>
    </row>
    <row r="310" spans="1:10" x14ac:dyDescent="0.25" outlineLevel="2" collapsed="1">
      <c r="A310" s="7" t="s">
        <v>15</v>
      </c>
      <c r="B310" s="7" t="s">
        <v>16</v>
      </c>
      <c r="C310" s="7" t="s">
        <v>17</v>
      </c>
      <c r="D310" s="7"/>
      <c r="E310" s="7" t="s">
        <v>9</v>
      </c>
      <c r="F310" s="7" t="s">
        <v>19</v>
      </c>
      <c r="G310" s="7" t="s">
        <v>31</v>
      </c>
      <c r="H310" s="7" t="s">
        <v>17</v>
      </c>
      <c r="I310" s="7" t="s">
        <v>17</v>
      </c>
      <c r="J310" s="7" t="s">
        <v>843</v>
      </c>
    </row>
    <row r="311" spans="1:10" x14ac:dyDescent="0.25" outlineLevel="2" collapsed="1">
      <c r="A311" s="7" t="s">
        <v>19</v>
      </c>
      <c r="B311" s="7" t="s">
        <v>16</v>
      </c>
      <c r="C311" s="7" t="s">
        <v>17</v>
      </c>
      <c r="D311" s="7"/>
      <c r="E311" s="7" t="s">
        <v>1600</v>
      </c>
      <c r="F311" s="7" t="s">
        <v>19</v>
      </c>
      <c r="G311" s="7" t="s">
        <v>31</v>
      </c>
      <c r="H311" s="7" t="s">
        <v>17</v>
      </c>
      <c r="I311" s="7" t="s">
        <v>17</v>
      </c>
      <c r="J311" s="7" t="s">
        <v>1424</v>
      </c>
    </row>
    <row r="312" spans="1:10" x14ac:dyDescent="0.25" outlineLevel="2" collapsed="1">
      <c r="A312" s="7" t="s">
        <v>15</v>
      </c>
      <c r="B312" s="7" t="s">
        <v>16</v>
      </c>
      <c r="C312" s="7" t="s">
        <v>17</v>
      </c>
      <c r="D312" s="7"/>
      <c r="E312" s="7" t="s">
        <v>1601</v>
      </c>
      <c r="F312" s="7" t="s">
        <v>19</v>
      </c>
      <c r="G312" s="7" t="s">
        <v>31</v>
      </c>
      <c r="H312" s="7" t="s">
        <v>17</v>
      </c>
      <c r="I312" s="7" t="s">
        <v>17</v>
      </c>
      <c r="J312" s="7" t="s">
        <v>1602</v>
      </c>
    </row>
    <row r="313" spans="1:10" x14ac:dyDescent="0.25" outlineLevel="2" collapsed="1">
      <c r="A313" s="7" t="s">
        <v>15</v>
      </c>
      <c r="B313" s="7" t="s">
        <v>16</v>
      </c>
      <c r="C313" s="7" t="s">
        <v>17</v>
      </c>
      <c r="D313" s="7"/>
      <c r="E313" s="7" t="s">
        <v>1671</v>
      </c>
      <c r="F313" s="7" t="s">
        <v>19</v>
      </c>
      <c r="G313" s="7" t="s">
        <v>31</v>
      </c>
      <c r="H313" s="7" t="s">
        <v>17</v>
      </c>
      <c r="I313" s="7" t="s">
        <v>17</v>
      </c>
      <c r="J313" s="7" t="s">
        <v>1672</v>
      </c>
    </row>
    <row r="314" spans="1:10" x14ac:dyDescent="0.25" outlineLevel="2" collapsed="1">
      <c r="A314" s="7" t="s">
        <v>15</v>
      </c>
      <c r="B314" s="7" t="s">
        <v>16</v>
      </c>
      <c r="C314" s="7" t="s">
        <v>17</v>
      </c>
      <c r="D314" s="7"/>
      <c r="E314" s="7" t="s">
        <v>1673</v>
      </c>
      <c r="F314" s="7" t="s">
        <v>19</v>
      </c>
      <c r="G314" s="7" t="s">
        <v>31</v>
      </c>
      <c r="H314" s="7" t="s">
        <v>17</v>
      </c>
      <c r="I314" s="7" t="s">
        <v>17</v>
      </c>
      <c r="J314" s="7" t="s">
        <v>1674</v>
      </c>
    </row>
    <row r="315" spans="1:10" x14ac:dyDescent="0.25" outlineLevel="2" collapsed="1">
      <c r="A315" s="7" t="s">
        <v>15</v>
      </c>
      <c r="B315" s="7" t="s">
        <v>16</v>
      </c>
      <c r="C315" s="7" t="s">
        <v>17</v>
      </c>
      <c r="D315" s="7"/>
      <c r="E315" s="7" t="s">
        <v>1675</v>
      </c>
      <c r="F315" s="7" t="s">
        <v>19</v>
      </c>
      <c r="G315" s="7" t="s">
        <v>31</v>
      </c>
      <c r="H315" s="7" t="s">
        <v>17</v>
      </c>
      <c r="I315" s="7" t="s">
        <v>17</v>
      </c>
      <c r="J315" s="7" t="s">
        <v>1422</v>
      </c>
    </row>
    <row r="316" spans="1:10" x14ac:dyDescent="0.25" outlineLevel="2" collapsed="1">
      <c r="A316" s="7" t="s">
        <v>15</v>
      </c>
      <c r="B316" s="7" t="s">
        <v>284</v>
      </c>
      <c r="C316" s="11" t="s">
        <v>1604</v>
      </c>
      <c r="D316" s="7"/>
      <c r="E316" s="7" t="s">
        <v>1605</v>
      </c>
      <c r="F316" s="7" t="s">
        <v>19</v>
      </c>
      <c r="G316" s="7" t="s">
        <v>1606</v>
      </c>
      <c r="H316" s="7" t="s">
        <v>17</v>
      </c>
      <c r="I316" s="7" t="s">
        <v>17</v>
      </c>
      <c r="J316" s="7" t="s">
        <v>1607</v>
      </c>
    </row>
    <row r="317" spans="1:10" x14ac:dyDescent="0.25" outlineLevel="2" collapsed="1">
      <c r="A317" s="7" t="s">
        <v>19</v>
      </c>
      <c r="B317" s="7" t="s">
        <v>63</v>
      </c>
      <c r="C317" s="7" t="s">
        <v>17</v>
      </c>
      <c r="D317" s="7">
        <f>EXACT(G316,"Single value")</f>
      </c>
      <c r="E317" s="7" t="s">
        <v>1676</v>
      </c>
      <c r="F317" s="7" t="s">
        <v>19</v>
      </c>
      <c r="G317" s="7">
        <v>1</v>
      </c>
      <c r="H317" s="7" t="s">
        <v>17</v>
      </c>
      <c r="I317" s="7" t="s">
        <v>17</v>
      </c>
      <c r="J317" s="7" t="s">
        <v>1609</v>
      </c>
    </row>
    <row r="318" spans="1:10" x14ac:dyDescent="0.25" outlineLevel="2" collapsed="1">
      <c r="A318" s="7" t="s">
        <v>19</v>
      </c>
      <c r="B318" s="7" t="s">
        <v>16</v>
      </c>
      <c r="C318" s="7" t="s">
        <v>17</v>
      </c>
      <c r="D318" s="7"/>
      <c r="E318" s="7" t="s">
        <v>1677</v>
      </c>
      <c r="F318" s="7" t="s">
        <v>19</v>
      </c>
      <c r="G318" s="7" t="s">
        <v>31</v>
      </c>
      <c r="H318" s="7" t="s">
        <v>17</v>
      </c>
      <c r="I318" s="7" t="s">
        <v>17</v>
      </c>
      <c r="J318" s="7" t="s">
        <v>1678</v>
      </c>
    </row>
    <row r="319" spans="1:10" x14ac:dyDescent="0.25" outlineLevel="2" collapsed="1">
      <c r="A319" s="7" t="s">
        <v>15</v>
      </c>
      <c r="B319" s="7" t="s">
        <v>16</v>
      </c>
      <c r="C319" s="7" t="s">
        <v>17</v>
      </c>
      <c r="D319" s="7"/>
      <c r="E319" s="7" t="s">
        <v>1679</v>
      </c>
      <c r="F319" s="7" t="s">
        <v>19</v>
      </c>
      <c r="G319" s="7" t="s">
        <v>31</v>
      </c>
      <c r="H319" s="7" t="s">
        <v>17</v>
      </c>
      <c r="I319" s="7" t="s">
        <v>17</v>
      </c>
      <c r="J319" s="7" t="s">
        <v>1680</v>
      </c>
    </row>
    <row r="320" spans="1:10" x14ac:dyDescent="0.25" outlineLevel="2" collapsed="1">
      <c r="A320" s="7" t="s">
        <v>15</v>
      </c>
      <c r="B320" s="7" t="s">
        <v>284</v>
      </c>
      <c r="C320" s="11" t="s">
        <v>1611</v>
      </c>
      <c r="D320" s="7"/>
      <c r="E320" s="7" t="s">
        <v>1612</v>
      </c>
      <c r="F320" s="7" t="s">
        <v>19</v>
      </c>
      <c r="G320" s="7" t="s">
        <v>1613</v>
      </c>
      <c r="H320" s="7" t="s">
        <v>17</v>
      </c>
      <c r="I320" s="7" t="s">
        <v>17</v>
      </c>
      <c r="J320" s="7" t="s">
        <v>1614</v>
      </c>
    </row>
    <row r="321" spans="1:10" x14ac:dyDescent="0.25" outlineLevel="2" collapsed="1">
      <c r="A321" s="7" t="s">
        <v>19</v>
      </c>
      <c r="B321" s="7" t="s">
        <v>16</v>
      </c>
      <c r="C321" s="7" t="s">
        <v>17</v>
      </c>
      <c r="D321" s="7"/>
      <c r="E321" s="7" t="s">
        <v>1681</v>
      </c>
      <c r="F321" s="7" t="s">
        <v>19</v>
      </c>
      <c r="G321" s="7" t="s">
        <v>31</v>
      </c>
      <c r="H321" s="7" t="s">
        <v>17</v>
      </c>
      <c r="I321" s="7" t="s">
        <v>17</v>
      </c>
      <c r="J321" s="7" t="s">
        <v>1682</v>
      </c>
    </row>
    <row r="322" spans="1:10" x14ac:dyDescent="0.25" outlineLevel="2" collapsed="1">
      <c r="A322" s="7" t="s">
        <v>19</v>
      </c>
      <c r="B322" s="7" t="s">
        <v>16</v>
      </c>
      <c r="C322" s="7" t="s">
        <v>17</v>
      </c>
      <c r="D322" s="7"/>
      <c r="E322" s="7" t="s">
        <v>1615</v>
      </c>
      <c r="F322" s="7" t="s">
        <v>19</v>
      </c>
      <c r="G322" s="7" t="s">
        <v>31</v>
      </c>
      <c r="H322" s="7" t="s">
        <v>17</v>
      </c>
      <c r="I322" s="7" t="s">
        <v>17</v>
      </c>
      <c r="J322" s="7" t="s">
        <v>1616</v>
      </c>
    </row>
    <row r="323" spans="1:10" x14ac:dyDescent="0.25" outlineLevel="1" collapsed="1">
      <c r="A323" s="8" t="s">
        <v>19</v>
      </c>
      <c r="B323" s="9" t="s">
        <v>1667</v>
      </c>
      <c r="C323" s="8" t="s">
        <v>17</v>
      </c>
      <c r="D323" s="8"/>
      <c r="E323" s="8" t="s">
        <v>1692</v>
      </c>
      <c r="F323" s="8" t="s">
        <v>19</v>
      </c>
      <c r="G323" s="8" t="s">
        <v>17</v>
      </c>
      <c r="H323" s="8" t="s">
        <v>17</v>
      </c>
      <c r="I323" s="8" t="s">
        <v>17</v>
      </c>
      <c r="J323" s="8" t="s">
        <v>1693</v>
      </c>
    </row>
    <row r="324" spans="1:10" x14ac:dyDescent="0.25" outlineLevel="2" collapsed="1">
      <c r="A324" s="7" t="s">
        <v>15</v>
      </c>
      <c r="B324" s="7" t="s">
        <v>16</v>
      </c>
      <c r="C324" s="7" t="s">
        <v>17</v>
      </c>
      <c r="D324" s="7"/>
      <c r="E324" s="7" t="s">
        <v>1670</v>
      </c>
      <c r="F324" s="7" t="s">
        <v>19</v>
      </c>
      <c r="G324" s="7" t="s">
        <v>31</v>
      </c>
      <c r="H324" s="7" t="s">
        <v>17</v>
      </c>
      <c r="I324" s="7" t="s">
        <v>17</v>
      </c>
      <c r="J324" s="7" t="s">
        <v>637</v>
      </c>
    </row>
    <row r="325" spans="1:10" x14ac:dyDescent="0.25" outlineLevel="2" collapsed="1">
      <c r="A325" s="7" t="s">
        <v>15</v>
      </c>
      <c r="B325" s="7" t="s">
        <v>16</v>
      </c>
      <c r="C325" s="7" t="s">
        <v>17</v>
      </c>
      <c r="D325" s="7"/>
      <c r="E325" s="7" t="s">
        <v>638</v>
      </c>
      <c r="F325" s="7" t="s">
        <v>19</v>
      </c>
      <c r="G325" s="7" t="s">
        <v>31</v>
      </c>
      <c r="H325" s="7" t="s">
        <v>17</v>
      </c>
      <c r="I325" s="7" t="s">
        <v>17</v>
      </c>
      <c r="J325" s="7" t="s">
        <v>640</v>
      </c>
    </row>
    <row r="326" spans="1:10" x14ac:dyDescent="0.25" outlineLevel="2" collapsed="1">
      <c r="A326" s="7" t="s">
        <v>15</v>
      </c>
      <c r="B326" s="7" t="s">
        <v>16</v>
      </c>
      <c r="C326" s="7" t="s">
        <v>17</v>
      </c>
      <c r="D326" s="7"/>
      <c r="E326" s="7" t="s">
        <v>9</v>
      </c>
      <c r="F326" s="7" t="s">
        <v>19</v>
      </c>
      <c r="G326" s="7" t="s">
        <v>31</v>
      </c>
      <c r="H326" s="7" t="s">
        <v>17</v>
      </c>
      <c r="I326" s="7" t="s">
        <v>17</v>
      </c>
      <c r="J326" s="7" t="s">
        <v>843</v>
      </c>
    </row>
    <row r="327" spans="1:10" x14ac:dyDescent="0.25" outlineLevel="2" collapsed="1">
      <c r="A327" s="7" t="s">
        <v>19</v>
      </c>
      <c r="B327" s="7" t="s">
        <v>16</v>
      </c>
      <c r="C327" s="7" t="s">
        <v>17</v>
      </c>
      <c r="D327" s="7"/>
      <c r="E327" s="7" t="s">
        <v>1600</v>
      </c>
      <c r="F327" s="7" t="s">
        <v>19</v>
      </c>
      <c r="G327" s="7" t="s">
        <v>31</v>
      </c>
      <c r="H327" s="7" t="s">
        <v>17</v>
      </c>
      <c r="I327" s="7" t="s">
        <v>17</v>
      </c>
      <c r="J327" s="7" t="s">
        <v>1424</v>
      </c>
    </row>
    <row r="328" spans="1:10" x14ac:dyDescent="0.25" outlineLevel="2" collapsed="1">
      <c r="A328" s="7" t="s">
        <v>15</v>
      </c>
      <c r="B328" s="7" t="s">
        <v>16</v>
      </c>
      <c r="C328" s="7" t="s">
        <v>17</v>
      </c>
      <c r="D328" s="7"/>
      <c r="E328" s="7" t="s">
        <v>1601</v>
      </c>
      <c r="F328" s="7" t="s">
        <v>19</v>
      </c>
      <c r="G328" s="7" t="s">
        <v>31</v>
      </c>
      <c r="H328" s="7" t="s">
        <v>17</v>
      </c>
      <c r="I328" s="7" t="s">
        <v>17</v>
      </c>
      <c r="J328" s="7" t="s">
        <v>1602</v>
      </c>
    </row>
    <row r="329" spans="1:10" x14ac:dyDescent="0.25" outlineLevel="2" collapsed="1">
      <c r="A329" s="7" t="s">
        <v>15</v>
      </c>
      <c r="B329" s="7" t="s">
        <v>16</v>
      </c>
      <c r="C329" s="7" t="s">
        <v>17</v>
      </c>
      <c r="D329" s="7"/>
      <c r="E329" s="7" t="s">
        <v>1671</v>
      </c>
      <c r="F329" s="7" t="s">
        <v>19</v>
      </c>
      <c r="G329" s="7" t="s">
        <v>31</v>
      </c>
      <c r="H329" s="7" t="s">
        <v>17</v>
      </c>
      <c r="I329" s="7" t="s">
        <v>17</v>
      </c>
      <c r="J329" s="7" t="s">
        <v>1672</v>
      </c>
    </row>
    <row r="330" spans="1:10" x14ac:dyDescent="0.25" outlineLevel="2" collapsed="1">
      <c r="A330" s="7" t="s">
        <v>15</v>
      </c>
      <c r="B330" s="7" t="s">
        <v>16</v>
      </c>
      <c r="C330" s="7" t="s">
        <v>17</v>
      </c>
      <c r="D330" s="7"/>
      <c r="E330" s="7" t="s">
        <v>1673</v>
      </c>
      <c r="F330" s="7" t="s">
        <v>19</v>
      </c>
      <c r="G330" s="7" t="s">
        <v>31</v>
      </c>
      <c r="H330" s="7" t="s">
        <v>17</v>
      </c>
      <c r="I330" s="7" t="s">
        <v>17</v>
      </c>
      <c r="J330" s="7" t="s">
        <v>1674</v>
      </c>
    </row>
    <row r="331" spans="1:10" x14ac:dyDescent="0.25" outlineLevel="2" collapsed="1">
      <c r="A331" s="7" t="s">
        <v>15</v>
      </c>
      <c r="B331" s="7" t="s">
        <v>16</v>
      </c>
      <c r="C331" s="7" t="s">
        <v>17</v>
      </c>
      <c r="D331" s="7"/>
      <c r="E331" s="7" t="s">
        <v>1675</v>
      </c>
      <c r="F331" s="7" t="s">
        <v>19</v>
      </c>
      <c r="G331" s="7" t="s">
        <v>31</v>
      </c>
      <c r="H331" s="7" t="s">
        <v>17</v>
      </c>
      <c r="I331" s="7" t="s">
        <v>17</v>
      </c>
      <c r="J331" s="7" t="s">
        <v>1422</v>
      </c>
    </row>
    <row r="332" spans="1:10" x14ac:dyDescent="0.25" outlineLevel="2" collapsed="1">
      <c r="A332" s="7" t="s">
        <v>15</v>
      </c>
      <c r="B332" s="7" t="s">
        <v>284</v>
      </c>
      <c r="C332" s="11" t="s">
        <v>1604</v>
      </c>
      <c r="D332" s="7"/>
      <c r="E332" s="7" t="s">
        <v>1605</v>
      </c>
      <c r="F332" s="7" t="s">
        <v>19</v>
      </c>
      <c r="G332" s="7" t="s">
        <v>1606</v>
      </c>
      <c r="H332" s="7" t="s">
        <v>17</v>
      </c>
      <c r="I332" s="7" t="s">
        <v>17</v>
      </c>
      <c r="J332" s="7" t="s">
        <v>1607</v>
      </c>
    </row>
    <row r="333" spans="1:10" x14ac:dyDescent="0.25" outlineLevel="2" collapsed="1">
      <c r="A333" s="7" t="s">
        <v>19</v>
      </c>
      <c r="B333" s="7" t="s">
        <v>63</v>
      </c>
      <c r="C333" s="7" t="s">
        <v>17</v>
      </c>
      <c r="D333" s="7">
        <f>EXACT(G332,"Single value")</f>
      </c>
      <c r="E333" s="7" t="s">
        <v>1676</v>
      </c>
      <c r="F333" s="7" t="s">
        <v>19</v>
      </c>
      <c r="G333" s="7">
        <v>1</v>
      </c>
      <c r="H333" s="7" t="s">
        <v>17</v>
      </c>
      <c r="I333" s="7" t="s">
        <v>17</v>
      </c>
      <c r="J333" s="7" t="s">
        <v>1609</v>
      </c>
    </row>
    <row r="334" spans="1:10" x14ac:dyDescent="0.25" outlineLevel="2" collapsed="1">
      <c r="A334" s="7" t="s">
        <v>19</v>
      </c>
      <c r="B334" s="7" t="s">
        <v>16</v>
      </c>
      <c r="C334" s="7" t="s">
        <v>17</v>
      </c>
      <c r="D334" s="7"/>
      <c r="E334" s="7" t="s">
        <v>1677</v>
      </c>
      <c r="F334" s="7" t="s">
        <v>19</v>
      </c>
      <c r="G334" s="7" t="s">
        <v>31</v>
      </c>
      <c r="H334" s="7" t="s">
        <v>17</v>
      </c>
      <c r="I334" s="7" t="s">
        <v>17</v>
      </c>
      <c r="J334" s="7" t="s">
        <v>1678</v>
      </c>
    </row>
    <row r="335" spans="1:10" x14ac:dyDescent="0.25" outlineLevel="2" collapsed="1">
      <c r="A335" s="7" t="s">
        <v>15</v>
      </c>
      <c r="B335" s="7" t="s">
        <v>16</v>
      </c>
      <c r="C335" s="7" t="s">
        <v>17</v>
      </c>
      <c r="D335" s="7"/>
      <c r="E335" s="7" t="s">
        <v>1679</v>
      </c>
      <c r="F335" s="7" t="s">
        <v>19</v>
      </c>
      <c r="G335" s="7" t="s">
        <v>31</v>
      </c>
      <c r="H335" s="7" t="s">
        <v>17</v>
      </c>
      <c r="I335" s="7" t="s">
        <v>17</v>
      </c>
      <c r="J335" s="7" t="s">
        <v>1680</v>
      </c>
    </row>
    <row r="336" spans="1:10" x14ac:dyDescent="0.25" outlineLevel="2" collapsed="1">
      <c r="A336" s="7" t="s">
        <v>15</v>
      </c>
      <c r="B336" s="7" t="s">
        <v>284</v>
      </c>
      <c r="C336" s="11" t="s">
        <v>1611</v>
      </c>
      <c r="D336" s="7"/>
      <c r="E336" s="7" t="s">
        <v>1612</v>
      </c>
      <c r="F336" s="7" t="s">
        <v>19</v>
      </c>
      <c r="G336" s="7" t="s">
        <v>1613</v>
      </c>
      <c r="H336" s="7" t="s">
        <v>17</v>
      </c>
      <c r="I336" s="7" t="s">
        <v>17</v>
      </c>
      <c r="J336" s="7" t="s">
        <v>1614</v>
      </c>
    </row>
    <row r="337" spans="1:10" x14ac:dyDescent="0.25" outlineLevel="2" collapsed="1">
      <c r="A337" s="7" t="s">
        <v>19</v>
      </c>
      <c r="B337" s="7" t="s">
        <v>16</v>
      </c>
      <c r="C337" s="7" t="s">
        <v>17</v>
      </c>
      <c r="D337" s="7"/>
      <c r="E337" s="7" t="s">
        <v>1681</v>
      </c>
      <c r="F337" s="7" t="s">
        <v>19</v>
      </c>
      <c r="G337" s="7" t="s">
        <v>31</v>
      </c>
      <c r="H337" s="7" t="s">
        <v>17</v>
      </c>
      <c r="I337" s="7" t="s">
        <v>17</v>
      </c>
      <c r="J337" s="7" t="s">
        <v>1682</v>
      </c>
    </row>
    <row r="338" spans="1:10" x14ac:dyDescent="0.25" outlineLevel="2" collapsed="1">
      <c r="A338" s="7" t="s">
        <v>19</v>
      </c>
      <c r="B338" s="7" t="s">
        <v>16</v>
      </c>
      <c r="C338" s="7" t="s">
        <v>17</v>
      </c>
      <c r="D338" s="7"/>
      <c r="E338" s="7" t="s">
        <v>1615</v>
      </c>
      <c r="F338" s="7" t="s">
        <v>19</v>
      </c>
      <c r="G338" s="7" t="s">
        <v>31</v>
      </c>
      <c r="H338" s="7" t="s">
        <v>17</v>
      </c>
      <c r="I338" s="7" t="s">
        <v>17</v>
      </c>
      <c r="J338" s="7" t="s">
        <v>1616</v>
      </c>
    </row>
    <row r="339" spans="1:10" x14ac:dyDescent="0.25">
      <c r="A339" s="5" t="s">
        <v>19</v>
      </c>
      <c r="B339" s="6" t="s">
        <v>1694</v>
      </c>
      <c r="C339" s="5" t="s">
        <v>17</v>
      </c>
      <c r="D339" s="5"/>
      <c r="E339" s="5" t="s">
        <v>1695</v>
      </c>
      <c r="F339" s="5" t="s">
        <v>19</v>
      </c>
      <c r="G339" s="5" t="s">
        <v>17</v>
      </c>
      <c r="H339" s="5" t="s">
        <v>17</v>
      </c>
      <c r="I339" s="5" t="s">
        <v>17</v>
      </c>
      <c r="J339" s="5" t="s">
        <v>1696</v>
      </c>
    </row>
    <row r="340" spans="1:10" x14ac:dyDescent="0.25" outlineLevel="1" collapsed="1">
      <c r="A340" s="8" t="s">
        <v>19</v>
      </c>
      <c r="B340" s="9" t="s">
        <v>1667</v>
      </c>
      <c r="C340" s="8" t="s">
        <v>17</v>
      </c>
      <c r="D340" s="8"/>
      <c r="E340" s="8" t="s">
        <v>1697</v>
      </c>
      <c r="F340" s="8" t="s">
        <v>19</v>
      </c>
      <c r="G340" s="8" t="s">
        <v>17</v>
      </c>
      <c r="H340" s="8" t="s">
        <v>17</v>
      </c>
      <c r="I340" s="8" t="s">
        <v>17</v>
      </c>
      <c r="J340" s="8" t="s">
        <v>1698</v>
      </c>
    </row>
    <row r="341" spans="1:10" x14ac:dyDescent="0.25" outlineLevel="2" collapsed="1">
      <c r="A341" s="7" t="s">
        <v>15</v>
      </c>
      <c r="B341" s="7" t="s">
        <v>16</v>
      </c>
      <c r="C341" s="7" t="s">
        <v>17</v>
      </c>
      <c r="D341" s="7"/>
      <c r="E341" s="7" t="s">
        <v>1670</v>
      </c>
      <c r="F341" s="7" t="s">
        <v>19</v>
      </c>
      <c r="G341" s="7" t="s">
        <v>31</v>
      </c>
      <c r="H341" s="7" t="s">
        <v>17</v>
      </c>
      <c r="I341" s="7" t="s">
        <v>17</v>
      </c>
      <c r="J341" s="7" t="s">
        <v>637</v>
      </c>
    </row>
    <row r="342" spans="1:10" x14ac:dyDescent="0.25" outlineLevel="2" collapsed="1">
      <c r="A342" s="7" t="s">
        <v>15</v>
      </c>
      <c r="B342" s="7" t="s">
        <v>16</v>
      </c>
      <c r="C342" s="7" t="s">
        <v>17</v>
      </c>
      <c r="D342" s="7"/>
      <c r="E342" s="7" t="s">
        <v>638</v>
      </c>
      <c r="F342" s="7" t="s">
        <v>19</v>
      </c>
      <c r="G342" s="7" t="s">
        <v>31</v>
      </c>
      <c r="H342" s="7" t="s">
        <v>17</v>
      </c>
      <c r="I342" s="7" t="s">
        <v>17</v>
      </c>
      <c r="J342" s="7" t="s">
        <v>640</v>
      </c>
    </row>
    <row r="343" spans="1:10" x14ac:dyDescent="0.25" outlineLevel="2" collapsed="1">
      <c r="A343" s="7" t="s">
        <v>15</v>
      </c>
      <c r="B343" s="7" t="s">
        <v>16</v>
      </c>
      <c r="C343" s="7" t="s">
        <v>17</v>
      </c>
      <c r="D343" s="7"/>
      <c r="E343" s="7" t="s">
        <v>9</v>
      </c>
      <c r="F343" s="7" t="s">
        <v>19</v>
      </c>
      <c r="G343" s="7" t="s">
        <v>31</v>
      </c>
      <c r="H343" s="7" t="s">
        <v>17</v>
      </c>
      <c r="I343" s="7" t="s">
        <v>17</v>
      </c>
      <c r="J343" s="7" t="s">
        <v>843</v>
      </c>
    </row>
    <row r="344" spans="1:10" x14ac:dyDescent="0.25" outlineLevel="2" collapsed="1">
      <c r="A344" s="7" t="s">
        <v>19</v>
      </c>
      <c r="B344" s="7" t="s">
        <v>16</v>
      </c>
      <c r="C344" s="7" t="s">
        <v>17</v>
      </c>
      <c r="D344" s="7"/>
      <c r="E344" s="7" t="s">
        <v>1600</v>
      </c>
      <c r="F344" s="7" t="s">
        <v>19</v>
      </c>
      <c r="G344" s="7" t="s">
        <v>31</v>
      </c>
      <c r="H344" s="7" t="s">
        <v>17</v>
      </c>
      <c r="I344" s="7" t="s">
        <v>17</v>
      </c>
      <c r="J344" s="7" t="s">
        <v>1424</v>
      </c>
    </row>
    <row r="345" spans="1:10" x14ac:dyDescent="0.25" outlineLevel="2" collapsed="1">
      <c r="A345" s="7" t="s">
        <v>15</v>
      </c>
      <c r="B345" s="7" t="s">
        <v>16</v>
      </c>
      <c r="C345" s="7" t="s">
        <v>17</v>
      </c>
      <c r="D345" s="7"/>
      <c r="E345" s="7" t="s">
        <v>1601</v>
      </c>
      <c r="F345" s="7" t="s">
        <v>19</v>
      </c>
      <c r="G345" s="7" t="s">
        <v>31</v>
      </c>
      <c r="H345" s="7" t="s">
        <v>17</v>
      </c>
      <c r="I345" s="7" t="s">
        <v>17</v>
      </c>
      <c r="J345" s="7" t="s">
        <v>1602</v>
      </c>
    </row>
    <row r="346" spans="1:10" x14ac:dyDescent="0.25" outlineLevel="2" collapsed="1">
      <c r="A346" s="7" t="s">
        <v>15</v>
      </c>
      <c r="B346" s="7" t="s">
        <v>16</v>
      </c>
      <c r="C346" s="7" t="s">
        <v>17</v>
      </c>
      <c r="D346" s="7"/>
      <c r="E346" s="7" t="s">
        <v>1671</v>
      </c>
      <c r="F346" s="7" t="s">
        <v>19</v>
      </c>
      <c r="G346" s="7" t="s">
        <v>31</v>
      </c>
      <c r="H346" s="7" t="s">
        <v>17</v>
      </c>
      <c r="I346" s="7" t="s">
        <v>17</v>
      </c>
      <c r="J346" s="7" t="s">
        <v>1672</v>
      </c>
    </row>
    <row r="347" spans="1:10" x14ac:dyDescent="0.25" outlineLevel="2" collapsed="1">
      <c r="A347" s="7" t="s">
        <v>15</v>
      </c>
      <c r="B347" s="7" t="s">
        <v>16</v>
      </c>
      <c r="C347" s="7" t="s">
        <v>17</v>
      </c>
      <c r="D347" s="7"/>
      <c r="E347" s="7" t="s">
        <v>1673</v>
      </c>
      <c r="F347" s="7" t="s">
        <v>19</v>
      </c>
      <c r="G347" s="7" t="s">
        <v>31</v>
      </c>
      <c r="H347" s="7" t="s">
        <v>17</v>
      </c>
      <c r="I347" s="7" t="s">
        <v>17</v>
      </c>
      <c r="J347" s="7" t="s">
        <v>1674</v>
      </c>
    </row>
    <row r="348" spans="1:10" x14ac:dyDescent="0.25" outlineLevel="2" collapsed="1">
      <c r="A348" s="7" t="s">
        <v>15</v>
      </c>
      <c r="B348" s="7" t="s">
        <v>16</v>
      </c>
      <c r="C348" s="7" t="s">
        <v>17</v>
      </c>
      <c r="D348" s="7"/>
      <c r="E348" s="7" t="s">
        <v>1675</v>
      </c>
      <c r="F348" s="7" t="s">
        <v>19</v>
      </c>
      <c r="G348" s="7" t="s">
        <v>31</v>
      </c>
      <c r="H348" s="7" t="s">
        <v>17</v>
      </c>
      <c r="I348" s="7" t="s">
        <v>17</v>
      </c>
      <c r="J348" s="7" t="s">
        <v>1422</v>
      </c>
    </row>
    <row r="349" spans="1:10" x14ac:dyDescent="0.25" outlineLevel="2" collapsed="1">
      <c r="A349" s="7" t="s">
        <v>15</v>
      </c>
      <c r="B349" s="7" t="s">
        <v>284</v>
      </c>
      <c r="C349" s="11" t="s">
        <v>1604</v>
      </c>
      <c r="D349" s="7"/>
      <c r="E349" s="7" t="s">
        <v>1605</v>
      </c>
      <c r="F349" s="7" t="s">
        <v>19</v>
      </c>
      <c r="G349" s="7" t="s">
        <v>1606</v>
      </c>
      <c r="H349" s="7" t="s">
        <v>17</v>
      </c>
      <c r="I349" s="7" t="s">
        <v>17</v>
      </c>
      <c r="J349" s="7" t="s">
        <v>1607</v>
      </c>
    </row>
    <row r="350" spans="1:10" x14ac:dyDescent="0.25" outlineLevel="2" collapsed="1">
      <c r="A350" s="7" t="s">
        <v>19</v>
      </c>
      <c r="B350" s="7" t="s">
        <v>63</v>
      </c>
      <c r="C350" s="7" t="s">
        <v>17</v>
      </c>
      <c r="D350" s="7">
        <f>EXACT(G349,"Single value")</f>
      </c>
      <c r="E350" s="7" t="s">
        <v>1676</v>
      </c>
      <c r="F350" s="7" t="s">
        <v>19</v>
      </c>
      <c r="G350" s="7">
        <v>1</v>
      </c>
      <c r="H350" s="7" t="s">
        <v>17</v>
      </c>
      <c r="I350" s="7" t="s">
        <v>17</v>
      </c>
      <c r="J350" s="7" t="s">
        <v>1609</v>
      </c>
    </row>
    <row r="351" spans="1:10" x14ac:dyDescent="0.25" outlineLevel="2" collapsed="1">
      <c r="A351" s="7" t="s">
        <v>19</v>
      </c>
      <c r="B351" s="7" t="s">
        <v>16</v>
      </c>
      <c r="C351" s="7" t="s">
        <v>17</v>
      </c>
      <c r="D351" s="7"/>
      <c r="E351" s="7" t="s">
        <v>1677</v>
      </c>
      <c r="F351" s="7" t="s">
        <v>19</v>
      </c>
      <c r="G351" s="7" t="s">
        <v>31</v>
      </c>
      <c r="H351" s="7" t="s">
        <v>17</v>
      </c>
      <c r="I351" s="7" t="s">
        <v>17</v>
      </c>
      <c r="J351" s="7" t="s">
        <v>1678</v>
      </c>
    </row>
    <row r="352" spans="1:10" x14ac:dyDescent="0.25" outlineLevel="2" collapsed="1">
      <c r="A352" s="7" t="s">
        <v>15</v>
      </c>
      <c r="B352" s="7" t="s">
        <v>16</v>
      </c>
      <c r="C352" s="7" t="s">
        <v>17</v>
      </c>
      <c r="D352" s="7"/>
      <c r="E352" s="7" t="s">
        <v>1679</v>
      </c>
      <c r="F352" s="7" t="s">
        <v>19</v>
      </c>
      <c r="G352" s="7" t="s">
        <v>31</v>
      </c>
      <c r="H352" s="7" t="s">
        <v>17</v>
      </c>
      <c r="I352" s="7" t="s">
        <v>17</v>
      </c>
      <c r="J352" s="7" t="s">
        <v>1680</v>
      </c>
    </row>
    <row r="353" spans="1:10" x14ac:dyDescent="0.25" outlineLevel="2" collapsed="1">
      <c r="A353" s="7" t="s">
        <v>15</v>
      </c>
      <c r="B353" s="7" t="s">
        <v>284</v>
      </c>
      <c r="C353" s="11" t="s">
        <v>1611</v>
      </c>
      <c r="D353" s="7"/>
      <c r="E353" s="7" t="s">
        <v>1612</v>
      </c>
      <c r="F353" s="7" t="s">
        <v>19</v>
      </c>
      <c r="G353" s="7" t="s">
        <v>1613</v>
      </c>
      <c r="H353" s="7" t="s">
        <v>17</v>
      </c>
      <c r="I353" s="7" t="s">
        <v>17</v>
      </c>
      <c r="J353" s="7" t="s">
        <v>1614</v>
      </c>
    </row>
    <row r="354" spans="1:10" x14ac:dyDescent="0.25" outlineLevel="2" collapsed="1">
      <c r="A354" s="7" t="s">
        <v>19</v>
      </c>
      <c r="B354" s="7" t="s">
        <v>16</v>
      </c>
      <c r="C354" s="7" t="s">
        <v>17</v>
      </c>
      <c r="D354" s="7"/>
      <c r="E354" s="7" t="s">
        <v>1681</v>
      </c>
      <c r="F354" s="7" t="s">
        <v>19</v>
      </c>
      <c r="G354" s="7" t="s">
        <v>31</v>
      </c>
      <c r="H354" s="7" t="s">
        <v>17</v>
      </c>
      <c r="I354" s="7" t="s">
        <v>17</v>
      </c>
      <c r="J354" s="7" t="s">
        <v>1682</v>
      </c>
    </row>
    <row r="355" spans="1:10" x14ac:dyDescent="0.25" outlineLevel="2" collapsed="1">
      <c r="A355" s="7" t="s">
        <v>19</v>
      </c>
      <c r="B355" s="7" t="s">
        <v>16</v>
      </c>
      <c r="C355" s="7" t="s">
        <v>17</v>
      </c>
      <c r="D355" s="7"/>
      <c r="E355" s="7" t="s">
        <v>1615</v>
      </c>
      <c r="F355" s="7" t="s">
        <v>19</v>
      </c>
      <c r="G355" s="7" t="s">
        <v>31</v>
      </c>
      <c r="H355" s="7" t="s">
        <v>17</v>
      </c>
      <c r="I355" s="7" t="s">
        <v>17</v>
      </c>
      <c r="J355" s="7" t="s">
        <v>1616</v>
      </c>
    </row>
    <row r="356" spans="1:10" x14ac:dyDescent="0.25" outlineLevel="1" collapsed="1">
      <c r="A356" s="8" t="s">
        <v>19</v>
      </c>
      <c r="B356" s="9" t="s">
        <v>1667</v>
      </c>
      <c r="C356" s="8" t="s">
        <v>17</v>
      </c>
      <c r="D356" s="8"/>
      <c r="E356" s="8" t="s">
        <v>1699</v>
      </c>
      <c r="F356" s="8" t="s">
        <v>19</v>
      </c>
      <c r="G356" s="8" t="s">
        <v>17</v>
      </c>
      <c r="H356" s="8" t="s">
        <v>17</v>
      </c>
      <c r="I356" s="8" t="s">
        <v>17</v>
      </c>
      <c r="J356" s="8" t="s">
        <v>1700</v>
      </c>
    </row>
    <row r="357" spans="1:10" x14ac:dyDescent="0.25" outlineLevel="2" collapsed="1">
      <c r="A357" s="7" t="s">
        <v>15</v>
      </c>
      <c r="B357" s="7" t="s">
        <v>16</v>
      </c>
      <c r="C357" s="7" t="s">
        <v>17</v>
      </c>
      <c r="D357" s="7"/>
      <c r="E357" s="7" t="s">
        <v>1670</v>
      </c>
      <c r="F357" s="7" t="s">
        <v>19</v>
      </c>
      <c r="G357" s="7" t="s">
        <v>31</v>
      </c>
      <c r="H357" s="7" t="s">
        <v>17</v>
      </c>
      <c r="I357" s="7" t="s">
        <v>17</v>
      </c>
      <c r="J357" s="7" t="s">
        <v>637</v>
      </c>
    </row>
    <row r="358" spans="1:10" x14ac:dyDescent="0.25" outlineLevel="2" collapsed="1">
      <c r="A358" s="7" t="s">
        <v>15</v>
      </c>
      <c r="B358" s="7" t="s">
        <v>16</v>
      </c>
      <c r="C358" s="7" t="s">
        <v>17</v>
      </c>
      <c r="D358" s="7"/>
      <c r="E358" s="7" t="s">
        <v>638</v>
      </c>
      <c r="F358" s="7" t="s">
        <v>19</v>
      </c>
      <c r="G358" s="7" t="s">
        <v>31</v>
      </c>
      <c r="H358" s="7" t="s">
        <v>17</v>
      </c>
      <c r="I358" s="7" t="s">
        <v>17</v>
      </c>
      <c r="J358" s="7" t="s">
        <v>640</v>
      </c>
    </row>
    <row r="359" spans="1:10" x14ac:dyDescent="0.25" outlineLevel="2" collapsed="1">
      <c r="A359" s="7" t="s">
        <v>15</v>
      </c>
      <c r="B359" s="7" t="s">
        <v>16</v>
      </c>
      <c r="C359" s="7" t="s">
        <v>17</v>
      </c>
      <c r="D359" s="7"/>
      <c r="E359" s="7" t="s">
        <v>9</v>
      </c>
      <c r="F359" s="7" t="s">
        <v>19</v>
      </c>
      <c r="G359" s="7" t="s">
        <v>31</v>
      </c>
      <c r="H359" s="7" t="s">
        <v>17</v>
      </c>
      <c r="I359" s="7" t="s">
        <v>17</v>
      </c>
      <c r="J359" s="7" t="s">
        <v>843</v>
      </c>
    </row>
    <row r="360" spans="1:10" x14ac:dyDescent="0.25" outlineLevel="2" collapsed="1">
      <c r="A360" s="7" t="s">
        <v>19</v>
      </c>
      <c r="B360" s="7" t="s">
        <v>16</v>
      </c>
      <c r="C360" s="7" t="s">
        <v>17</v>
      </c>
      <c r="D360" s="7"/>
      <c r="E360" s="7" t="s">
        <v>1600</v>
      </c>
      <c r="F360" s="7" t="s">
        <v>19</v>
      </c>
      <c r="G360" s="7" t="s">
        <v>31</v>
      </c>
      <c r="H360" s="7" t="s">
        <v>17</v>
      </c>
      <c r="I360" s="7" t="s">
        <v>17</v>
      </c>
      <c r="J360" s="7" t="s">
        <v>1424</v>
      </c>
    </row>
    <row r="361" spans="1:10" x14ac:dyDescent="0.25" outlineLevel="2" collapsed="1">
      <c r="A361" s="7" t="s">
        <v>15</v>
      </c>
      <c r="B361" s="7" t="s">
        <v>16</v>
      </c>
      <c r="C361" s="7" t="s">
        <v>17</v>
      </c>
      <c r="D361" s="7"/>
      <c r="E361" s="7" t="s">
        <v>1601</v>
      </c>
      <c r="F361" s="7" t="s">
        <v>19</v>
      </c>
      <c r="G361" s="7" t="s">
        <v>31</v>
      </c>
      <c r="H361" s="7" t="s">
        <v>17</v>
      </c>
      <c r="I361" s="7" t="s">
        <v>17</v>
      </c>
      <c r="J361" s="7" t="s">
        <v>1602</v>
      </c>
    </row>
    <row r="362" spans="1:10" x14ac:dyDescent="0.25" outlineLevel="2" collapsed="1">
      <c r="A362" s="7" t="s">
        <v>15</v>
      </c>
      <c r="B362" s="7" t="s">
        <v>16</v>
      </c>
      <c r="C362" s="7" t="s">
        <v>17</v>
      </c>
      <c r="D362" s="7"/>
      <c r="E362" s="7" t="s">
        <v>1671</v>
      </c>
      <c r="F362" s="7" t="s">
        <v>19</v>
      </c>
      <c r="G362" s="7" t="s">
        <v>31</v>
      </c>
      <c r="H362" s="7" t="s">
        <v>17</v>
      </c>
      <c r="I362" s="7" t="s">
        <v>17</v>
      </c>
      <c r="J362" s="7" t="s">
        <v>1672</v>
      </c>
    </row>
    <row r="363" spans="1:10" x14ac:dyDescent="0.25" outlineLevel="2" collapsed="1">
      <c r="A363" s="7" t="s">
        <v>15</v>
      </c>
      <c r="B363" s="7" t="s">
        <v>16</v>
      </c>
      <c r="C363" s="7" t="s">
        <v>17</v>
      </c>
      <c r="D363" s="7"/>
      <c r="E363" s="7" t="s">
        <v>1673</v>
      </c>
      <c r="F363" s="7" t="s">
        <v>19</v>
      </c>
      <c r="G363" s="7" t="s">
        <v>31</v>
      </c>
      <c r="H363" s="7" t="s">
        <v>17</v>
      </c>
      <c r="I363" s="7" t="s">
        <v>17</v>
      </c>
      <c r="J363" s="7" t="s">
        <v>1674</v>
      </c>
    </row>
    <row r="364" spans="1:10" x14ac:dyDescent="0.25" outlineLevel="2" collapsed="1">
      <c r="A364" s="7" t="s">
        <v>15</v>
      </c>
      <c r="B364" s="7" t="s">
        <v>16</v>
      </c>
      <c r="C364" s="7" t="s">
        <v>17</v>
      </c>
      <c r="D364" s="7"/>
      <c r="E364" s="7" t="s">
        <v>1675</v>
      </c>
      <c r="F364" s="7" t="s">
        <v>19</v>
      </c>
      <c r="G364" s="7" t="s">
        <v>31</v>
      </c>
      <c r="H364" s="7" t="s">
        <v>17</v>
      </c>
      <c r="I364" s="7" t="s">
        <v>17</v>
      </c>
      <c r="J364" s="7" t="s">
        <v>1422</v>
      </c>
    </row>
    <row r="365" spans="1:10" x14ac:dyDescent="0.25" outlineLevel="2" collapsed="1">
      <c r="A365" s="7" t="s">
        <v>15</v>
      </c>
      <c r="B365" s="7" t="s">
        <v>284</v>
      </c>
      <c r="C365" s="11" t="s">
        <v>1604</v>
      </c>
      <c r="D365" s="7"/>
      <c r="E365" s="7" t="s">
        <v>1605</v>
      </c>
      <c r="F365" s="7" t="s">
        <v>19</v>
      </c>
      <c r="G365" s="7" t="s">
        <v>1606</v>
      </c>
      <c r="H365" s="7" t="s">
        <v>17</v>
      </c>
      <c r="I365" s="7" t="s">
        <v>17</v>
      </c>
      <c r="J365" s="7" t="s">
        <v>1607</v>
      </c>
    </row>
    <row r="366" spans="1:10" x14ac:dyDescent="0.25" outlineLevel="2" collapsed="1">
      <c r="A366" s="7" t="s">
        <v>19</v>
      </c>
      <c r="B366" s="7" t="s">
        <v>63</v>
      </c>
      <c r="C366" s="7" t="s">
        <v>17</v>
      </c>
      <c r="D366" s="7">
        <f>EXACT(G365,"Single value")</f>
      </c>
      <c r="E366" s="7" t="s">
        <v>1676</v>
      </c>
      <c r="F366" s="7" t="s">
        <v>19</v>
      </c>
      <c r="G366" s="7">
        <v>1</v>
      </c>
      <c r="H366" s="7" t="s">
        <v>17</v>
      </c>
      <c r="I366" s="7" t="s">
        <v>17</v>
      </c>
      <c r="J366" s="7" t="s">
        <v>1609</v>
      </c>
    </row>
    <row r="367" spans="1:10" x14ac:dyDescent="0.25" outlineLevel="2" collapsed="1">
      <c r="A367" s="7" t="s">
        <v>19</v>
      </c>
      <c r="B367" s="7" t="s">
        <v>16</v>
      </c>
      <c r="C367" s="7" t="s">
        <v>17</v>
      </c>
      <c r="D367" s="7"/>
      <c r="E367" s="7" t="s">
        <v>1677</v>
      </c>
      <c r="F367" s="7" t="s">
        <v>19</v>
      </c>
      <c r="G367" s="7" t="s">
        <v>31</v>
      </c>
      <c r="H367" s="7" t="s">
        <v>17</v>
      </c>
      <c r="I367" s="7" t="s">
        <v>17</v>
      </c>
      <c r="J367" s="7" t="s">
        <v>1678</v>
      </c>
    </row>
    <row r="368" spans="1:10" x14ac:dyDescent="0.25" outlineLevel="2" collapsed="1">
      <c r="A368" s="7" t="s">
        <v>15</v>
      </c>
      <c r="B368" s="7" t="s">
        <v>16</v>
      </c>
      <c r="C368" s="7" t="s">
        <v>17</v>
      </c>
      <c r="D368" s="7"/>
      <c r="E368" s="7" t="s">
        <v>1679</v>
      </c>
      <c r="F368" s="7" t="s">
        <v>19</v>
      </c>
      <c r="G368" s="7" t="s">
        <v>31</v>
      </c>
      <c r="H368" s="7" t="s">
        <v>17</v>
      </c>
      <c r="I368" s="7" t="s">
        <v>17</v>
      </c>
      <c r="J368" s="7" t="s">
        <v>1680</v>
      </c>
    </row>
    <row r="369" spans="1:10" x14ac:dyDescent="0.25" outlineLevel="2" collapsed="1">
      <c r="A369" s="7" t="s">
        <v>15</v>
      </c>
      <c r="B369" s="7" t="s">
        <v>284</v>
      </c>
      <c r="C369" s="11" t="s">
        <v>1611</v>
      </c>
      <c r="D369" s="7"/>
      <c r="E369" s="7" t="s">
        <v>1612</v>
      </c>
      <c r="F369" s="7" t="s">
        <v>19</v>
      </c>
      <c r="G369" s="7" t="s">
        <v>1613</v>
      </c>
      <c r="H369" s="7" t="s">
        <v>17</v>
      </c>
      <c r="I369" s="7" t="s">
        <v>17</v>
      </c>
      <c r="J369" s="7" t="s">
        <v>1614</v>
      </c>
    </row>
    <row r="370" spans="1:10" x14ac:dyDescent="0.25" outlineLevel="2" collapsed="1">
      <c r="A370" s="7" t="s">
        <v>19</v>
      </c>
      <c r="B370" s="7" t="s">
        <v>16</v>
      </c>
      <c r="C370" s="7" t="s">
        <v>17</v>
      </c>
      <c r="D370" s="7"/>
      <c r="E370" s="7" t="s">
        <v>1681</v>
      </c>
      <c r="F370" s="7" t="s">
        <v>19</v>
      </c>
      <c r="G370" s="7" t="s">
        <v>31</v>
      </c>
      <c r="H370" s="7" t="s">
        <v>17</v>
      </c>
      <c r="I370" s="7" t="s">
        <v>17</v>
      </c>
      <c r="J370" s="7" t="s">
        <v>1682</v>
      </c>
    </row>
    <row r="371" spans="1:10" x14ac:dyDescent="0.25" outlineLevel="2" collapsed="1">
      <c r="A371" s="7" t="s">
        <v>19</v>
      </c>
      <c r="B371" s="7" t="s">
        <v>16</v>
      </c>
      <c r="C371" s="7" t="s">
        <v>17</v>
      </c>
      <c r="D371" s="7"/>
      <c r="E371" s="7" t="s">
        <v>1615</v>
      </c>
      <c r="F371" s="7" t="s">
        <v>19</v>
      </c>
      <c r="G371" s="7" t="s">
        <v>31</v>
      </c>
      <c r="H371" s="7" t="s">
        <v>17</v>
      </c>
      <c r="I371" s="7" t="s">
        <v>17</v>
      </c>
      <c r="J371" s="7" t="s">
        <v>1616</v>
      </c>
    </row>
    <row r="372" spans="1:10" x14ac:dyDescent="0.25" outlineLevel="1" collapsed="1">
      <c r="A372" s="8" t="s">
        <v>19</v>
      </c>
      <c r="B372" s="9" t="s">
        <v>1667</v>
      </c>
      <c r="C372" s="8" t="s">
        <v>17</v>
      </c>
      <c r="D372" s="8"/>
      <c r="E372" s="8" t="s">
        <v>1701</v>
      </c>
      <c r="F372" s="8" t="s">
        <v>19</v>
      </c>
      <c r="G372" s="8" t="s">
        <v>17</v>
      </c>
      <c r="H372" s="8" t="s">
        <v>17</v>
      </c>
      <c r="I372" s="8" t="s">
        <v>17</v>
      </c>
      <c r="J372" s="8" t="s">
        <v>1702</v>
      </c>
    </row>
    <row r="373" spans="1:10" x14ac:dyDescent="0.25" outlineLevel="2" collapsed="1">
      <c r="A373" s="7" t="s">
        <v>15</v>
      </c>
      <c r="B373" s="7" t="s">
        <v>16</v>
      </c>
      <c r="C373" s="7" t="s">
        <v>17</v>
      </c>
      <c r="D373" s="7"/>
      <c r="E373" s="7" t="s">
        <v>1670</v>
      </c>
      <c r="F373" s="7" t="s">
        <v>19</v>
      </c>
      <c r="G373" s="7" t="s">
        <v>31</v>
      </c>
      <c r="H373" s="7" t="s">
        <v>17</v>
      </c>
      <c r="I373" s="7" t="s">
        <v>17</v>
      </c>
      <c r="J373" s="7" t="s">
        <v>637</v>
      </c>
    </row>
    <row r="374" spans="1:10" x14ac:dyDescent="0.25" outlineLevel="2" collapsed="1">
      <c r="A374" s="7" t="s">
        <v>15</v>
      </c>
      <c r="B374" s="7" t="s">
        <v>16</v>
      </c>
      <c r="C374" s="7" t="s">
        <v>17</v>
      </c>
      <c r="D374" s="7"/>
      <c r="E374" s="7" t="s">
        <v>638</v>
      </c>
      <c r="F374" s="7" t="s">
        <v>19</v>
      </c>
      <c r="G374" s="7" t="s">
        <v>31</v>
      </c>
      <c r="H374" s="7" t="s">
        <v>17</v>
      </c>
      <c r="I374" s="7" t="s">
        <v>17</v>
      </c>
      <c r="J374" s="7" t="s">
        <v>640</v>
      </c>
    </row>
    <row r="375" spans="1:10" x14ac:dyDescent="0.25" outlineLevel="2" collapsed="1">
      <c r="A375" s="7" t="s">
        <v>15</v>
      </c>
      <c r="B375" s="7" t="s">
        <v>16</v>
      </c>
      <c r="C375" s="7" t="s">
        <v>17</v>
      </c>
      <c r="D375" s="7"/>
      <c r="E375" s="7" t="s">
        <v>9</v>
      </c>
      <c r="F375" s="7" t="s">
        <v>19</v>
      </c>
      <c r="G375" s="7" t="s">
        <v>31</v>
      </c>
      <c r="H375" s="7" t="s">
        <v>17</v>
      </c>
      <c r="I375" s="7" t="s">
        <v>17</v>
      </c>
      <c r="J375" s="7" t="s">
        <v>843</v>
      </c>
    </row>
    <row r="376" spans="1:10" x14ac:dyDescent="0.25" outlineLevel="2" collapsed="1">
      <c r="A376" s="7" t="s">
        <v>19</v>
      </c>
      <c r="B376" s="7" t="s">
        <v>16</v>
      </c>
      <c r="C376" s="7" t="s">
        <v>17</v>
      </c>
      <c r="D376" s="7"/>
      <c r="E376" s="7" t="s">
        <v>1600</v>
      </c>
      <c r="F376" s="7" t="s">
        <v>19</v>
      </c>
      <c r="G376" s="7" t="s">
        <v>31</v>
      </c>
      <c r="H376" s="7" t="s">
        <v>17</v>
      </c>
      <c r="I376" s="7" t="s">
        <v>17</v>
      </c>
      <c r="J376" s="7" t="s">
        <v>1424</v>
      </c>
    </row>
    <row r="377" spans="1:10" x14ac:dyDescent="0.25" outlineLevel="2" collapsed="1">
      <c r="A377" s="7" t="s">
        <v>15</v>
      </c>
      <c r="B377" s="7" t="s">
        <v>16</v>
      </c>
      <c r="C377" s="7" t="s">
        <v>17</v>
      </c>
      <c r="D377" s="7"/>
      <c r="E377" s="7" t="s">
        <v>1601</v>
      </c>
      <c r="F377" s="7" t="s">
        <v>19</v>
      </c>
      <c r="G377" s="7" t="s">
        <v>31</v>
      </c>
      <c r="H377" s="7" t="s">
        <v>17</v>
      </c>
      <c r="I377" s="7" t="s">
        <v>17</v>
      </c>
      <c r="J377" s="7" t="s">
        <v>1602</v>
      </c>
    </row>
    <row r="378" spans="1:10" x14ac:dyDescent="0.25" outlineLevel="2" collapsed="1">
      <c r="A378" s="7" t="s">
        <v>15</v>
      </c>
      <c r="B378" s="7" t="s">
        <v>16</v>
      </c>
      <c r="C378" s="7" t="s">
        <v>17</v>
      </c>
      <c r="D378" s="7"/>
      <c r="E378" s="7" t="s">
        <v>1671</v>
      </c>
      <c r="F378" s="7" t="s">
        <v>19</v>
      </c>
      <c r="G378" s="7" t="s">
        <v>31</v>
      </c>
      <c r="H378" s="7" t="s">
        <v>17</v>
      </c>
      <c r="I378" s="7" t="s">
        <v>17</v>
      </c>
      <c r="J378" s="7" t="s">
        <v>1672</v>
      </c>
    </row>
    <row r="379" spans="1:10" x14ac:dyDescent="0.25" outlineLevel="2" collapsed="1">
      <c r="A379" s="7" t="s">
        <v>15</v>
      </c>
      <c r="B379" s="7" t="s">
        <v>16</v>
      </c>
      <c r="C379" s="7" t="s">
        <v>17</v>
      </c>
      <c r="D379" s="7"/>
      <c r="E379" s="7" t="s">
        <v>1673</v>
      </c>
      <c r="F379" s="7" t="s">
        <v>19</v>
      </c>
      <c r="G379" s="7" t="s">
        <v>31</v>
      </c>
      <c r="H379" s="7" t="s">
        <v>17</v>
      </c>
      <c r="I379" s="7" t="s">
        <v>17</v>
      </c>
      <c r="J379" s="7" t="s">
        <v>1674</v>
      </c>
    </row>
    <row r="380" spans="1:10" x14ac:dyDescent="0.25" outlineLevel="2" collapsed="1">
      <c r="A380" s="7" t="s">
        <v>15</v>
      </c>
      <c r="B380" s="7" t="s">
        <v>16</v>
      </c>
      <c r="C380" s="7" t="s">
        <v>17</v>
      </c>
      <c r="D380" s="7"/>
      <c r="E380" s="7" t="s">
        <v>1675</v>
      </c>
      <c r="F380" s="7" t="s">
        <v>19</v>
      </c>
      <c r="G380" s="7" t="s">
        <v>31</v>
      </c>
      <c r="H380" s="7" t="s">
        <v>17</v>
      </c>
      <c r="I380" s="7" t="s">
        <v>17</v>
      </c>
      <c r="J380" s="7" t="s">
        <v>1422</v>
      </c>
    </row>
    <row r="381" spans="1:10" x14ac:dyDescent="0.25" outlineLevel="2" collapsed="1">
      <c r="A381" s="7" t="s">
        <v>15</v>
      </c>
      <c r="B381" s="7" t="s">
        <v>284</v>
      </c>
      <c r="C381" s="11" t="s">
        <v>1604</v>
      </c>
      <c r="D381" s="7"/>
      <c r="E381" s="7" t="s">
        <v>1605</v>
      </c>
      <c r="F381" s="7" t="s">
        <v>19</v>
      </c>
      <c r="G381" s="7" t="s">
        <v>1606</v>
      </c>
      <c r="H381" s="7" t="s">
        <v>17</v>
      </c>
      <c r="I381" s="7" t="s">
        <v>17</v>
      </c>
      <c r="J381" s="7" t="s">
        <v>1607</v>
      </c>
    </row>
    <row r="382" spans="1:10" x14ac:dyDescent="0.25" outlineLevel="2" collapsed="1">
      <c r="A382" s="7" t="s">
        <v>19</v>
      </c>
      <c r="B382" s="7" t="s">
        <v>63</v>
      </c>
      <c r="C382" s="7" t="s">
        <v>17</v>
      </c>
      <c r="D382" s="7">
        <f>EXACT(G381,"Single value")</f>
      </c>
      <c r="E382" s="7" t="s">
        <v>1676</v>
      </c>
      <c r="F382" s="7" t="s">
        <v>19</v>
      </c>
      <c r="G382" s="7">
        <v>1</v>
      </c>
      <c r="H382" s="7" t="s">
        <v>17</v>
      </c>
      <c r="I382" s="7" t="s">
        <v>17</v>
      </c>
      <c r="J382" s="7" t="s">
        <v>1609</v>
      </c>
    </row>
    <row r="383" spans="1:10" x14ac:dyDescent="0.25" outlineLevel="2" collapsed="1">
      <c r="A383" s="7" t="s">
        <v>19</v>
      </c>
      <c r="B383" s="7" t="s">
        <v>16</v>
      </c>
      <c r="C383" s="7" t="s">
        <v>17</v>
      </c>
      <c r="D383" s="7"/>
      <c r="E383" s="7" t="s">
        <v>1677</v>
      </c>
      <c r="F383" s="7" t="s">
        <v>19</v>
      </c>
      <c r="G383" s="7" t="s">
        <v>31</v>
      </c>
      <c r="H383" s="7" t="s">
        <v>17</v>
      </c>
      <c r="I383" s="7" t="s">
        <v>17</v>
      </c>
      <c r="J383" s="7" t="s">
        <v>1678</v>
      </c>
    </row>
    <row r="384" spans="1:10" x14ac:dyDescent="0.25" outlineLevel="2" collapsed="1">
      <c r="A384" s="7" t="s">
        <v>15</v>
      </c>
      <c r="B384" s="7" t="s">
        <v>16</v>
      </c>
      <c r="C384" s="7" t="s">
        <v>17</v>
      </c>
      <c r="D384" s="7"/>
      <c r="E384" s="7" t="s">
        <v>1679</v>
      </c>
      <c r="F384" s="7" t="s">
        <v>19</v>
      </c>
      <c r="G384" s="7" t="s">
        <v>31</v>
      </c>
      <c r="H384" s="7" t="s">
        <v>17</v>
      </c>
      <c r="I384" s="7" t="s">
        <v>17</v>
      </c>
      <c r="J384" s="7" t="s">
        <v>1680</v>
      </c>
    </row>
    <row r="385" spans="1:10" x14ac:dyDescent="0.25" outlineLevel="2" collapsed="1">
      <c r="A385" s="7" t="s">
        <v>15</v>
      </c>
      <c r="B385" s="7" t="s">
        <v>284</v>
      </c>
      <c r="C385" s="11" t="s">
        <v>1611</v>
      </c>
      <c r="D385" s="7"/>
      <c r="E385" s="7" t="s">
        <v>1612</v>
      </c>
      <c r="F385" s="7" t="s">
        <v>19</v>
      </c>
      <c r="G385" s="7" t="s">
        <v>1613</v>
      </c>
      <c r="H385" s="7" t="s">
        <v>17</v>
      </c>
      <c r="I385" s="7" t="s">
        <v>17</v>
      </c>
      <c r="J385" s="7" t="s">
        <v>1614</v>
      </c>
    </row>
    <row r="386" spans="1:10" x14ac:dyDescent="0.25" outlineLevel="2" collapsed="1">
      <c r="A386" s="7" t="s">
        <v>19</v>
      </c>
      <c r="B386" s="7" t="s">
        <v>16</v>
      </c>
      <c r="C386" s="7" t="s">
        <v>17</v>
      </c>
      <c r="D386" s="7"/>
      <c r="E386" s="7" t="s">
        <v>1681</v>
      </c>
      <c r="F386" s="7" t="s">
        <v>19</v>
      </c>
      <c r="G386" s="7" t="s">
        <v>31</v>
      </c>
      <c r="H386" s="7" t="s">
        <v>17</v>
      </c>
      <c r="I386" s="7" t="s">
        <v>17</v>
      </c>
      <c r="J386" s="7" t="s">
        <v>1682</v>
      </c>
    </row>
    <row r="387" spans="1:10" x14ac:dyDescent="0.25" outlineLevel="2" collapsed="1">
      <c r="A387" s="7" t="s">
        <v>19</v>
      </c>
      <c r="B387" s="7" t="s">
        <v>16</v>
      </c>
      <c r="C387" s="7" t="s">
        <v>17</v>
      </c>
      <c r="D387" s="7"/>
      <c r="E387" s="7" t="s">
        <v>1615</v>
      </c>
      <c r="F387" s="7" t="s">
        <v>19</v>
      </c>
      <c r="G387" s="7" t="s">
        <v>31</v>
      </c>
      <c r="H387" s="7" t="s">
        <v>17</v>
      </c>
      <c r="I387" s="7" t="s">
        <v>17</v>
      </c>
      <c r="J387" s="7" t="s">
        <v>1616</v>
      </c>
    </row>
    <row r="388" spans="1:10" x14ac:dyDescent="0.25" outlineLevel="1" collapsed="1">
      <c r="A388" s="8" t="s">
        <v>19</v>
      </c>
      <c r="B388" s="9" t="s">
        <v>1667</v>
      </c>
      <c r="C388" s="8" t="s">
        <v>17</v>
      </c>
      <c r="D388" s="8"/>
      <c r="E388" s="8" t="s">
        <v>1703</v>
      </c>
      <c r="F388" s="8" t="s">
        <v>19</v>
      </c>
      <c r="G388" s="8" t="s">
        <v>17</v>
      </c>
      <c r="H388" s="8" t="s">
        <v>17</v>
      </c>
      <c r="I388" s="8" t="s">
        <v>17</v>
      </c>
      <c r="J388" s="8" t="s">
        <v>1704</v>
      </c>
    </row>
    <row r="389" spans="1:10" x14ac:dyDescent="0.25" outlineLevel="2" collapsed="1">
      <c r="A389" s="7" t="s">
        <v>15</v>
      </c>
      <c r="B389" s="7" t="s">
        <v>16</v>
      </c>
      <c r="C389" s="7" t="s">
        <v>17</v>
      </c>
      <c r="D389" s="7"/>
      <c r="E389" s="7" t="s">
        <v>1670</v>
      </c>
      <c r="F389" s="7" t="s">
        <v>19</v>
      </c>
      <c r="G389" s="7" t="s">
        <v>31</v>
      </c>
      <c r="H389" s="7" t="s">
        <v>17</v>
      </c>
      <c r="I389" s="7" t="s">
        <v>17</v>
      </c>
      <c r="J389" s="7" t="s">
        <v>637</v>
      </c>
    </row>
    <row r="390" spans="1:10" x14ac:dyDescent="0.25" outlineLevel="2" collapsed="1">
      <c r="A390" s="7" t="s">
        <v>15</v>
      </c>
      <c r="B390" s="7" t="s">
        <v>16</v>
      </c>
      <c r="C390" s="7" t="s">
        <v>17</v>
      </c>
      <c r="D390" s="7"/>
      <c r="E390" s="7" t="s">
        <v>638</v>
      </c>
      <c r="F390" s="7" t="s">
        <v>19</v>
      </c>
      <c r="G390" s="7" t="s">
        <v>31</v>
      </c>
      <c r="H390" s="7" t="s">
        <v>17</v>
      </c>
      <c r="I390" s="7" t="s">
        <v>17</v>
      </c>
      <c r="J390" s="7" t="s">
        <v>640</v>
      </c>
    </row>
    <row r="391" spans="1:10" x14ac:dyDescent="0.25" outlineLevel="2" collapsed="1">
      <c r="A391" s="7" t="s">
        <v>15</v>
      </c>
      <c r="B391" s="7" t="s">
        <v>16</v>
      </c>
      <c r="C391" s="7" t="s">
        <v>17</v>
      </c>
      <c r="D391" s="7"/>
      <c r="E391" s="7" t="s">
        <v>9</v>
      </c>
      <c r="F391" s="7" t="s">
        <v>19</v>
      </c>
      <c r="G391" s="7" t="s">
        <v>31</v>
      </c>
      <c r="H391" s="7" t="s">
        <v>17</v>
      </c>
      <c r="I391" s="7" t="s">
        <v>17</v>
      </c>
      <c r="J391" s="7" t="s">
        <v>843</v>
      </c>
    </row>
    <row r="392" spans="1:10" x14ac:dyDescent="0.25" outlineLevel="2" collapsed="1">
      <c r="A392" s="7" t="s">
        <v>19</v>
      </c>
      <c r="B392" s="7" t="s">
        <v>16</v>
      </c>
      <c r="C392" s="7" t="s">
        <v>17</v>
      </c>
      <c r="D392" s="7"/>
      <c r="E392" s="7" t="s">
        <v>1600</v>
      </c>
      <c r="F392" s="7" t="s">
        <v>19</v>
      </c>
      <c r="G392" s="7" t="s">
        <v>31</v>
      </c>
      <c r="H392" s="7" t="s">
        <v>17</v>
      </c>
      <c r="I392" s="7" t="s">
        <v>17</v>
      </c>
      <c r="J392" s="7" t="s">
        <v>1424</v>
      </c>
    </row>
    <row r="393" spans="1:10" x14ac:dyDescent="0.25" outlineLevel="2" collapsed="1">
      <c r="A393" s="7" t="s">
        <v>15</v>
      </c>
      <c r="B393" s="7" t="s">
        <v>16</v>
      </c>
      <c r="C393" s="7" t="s">
        <v>17</v>
      </c>
      <c r="D393" s="7"/>
      <c r="E393" s="7" t="s">
        <v>1601</v>
      </c>
      <c r="F393" s="7" t="s">
        <v>19</v>
      </c>
      <c r="G393" s="7" t="s">
        <v>31</v>
      </c>
      <c r="H393" s="7" t="s">
        <v>17</v>
      </c>
      <c r="I393" s="7" t="s">
        <v>17</v>
      </c>
      <c r="J393" s="7" t="s">
        <v>1602</v>
      </c>
    </row>
    <row r="394" spans="1:10" x14ac:dyDescent="0.25" outlineLevel="2" collapsed="1">
      <c r="A394" s="7" t="s">
        <v>15</v>
      </c>
      <c r="B394" s="7" t="s">
        <v>16</v>
      </c>
      <c r="C394" s="7" t="s">
        <v>17</v>
      </c>
      <c r="D394" s="7"/>
      <c r="E394" s="7" t="s">
        <v>1671</v>
      </c>
      <c r="F394" s="7" t="s">
        <v>19</v>
      </c>
      <c r="G394" s="7" t="s">
        <v>31</v>
      </c>
      <c r="H394" s="7" t="s">
        <v>17</v>
      </c>
      <c r="I394" s="7" t="s">
        <v>17</v>
      </c>
      <c r="J394" s="7" t="s">
        <v>1672</v>
      </c>
    </row>
    <row r="395" spans="1:10" x14ac:dyDescent="0.25" outlineLevel="2" collapsed="1">
      <c r="A395" s="7" t="s">
        <v>15</v>
      </c>
      <c r="B395" s="7" t="s">
        <v>16</v>
      </c>
      <c r="C395" s="7" t="s">
        <v>17</v>
      </c>
      <c r="D395" s="7"/>
      <c r="E395" s="7" t="s">
        <v>1673</v>
      </c>
      <c r="F395" s="7" t="s">
        <v>19</v>
      </c>
      <c r="G395" s="7" t="s">
        <v>31</v>
      </c>
      <c r="H395" s="7" t="s">
        <v>17</v>
      </c>
      <c r="I395" s="7" t="s">
        <v>17</v>
      </c>
      <c r="J395" s="7" t="s">
        <v>1674</v>
      </c>
    </row>
    <row r="396" spans="1:10" x14ac:dyDescent="0.25" outlineLevel="2" collapsed="1">
      <c r="A396" s="7" t="s">
        <v>15</v>
      </c>
      <c r="B396" s="7" t="s">
        <v>16</v>
      </c>
      <c r="C396" s="7" t="s">
        <v>17</v>
      </c>
      <c r="D396" s="7"/>
      <c r="E396" s="7" t="s">
        <v>1675</v>
      </c>
      <c r="F396" s="7" t="s">
        <v>19</v>
      </c>
      <c r="G396" s="7" t="s">
        <v>31</v>
      </c>
      <c r="H396" s="7" t="s">
        <v>17</v>
      </c>
      <c r="I396" s="7" t="s">
        <v>17</v>
      </c>
      <c r="J396" s="7" t="s">
        <v>1422</v>
      </c>
    </row>
    <row r="397" spans="1:10" x14ac:dyDescent="0.25" outlineLevel="2" collapsed="1">
      <c r="A397" s="7" t="s">
        <v>15</v>
      </c>
      <c r="B397" s="7" t="s">
        <v>284</v>
      </c>
      <c r="C397" s="11" t="s">
        <v>1604</v>
      </c>
      <c r="D397" s="7"/>
      <c r="E397" s="7" t="s">
        <v>1605</v>
      </c>
      <c r="F397" s="7" t="s">
        <v>19</v>
      </c>
      <c r="G397" s="7" t="s">
        <v>1606</v>
      </c>
      <c r="H397" s="7" t="s">
        <v>17</v>
      </c>
      <c r="I397" s="7" t="s">
        <v>17</v>
      </c>
      <c r="J397" s="7" t="s">
        <v>1607</v>
      </c>
    </row>
    <row r="398" spans="1:10" x14ac:dyDescent="0.25" outlineLevel="2" collapsed="1">
      <c r="A398" s="7" t="s">
        <v>19</v>
      </c>
      <c r="B398" s="7" t="s">
        <v>63</v>
      </c>
      <c r="C398" s="7" t="s">
        <v>17</v>
      </c>
      <c r="D398" s="7">
        <f>EXACT(G397,"Single value")</f>
      </c>
      <c r="E398" s="7" t="s">
        <v>1676</v>
      </c>
      <c r="F398" s="7" t="s">
        <v>19</v>
      </c>
      <c r="G398" s="7">
        <v>1</v>
      </c>
      <c r="H398" s="7" t="s">
        <v>17</v>
      </c>
      <c r="I398" s="7" t="s">
        <v>17</v>
      </c>
      <c r="J398" s="7" t="s">
        <v>1609</v>
      </c>
    </row>
    <row r="399" spans="1:10" x14ac:dyDescent="0.25" outlineLevel="2" collapsed="1">
      <c r="A399" s="7" t="s">
        <v>19</v>
      </c>
      <c r="B399" s="7" t="s">
        <v>16</v>
      </c>
      <c r="C399" s="7" t="s">
        <v>17</v>
      </c>
      <c r="D399" s="7"/>
      <c r="E399" s="7" t="s">
        <v>1677</v>
      </c>
      <c r="F399" s="7" t="s">
        <v>19</v>
      </c>
      <c r="G399" s="7" t="s">
        <v>31</v>
      </c>
      <c r="H399" s="7" t="s">
        <v>17</v>
      </c>
      <c r="I399" s="7" t="s">
        <v>17</v>
      </c>
      <c r="J399" s="7" t="s">
        <v>1678</v>
      </c>
    </row>
    <row r="400" spans="1:10" x14ac:dyDescent="0.25" outlineLevel="2" collapsed="1">
      <c r="A400" s="7" t="s">
        <v>15</v>
      </c>
      <c r="B400" s="7" t="s">
        <v>16</v>
      </c>
      <c r="C400" s="7" t="s">
        <v>17</v>
      </c>
      <c r="D400" s="7"/>
      <c r="E400" s="7" t="s">
        <v>1679</v>
      </c>
      <c r="F400" s="7" t="s">
        <v>19</v>
      </c>
      <c r="G400" s="7" t="s">
        <v>31</v>
      </c>
      <c r="H400" s="7" t="s">
        <v>17</v>
      </c>
      <c r="I400" s="7" t="s">
        <v>17</v>
      </c>
      <c r="J400" s="7" t="s">
        <v>1680</v>
      </c>
    </row>
    <row r="401" spans="1:10" x14ac:dyDescent="0.25" outlineLevel="2" collapsed="1">
      <c r="A401" s="7" t="s">
        <v>15</v>
      </c>
      <c r="B401" s="7" t="s">
        <v>284</v>
      </c>
      <c r="C401" s="11" t="s">
        <v>1611</v>
      </c>
      <c r="D401" s="7"/>
      <c r="E401" s="7" t="s">
        <v>1612</v>
      </c>
      <c r="F401" s="7" t="s">
        <v>19</v>
      </c>
      <c r="G401" s="7" t="s">
        <v>1613</v>
      </c>
      <c r="H401" s="7" t="s">
        <v>17</v>
      </c>
      <c r="I401" s="7" t="s">
        <v>17</v>
      </c>
      <c r="J401" s="7" t="s">
        <v>1614</v>
      </c>
    </row>
    <row r="402" spans="1:10" x14ac:dyDescent="0.25" outlineLevel="2" collapsed="1">
      <c r="A402" s="7" t="s">
        <v>19</v>
      </c>
      <c r="B402" s="7" t="s">
        <v>16</v>
      </c>
      <c r="C402" s="7" t="s">
        <v>17</v>
      </c>
      <c r="D402" s="7"/>
      <c r="E402" s="7" t="s">
        <v>1681</v>
      </c>
      <c r="F402" s="7" t="s">
        <v>19</v>
      </c>
      <c r="G402" s="7" t="s">
        <v>31</v>
      </c>
      <c r="H402" s="7" t="s">
        <v>17</v>
      </c>
      <c r="I402" s="7" t="s">
        <v>17</v>
      </c>
      <c r="J402" s="7" t="s">
        <v>1682</v>
      </c>
    </row>
    <row r="403" spans="1:10" x14ac:dyDescent="0.25" outlineLevel="2" collapsed="1">
      <c r="A403" s="7" t="s">
        <v>19</v>
      </c>
      <c r="B403" s="7" t="s">
        <v>16</v>
      </c>
      <c r="C403" s="7" t="s">
        <v>17</v>
      </c>
      <c r="D403" s="7"/>
      <c r="E403" s="7" t="s">
        <v>1615</v>
      </c>
      <c r="F403" s="7" t="s">
        <v>19</v>
      </c>
      <c r="G403" s="7" t="s">
        <v>31</v>
      </c>
      <c r="H403" s="7" t="s">
        <v>17</v>
      </c>
      <c r="I403" s="7" t="s">
        <v>17</v>
      </c>
      <c r="J403" s="7" t="s">
        <v>1616</v>
      </c>
    </row>
    <row r="404" spans="1:10" x14ac:dyDescent="0.25" outlineLevel="1" collapsed="1">
      <c r="A404" s="8" t="s">
        <v>19</v>
      </c>
      <c r="B404" s="9" t="s">
        <v>1667</v>
      </c>
      <c r="C404" s="8" t="s">
        <v>17</v>
      </c>
      <c r="D404" s="8"/>
      <c r="E404" s="8" t="s">
        <v>1705</v>
      </c>
      <c r="F404" s="8" t="s">
        <v>19</v>
      </c>
      <c r="G404" s="8" t="s">
        <v>17</v>
      </c>
      <c r="H404" s="8" t="s">
        <v>17</v>
      </c>
      <c r="I404" s="8" t="s">
        <v>17</v>
      </c>
      <c r="J404" s="8" t="s">
        <v>1706</v>
      </c>
    </row>
    <row r="405" spans="1:10" x14ac:dyDescent="0.25" outlineLevel="2" collapsed="1">
      <c r="A405" s="7" t="s">
        <v>15</v>
      </c>
      <c r="B405" s="7" t="s">
        <v>16</v>
      </c>
      <c r="C405" s="7" t="s">
        <v>17</v>
      </c>
      <c r="D405" s="7"/>
      <c r="E405" s="7" t="s">
        <v>1670</v>
      </c>
      <c r="F405" s="7" t="s">
        <v>19</v>
      </c>
      <c r="G405" s="7" t="s">
        <v>31</v>
      </c>
      <c r="H405" s="7" t="s">
        <v>17</v>
      </c>
      <c r="I405" s="7" t="s">
        <v>17</v>
      </c>
      <c r="J405" s="7" t="s">
        <v>637</v>
      </c>
    </row>
    <row r="406" spans="1:10" x14ac:dyDescent="0.25" outlineLevel="2" collapsed="1">
      <c r="A406" s="7" t="s">
        <v>15</v>
      </c>
      <c r="B406" s="7" t="s">
        <v>16</v>
      </c>
      <c r="C406" s="7" t="s">
        <v>17</v>
      </c>
      <c r="D406" s="7"/>
      <c r="E406" s="7" t="s">
        <v>638</v>
      </c>
      <c r="F406" s="7" t="s">
        <v>19</v>
      </c>
      <c r="G406" s="7" t="s">
        <v>31</v>
      </c>
      <c r="H406" s="7" t="s">
        <v>17</v>
      </c>
      <c r="I406" s="7" t="s">
        <v>17</v>
      </c>
      <c r="J406" s="7" t="s">
        <v>640</v>
      </c>
    </row>
    <row r="407" spans="1:10" x14ac:dyDescent="0.25" outlineLevel="2" collapsed="1">
      <c r="A407" s="7" t="s">
        <v>15</v>
      </c>
      <c r="B407" s="7" t="s">
        <v>16</v>
      </c>
      <c r="C407" s="7" t="s">
        <v>17</v>
      </c>
      <c r="D407" s="7"/>
      <c r="E407" s="7" t="s">
        <v>9</v>
      </c>
      <c r="F407" s="7" t="s">
        <v>19</v>
      </c>
      <c r="G407" s="7" t="s">
        <v>31</v>
      </c>
      <c r="H407" s="7" t="s">
        <v>17</v>
      </c>
      <c r="I407" s="7" t="s">
        <v>17</v>
      </c>
      <c r="J407" s="7" t="s">
        <v>843</v>
      </c>
    </row>
    <row r="408" spans="1:10" x14ac:dyDescent="0.25" outlineLevel="2" collapsed="1">
      <c r="A408" s="7" t="s">
        <v>19</v>
      </c>
      <c r="B408" s="7" t="s">
        <v>16</v>
      </c>
      <c r="C408" s="7" t="s">
        <v>17</v>
      </c>
      <c r="D408" s="7"/>
      <c r="E408" s="7" t="s">
        <v>1600</v>
      </c>
      <c r="F408" s="7" t="s">
        <v>19</v>
      </c>
      <c r="G408" s="7" t="s">
        <v>31</v>
      </c>
      <c r="H408" s="7" t="s">
        <v>17</v>
      </c>
      <c r="I408" s="7" t="s">
        <v>17</v>
      </c>
      <c r="J408" s="7" t="s">
        <v>1424</v>
      </c>
    </row>
    <row r="409" spans="1:10" x14ac:dyDescent="0.25" outlineLevel="2" collapsed="1">
      <c r="A409" s="7" t="s">
        <v>15</v>
      </c>
      <c r="B409" s="7" t="s">
        <v>16</v>
      </c>
      <c r="C409" s="7" t="s">
        <v>17</v>
      </c>
      <c r="D409" s="7"/>
      <c r="E409" s="7" t="s">
        <v>1601</v>
      </c>
      <c r="F409" s="7" t="s">
        <v>19</v>
      </c>
      <c r="G409" s="7" t="s">
        <v>31</v>
      </c>
      <c r="H409" s="7" t="s">
        <v>17</v>
      </c>
      <c r="I409" s="7" t="s">
        <v>17</v>
      </c>
      <c r="J409" s="7" t="s">
        <v>1602</v>
      </c>
    </row>
    <row r="410" spans="1:10" x14ac:dyDescent="0.25" outlineLevel="2" collapsed="1">
      <c r="A410" s="7" t="s">
        <v>15</v>
      </c>
      <c r="B410" s="7" t="s">
        <v>16</v>
      </c>
      <c r="C410" s="7" t="s">
        <v>17</v>
      </c>
      <c r="D410" s="7"/>
      <c r="E410" s="7" t="s">
        <v>1671</v>
      </c>
      <c r="F410" s="7" t="s">
        <v>19</v>
      </c>
      <c r="G410" s="7" t="s">
        <v>31</v>
      </c>
      <c r="H410" s="7" t="s">
        <v>17</v>
      </c>
      <c r="I410" s="7" t="s">
        <v>17</v>
      </c>
      <c r="J410" s="7" t="s">
        <v>1672</v>
      </c>
    </row>
    <row r="411" spans="1:10" x14ac:dyDescent="0.25" outlineLevel="2" collapsed="1">
      <c r="A411" s="7" t="s">
        <v>15</v>
      </c>
      <c r="B411" s="7" t="s">
        <v>16</v>
      </c>
      <c r="C411" s="7" t="s">
        <v>17</v>
      </c>
      <c r="D411" s="7"/>
      <c r="E411" s="7" t="s">
        <v>1673</v>
      </c>
      <c r="F411" s="7" t="s">
        <v>19</v>
      </c>
      <c r="G411" s="7" t="s">
        <v>31</v>
      </c>
      <c r="H411" s="7" t="s">
        <v>17</v>
      </c>
      <c r="I411" s="7" t="s">
        <v>17</v>
      </c>
      <c r="J411" s="7" t="s">
        <v>1674</v>
      </c>
    </row>
    <row r="412" spans="1:10" x14ac:dyDescent="0.25" outlineLevel="2" collapsed="1">
      <c r="A412" s="7" t="s">
        <v>15</v>
      </c>
      <c r="B412" s="7" t="s">
        <v>16</v>
      </c>
      <c r="C412" s="7" t="s">
        <v>17</v>
      </c>
      <c r="D412" s="7"/>
      <c r="E412" s="7" t="s">
        <v>1675</v>
      </c>
      <c r="F412" s="7" t="s">
        <v>19</v>
      </c>
      <c r="G412" s="7" t="s">
        <v>31</v>
      </c>
      <c r="H412" s="7" t="s">
        <v>17</v>
      </c>
      <c r="I412" s="7" t="s">
        <v>17</v>
      </c>
      <c r="J412" s="7" t="s">
        <v>1422</v>
      </c>
    </row>
    <row r="413" spans="1:10" x14ac:dyDescent="0.25" outlineLevel="2" collapsed="1">
      <c r="A413" s="7" t="s">
        <v>15</v>
      </c>
      <c r="B413" s="7" t="s">
        <v>284</v>
      </c>
      <c r="C413" s="11" t="s">
        <v>1604</v>
      </c>
      <c r="D413" s="7"/>
      <c r="E413" s="7" t="s">
        <v>1605</v>
      </c>
      <c r="F413" s="7" t="s">
        <v>19</v>
      </c>
      <c r="G413" s="7" t="s">
        <v>1606</v>
      </c>
      <c r="H413" s="7" t="s">
        <v>17</v>
      </c>
      <c r="I413" s="7" t="s">
        <v>17</v>
      </c>
      <c r="J413" s="7" t="s">
        <v>1607</v>
      </c>
    </row>
    <row r="414" spans="1:10" x14ac:dyDescent="0.25" outlineLevel="2" collapsed="1">
      <c r="A414" s="7" t="s">
        <v>19</v>
      </c>
      <c r="B414" s="7" t="s">
        <v>63</v>
      </c>
      <c r="C414" s="7" t="s">
        <v>17</v>
      </c>
      <c r="D414" s="7">
        <f>EXACT(G413,"Single value")</f>
      </c>
      <c r="E414" s="7" t="s">
        <v>1676</v>
      </c>
      <c r="F414" s="7" t="s">
        <v>19</v>
      </c>
      <c r="G414" s="7">
        <v>1</v>
      </c>
      <c r="H414" s="7" t="s">
        <v>17</v>
      </c>
      <c r="I414" s="7" t="s">
        <v>17</v>
      </c>
      <c r="J414" s="7" t="s">
        <v>1609</v>
      </c>
    </row>
    <row r="415" spans="1:10" x14ac:dyDescent="0.25" outlineLevel="2" collapsed="1">
      <c r="A415" s="7" t="s">
        <v>19</v>
      </c>
      <c r="B415" s="7" t="s">
        <v>16</v>
      </c>
      <c r="C415" s="7" t="s">
        <v>17</v>
      </c>
      <c r="D415" s="7"/>
      <c r="E415" s="7" t="s">
        <v>1677</v>
      </c>
      <c r="F415" s="7" t="s">
        <v>19</v>
      </c>
      <c r="G415" s="7" t="s">
        <v>31</v>
      </c>
      <c r="H415" s="7" t="s">
        <v>17</v>
      </c>
      <c r="I415" s="7" t="s">
        <v>17</v>
      </c>
      <c r="J415" s="7" t="s">
        <v>1678</v>
      </c>
    </row>
    <row r="416" spans="1:10" x14ac:dyDescent="0.25" outlineLevel="2" collapsed="1">
      <c r="A416" s="7" t="s">
        <v>15</v>
      </c>
      <c r="B416" s="7" t="s">
        <v>16</v>
      </c>
      <c r="C416" s="7" t="s">
        <v>17</v>
      </c>
      <c r="D416" s="7"/>
      <c r="E416" s="7" t="s">
        <v>1679</v>
      </c>
      <c r="F416" s="7" t="s">
        <v>19</v>
      </c>
      <c r="G416" s="7" t="s">
        <v>31</v>
      </c>
      <c r="H416" s="7" t="s">
        <v>17</v>
      </c>
      <c r="I416" s="7" t="s">
        <v>17</v>
      </c>
      <c r="J416" s="7" t="s">
        <v>1680</v>
      </c>
    </row>
    <row r="417" spans="1:10" x14ac:dyDescent="0.25" outlineLevel="2" collapsed="1">
      <c r="A417" s="7" t="s">
        <v>15</v>
      </c>
      <c r="B417" s="7" t="s">
        <v>284</v>
      </c>
      <c r="C417" s="11" t="s">
        <v>1611</v>
      </c>
      <c r="D417" s="7"/>
      <c r="E417" s="7" t="s">
        <v>1612</v>
      </c>
      <c r="F417" s="7" t="s">
        <v>19</v>
      </c>
      <c r="G417" s="7" t="s">
        <v>1613</v>
      </c>
      <c r="H417" s="7" t="s">
        <v>17</v>
      </c>
      <c r="I417" s="7" t="s">
        <v>17</v>
      </c>
      <c r="J417" s="7" t="s">
        <v>1614</v>
      </c>
    </row>
    <row r="418" spans="1:10" x14ac:dyDescent="0.25" outlineLevel="2" collapsed="1">
      <c r="A418" s="7" t="s">
        <v>19</v>
      </c>
      <c r="B418" s="7" t="s">
        <v>16</v>
      </c>
      <c r="C418" s="7" t="s">
        <v>17</v>
      </c>
      <c r="D418" s="7"/>
      <c r="E418" s="7" t="s">
        <v>1681</v>
      </c>
      <c r="F418" s="7" t="s">
        <v>19</v>
      </c>
      <c r="G418" s="7" t="s">
        <v>31</v>
      </c>
      <c r="H418" s="7" t="s">
        <v>17</v>
      </c>
      <c r="I418" s="7" t="s">
        <v>17</v>
      </c>
      <c r="J418" s="7" t="s">
        <v>1682</v>
      </c>
    </row>
    <row r="419" spans="1:10" x14ac:dyDescent="0.25" outlineLevel="2" collapsed="1">
      <c r="A419" s="7" t="s">
        <v>19</v>
      </c>
      <c r="B419" s="7" t="s">
        <v>16</v>
      </c>
      <c r="C419" s="7" t="s">
        <v>17</v>
      </c>
      <c r="D419" s="7"/>
      <c r="E419" s="7" t="s">
        <v>1615</v>
      </c>
      <c r="F419" s="7" t="s">
        <v>19</v>
      </c>
      <c r="G419" s="7" t="s">
        <v>31</v>
      </c>
      <c r="H419" s="7" t="s">
        <v>17</v>
      </c>
      <c r="I419" s="7" t="s">
        <v>17</v>
      </c>
      <c r="J419" s="7" t="s">
        <v>1616</v>
      </c>
    </row>
    <row r="420" spans="1:10" x14ac:dyDescent="0.25" outlineLevel="1" collapsed="1">
      <c r="A420" s="7" t="s">
        <v>19</v>
      </c>
      <c r="B420" s="7" t="s">
        <v>284</v>
      </c>
      <c r="C420" s="11" t="s">
        <v>1707</v>
      </c>
      <c r="D420" s="7"/>
      <c r="E420" s="7" t="s">
        <v>1708</v>
      </c>
      <c r="F420" s="7" t="s">
        <v>19</v>
      </c>
      <c r="G420" s="7" t="s">
        <v>1709</v>
      </c>
      <c r="H420" s="7" t="s">
        <v>17</v>
      </c>
      <c r="I420" s="7" t="s">
        <v>17</v>
      </c>
      <c r="J420" s="7" t="s">
        <v>1710</v>
      </c>
    </row>
    <row r="421" spans="1:10" x14ac:dyDescent="0.25" outlineLevel="1" collapsed="1">
      <c r="A421" s="7" t="s">
        <v>19</v>
      </c>
      <c r="B421" s="7" t="s">
        <v>284</v>
      </c>
      <c r="C421" s="11" t="s">
        <v>1711</v>
      </c>
      <c r="D421" s="7"/>
      <c r="E421" s="7" t="s">
        <v>1712</v>
      </c>
      <c r="F421" s="7" t="s">
        <v>19</v>
      </c>
      <c r="G421" s="7" t="s">
        <v>1713</v>
      </c>
      <c r="H421" s="7" t="s">
        <v>17</v>
      </c>
      <c r="I421" s="7" t="s">
        <v>17</v>
      </c>
      <c r="J421" s="7" t="s">
        <v>1714</v>
      </c>
    </row>
    <row r="422" spans="1:10" x14ac:dyDescent="0.25" outlineLevel="1" collapsed="1">
      <c r="A422" s="8" t="s">
        <v>19</v>
      </c>
      <c r="B422" s="9" t="s">
        <v>1715</v>
      </c>
      <c r="C422" s="8" t="s">
        <v>17</v>
      </c>
      <c r="D422" s="8"/>
      <c r="E422" s="8" t="s">
        <v>1716</v>
      </c>
      <c r="F422" s="8" t="s">
        <v>15</v>
      </c>
      <c r="G422" s="8" t="s">
        <v>17</v>
      </c>
      <c r="H422" s="8" t="s">
        <v>17</v>
      </c>
      <c r="I422" s="8" t="s">
        <v>17</v>
      </c>
      <c r="J422" s="8" t="s">
        <v>1717</v>
      </c>
    </row>
    <row r="423" spans="1:10" x14ac:dyDescent="0.25" outlineLevel="2" collapsed="1">
      <c r="A423" s="7" t="s">
        <v>15</v>
      </c>
      <c r="B423" s="7" t="s">
        <v>16</v>
      </c>
      <c r="C423" s="7" t="s">
        <v>17</v>
      </c>
      <c r="D423" s="7"/>
      <c r="E423" s="7" t="s">
        <v>1718</v>
      </c>
      <c r="F423" s="7" t="s">
        <v>19</v>
      </c>
      <c r="G423" s="7" t="s">
        <v>31</v>
      </c>
      <c r="H423" s="7" t="s">
        <v>17</v>
      </c>
      <c r="I423" s="7" t="s">
        <v>17</v>
      </c>
      <c r="J423" s="7" t="s">
        <v>1719</v>
      </c>
    </row>
    <row r="424" spans="1:10" x14ac:dyDescent="0.25" outlineLevel="2" collapsed="1">
      <c r="A424" s="7" t="s">
        <v>15</v>
      </c>
      <c r="B424" s="7" t="s">
        <v>284</v>
      </c>
      <c r="C424" s="11" t="s">
        <v>1720</v>
      </c>
      <c r="D424" s="7"/>
      <c r="E424" s="7" t="s">
        <v>1721</v>
      </c>
      <c r="F424" s="7" t="s">
        <v>19</v>
      </c>
      <c r="G424" s="7" t="s">
        <v>1722</v>
      </c>
      <c r="H424" s="7" t="s">
        <v>17</v>
      </c>
      <c r="I424" s="7" t="s">
        <v>17</v>
      </c>
      <c r="J424" s="7" t="s">
        <v>1723</v>
      </c>
    </row>
    <row r="425" spans="1:10" x14ac:dyDescent="0.25" outlineLevel="2" collapsed="1">
      <c r="A425" s="7" t="s">
        <v>15</v>
      </c>
      <c r="B425" s="7" t="s">
        <v>16</v>
      </c>
      <c r="C425" s="7" t="s">
        <v>17</v>
      </c>
      <c r="D425" s="7"/>
      <c r="E425" s="7" t="s">
        <v>1724</v>
      </c>
      <c r="F425" s="7" t="s">
        <v>19</v>
      </c>
      <c r="G425" s="7" t="s">
        <v>31</v>
      </c>
      <c r="H425" s="7" t="s">
        <v>17</v>
      </c>
      <c r="I425" s="7" t="s">
        <v>17</v>
      </c>
      <c r="J425" s="7" t="s">
        <v>1725</v>
      </c>
    </row>
    <row r="426" spans="1:10" x14ac:dyDescent="0.25" outlineLevel="2" collapsed="1">
      <c r="A426" s="7" t="s">
        <v>15</v>
      </c>
      <c r="B426" s="7" t="s">
        <v>284</v>
      </c>
      <c r="C426" s="11" t="s">
        <v>1726</v>
      </c>
      <c r="D426" s="7"/>
      <c r="E426" s="7" t="s">
        <v>1727</v>
      </c>
      <c r="F426" s="7" t="s">
        <v>19</v>
      </c>
      <c r="G426" s="7" t="s">
        <v>1709</v>
      </c>
      <c r="H426" s="7" t="s">
        <v>17</v>
      </c>
      <c r="I426" s="7" t="s">
        <v>17</v>
      </c>
      <c r="J426" s="7" t="s">
        <v>1710</v>
      </c>
    </row>
    <row r="427" spans="1:10" x14ac:dyDescent="0.25" outlineLevel="2" collapsed="1">
      <c r="A427" s="7" t="s">
        <v>15</v>
      </c>
      <c r="B427" s="7" t="s">
        <v>284</v>
      </c>
      <c r="C427" s="11" t="s">
        <v>1728</v>
      </c>
      <c r="D427" s="7"/>
      <c r="E427" s="7" t="s">
        <v>1729</v>
      </c>
      <c r="F427" s="7" t="s">
        <v>19</v>
      </c>
      <c r="G427" s="7" t="s">
        <v>1713</v>
      </c>
      <c r="H427" s="7" t="s">
        <v>17</v>
      </c>
      <c r="I427" s="7" t="s">
        <v>17</v>
      </c>
      <c r="J427" s="7" t="s">
        <v>1714</v>
      </c>
    </row>
    <row r="428" spans="1:10" x14ac:dyDescent="0.25" outlineLevel="2" collapsed="1">
      <c r="A428" s="7" t="s">
        <v>15</v>
      </c>
      <c r="B428" s="7" t="s">
        <v>63</v>
      </c>
      <c r="C428" s="7" t="s">
        <v>17</v>
      </c>
      <c r="D428" s="7"/>
      <c r="E428" s="7" t="s">
        <v>1730</v>
      </c>
      <c r="F428" s="7" t="s">
        <v>19</v>
      </c>
      <c r="G428" s="7">
        <v>1</v>
      </c>
      <c r="H428" s="7" t="s">
        <v>17</v>
      </c>
      <c r="I428" s="7" t="s">
        <v>17</v>
      </c>
      <c r="J428" s="7" t="s">
        <v>1698</v>
      </c>
    </row>
    <row r="429" spans="1:10" x14ac:dyDescent="0.25" outlineLevel="2" collapsed="1">
      <c r="A429" s="7" t="s">
        <v>19</v>
      </c>
      <c r="B429" s="7" t="s">
        <v>63</v>
      </c>
      <c r="C429" s="7" t="s">
        <v>17</v>
      </c>
      <c r="D429" s="7"/>
      <c r="E429" s="7" t="s">
        <v>1731</v>
      </c>
      <c r="F429" s="7" t="s">
        <v>19</v>
      </c>
      <c r="G429" s="7">
        <v>1</v>
      </c>
      <c r="H429" s="7" t="s">
        <v>17</v>
      </c>
      <c r="I429" s="7" t="s">
        <v>17</v>
      </c>
      <c r="J429" s="7" t="s">
        <v>1700</v>
      </c>
    </row>
    <row r="430" spans="1:10" x14ac:dyDescent="0.25" outlineLevel="2" collapsed="1">
      <c r="A430" s="7" t="s">
        <v>19</v>
      </c>
      <c r="B430" s="7" t="s">
        <v>63</v>
      </c>
      <c r="C430" s="7" t="s">
        <v>17</v>
      </c>
      <c r="D430" s="7"/>
      <c r="E430" s="7" t="s">
        <v>1732</v>
      </c>
      <c r="F430" s="7" t="s">
        <v>19</v>
      </c>
      <c r="G430" s="7">
        <v>1</v>
      </c>
      <c r="H430" s="7" t="s">
        <v>17</v>
      </c>
      <c r="I430" s="7" t="s">
        <v>17</v>
      </c>
      <c r="J430" s="7" t="s">
        <v>1702</v>
      </c>
    </row>
    <row r="431" spans="1:10" x14ac:dyDescent="0.25" outlineLevel="2" collapsed="1">
      <c r="A431" s="7" t="s">
        <v>19</v>
      </c>
      <c r="B431" s="7" t="s">
        <v>63</v>
      </c>
      <c r="C431" s="7" t="s">
        <v>17</v>
      </c>
      <c r="D431" s="7"/>
      <c r="E431" s="7" t="s">
        <v>1733</v>
      </c>
      <c r="F431" s="7" t="s">
        <v>19</v>
      </c>
      <c r="G431" s="7">
        <v>1</v>
      </c>
      <c r="H431" s="7" t="s">
        <v>17</v>
      </c>
      <c r="I431" s="7" t="s">
        <v>17</v>
      </c>
      <c r="J431" s="7" t="s">
        <v>1704</v>
      </c>
    </row>
    <row r="432" spans="1:10" x14ac:dyDescent="0.25" outlineLevel="2" collapsed="1">
      <c r="A432" s="7" t="s">
        <v>19</v>
      </c>
      <c r="B432" s="7" t="s">
        <v>63</v>
      </c>
      <c r="C432" s="7" t="s">
        <v>17</v>
      </c>
      <c r="D432" s="7"/>
      <c r="E432" s="7" t="s">
        <v>1734</v>
      </c>
      <c r="F432" s="7" t="s">
        <v>19</v>
      </c>
      <c r="G432" s="7">
        <v>1</v>
      </c>
      <c r="H432" s="7" t="s">
        <v>17</v>
      </c>
      <c r="I432" s="7" t="s">
        <v>17</v>
      </c>
      <c r="J432" s="7" t="s">
        <v>1706</v>
      </c>
    </row>
    <row r="433" spans="1:10" x14ac:dyDescent="0.25">
      <c r="A433" s="5" t="s">
        <v>19</v>
      </c>
      <c r="B433" s="6" t="s">
        <v>1735</v>
      </c>
      <c r="C433" s="5" t="s">
        <v>17</v>
      </c>
      <c r="D433" s="5"/>
      <c r="E433" s="5" t="s">
        <v>1736</v>
      </c>
      <c r="F433" s="5" t="s">
        <v>19</v>
      </c>
      <c r="G433" s="5" t="s">
        <v>17</v>
      </c>
      <c r="H433" s="5" t="s">
        <v>17</v>
      </c>
      <c r="I433" s="5" t="s">
        <v>17</v>
      </c>
      <c r="J433" s="5" t="s">
        <v>1737</v>
      </c>
    </row>
    <row r="434" spans="1:10" x14ac:dyDescent="0.25" outlineLevel="1" collapsed="1">
      <c r="A434" s="8" t="s">
        <v>19</v>
      </c>
      <c r="B434" s="9" t="s">
        <v>1667</v>
      </c>
      <c r="C434" s="8" t="s">
        <v>17</v>
      </c>
      <c r="D434" s="8"/>
      <c r="E434" s="8" t="s">
        <v>1738</v>
      </c>
      <c r="F434" s="8" t="s">
        <v>19</v>
      </c>
      <c r="G434" s="8" t="s">
        <v>17</v>
      </c>
      <c r="H434" s="8" t="s">
        <v>17</v>
      </c>
      <c r="I434" s="8" t="s">
        <v>17</v>
      </c>
      <c r="J434" s="8" t="s">
        <v>1739</v>
      </c>
    </row>
    <row r="435" spans="1:10" x14ac:dyDescent="0.25" outlineLevel="2" collapsed="1">
      <c r="A435" s="7" t="s">
        <v>15</v>
      </c>
      <c r="B435" s="7" t="s">
        <v>16</v>
      </c>
      <c r="C435" s="7" t="s">
        <v>17</v>
      </c>
      <c r="D435" s="7"/>
      <c r="E435" s="7" t="s">
        <v>1670</v>
      </c>
      <c r="F435" s="7" t="s">
        <v>19</v>
      </c>
      <c r="G435" s="7" t="s">
        <v>31</v>
      </c>
      <c r="H435" s="7" t="s">
        <v>17</v>
      </c>
      <c r="I435" s="7" t="s">
        <v>17</v>
      </c>
      <c r="J435" s="7" t="s">
        <v>637</v>
      </c>
    </row>
    <row r="436" spans="1:10" x14ac:dyDescent="0.25" outlineLevel="2" collapsed="1">
      <c r="A436" s="7" t="s">
        <v>15</v>
      </c>
      <c r="B436" s="7" t="s">
        <v>16</v>
      </c>
      <c r="C436" s="7" t="s">
        <v>17</v>
      </c>
      <c r="D436" s="7"/>
      <c r="E436" s="7" t="s">
        <v>638</v>
      </c>
      <c r="F436" s="7" t="s">
        <v>19</v>
      </c>
      <c r="G436" s="7" t="s">
        <v>31</v>
      </c>
      <c r="H436" s="7" t="s">
        <v>17</v>
      </c>
      <c r="I436" s="7" t="s">
        <v>17</v>
      </c>
      <c r="J436" s="7" t="s">
        <v>640</v>
      </c>
    </row>
    <row r="437" spans="1:10" x14ac:dyDescent="0.25" outlineLevel="2" collapsed="1">
      <c r="A437" s="7" t="s">
        <v>15</v>
      </c>
      <c r="B437" s="7" t="s">
        <v>16</v>
      </c>
      <c r="C437" s="7" t="s">
        <v>17</v>
      </c>
      <c r="D437" s="7"/>
      <c r="E437" s="7" t="s">
        <v>9</v>
      </c>
      <c r="F437" s="7" t="s">
        <v>19</v>
      </c>
      <c r="G437" s="7" t="s">
        <v>31</v>
      </c>
      <c r="H437" s="7" t="s">
        <v>17</v>
      </c>
      <c r="I437" s="7" t="s">
        <v>17</v>
      </c>
      <c r="J437" s="7" t="s">
        <v>843</v>
      </c>
    </row>
    <row r="438" spans="1:10" x14ac:dyDescent="0.25" outlineLevel="2" collapsed="1">
      <c r="A438" s="7" t="s">
        <v>19</v>
      </c>
      <c r="B438" s="7" t="s">
        <v>16</v>
      </c>
      <c r="C438" s="7" t="s">
        <v>17</v>
      </c>
      <c r="D438" s="7"/>
      <c r="E438" s="7" t="s">
        <v>1600</v>
      </c>
      <c r="F438" s="7" t="s">
        <v>19</v>
      </c>
      <c r="G438" s="7" t="s">
        <v>31</v>
      </c>
      <c r="H438" s="7" t="s">
        <v>17</v>
      </c>
      <c r="I438" s="7" t="s">
        <v>17</v>
      </c>
      <c r="J438" s="7" t="s">
        <v>1424</v>
      </c>
    </row>
    <row r="439" spans="1:10" x14ac:dyDescent="0.25" outlineLevel="2" collapsed="1">
      <c r="A439" s="7" t="s">
        <v>15</v>
      </c>
      <c r="B439" s="7" t="s">
        <v>16</v>
      </c>
      <c r="C439" s="7" t="s">
        <v>17</v>
      </c>
      <c r="D439" s="7"/>
      <c r="E439" s="7" t="s">
        <v>1601</v>
      </c>
      <c r="F439" s="7" t="s">
        <v>19</v>
      </c>
      <c r="G439" s="7" t="s">
        <v>31</v>
      </c>
      <c r="H439" s="7" t="s">
        <v>17</v>
      </c>
      <c r="I439" s="7" t="s">
        <v>17</v>
      </c>
      <c r="J439" s="7" t="s">
        <v>1602</v>
      </c>
    </row>
    <row r="440" spans="1:10" x14ac:dyDescent="0.25" outlineLevel="2" collapsed="1">
      <c r="A440" s="7" t="s">
        <v>15</v>
      </c>
      <c r="B440" s="7" t="s">
        <v>16</v>
      </c>
      <c r="C440" s="7" t="s">
        <v>17</v>
      </c>
      <c r="D440" s="7"/>
      <c r="E440" s="7" t="s">
        <v>1671</v>
      </c>
      <c r="F440" s="7" t="s">
        <v>19</v>
      </c>
      <c r="G440" s="7" t="s">
        <v>31</v>
      </c>
      <c r="H440" s="7" t="s">
        <v>17</v>
      </c>
      <c r="I440" s="7" t="s">
        <v>17</v>
      </c>
      <c r="J440" s="7" t="s">
        <v>1672</v>
      </c>
    </row>
    <row r="441" spans="1:10" x14ac:dyDescent="0.25" outlineLevel="2" collapsed="1">
      <c r="A441" s="7" t="s">
        <v>15</v>
      </c>
      <c r="B441" s="7" t="s">
        <v>16</v>
      </c>
      <c r="C441" s="7" t="s">
        <v>17</v>
      </c>
      <c r="D441" s="7"/>
      <c r="E441" s="7" t="s">
        <v>1673</v>
      </c>
      <c r="F441" s="7" t="s">
        <v>19</v>
      </c>
      <c r="G441" s="7" t="s">
        <v>31</v>
      </c>
      <c r="H441" s="7" t="s">
        <v>17</v>
      </c>
      <c r="I441" s="7" t="s">
        <v>17</v>
      </c>
      <c r="J441" s="7" t="s">
        <v>1674</v>
      </c>
    </row>
    <row r="442" spans="1:10" x14ac:dyDescent="0.25" outlineLevel="2" collapsed="1">
      <c r="A442" s="7" t="s">
        <v>15</v>
      </c>
      <c r="B442" s="7" t="s">
        <v>16</v>
      </c>
      <c r="C442" s="7" t="s">
        <v>17</v>
      </c>
      <c r="D442" s="7"/>
      <c r="E442" s="7" t="s">
        <v>1675</v>
      </c>
      <c r="F442" s="7" t="s">
        <v>19</v>
      </c>
      <c r="G442" s="7" t="s">
        <v>31</v>
      </c>
      <c r="H442" s="7" t="s">
        <v>17</v>
      </c>
      <c r="I442" s="7" t="s">
        <v>17</v>
      </c>
      <c r="J442" s="7" t="s">
        <v>1422</v>
      </c>
    </row>
    <row r="443" spans="1:10" x14ac:dyDescent="0.25" outlineLevel="2" collapsed="1">
      <c r="A443" s="7" t="s">
        <v>15</v>
      </c>
      <c r="B443" s="7" t="s">
        <v>284</v>
      </c>
      <c r="C443" s="11" t="s">
        <v>1604</v>
      </c>
      <c r="D443" s="7"/>
      <c r="E443" s="7" t="s">
        <v>1605</v>
      </c>
      <c r="F443" s="7" t="s">
        <v>19</v>
      </c>
      <c r="G443" s="7" t="s">
        <v>1606</v>
      </c>
      <c r="H443" s="7" t="s">
        <v>17</v>
      </c>
      <c r="I443" s="7" t="s">
        <v>17</v>
      </c>
      <c r="J443" s="7" t="s">
        <v>1607</v>
      </c>
    </row>
    <row r="444" spans="1:10" x14ac:dyDescent="0.25" outlineLevel="2" collapsed="1">
      <c r="A444" s="7" t="s">
        <v>19</v>
      </c>
      <c r="B444" s="7" t="s">
        <v>63</v>
      </c>
      <c r="C444" s="7" t="s">
        <v>17</v>
      </c>
      <c r="D444" s="7">
        <f>EXACT(G443,"Single value")</f>
      </c>
      <c r="E444" s="7" t="s">
        <v>1676</v>
      </c>
      <c r="F444" s="7" t="s">
        <v>19</v>
      </c>
      <c r="G444" s="7">
        <v>1</v>
      </c>
      <c r="H444" s="7" t="s">
        <v>17</v>
      </c>
      <c r="I444" s="7" t="s">
        <v>17</v>
      </c>
      <c r="J444" s="7" t="s">
        <v>1609</v>
      </c>
    </row>
    <row r="445" spans="1:10" x14ac:dyDescent="0.25" outlineLevel="2" collapsed="1">
      <c r="A445" s="7" t="s">
        <v>19</v>
      </c>
      <c r="B445" s="7" t="s">
        <v>16</v>
      </c>
      <c r="C445" s="7" t="s">
        <v>17</v>
      </c>
      <c r="D445" s="7"/>
      <c r="E445" s="7" t="s">
        <v>1677</v>
      </c>
      <c r="F445" s="7" t="s">
        <v>19</v>
      </c>
      <c r="G445" s="7" t="s">
        <v>31</v>
      </c>
      <c r="H445" s="7" t="s">
        <v>17</v>
      </c>
      <c r="I445" s="7" t="s">
        <v>17</v>
      </c>
      <c r="J445" s="7" t="s">
        <v>1678</v>
      </c>
    </row>
    <row r="446" spans="1:10" x14ac:dyDescent="0.25" outlineLevel="2" collapsed="1">
      <c r="A446" s="7" t="s">
        <v>15</v>
      </c>
      <c r="B446" s="7" t="s">
        <v>16</v>
      </c>
      <c r="C446" s="7" t="s">
        <v>17</v>
      </c>
      <c r="D446" s="7"/>
      <c r="E446" s="7" t="s">
        <v>1679</v>
      </c>
      <c r="F446" s="7" t="s">
        <v>19</v>
      </c>
      <c r="G446" s="7" t="s">
        <v>31</v>
      </c>
      <c r="H446" s="7" t="s">
        <v>17</v>
      </c>
      <c r="I446" s="7" t="s">
        <v>17</v>
      </c>
      <c r="J446" s="7" t="s">
        <v>1680</v>
      </c>
    </row>
    <row r="447" spans="1:10" x14ac:dyDescent="0.25" outlineLevel="2" collapsed="1">
      <c r="A447" s="7" t="s">
        <v>15</v>
      </c>
      <c r="B447" s="7" t="s">
        <v>284</v>
      </c>
      <c r="C447" s="11" t="s">
        <v>1611</v>
      </c>
      <c r="D447" s="7"/>
      <c r="E447" s="7" t="s">
        <v>1612</v>
      </c>
      <c r="F447" s="7" t="s">
        <v>19</v>
      </c>
      <c r="G447" s="7" t="s">
        <v>1613</v>
      </c>
      <c r="H447" s="7" t="s">
        <v>17</v>
      </c>
      <c r="I447" s="7" t="s">
        <v>17</v>
      </c>
      <c r="J447" s="7" t="s">
        <v>1614</v>
      </c>
    </row>
    <row r="448" spans="1:10" x14ac:dyDescent="0.25" outlineLevel="2" collapsed="1">
      <c r="A448" s="7" t="s">
        <v>19</v>
      </c>
      <c r="B448" s="7" t="s">
        <v>16</v>
      </c>
      <c r="C448" s="7" t="s">
        <v>17</v>
      </c>
      <c r="D448" s="7"/>
      <c r="E448" s="7" t="s">
        <v>1681</v>
      </c>
      <c r="F448" s="7" t="s">
        <v>19</v>
      </c>
      <c r="G448" s="7" t="s">
        <v>31</v>
      </c>
      <c r="H448" s="7" t="s">
        <v>17</v>
      </c>
      <c r="I448" s="7" t="s">
        <v>17</v>
      </c>
      <c r="J448" s="7" t="s">
        <v>1682</v>
      </c>
    </row>
    <row r="449" spans="1:10" x14ac:dyDescent="0.25" outlineLevel="2" collapsed="1">
      <c r="A449" s="7" t="s">
        <v>19</v>
      </c>
      <c r="B449" s="7" t="s">
        <v>16</v>
      </c>
      <c r="C449" s="7" t="s">
        <v>17</v>
      </c>
      <c r="D449" s="7"/>
      <c r="E449" s="7" t="s">
        <v>1615</v>
      </c>
      <c r="F449" s="7" t="s">
        <v>19</v>
      </c>
      <c r="G449" s="7" t="s">
        <v>31</v>
      </c>
      <c r="H449" s="7" t="s">
        <v>17</v>
      </c>
      <c r="I449" s="7" t="s">
        <v>17</v>
      </c>
      <c r="J449" s="7" t="s">
        <v>1616</v>
      </c>
    </row>
    <row r="450" spans="1:10" x14ac:dyDescent="0.25" outlineLevel="1" collapsed="1">
      <c r="A450" s="8" t="s">
        <v>19</v>
      </c>
      <c r="B450" s="9" t="s">
        <v>1667</v>
      </c>
      <c r="C450" s="8" t="s">
        <v>17</v>
      </c>
      <c r="D450" s="8"/>
      <c r="E450" s="8" t="s">
        <v>1740</v>
      </c>
      <c r="F450" s="8" t="s">
        <v>19</v>
      </c>
      <c r="G450" s="8" t="s">
        <v>17</v>
      </c>
      <c r="H450" s="8" t="s">
        <v>17</v>
      </c>
      <c r="I450" s="8" t="s">
        <v>17</v>
      </c>
      <c r="J450" s="8" t="s">
        <v>1741</v>
      </c>
    </row>
    <row r="451" spans="1:10" x14ac:dyDescent="0.25" outlineLevel="2" collapsed="1">
      <c r="A451" s="7" t="s">
        <v>15</v>
      </c>
      <c r="B451" s="7" t="s">
        <v>16</v>
      </c>
      <c r="C451" s="7" t="s">
        <v>17</v>
      </c>
      <c r="D451" s="7"/>
      <c r="E451" s="7" t="s">
        <v>1670</v>
      </c>
      <c r="F451" s="7" t="s">
        <v>19</v>
      </c>
      <c r="G451" s="7" t="s">
        <v>31</v>
      </c>
      <c r="H451" s="7" t="s">
        <v>17</v>
      </c>
      <c r="I451" s="7" t="s">
        <v>17</v>
      </c>
      <c r="J451" s="7" t="s">
        <v>637</v>
      </c>
    </row>
    <row r="452" spans="1:10" x14ac:dyDescent="0.25" outlineLevel="2" collapsed="1">
      <c r="A452" s="7" t="s">
        <v>15</v>
      </c>
      <c r="B452" s="7" t="s">
        <v>16</v>
      </c>
      <c r="C452" s="7" t="s">
        <v>17</v>
      </c>
      <c r="D452" s="7"/>
      <c r="E452" s="7" t="s">
        <v>638</v>
      </c>
      <c r="F452" s="7" t="s">
        <v>19</v>
      </c>
      <c r="G452" s="7" t="s">
        <v>31</v>
      </c>
      <c r="H452" s="7" t="s">
        <v>17</v>
      </c>
      <c r="I452" s="7" t="s">
        <v>17</v>
      </c>
      <c r="J452" s="7" t="s">
        <v>640</v>
      </c>
    </row>
    <row r="453" spans="1:10" x14ac:dyDescent="0.25" outlineLevel="2" collapsed="1">
      <c r="A453" s="7" t="s">
        <v>15</v>
      </c>
      <c r="B453" s="7" t="s">
        <v>16</v>
      </c>
      <c r="C453" s="7" t="s">
        <v>17</v>
      </c>
      <c r="D453" s="7"/>
      <c r="E453" s="7" t="s">
        <v>9</v>
      </c>
      <c r="F453" s="7" t="s">
        <v>19</v>
      </c>
      <c r="G453" s="7" t="s">
        <v>31</v>
      </c>
      <c r="H453" s="7" t="s">
        <v>17</v>
      </c>
      <c r="I453" s="7" t="s">
        <v>17</v>
      </c>
      <c r="J453" s="7" t="s">
        <v>843</v>
      </c>
    </row>
    <row r="454" spans="1:10" x14ac:dyDescent="0.25" outlineLevel="2" collapsed="1">
      <c r="A454" s="7" t="s">
        <v>19</v>
      </c>
      <c r="B454" s="7" t="s">
        <v>16</v>
      </c>
      <c r="C454" s="7" t="s">
        <v>17</v>
      </c>
      <c r="D454" s="7"/>
      <c r="E454" s="7" t="s">
        <v>1600</v>
      </c>
      <c r="F454" s="7" t="s">
        <v>19</v>
      </c>
      <c r="G454" s="7" t="s">
        <v>31</v>
      </c>
      <c r="H454" s="7" t="s">
        <v>17</v>
      </c>
      <c r="I454" s="7" t="s">
        <v>17</v>
      </c>
      <c r="J454" s="7" t="s">
        <v>1424</v>
      </c>
    </row>
    <row r="455" spans="1:10" x14ac:dyDescent="0.25" outlineLevel="2" collapsed="1">
      <c r="A455" s="7" t="s">
        <v>15</v>
      </c>
      <c r="B455" s="7" t="s">
        <v>16</v>
      </c>
      <c r="C455" s="7" t="s">
        <v>17</v>
      </c>
      <c r="D455" s="7"/>
      <c r="E455" s="7" t="s">
        <v>1601</v>
      </c>
      <c r="F455" s="7" t="s">
        <v>19</v>
      </c>
      <c r="G455" s="7" t="s">
        <v>31</v>
      </c>
      <c r="H455" s="7" t="s">
        <v>17</v>
      </c>
      <c r="I455" s="7" t="s">
        <v>17</v>
      </c>
      <c r="J455" s="7" t="s">
        <v>1602</v>
      </c>
    </row>
    <row r="456" spans="1:10" x14ac:dyDescent="0.25" outlineLevel="2" collapsed="1">
      <c r="A456" s="7" t="s">
        <v>15</v>
      </c>
      <c r="B456" s="7" t="s">
        <v>16</v>
      </c>
      <c r="C456" s="7" t="s">
        <v>17</v>
      </c>
      <c r="D456" s="7"/>
      <c r="E456" s="7" t="s">
        <v>1671</v>
      </c>
      <c r="F456" s="7" t="s">
        <v>19</v>
      </c>
      <c r="G456" s="7" t="s">
        <v>31</v>
      </c>
      <c r="H456" s="7" t="s">
        <v>17</v>
      </c>
      <c r="I456" s="7" t="s">
        <v>17</v>
      </c>
      <c r="J456" s="7" t="s">
        <v>1672</v>
      </c>
    </row>
    <row r="457" spans="1:10" x14ac:dyDescent="0.25" outlineLevel="2" collapsed="1">
      <c r="A457" s="7" t="s">
        <v>15</v>
      </c>
      <c r="B457" s="7" t="s">
        <v>16</v>
      </c>
      <c r="C457" s="7" t="s">
        <v>17</v>
      </c>
      <c r="D457" s="7"/>
      <c r="E457" s="7" t="s">
        <v>1673</v>
      </c>
      <c r="F457" s="7" t="s">
        <v>19</v>
      </c>
      <c r="G457" s="7" t="s">
        <v>31</v>
      </c>
      <c r="H457" s="7" t="s">
        <v>17</v>
      </c>
      <c r="I457" s="7" t="s">
        <v>17</v>
      </c>
      <c r="J457" s="7" t="s">
        <v>1674</v>
      </c>
    </row>
    <row r="458" spans="1:10" x14ac:dyDescent="0.25" outlineLevel="2" collapsed="1">
      <c r="A458" s="7" t="s">
        <v>15</v>
      </c>
      <c r="B458" s="7" t="s">
        <v>16</v>
      </c>
      <c r="C458" s="7" t="s">
        <v>17</v>
      </c>
      <c r="D458" s="7"/>
      <c r="E458" s="7" t="s">
        <v>1675</v>
      </c>
      <c r="F458" s="7" t="s">
        <v>19</v>
      </c>
      <c r="G458" s="7" t="s">
        <v>31</v>
      </c>
      <c r="H458" s="7" t="s">
        <v>17</v>
      </c>
      <c r="I458" s="7" t="s">
        <v>17</v>
      </c>
      <c r="J458" s="7" t="s">
        <v>1422</v>
      </c>
    </row>
    <row r="459" spans="1:10" x14ac:dyDescent="0.25" outlineLevel="2" collapsed="1">
      <c r="A459" s="7" t="s">
        <v>15</v>
      </c>
      <c r="B459" s="7" t="s">
        <v>284</v>
      </c>
      <c r="C459" s="11" t="s">
        <v>1604</v>
      </c>
      <c r="D459" s="7"/>
      <c r="E459" s="7" t="s">
        <v>1605</v>
      </c>
      <c r="F459" s="7" t="s">
        <v>19</v>
      </c>
      <c r="G459" s="7" t="s">
        <v>1606</v>
      </c>
      <c r="H459" s="7" t="s">
        <v>17</v>
      </c>
      <c r="I459" s="7" t="s">
        <v>17</v>
      </c>
      <c r="J459" s="7" t="s">
        <v>1607</v>
      </c>
    </row>
    <row r="460" spans="1:10" x14ac:dyDescent="0.25" outlineLevel="2" collapsed="1">
      <c r="A460" s="7" t="s">
        <v>19</v>
      </c>
      <c r="B460" s="7" t="s">
        <v>63</v>
      </c>
      <c r="C460" s="7" t="s">
        <v>17</v>
      </c>
      <c r="D460" s="7">
        <f>EXACT(G459,"Single value")</f>
      </c>
      <c r="E460" s="7" t="s">
        <v>1676</v>
      </c>
      <c r="F460" s="7" t="s">
        <v>19</v>
      </c>
      <c r="G460" s="7">
        <v>1</v>
      </c>
      <c r="H460" s="7" t="s">
        <v>17</v>
      </c>
      <c r="I460" s="7" t="s">
        <v>17</v>
      </c>
      <c r="J460" s="7" t="s">
        <v>1609</v>
      </c>
    </row>
    <row r="461" spans="1:10" x14ac:dyDescent="0.25" outlineLevel="2" collapsed="1">
      <c r="A461" s="7" t="s">
        <v>19</v>
      </c>
      <c r="B461" s="7" t="s">
        <v>16</v>
      </c>
      <c r="C461" s="7" t="s">
        <v>17</v>
      </c>
      <c r="D461" s="7"/>
      <c r="E461" s="7" t="s">
        <v>1677</v>
      </c>
      <c r="F461" s="7" t="s">
        <v>19</v>
      </c>
      <c r="G461" s="7" t="s">
        <v>31</v>
      </c>
      <c r="H461" s="7" t="s">
        <v>17</v>
      </c>
      <c r="I461" s="7" t="s">
        <v>17</v>
      </c>
      <c r="J461" s="7" t="s">
        <v>1678</v>
      </c>
    </row>
    <row r="462" spans="1:10" x14ac:dyDescent="0.25" outlineLevel="2" collapsed="1">
      <c r="A462" s="7" t="s">
        <v>15</v>
      </c>
      <c r="B462" s="7" t="s">
        <v>16</v>
      </c>
      <c r="C462" s="7" t="s">
        <v>17</v>
      </c>
      <c r="D462" s="7"/>
      <c r="E462" s="7" t="s">
        <v>1679</v>
      </c>
      <c r="F462" s="7" t="s">
        <v>19</v>
      </c>
      <c r="G462" s="7" t="s">
        <v>31</v>
      </c>
      <c r="H462" s="7" t="s">
        <v>17</v>
      </c>
      <c r="I462" s="7" t="s">
        <v>17</v>
      </c>
      <c r="J462" s="7" t="s">
        <v>1680</v>
      </c>
    </row>
    <row r="463" spans="1:10" x14ac:dyDescent="0.25" outlineLevel="2" collapsed="1">
      <c r="A463" s="7" t="s">
        <v>15</v>
      </c>
      <c r="B463" s="7" t="s">
        <v>284</v>
      </c>
      <c r="C463" s="11" t="s">
        <v>1611</v>
      </c>
      <c r="D463" s="7"/>
      <c r="E463" s="7" t="s">
        <v>1612</v>
      </c>
      <c r="F463" s="7" t="s">
        <v>19</v>
      </c>
      <c r="G463" s="7" t="s">
        <v>1613</v>
      </c>
      <c r="H463" s="7" t="s">
        <v>17</v>
      </c>
      <c r="I463" s="7" t="s">
        <v>17</v>
      </c>
      <c r="J463" s="7" t="s">
        <v>1614</v>
      </c>
    </row>
    <row r="464" spans="1:10" x14ac:dyDescent="0.25" outlineLevel="2" collapsed="1">
      <c r="A464" s="7" t="s">
        <v>19</v>
      </c>
      <c r="B464" s="7" t="s">
        <v>16</v>
      </c>
      <c r="C464" s="7" t="s">
        <v>17</v>
      </c>
      <c r="D464" s="7"/>
      <c r="E464" s="7" t="s">
        <v>1681</v>
      </c>
      <c r="F464" s="7" t="s">
        <v>19</v>
      </c>
      <c r="G464" s="7" t="s">
        <v>31</v>
      </c>
      <c r="H464" s="7" t="s">
        <v>17</v>
      </c>
      <c r="I464" s="7" t="s">
        <v>17</v>
      </c>
      <c r="J464" s="7" t="s">
        <v>1682</v>
      </c>
    </row>
    <row r="465" spans="1:10" x14ac:dyDescent="0.25" outlineLevel="2" collapsed="1">
      <c r="A465" s="7" t="s">
        <v>19</v>
      </c>
      <c r="B465" s="7" t="s">
        <v>16</v>
      </c>
      <c r="C465" s="7" t="s">
        <v>17</v>
      </c>
      <c r="D465" s="7"/>
      <c r="E465" s="7" t="s">
        <v>1615</v>
      </c>
      <c r="F465" s="7" t="s">
        <v>19</v>
      </c>
      <c r="G465" s="7" t="s">
        <v>31</v>
      </c>
      <c r="H465" s="7" t="s">
        <v>17</v>
      </c>
      <c r="I465" s="7" t="s">
        <v>17</v>
      </c>
      <c r="J465" s="7" t="s">
        <v>1616</v>
      </c>
    </row>
    <row r="466" spans="1:10" x14ac:dyDescent="0.25" outlineLevel="1" collapsed="1">
      <c r="A466" s="8" t="s">
        <v>19</v>
      </c>
      <c r="B466" s="9" t="s">
        <v>1667</v>
      </c>
      <c r="C466" s="8" t="s">
        <v>17</v>
      </c>
      <c r="D466" s="8"/>
      <c r="E466" s="8" t="s">
        <v>1742</v>
      </c>
      <c r="F466" s="8" t="s">
        <v>19</v>
      </c>
      <c r="G466" s="8" t="s">
        <v>17</v>
      </c>
      <c r="H466" s="8" t="s">
        <v>17</v>
      </c>
      <c r="I466" s="8" t="s">
        <v>17</v>
      </c>
      <c r="J466" s="8" t="s">
        <v>1743</v>
      </c>
    </row>
    <row r="467" spans="1:10" x14ac:dyDescent="0.25" outlineLevel="2" collapsed="1">
      <c r="A467" s="7" t="s">
        <v>15</v>
      </c>
      <c r="B467" s="7" t="s">
        <v>16</v>
      </c>
      <c r="C467" s="7" t="s">
        <v>17</v>
      </c>
      <c r="D467" s="7"/>
      <c r="E467" s="7" t="s">
        <v>1670</v>
      </c>
      <c r="F467" s="7" t="s">
        <v>19</v>
      </c>
      <c r="G467" s="7" t="s">
        <v>31</v>
      </c>
      <c r="H467" s="7" t="s">
        <v>17</v>
      </c>
      <c r="I467" s="7" t="s">
        <v>17</v>
      </c>
      <c r="J467" s="7" t="s">
        <v>637</v>
      </c>
    </row>
    <row r="468" spans="1:10" x14ac:dyDescent="0.25" outlineLevel="2" collapsed="1">
      <c r="A468" s="7" t="s">
        <v>15</v>
      </c>
      <c r="B468" s="7" t="s">
        <v>16</v>
      </c>
      <c r="C468" s="7" t="s">
        <v>17</v>
      </c>
      <c r="D468" s="7"/>
      <c r="E468" s="7" t="s">
        <v>638</v>
      </c>
      <c r="F468" s="7" t="s">
        <v>19</v>
      </c>
      <c r="G468" s="7" t="s">
        <v>31</v>
      </c>
      <c r="H468" s="7" t="s">
        <v>17</v>
      </c>
      <c r="I468" s="7" t="s">
        <v>17</v>
      </c>
      <c r="J468" s="7" t="s">
        <v>640</v>
      </c>
    </row>
    <row r="469" spans="1:10" x14ac:dyDescent="0.25" outlineLevel="2" collapsed="1">
      <c r="A469" s="7" t="s">
        <v>15</v>
      </c>
      <c r="B469" s="7" t="s">
        <v>16</v>
      </c>
      <c r="C469" s="7" t="s">
        <v>17</v>
      </c>
      <c r="D469" s="7"/>
      <c r="E469" s="7" t="s">
        <v>9</v>
      </c>
      <c r="F469" s="7" t="s">
        <v>19</v>
      </c>
      <c r="G469" s="7" t="s">
        <v>31</v>
      </c>
      <c r="H469" s="7" t="s">
        <v>17</v>
      </c>
      <c r="I469" s="7" t="s">
        <v>17</v>
      </c>
      <c r="J469" s="7" t="s">
        <v>843</v>
      </c>
    </row>
    <row r="470" spans="1:10" x14ac:dyDescent="0.25" outlineLevel="2" collapsed="1">
      <c r="A470" s="7" t="s">
        <v>19</v>
      </c>
      <c r="B470" s="7" t="s">
        <v>16</v>
      </c>
      <c r="C470" s="7" t="s">
        <v>17</v>
      </c>
      <c r="D470" s="7"/>
      <c r="E470" s="7" t="s">
        <v>1600</v>
      </c>
      <c r="F470" s="7" t="s">
        <v>19</v>
      </c>
      <c r="G470" s="7" t="s">
        <v>31</v>
      </c>
      <c r="H470" s="7" t="s">
        <v>17</v>
      </c>
      <c r="I470" s="7" t="s">
        <v>17</v>
      </c>
      <c r="J470" s="7" t="s">
        <v>1424</v>
      </c>
    </row>
    <row r="471" spans="1:10" x14ac:dyDescent="0.25" outlineLevel="2" collapsed="1">
      <c r="A471" s="7" t="s">
        <v>15</v>
      </c>
      <c r="B471" s="7" t="s">
        <v>16</v>
      </c>
      <c r="C471" s="7" t="s">
        <v>17</v>
      </c>
      <c r="D471" s="7"/>
      <c r="E471" s="7" t="s">
        <v>1601</v>
      </c>
      <c r="F471" s="7" t="s">
        <v>19</v>
      </c>
      <c r="G471" s="7" t="s">
        <v>31</v>
      </c>
      <c r="H471" s="7" t="s">
        <v>17</v>
      </c>
      <c r="I471" s="7" t="s">
        <v>17</v>
      </c>
      <c r="J471" s="7" t="s">
        <v>1602</v>
      </c>
    </row>
    <row r="472" spans="1:10" x14ac:dyDescent="0.25" outlineLevel="2" collapsed="1">
      <c r="A472" s="7" t="s">
        <v>15</v>
      </c>
      <c r="B472" s="7" t="s">
        <v>16</v>
      </c>
      <c r="C472" s="7" t="s">
        <v>17</v>
      </c>
      <c r="D472" s="7"/>
      <c r="E472" s="7" t="s">
        <v>1671</v>
      </c>
      <c r="F472" s="7" t="s">
        <v>19</v>
      </c>
      <c r="G472" s="7" t="s">
        <v>31</v>
      </c>
      <c r="H472" s="7" t="s">
        <v>17</v>
      </c>
      <c r="I472" s="7" t="s">
        <v>17</v>
      </c>
      <c r="J472" s="7" t="s">
        <v>1672</v>
      </c>
    </row>
    <row r="473" spans="1:10" x14ac:dyDescent="0.25" outlineLevel="2" collapsed="1">
      <c r="A473" s="7" t="s">
        <v>15</v>
      </c>
      <c r="B473" s="7" t="s">
        <v>16</v>
      </c>
      <c r="C473" s="7" t="s">
        <v>17</v>
      </c>
      <c r="D473" s="7"/>
      <c r="E473" s="7" t="s">
        <v>1673</v>
      </c>
      <c r="F473" s="7" t="s">
        <v>19</v>
      </c>
      <c r="G473" s="7" t="s">
        <v>31</v>
      </c>
      <c r="H473" s="7" t="s">
        <v>17</v>
      </c>
      <c r="I473" s="7" t="s">
        <v>17</v>
      </c>
      <c r="J473" s="7" t="s">
        <v>1674</v>
      </c>
    </row>
    <row r="474" spans="1:10" x14ac:dyDescent="0.25" outlineLevel="2" collapsed="1">
      <c r="A474" s="7" t="s">
        <v>15</v>
      </c>
      <c r="B474" s="7" t="s">
        <v>16</v>
      </c>
      <c r="C474" s="7" t="s">
        <v>17</v>
      </c>
      <c r="D474" s="7"/>
      <c r="E474" s="7" t="s">
        <v>1675</v>
      </c>
      <c r="F474" s="7" t="s">
        <v>19</v>
      </c>
      <c r="G474" s="7" t="s">
        <v>31</v>
      </c>
      <c r="H474" s="7" t="s">
        <v>17</v>
      </c>
      <c r="I474" s="7" t="s">
        <v>17</v>
      </c>
      <c r="J474" s="7" t="s">
        <v>1422</v>
      </c>
    </row>
    <row r="475" spans="1:10" x14ac:dyDescent="0.25" outlineLevel="2" collapsed="1">
      <c r="A475" s="7" t="s">
        <v>15</v>
      </c>
      <c r="B475" s="7" t="s">
        <v>284</v>
      </c>
      <c r="C475" s="11" t="s">
        <v>1604</v>
      </c>
      <c r="D475" s="7"/>
      <c r="E475" s="7" t="s">
        <v>1605</v>
      </c>
      <c r="F475" s="7" t="s">
        <v>19</v>
      </c>
      <c r="G475" s="7" t="s">
        <v>1606</v>
      </c>
      <c r="H475" s="7" t="s">
        <v>17</v>
      </c>
      <c r="I475" s="7" t="s">
        <v>17</v>
      </c>
      <c r="J475" s="7" t="s">
        <v>1607</v>
      </c>
    </row>
    <row r="476" spans="1:10" x14ac:dyDescent="0.25" outlineLevel="2" collapsed="1">
      <c r="A476" s="7" t="s">
        <v>19</v>
      </c>
      <c r="B476" s="7" t="s">
        <v>63</v>
      </c>
      <c r="C476" s="7" t="s">
        <v>17</v>
      </c>
      <c r="D476" s="7">
        <f>EXACT(G475,"Single value")</f>
      </c>
      <c r="E476" s="7" t="s">
        <v>1676</v>
      </c>
      <c r="F476" s="7" t="s">
        <v>19</v>
      </c>
      <c r="G476" s="7">
        <v>1</v>
      </c>
      <c r="H476" s="7" t="s">
        <v>17</v>
      </c>
      <c r="I476" s="7" t="s">
        <v>17</v>
      </c>
      <c r="J476" s="7" t="s">
        <v>1609</v>
      </c>
    </row>
    <row r="477" spans="1:10" x14ac:dyDescent="0.25" outlineLevel="2" collapsed="1">
      <c r="A477" s="7" t="s">
        <v>19</v>
      </c>
      <c r="B477" s="7" t="s">
        <v>16</v>
      </c>
      <c r="C477" s="7" t="s">
        <v>17</v>
      </c>
      <c r="D477" s="7"/>
      <c r="E477" s="7" t="s">
        <v>1677</v>
      </c>
      <c r="F477" s="7" t="s">
        <v>19</v>
      </c>
      <c r="G477" s="7" t="s">
        <v>31</v>
      </c>
      <c r="H477" s="7" t="s">
        <v>17</v>
      </c>
      <c r="I477" s="7" t="s">
        <v>17</v>
      </c>
      <c r="J477" s="7" t="s">
        <v>1678</v>
      </c>
    </row>
    <row r="478" spans="1:10" x14ac:dyDescent="0.25" outlineLevel="2" collapsed="1">
      <c r="A478" s="7" t="s">
        <v>15</v>
      </c>
      <c r="B478" s="7" t="s">
        <v>16</v>
      </c>
      <c r="C478" s="7" t="s">
        <v>17</v>
      </c>
      <c r="D478" s="7"/>
      <c r="E478" s="7" t="s">
        <v>1679</v>
      </c>
      <c r="F478" s="7" t="s">
        <v>19</v>
      </c>
      <c r="G478" s="7" t="s">
        <v>31</v>
      </c>
      <c r="H478" s="7" t="s">
        <v>17</v>
      </c>
      <c r="I478" s="7" t="s">
        <v>17</v>
      </c>
      <c r="J478" s="7" t="s">
        <v>1680</v>
      </c>
    </row>
    <row r="479" spans="1:10" x14ac:dyDescent="0.25" outlineLevel="2" collapsed="1">
      <c r="A479" s="7" t="s">
        <v>15</v>
      </c>
      <c r="B479" s="7" t="s">
        <v>284</v>
      </c>
      <c r="C479" s="11" t="s">
        <v>1611</v>
      </c>
      <c r="D479" s="7"/>
      <c r="E479" s="7" t="s">
        <v>1612</v>
      </c>
      <c r="F479" s="7" t="s">
        <v>19</v>
      </c>
      <c r="G479" s="7" t="s">
        <v>1613</v>
      </c>
      <c r="H479" s="7" t="s">
        <v>17</v>
      </c>
      <c r="I479" s="7" t="s">
        <v>17</v>
      </c>
      <c r="J479" s="7" t="s">
        <v>1614</v>
      </c>
    </row>
    <row r="480" spans="1:10" x14ac:dyDescent="0.25" outlineLevel="2" collapsed="1">
      <c r="A480" s="7" t="s">
        <v>19</v>
      </c>
      <c r="B480" s="7" t="s">
        <v>16</v>
      </c>
      <c r="C480" s="7" t="s">
        <v>17</v>
      </c>
      <c r="D480" s="7"/>
      <c r="E480" s="7" t="s">
        <v>1681</v>
      </c>
      <c r="F480" s="7" t="s">
        <v>19</v>
      </c>
      <c r="G480" s="7" t="s">
        <v>31</v>
      </c>
      <c r="H480" s="7" t="s">
        <v>17</v>
      </c>
      <c r="I480" s="7" t="s">
        <v>17</v>
      </c>
      <c r="J480" s="7" t="s">
        <v>1682</v>
      </c>
    </row>
    <row r="481" spans="1:10" x14ac:dyDescent="0.25" outlineLevel="2" collapsed="1">
      <c r="A481" s="7" t="s">
        <v>19</v>
      </c>
      <c r="B481" s="7" t="s">
        <v>16</v>
      </c>
      <c r="C481" s="7" t="s">
        <v>17</v>
      </c>
      <c r="D481" s="7"/>
      <c r="E481" s="7" t="s">
        <v>1615</v>
      </c>
      <c r="F481" s="7" t="s">
        <v>19</v>
      </c>
      <c r="G481" s="7" t="s">
        <v>31</v>
      </c>
      <c r="H481" s="7" t="s">
        <v>17</v>
      </c>
      <c r="I481" s="7" t="s">
        <v>17</v>
      </c>
      <c r="J481" s="7" t="s">
        <v>1616</v>
      </c>
    </row>
    <row r="482" spans="1:10" x14ac:dyDescent="0.25" outlineLevel="1" collapsed="1">
      <c r="A482" s="8" t="s">
        <v>19</v>
      </c>
      <c r="B482" s="9" t="s">
        <v>1667</v>
      </c>
      <c r="C482" s="8" t="s">
        <v>17</v>
      </c>
      <c r="D482" s="8"/>
      <c r="E482" s="8" t="s">
        <v>1744</v>
      </c>
      <c r="F482" s="8" t="s">
        <v>19</v>
      </c>
      <c r="G482" s="8" t="s">
        <v>17</v>
      </c>
      <c r="H482" s="8" t="s">
        <v>17</v>
      </c>
      <c r="I482" s="8" t="s">
        <v>17</v>
      </c>
      <c r="J482" s="8" t="s">
        <v>1745</v>
      </c>
    </row>
    <row r="483" spans="1:10" x14ac:dyDescent="0.25" outlineLevel="2" collapsed="1">
      <c r="A483" s="7" t="s">
        <v>15</v>
      </c>
      <c r="B483" s="7" t="s">
        <v>16</v>
      </c>
      <c r="C483" s="7" t="s">
        <v>17</v>
      </c>
      <c r="D483" s="7"/>
      <c r="E483" s="7" t="s">
        <v>1670</v>
      </c>
      <c r="F483" s="7" t="s">
        <v>19</v>
      </c>
      <c r="G483" s="7" t="s">
        <v>31</v>
      </c>
      <c r="H483" s="7" t="s">
        <v>17</v>
      </c>
      <c r="I483" s="7" t="s">
        <v>17</v>
      </c>
      <c r="J483" s="7" t="s">
        <v>637</v>
      </c>
    </row>
    <row r="484" spans="1:10" x14ac:dyDescent="0.25" outlineLevel="2" collapsed="1">
      <c r="A484" s="7" t="s">
        <v>15</v>
      </c>
      <c r="B484" s="7" t="s">
        <v>16</v>
      </c>
      <c r="C484" s="7" t="s">
        <v>17</v>
      </c>
      <c r="D484" s="7"/>
      <c r="E484" s="7" t="s">
        <v>638</v>
      </c>
      <c r="F484" s="7" t="s">
        <v>19</v>
      </c>
      <c r="G484" s="7" t="s">
        <v>31</v>
      </c>
      <c r="H484" s="7" t="s">
        <v>17</v>
      </c>
      <c r="I484" s="7" t="s">
        <v>17</v>
      </c>
      <c r="J484" s="7" t="s">
        <v>640</v>
      </c>
    </row>
    <row r="485" spans="1:10" x14ac:dyDescent="0.25" outlineLevel="2" collapsed="1">
      <c r="A485" s="7" t="s">
        <v>15</v>
      </c>
      <c r="B485" s="7" t="s">
        <v>16</v>
      </c>
      <c r="C485" s="7" t="s">
        <v>17</v>
      </c>
      <c r="D485" s="7"/>
      <c r="E485" s="7" t="s">
        <v>9</v>
      </c>
      <c r="F485" s="7" t="s">
        <v>19</v>
      </c>
      <c r="G485" s="7" t="s">
        <v>31</v>
      </c>
      <c r="H485" s="7" t="s">
        <v>17</v>
      </c>
      <c r="I485" s="7" t="s">
        <v>17</v>
      </c>
      <c r="J485" s="7" t="s">
        <v>843</v>
      </c>
    </row>
    <row r="486" spans="1:10" x14ac:dyDescent="0.25" outlineLevel="2" collapsed="1">
      <c r="A486" s="7" t="s">
        <v>19</v>
      </c>
      <c r="B486" s="7" t="s">
        <v>16</v>
      </c>
      <c r="C486" s="7" t="s">
        <v>17</v>
      </c>
      <c r="D486" s="7"/>
      <c r="E486" s="7" t="s">
        <v>1600</v>
      </c>
      <c r="F486" s="7" t="s">
        <v>19</v>
      </c>
      <c r="G486" s="7" t="s">
        <v>31</v>
      </c>
      <c r="H486" s="7" t="s">
        <v>17</v>
      </c>
      <c r="I486" s="7" t="s">
        <v>17</v>
      </c>
      <c r="J486" s="7" t="s">
        <v>1424</v>
      </c>
    </row>
    <row r="487" spans="1:10" x14ac:dyDescent="0.25" outlineLevel="2" collapsed="1">
      <c r="A487" s="7" t="s">
        <v>15</v>
      </c>
      <c r="B487" s="7" t="s">
        <v>16</v>
      </c>
      <c r="C487" s="7" t="s">
        <v>17</v>
      </c>
      <c r="D487" s="7"/>
      <c r="E487" s="7" t="s">
        <v>1601</v>
      </c>
      <c r="F487" s="7" t="s">
        <v>19</v>
      </c>
      <c r="G487" s="7" t="s">
        <v>31</v>
      </c>
      <c r="H487" s="7" t="s">
        <v>17</v>
      </c>
      <c r="I487" s="7" t="s">
        <v>17</v>
      </c>
      <c r="J487" s="7" t="s">
        <v>1602</v>
      </c>
    </row>
    <row r="488" spans="1:10" x14ac:dyDescent="0.25" outlineLevel="2" collapsed="1">
      <c r="A488" s="7" t="s">
        <v>15</v>
      </c>
      <c r="B488" s="7" t="s">
        <v>16</v>
      </c>
      <c r="C488" s="7" t="s">
        <v>17</v>
      </c>
      <c r="D488" s="7"/>
      <c r="E488" s="7" t="s">
        <v>1671</v>
      </c>
      <c r="F488" s="7" t="s">
        <v>19</v>
      </c>
      <c r="G488" s="7" t="s">
        <v>31</v>
      </c>
      <c r="H488" s="7" t="s">
        <v>17</v>
      </c>
      <c r="I488" s="7" t="s">
        <v>17</v>
      </c>
      <c r="J488" s="7" t="s">
        <v>1672</v>
      </c>
    </row>
    <row r="489" spans="1:10" x14ac:dyDescent="0.25" outlineLevel="2" collapsed="1">
      <c r="A489" s="7" t="s">
        <v>15</v>
      </c>
      <c r="B489" s="7" t="s">
        <v>16</v>
      </c>
      <c r="C489" s="7" t="s">
        <v>17</v>
      </c>
      <c r="D489" s="7"/>
      <c r="E489" s="7" t="s">
        <v>1673</v>
      </c>
      <c r="F489" s="7" t="s">
        <v>19</v>
      </c>
      <c r="G489" s="7" t="s">
        <v>31</v>
      </c>
      <c r="H489" s="7" t="s">
        <v>17</v>
      </c>
      <c r="I489" s="7" t="s">
        <v>17</v>
      </c>
      <c r="J489" s="7" t="s">
        <v>1674</v>
      </c>
    </row>
    <row r="490" spans="1:10" x14ac:dyDescent="0.25" outlineLevel="2" collapsed="1">
      <c r="A490" s="7" t="s">
        <v>15</v>
      </c>
      <c r="B490" s="7" t="s">
        <v>16</v>
      </c>
      <c r="C490" s="7" t="s">
        <v>17</v>
      </c>
      <c r="D490" s="7"/>
      <c r="E490" s="7" t="s">
        <v>1675</v>
      </c>
      <c r="F490" s="7" t="s">
        <v>19</v>
      </c>
      <c r="G490" s="7" t="s">
        <v>31</v>
      </c>
      <c r="H490" s="7" t="s">
        <v>17</v>
      </c>
      <c r="I490" s="7" t="s">
        <v>17</v>
      </c>
      <c r="J490" s="7" t="s">
        <v>1422</v>
      </c>
    </row>
    <row r="491" spans="1:10" x14ac:dyDescent="0.25" outlineLevel="2" collapsed="1">
      <c r="A491" s="7" t="s">
        <v>15</v>
      </c>
      <c r="B491" s="7" t="s">
        <v>284</v>
      </c>
      <c r="C491" s="11" t="s">
        <v>1604</v>
      </c>
      <c r="D491" s="7"/>
      <c r="E491" s="7" t="s">
        <v>1605</v>
      </c>
      <c r="F491" s="7" t="s">
        <v>19</v>
      </c>
      <c r="G491" s="7" t="s">
        <v>1606</v>
      </c>
      <c r="H491" s="7" t="s">
        <v>17</v>
      </c>
      <c r="I491" s="7" t="s">
        <v>17</v>
      </c>
      <c r="J491" s="7" t="s">
        <v>1607</v>
      </c>
    </row>
    <row r="492" spans="1:10" x14ac:dyDescent="0.25" outlineLevel="2" collapsed="1">
      <c r="A492" s="7" t="s">
        <v>19</v>
      </c>
      <c r="B492" s="7" t="s">
        <v>63</v>
      </c>
      <c r="C492" s="7" t="s">
        <v>17</v>
      </c>
      <c r="D492" s="7">
        <f>EXACT(G491,"Single value")</f>
      </c>
      <c r="E492" s="7" t="s">
        <v>1676</v>
      </c>
      <c r="F492" s="7" t="s">
        <v>19</v>
      </c>
      <c r="G492" s="7">
        <v>1</v>
      </c>
      <c r="H492" s="7" t="s">
        <v>17</v>
      </c>
      <c r="I492" s="7" t="s">
        <v>17</v>
      </c>
      <c r="J492" s="7" t="s">
        <v>1609</v>
      </c>
    </row>
    <row r="493" spans="1:10" x14ac:dyDescent="0.25" outlineLevel="2" collapsed="1">
      <c r="A493" s="7" t="s">
        <v>19</v>
      </c>
      <c r="B493" s="7" t="s">
        <v>16</v>
      </c>
      <c r="C493" s="7" t="s">
        <v>17</v>
      </c>
      <c r="D493" s="7"/>
      <c r="E493" s="7" t="s">
        <v>1677</v>
      </c>
      <c r="F493" s="7" t="s">
        <v>19</v>
      </c>
      <c r="G493" s="7" t="s">
        <v>31</v>
      </c>
      <c r="H493" s="7" t="s">
        <v>17</v>
      </c>
      <c r="I493" s="7" t="s">
        <v>17</v>
      </c>
      <c r="J493" s="7" t="s">
        <v>1678</v>
      </c>
    </row>
    <row r="494" spans="1:10" x14ac:dyDescent="0.25" outlineLevel="2" collapsed="1">
      <c r="A494" s="7" t="s">
        <v>15</v>
      </c>
      <c r="B494" s="7" t="s">
        <v>16</v>
      </c>
      <c r="C494" s="7" t="s">
        <v>17</v>
      </c>
      <c r="D494" s="7"/>
      <c r="E494" s="7" t="s">
        <v>1679</v>
      </c>
      <c r="F494" s="7" t="s">
        <v>19</v>
      </c>
      <c r="G494" s="7" t="s">
        <v>31</v>
      </c>
      <c r="H494" s="7" t="s">
        <v>17</v>
      </c>
      <c r="I494" s="7" t="s">
        <v>17</v>
      </c>
      <c r="J494" s="7" t="s">
        <v>1680</v>
      </c>
    </row>
    <row r="495" spans="1:10" x14ac:dyDescent="0.25" outlineLevel="2" collapsed="1">
      <c r="A495" s="7" t="s">
        <v>15</v>
      </c>
      <c r="B495" s="7" t="s">
        <v>284</v>
      </c>
      <c r="C495" s="11" t="s">
        <v>1611</v>
      </c>
      <c r="D495" s="7"/>
      <c r="E495" s="7" t="s">
        <v>1612</v>
      </c>
      <c r="F495" s="7" t="s">
        <v>19</v>
      </c>
      <c r="G495" s="7" t="s">
        <v>1613</v>
      </c>
      <c r="H495" s="7" t="s">
        <v>17</v>
      </c>
      <c r="I495" s="7" t="s">
        <v>17</v>
      </c>
      <c r="J495" s="7" t="s">
        <v>1614</v>
      </c>
    </row>
    <row r="496" spans="1:10" x14ac:dyDescent="0.25" outlineLevel="2" collapsed="1">
      <c r="A496" s="7" t="s">
        <v>19</v>
      </c>
      <c r="B496" s="7" t="s">
        <v>16</v>
      </c>
      <c r="C496" s="7" t="s">
        <v>17</v>
      </c>
      <c r="D496" s="7"/>
      <c r="E496" s="7" t="s">
        <v>1681</v>
      </c>
      <c r="F496" s="7" t="s">
        <v>19</v>
      </c>
      <c r="G496" s="7" t="s">
        <v>31</v>
      </c>
      <c r="H496" s="7" t="s">
        <v>17</v>
      </c>
      <c r="I496" s="7" t="s">
        <v>17</v>
      </c>
      <c r="J496" s="7" t="s">
        <v>1682</v>
      </c>
    </row>
    <row r="497" spans="1:10" x14ac:dyDescent="0.25" outlineLevel="2" collapsed="1">
      <c r="A497" s="7" t="s">
        <v>19</v>
      </c>
      <c r="B497" s="7" t="s">
        <v>16</v>
      </c>
      <c r="C497" s="7" t="s">
        <v>17</v>
      </c>
      <c r="D497" s="7"/>
      <c r="E497" s="7" t="s">
        <v>1615</v>
      </c>
      <c r="F497" s="7" t="s">
        <v>19</v>
      </c>
      <c r="G497" s="7" t="s">
        <v>31</v>
      </c>
      <c r="H497" s="7" t="s">
        <v>17</v>
      </c>
      <c r="I497" s="7" t="s">
        <v>17</v>
      </c>
      <c r="J497" s="7" t="s">
        <v>1616</v>
      </c>
    </row>
    <row r="498" spans="1:10" x14ac:dyDescent="0.25" outlineLevel="1" collapsed="1">
      <c r="A498" s="8" t="s">
        <v>19</v>
      </c>
      <c r="B498" s="9" t="s">
        <v>1667</v>
      </c>
      <c r="C498" s="8" t="s">
        <v>17</v>
      </c>
      <c r="D498" s="8"/>
      <c r="E498" s="8" t="s">
        <v>1746</v>
      </c>
      <c r="F498" s="8" t="s">
        <v>19</v>
      </c>
      <c r="G498" s="8" t="s">
        <v>17</v>
      </c>
      <c r="H498" s="8" t="s">
        <v>17</v>
      </c>
      <c r="I498" s="8" t="s">
        <v>17</v>
      </c>
      <c r="J498" s="8" t="s">
        <v>1747</v>
      </c>
    </row>
    <row r="499" spans="1:10" x14ac:dyDescent="0.25" outlineLevel="2" collapsed="1">
      <c r="A499" s="7" t="s">
        <v>15</v>
      </c>
      <c r="B499" s="7" t="s">
        <v>16</v>
      </c>
      <c r="C499" s="7" t="s">
        <v>17</v>
      </c>
      <c r="D499" s="7"/>
      <c r="E499" s="7" t="s">
        <v>1670</v>
      </c>
      <c r="F499" s="7" t="s">
        <v>19</v>
      </c>
      <c r="G499" s="7" t="s">
        <v>31</v>
      </c>
      <c r="H499" s="7" t="s">
        <v>17</v>
      </c>
      <c r="I499" s="7" t="s">
        <v>17</v>
      </c>
      <c r="J499" s="7" t="s">
        <v>637</v>
      </c>
    </row>
    <row r="500" spans="1:10" x14ac:dyDescent="0.25" outlineLevel="2" collapsed="1">
      <c r="A500" s="7" t="s">
        <v>15</v>
      </c>
      <c r="B500" s="7" t="s">
        <v>16</v>
      </c>
      <c r="C500" s="7" t="s">
        <v>17</v>
      </c>
      <c r="D500" s="7"/>
      <c r="E500" s="7" t="s">
        <v>638</v>
      </c>
      <c r="F500" s="7" t="s">
        <v>19</v>
      </c>
      <c r="G500" s="7" t="s">
        <v>31</v>
      </c>
      <c r="H500" s="7" t="s">
        <v>17</v>
      </c>
      <c r="I500" s="7" t="s">
        <v>17</v>
      </c>
      <c r="J500" s="7" t="s">
        <v>640</v>
      </c>
    </row>
    <row r="501" spans="1:10" x14ac:dyDescent="0.25" outlineLevel="2" collapsed="1">
      <c r="A501" s="7" t="s">
        <v>15</v>
      </c>
      <c r="B501" s="7" t="s">
        <v>16</v>
      </c>
      <c r="C501" s="7" t="s">
        <v>17</v>
      </c>
      <c r="D501" s="7"/>
      <c r="E501" s="7" t="s">
        <v>9</v>
      </c>
      <c r="F501" s="7" t="s">
        <v>19</v>
      </c>
      <c r="G501" s="7" t="s">
        <v>31</v>
      </c>
      <c r="H501" s="7" t="s">
        <v>17</v>
      </c>
      <c r="I501" s="7" t="s">
        <v>17</v>
      </c>
      <c r="J501" s="7" t="s">
        <v>843</v>
      </c>
    </row>
    <row r="502" spans="1:10" x14ac:dyDescent="0.25" outlineLevel="2" collapsed="1">
      <c r="A502" s="7" t="s">
        <v>19</v>
      </c>
      <c r="B502" s="7" t="s">
        <v>16</v>
      </c>
      <c r="C502" s="7" t="s">
        <v>17</v>
      </c>
      <c r="D502" s="7"/>
      <c r="E502" s="7" t="s">
        <v>1600</v>
      </c>
      <c r="F502" s="7" t="s">
        <v>19</v>
      </c>
      <c r="G502" s="7" t="s">
        <v>31</v>
      </c>
      <c r="H502" s="7" t="s">
        <v>17</v>
      </c>
      <c r="I502" s="7" t="s">
        <v>17</v>
      </c>
      <c r="J502" s="7" t="s">
        <v>1424</v>
      </c>
    </row>
    <row r="503" spans="1:10" x14ac:dyDescent="0.25" outlineLevel="2" collapsed="1">
      <c r="A503" s="7" t="s">
        <v>15</v>
      </c>
      <c r="B503" s="7" t="s">
        <v>16</v>
      </c>
      <c r="C503" s="7" t="s">
        <v>17</v>
      </c>
      <c r="D503" s="7"/>
      <c r="E503" s="7" t="s">
        <v>1601</v>
      </c>
      <c r="F503" s="7" t="s">
        <v>19</v>
      </c>
      <c r="G503" s="7" t="s">
        <v>31</v>
      </c>
      <c r="H503" s="7" t="s">
        <v>17</v>
      </c>
      <c r="I503" s="7" t="s">
        <v>17</v>
      </c>
      <c r="J503" s="7" t="s">
        <v>1602</v>
      </c>
    </row>
    <row r="504" spans="1:10" x14ac:dyDescent="0.25" outlineLevel="2" collapsed="1">
      <c r="A504" s="7" t="s">
        <v>15</v>
      </c>
      <c r="B504" s="7" t="s">
        <v>16</v>
      </c>
      <c r="C504" s="7" t="s">
        <v>17</v>
      </c>
      <c r="D504" s="7"/>
      <c r="E504" s="7" t="s">
        <v>1671</v>
      </c>
      <c r="F504" s="7" t="s">
        <v>19</v>
      </c>
      <c r="G504" s="7" t="s">
        <v>31</v>
      </c>
      <c r="H504" s="7" t="s">
        <v>17</v>
      </c>
      <c r="I504" s="7" t="s">
        <v>17</v>
      </c>
      <c r="J504" s="7" t="s">
        <v>1672</v>
      </c>
    </row>
    <row r="505" spans="1:10" x14ac:dyDescent="0.25" outlineLevel="2" collapsed="1">
      <c r="A505" s="7" t="s">
        <v>15</v>
      </c>
      <c r="B505" s="7" t="s">
        <v>16</v>
      </c>
      <c r="C505" s="7" t="s">
        <v>17</v>
      </c>
      <c r="D505" s="7"/>
      <c r="E505" s="7" t="s">
        <v>1673</v>
      </c>
      <c r="F505" s="7" t="s">
        <v>19</v>
      </c>
      <c r="G505" s="7" t="s">
        <v>31</v>
      </c>
      <c r="H505" s="7" t="s">
        <v>17</v>
      </c>
      <c r="I505" s="7" t="s">
        <v>17</v>
      </c>
      <c r="J505" s="7" t="s">
        <v>1674</v>
      </c>
    </row>
    <row r="506" spans="1:10" x14ac:dyDescent="0.25" outlineLevel="2" collapsed="1">
      <c r="A506" s="7" t="s">
        <v>15</v>
      </c>
      <c r="B506" s="7" t="s">
        <v>16</v>
      </c>
      <c r="C506" s="7" t="s">
        <v>17</v>
      </c>
      <c r="D506" s="7"/>
      <c r="E506" s="7" t="s">
        <v>1675</v>
      </c>
      <c r="F506" s="7" t="s">
        <v>19</v>
      </c>
      <c r="G506" s="7" t="s">
        <v>31</v>
      </c>
      <c r="H506" s="7" t="s">
        <v>17</v>
      </c>
      <c r="I506" s="7" t="s">
        <v>17</v>
      </c>
      <c r="J506" s="7" t="s">
        <v>1422</v>
      </c>
    </row>
    <row r="507" spans="1:10" x14ac:dyDescent="0.25" outlineLevel="2" collapsed="1">
      <c r="A507" s="7" t="s">
        <v>15</v>
      </c>
      <c r="B507" s="7" t="s">
        <v>284</v>
      </c>
      <c r="C507" s="11" t="s">
        <v>1604</v>
      </c>
      <c r="D507" s="7"/>
      <c r="E507" s="7" t="s">
        <v>1605</v>
      </c>
      <c r="F507" s="7" t="s">
        <v>19</v>
      </c>
      <c r="G507" s="7" t="s">
        <v>1606</v>
      </c>
      <c r="H507" s="7" t="s">
        <v>17</v>
      </c>
      <c r="I507" s="7" t="s">
        <v>17</v>
      </c>
      <c r="J507" s="7" t="s">
        <v>1607</v>
      </c>
    </row>
    <row r="508" spans="1:10" x14ac:dyDescent="0.25" outlineLevel="2" collapsed="1">
      <c r="A508" s="7" t="s">
        <v>19</v>
      </c>
      <c r="B508" s="7" t="s">
        <v>63</v>
      </c>
      <c r="C508" s="7" t="s">
        <v>17</v>
      </c>
      <c r="D508" s="7">
        <f>EXACT(G507,"Single value")</f>
      </c>
      <c r="E508" s="7" t="s">
        <v>1676</v>
      </c>
      <c r="F508" s="7" t="s">
        <v>19</v>
      </c>
      <c r="G508" s="7">
        <v>1</v>
      </c>
      <c r="H508" s="7" t="s">
        <v>17</v>
      </c>
      <c r="I508" s="7" t="s">
        <v>17</v>
      </c>
      <c r="J508" s="7" t="s">
        <v>1609</v>
      </c>
    </row>
    <row r="509" spans="1:10" x14ac:dyDescent="0.25" outlineLevel="2" collapsed="1">
      <c r="A509" s="7" t="s">
        <v>19</v>
      </c>
      <c r="B509" s="7" t="s">
        <v>16</v>
      </c>
      <c r="C509" s="7" t="s">
        <v>17</v>
      </c>
      <c r="D509" s="7"/>
      <c r="E509" s="7" t="s">
        <v>1677</v>
      </c>
      <c r="F509" s="7" t="s">
        <v>19</v>
      </c>
      <c r="G509" s="7" t="s">
        <v>31</v>
      </c>
      <c r="H509" s="7" t="s">
        <v>17</v>
      </c>
      <c r="I509" s="7" t="s">
        <v>17</v>
      </c>
      <c r="J509" s="7" t="s">
        <v>1678</v>
      </c>
    </row>
    <row r="510" spans="1:10" x14ac:dyDescent="0.25" outlineLevel="2" collapsed="1">
      <c r="A510" s="7" t="s">
        <v>15</v>
      </c>
      <c r="B510" s="7" t="s">
        <v>16</v>
      </c>
      <c r="C510" s="7" t="s">
        <v>17</v>
      </c>
      <c r="D510" s="7"/>
      <c r="E510" s="7" t="s">
        <v>1679</v>
      </c>
      <c r="F510" s="7" t="s">
        <v>19</v>
      </c>
      <c r="G510" s="7" t="s">
        <v>31</v>
      </c>
      <c r="H510" s="7" t="s">
        <v>17</v>
      </c>
      <c r="I510" s="7" t="s">
        <v>17</v>
      </c>
      <c r="J510" s="7" t="s">
        <v>1680</v>
      </c>
    </row>
    <row r="511" spans="1:10" x14ac:dyDescent="0.25" outlineLevel="2" collapsed="1">
      <c r="A511" s="7" t="s">
        <v>15</v>
      </c>
      <c r="B511" s="7" t="s">
        <v>284</v>
      </c>
      <c r="C511" s="11" t="s">
        <v>1611</v>
      </c>
      <c r="D511" s="7"/>
      <c r="E511" s="7" t="s">
        <v>1612</v>
      </c>
      <c r="F511" s="7" t="s">
        <v>19</v>
      </c>
      <c r="G511" s="7" t="s">
        <v>1613</v>
      </c>
      <c r="H511" s="7" t="s">
        <v>17</v>
      </c>
      <c r="I511" s="7" t="s">
        <v>17</v>
      </c>
      <c r="J511" s="7" t="s">
        <v>1614</v>
      </c>
    </row>
    <row r="512" spans="1:10" x14ac:dyDescent="0.25" outlineLevel="2" collapsed="1">
      <c r="A512" s="7" t="s">
        <v>19</v>
      </c>
      <c r="B512" s="7" t="s">
        <v>16</v>
      </c>
      <c r="C512" s="7" t="s">
        <v>17</v>
      </c>
      <c r="D512" s="7"/>
      <c r="E512" s="7" t="s">
        <v>1681</v>
      </c>
      <c r="F512" s="7" t="s">
        <v>19</v>
      </c>
      <c r="G512" s="7" t="s">
        <v>31</v>
      </c>
      <c r="H512" s="7" t="s">
        <v>17</v>
      </c>
      <c r="I512" s="7" t="s">
        <v>17</v>
      </c>
      <c r="J512" s="7" t="s">
        <v>1682</v>
      </c>
    </row>
    <row r="513" spans="1:10" x14ac:dyDescent="0.25" outlineLevel="2" collapsed="1">
      <c r="A513" s="7" t="s">
        <v>19</v>
      </c>
      <c r="B513" s="7" t="s">
        <v>16</v>
      </c>
      <c r="C513" s="7" t="s">
        <v>17</v>
      </c>
      <c r="D513" s="7"/>
      <c r="E513" s="7" t="s">
        <v>1615</v>
      </c>
      <c r="F513" s="7" t="s">
        <v>19</v>
      </c>
      <c r="G513" s="7" t="s">
        <v>31</v>
      </c>
      <c r="H513" s="7" t="s">
        <v>17</v>
      </c>
      <c r="I513" s="7" t="s">
        <v>17</v>
      </c>
      <c r="J513" s="7" t="s">
        <v>1616</v>
      </c>
    </row>
    <row r="514" spans="1:10" x14ac:dyDescent="0.25" outlineLevel="1" collapsed="1">
      <c r="A514" s="8" t="s">
        <v>19</v>
      </c>
      <c r="B514" s="9" t="s">
        <v>1667</v>
      </c>
      <c r="C514" s="8" t="s">
        <v>17</v>
      </c>
      <c r="D514" s="8"/>
      <c r="E514" s="8" t="s">
        <v>1748</v>
      </c>
      <c r="F514" s="8" t="s">
        <v>19</v>
      </c>
      <c r="G514" s="8" t="s">
        <v>17</v>
      </c>
      <c r="H514" s="8" t="s">
        <v>17</v>
      </c>
      <c r="I514" s="8" t="s">
        <v>17</v>
      </c>
      <c r="J514" s="8" t="s">
        <v>1749</v>
      </c>
    </row>
    <row r="515" spans="1:10" x14ac:dyDescent="0.25" outlineLevel="2" collapsed="1">
      <c r="A515" s="7" t="s">
        <v>15</v>
      </c>
      <c r="B515" s="7" t="s">
        <v>16</v>
      </c>
      <c r="C515" s="7" t="s">
        <v>17</v>
      </c>
      <c r="D515" s="7"/>
      <c r="E515" s="7" t="s">
        <v>1670</v>
      </c>
      <c r="F515" s="7" t="s">
        <v>19</v>
      </c>
      <c r="G515" s="7" t="s">
        <v>31</v>
      </c>
      <c r="H515" s="7" t="s">
        <v>17</v>
      </c>
      <c r="I515" s="7" t="s">
        <v>17</v>
      </c>
      <c r="J515" s="7" t="s">
        <v>637</v>
      </c>
    </row>
    <row r="516" spans="1:10" x14ac:dyDescent="0.25" outlineLevel="2" collapsed="1">
      <c r="A516" s="7" t="s">
        <v>15</v>
      </c>
      <c r="B516" s="7" t="s">
        <v>16</v>
      </c>
      <c r="C516" s="7" t="s">
        <v>17</v>
      </c>
      <c r="D516" s="7"/>
      <c r="E516" s="7" t="s">
        <v>638</v>
      </c>
      <c r="F516" s="7" t="s">
        <v>19</v>
      </c>
      <c r="G516" s="7" t="s">
        <v>31</v>
      </c>
      <c r="H516" s="7" t="s">
        <v>17</v>
      </c>
      <c r="I516" s="7" t="s">
        <v>17</v>
      </c>
      <c r="J516" s="7" t="s">
        <v>640</v>
      </c>
    </row>
    <row r="517" spans="1:10" x14ac:dyDescent="0.25" outlineLevel="2" collapsed="1">
      <c r="A517" s="7" t="s">
        <v>15</v>
      </c>
      <c r="B517" s="7" t="s">
        <v>16</v>
      </c>
      <c r="C517" s="7" t="s">
        <v>17</v>
      </c>
      <c r="D517" s="7"/>
      <c r="E517" s="7" t="s">
        <v>9</v>
      </c>
      <c r="F517" s="7" t="s">
        <v>19</v>
      </c>
      <c r="G517" s="7" t="s">
        <v>31</v>
      </c>
      <c r="H517" s="7" t="s">
        <v>17</v>
      </c>
      <c r="I517" s="7" t="s">
        <v>17</v>
      </c>
      <c r="J517" s="7" t="s">
        <v>843</v>
      </c>
    </row>
    <row r="518" spans="1:10" x14ac:dyDescent="0.25" outlineLevel="2" collapsed="1">
      <c r="A518" s="7" t="s">
        <v>19</v>
      </c>
      <c r="B518" s="7" t="s">
        <v>16</v>
      </c>
      <c r="C518" s="7" t="s">
        <v>17</v>
      </c>
      <c r="D518" s="7"/>
      <c r="E518" s="7" t="s">
        <v>1600</v>
      </c>
      <c r="F518" s="7" t="s">
        <v>19</v>
      </c>
      <c r="G518" s="7" t="s">
        <v>31</v>
      </c>
      <c r="H518" s="7" t="s">
        <v>17</v>
      </c>
      <c r="I518" s="7" t="s">
        <v>17</v>
      </c>
      <c r="J518" s="7" t="s">
        <v>1424</v>
      </c>
    </row>
    <row r="519" spans="1:10" x14ac:dyDescent="0.25" outlineLevel="2" collapsed="1">
      <c r="A519" s="7" t="s">
        <v>15</v>
      </c>
      <c r="B519" s="7" t="s">
        <v>16</v>
      </c>
      <c r="C519" s="7" t="s">
        <v>17</v>
      </c>
      <c r="D519" s="7"/>
      <c r="E519" s="7" t="s">
        <v>1601</v>
      </c>
      <c r="F519" s="7" t="s">
        <v>19</v>
      </c>
      <c r="G519" s="7" t="s">
        <v>31</v>
      </c>
      <c r="H519" s="7" t="s">
        <v>17</v>
      </c>
      <c r="I519" s="7" t="s">
        <v>17</v>
      </c>
      <c r="J519" s="7" t="s">
        <v>1602</v>
      </c>
    </row>
    <row r="520" spans="1:10" x14ac:dyDescent="0.25" outlineLevel="2" collapsed="1">
      <c r="A520" s="7" t="s">
        <v>15</v>
      </c>
      <c r="B520" s="7" t="s">
        <v>16</v>
      </c>
      <c r="C520" s="7" t="s">
        <v>17</v>
      </c>
      <c r="D520" s="7"/>
      <c r="E520" s="7" t="s">
        <v>1671</v>
      </c>
      <c r="F520" s="7" t="s">
        <v>19</v>
      </c>
      <c r="G520" s="7" t="s">
        <v>31</v>
      </c>
      <c r="H520" s="7" t="s">
        <v>17</v>
      </c>
      <c r="I520" s="7" t="s">
        <v>17</v>
      </c>
      <c r="J520" s="7" t="s">
        <v>1672</v>
      </c>
    </row>
    <row r="521" spans="1:10" x14ac:dyDescent="0.25" outlineLevel="2" collapsed="1">
      <c r="A521" s="7" t="s">
        <v>15</v>
      </c>
      <c r="B521" s="7" t="s">
        <v>16</v>
      </c>
      <c r="C521" s="7" t="s">
        <v>17</v>
      </c>
      <c r="D521" s="7"/>
      <c r="E521" s="7" t="s">
        <v>1673</v>
      </c>
      <c r="F521" s="7" t="s">
        <v>19</v>
      </c>
      <c r="G521" s="7" t="s">
        <v>31</v>
      </c>
      <c r="H521" s="7" t="s">
        <v>17</v>
      </c>
      <c r="I521" s="7" t="s">
        <v>17</v>
      </c>
      <c r="J521" s="7" t="s">
        <v>1674</v>
      </c>
    </row>
    <row r="522" spans="1:10" x14ac:dyDescent="0.25" outlineLevel="2" collapsed="1">
      <c r="A522" s="7" t="s">
        <v>15</v>
      </c>
      <c r="B522" s="7" t="s">
        <v>16</v>
      </c>
      <c r="C522" s="7" t="s">
        <v>17</v>
      </c>
      <c r="D522" s="7"/>
      <c r="E522" s="7" t="s">
        <v>1675</v>
      </c>
      <c r="F522" s="7" t="s">
        <v>19</v>
      </c>
      <c r="G522" s="7" t="s">
        <v>31</v>
      </c>
      <c r="H522" s="7" t="s">
        <v>17</v>
      </c>
      <c r="I522" s="7" t="s">
        <v>17</v>
      </c>
      <c r="J522" s="7" t="s">
        <v>1422</v>
      </c>
    </row>
    <row r="523" spans="1:10" x14ac:dyDescent="0.25" outlineLevel="2" collapsed="1">
      <c r="A523" s="7" t="s">
        <v>15</v>
      </c>
      <c r="B523" s="7" t="s">
        <v>284</v>
      </c>
      <c r="C523" s="11" t="s">
        <v>1604</v>
      </c>
      <c r="D523" s="7"/>
      <c r="E523" s="7" t="s">
        <v>1605</v>
      </c>
      <c r="F523" s="7" t="s">
        <v>19</v>
      </c>
      <c r="G523" s="7" t="s">
        <v>1606</v>
      </c>
      <c r="H523" s="7" t="s">
        <v>17</v>
      </c>
      <c r="I523" s="7" t="s">
        <v>17</v>
      </c>
      <c r="J523" s="7" t="s">
        <v>1607</v>
      </c>
    </row>
    <row r="524" spans="1:10" x14ac:dyDescent="0.25" outlineLevel="2" collapsed="1">
      <c r="A524" s="7" t="s">
        <v>19</v>
      </c>
      <c r="B524" s="7" t="s">
        <v>63</v>
      </c>
      <c r="C524" s="7" t="s">
        <v>17</v>
      </c>
      <c r="D524" s="7">
        <f>EXACT(G523,"Single value")</f>
      </c>
      <c r="E524" s="7" t="s">
        <v>1676</v>
      </c>
      <c r="F524" s="7" t="s">
        <v>19</v>
      </c>
      <c r="G524" s="7">
        <v>1</v>
      </c>
      <c r="H524" s="7" t="s">
        <v>17</v>
      </c>
      <c r="I524" s="7" t="s">
        <v>17</v>
      </c>
      <c r="J524" s="7" t="s">
        <v>1609</v>
      </c>
    </row>
    <row r="525" spans="1:10" x14ac:dyDescent="0.25" outlineLevel="2" collapsed="1">
      <c r="A525" s="7" t="s">
        <v>19</v>
      </c>
      <c r="B525" s="7" t="s">
        <v>16</v>
      </c>
      <c r="C525" s="7" t="s">
        <v>17</v>
      </c>
      <c r="D525" s="7"/>
      <c r="E525" s="7" t="s">
        <v>1677</v>
      </c>
      <c r="F525" s="7" t="s">
        <v>19</v>
      </c>
      <c r="G525" s="7" t="s">
        <v>31</v>
      </c>
      <c r="H525" s="7" t="s">
        <v>17</v>
      </c>
      <c r="I525" s="7" t="s">
        <v>17</v>
      </c>
      <c r="J525" s="7" t="s">
        <v>1678</v>
      </c>
    </row>
    <row r="526" spans="1:10" x14ac:dyDescent="0.25" outlineLevel="2" collapsed="1">
      <c r="A526" s="7" t="s">
        <v>15</v>
      </c>
      <c r="B526" s="7" t="s">
        <v>16</v>
      </c>
      <c r="C526" s="7" t="s">
        <v>17</v>
      </c>
      <c r="D526" s="7"/>
      <c r="E526" s="7" t="s">
        <v>1679</v>
      </c>
      <c r="F526" s="7" t="s">
        <v>19</v>
      </c>
      <c r="G526" s="7" t="s">
        <v>31</v>
      </c>
      <c r="H526" s="7" t="s">
        <v>17</v>
      </c>
      <c r="I526" s="7" t="s">
        <v>17</v>
      </c>
      <c r="J526" s="7" t="s">
        <v>1680</v>
      </c>
    </row>
    <row r="527" spans="1:10" x14ac:dyDescent="0.25" outlineLevel="2" collapsed="1">
      <c r="A527" s="7" t="s">
        <v>15</v>
      </c>
      <c r="B527" s="7" t="s">
        <v>284</v>
      </c>
      <c r="C527" s="11" t="s">
        <v>1611</v>
      </c>
      <c r="D527" s="7"/>
      <c r="E527" s="7" t="s">
        <v>1612</v>
      </c>
      <c r="F527" s="7" t="s">
        <v>19</v>
      </c>
      <c r="G527" s="7" t="s">
        <v>1613</v>
      </c>
      <c r="H527" s="7" t="s">
        <v>17</v>
      </c>
      <c r="I527" s="7" t="s">
        <v>17</v>
      </c>
      <c r="J527" s="7" t="s">
        <v>1614</v>
      </c>
    </row>
    <row r="528" spans="1:10" x14ac:dyDescent="0.25" outlineLevel="2" collapsed="1">
      <c r="A528" s="7" t="s">
        <v>19</v>
      </c>
      <c r="B528" s="7" t="s">
        <v>16</v>
      </c>
      <c r="C528" s="7" t="s">
        <v>17</v>
      </c>
      <c r="D528" s="7"/>
      <c r="E528" s="7" t="s">
        <v>1681</v>
      </c>
      <c r="F528" s="7" t="s">
        <v>19</v>
      </c>
      <c r="G528" s="7" t="s">
        <v>31</v>
      </c>
      <c r="H528" s="7" t="s">
        <v>17</v>
      </c>
      <c r="I528" s="7" t="s">
        <v>17</v>
      </c>
      <c r="J528" s="7" t="s">
        <v>1682</v>
      </c>
    </row>
    <row r="529" spans="1:10" x14ac:dyDescent="0.25" outlineLevel="2" collapsed="1">
      <c r="A529" s="7" t="s">
        <v>19</v>
      </c>
      <c r="B529" s="7" t="s">
        <v>16</v>
      </c>
      <c r="C529" s="7" t="s">
        <v>17</v>
      </c>
      <c r="D529" s="7"/>
      <c r="E529" s="7" t="s">
        <v>1615</v>
      </c>
      <c r="F529" s="7" t="s">
        <v>19</v>
      </c>
      <c r="G529" s="7" t="s">
        <v>31</v>
      </c>
      <c r="H529" s="7" t="s">
        <v>17</v>
      </c>
      <c r="I529" s="7" t="s">
        <v>17</v>
      </c>
      <c r="J529" s="7" t="s">
        <v>1616</v>
      </c>
    </row>
    <row r="530" spans="1:10" x14ac:dyDescent="0.25" outlineLevel="1" collapsed="1">
      <c r="A530" s="8" t="s">
        <v>19</v>
      </c>
      <c r="B530" s="9" t="s">
        <v>1667</v>
      </c>
      <c r="C530" s="8" t="s">
        <v>17</v>
      </c>
      <c r="D530" s="8"/>
      <c r="E530" s="8" t="s">
        <v>1750</v>
      </c>
      <c r="F530" s="8" t="s">
        <v>19</v>
      </c>
      <c r="G530" s="8" t="s">
        <v>17</v>
      </c>
      <c r="H530" s="8" t="s">
        <v>17</v>
      </c>
      <c r="I530" s="8" t="s">
        <v>17</v>
      </c>
      <c r="J530" s="8" t="s">
        <v>1751</v>
      </c>
    </row>
    <row r="531" spans="1:10" x14ac:dyDescent="0.25" outlineLevel="2" collapsed="1">
      <c r="A531" s="7" t="s">
        <v>15</v>
      </c>
      <c r="B531" s="7" t="s">
        <v>16</v>
      </c>
      <c r="C531" s="7" t="s">
        <v>17</v>
      </c>
      <c r="D531" s="7"/>
      <c r="E531" s="7" t="s">
        <v>1670</v>
      </c>
      <c r="F531" s="7" t="s">
        <v>19</v>
      </c>
      <c r="G531" s="7" t="s">
        <v>31</v>
      </c>
      <c r="H531" s="7" t="s">
        <v>17</v>
      </c>
      <c r="I531" s="7" t="s">
        <v>17</v>
      </c>
      <c r="J531" s="7" t="s">
        <v>637</v>
      </c>
    </row>
    <row r="532" spans="1:10" x14ac:dyDescent="0.25" outlineLevel="2" collapsed="1">
      <c r="A532" s="7" t="s">
        <v>15</v>
      </c>
      <c r="B532" s="7" t="s">
        <v>16</v>
      </c>
      <c r="C532" s="7" t="s">
        <v>17</v>
      </c>
      <c r="D532" s="7"/>
      <c r="E532" s="7" t="s">
        <v>638</v>
      </c>
      <c r="F532" s="7" t="s">
        <v>19</v>
      </c>
      <c r="G532" s="7" t="s">
        <v>31</v>
      </c>
      <c r="H532" s="7" t="s">
        <v>17</v>
      </c>
      <c r="I532" s="7" t="s">
        <v>17</v>
      </c>
      <c r="J532" s="7" t="s">
        <v>640</v>
      </c>
    </row>
    <row r="533" spans="1:10" x14ac:dyDescent="0.25" outlineLevel="2" collapsed="1">
      <c r="A533" s="7" t="s">
        <v>15</v>
      </c>
      <c r="B533" s="7" t="s">
        <v>16</v>
      </c>
      <c r="C533" s="7" t="s">
        <v>17</v>
      </c>
      <c r="D533" s="7"/>
      <c r="E533" s="7" t="s">
        <v>9</v>
      </c>
      <c r="F533" s="7" t="s">
        <v>19</v>
      </c>
      <c r="G533" s="7" t="s">
        <v>31</v>
      </c>
      <c r="H533" s="7" t="s">
        <v>17</v>
      </c>
      <c r="I533" s="7" t="s">
        <v>17</v>
      </c>
      <c r="J533" s="7" t="s">
        <v>843</v>
      </c>
    </row>
    <row r="534" spans="1:10" x14ac:dyDescent="0.25" outlineLevel="2" collapsed="1">
      <c r="A534" s="7" t="s">
        <v>19</v>
      </c>
      <c r="B534" s="7" t="s">
        <v>16</v>
      </c>
      <c r="C534" s="7" t="s">
        <v>17</v>
      </c>
      <c r="D534" s="7"/>
      <c r="E534" s="7" t="s">
        <v>1600</v>
      </c>
      <c r="F534" s="7" t="s">
        <v>19</v>
      </c>
      <c r="G534" s="7" t="s">
        <v>31</v>
      </c>
      <c r="H534" s="7" t="s">
        <v>17</v>
      </c>
      <c r="I534" s="7" t="s">
        <v>17</v>
      </c>
      <c r="J534" s="7" t="s">
        <v>1424</v>
      </c>
    </row>
    <row r="535" spans="1:10" x14ac:dyDescent="0.25" outlineLevel="2" collapsed="1">
      <c r="A535" s="7" t="s">
        <v>15</v>
      </c>
      <c r="B535" s="7" t="s">
        <v>16</v>
      </c>
      <c r="C535" s="7" t="s">
        <v>17</v>
      </c>
      <c r="D535" s="7"/>
      <c r="E535" s="7" t="s">
        <v>1601</v>
      </c>
      <c r="F535" s="7" t="s">
        <v>19</v>
      </c>
      <c r="G535" s="7" t="s">
        <v>31</v>
      </c>
      <c r="H535" s="7" t="s">
        <v>17</v>
      </c>
      <c r="I535" s="7" t="s">
        <v>17</v>
      </c>
      <c r="J535" s="7" t="s">
        <v>1602</v>
      </c>
    </row>
    <row r="536" spans="1:10" x14ac:dyDescent="0.25" outlineLevel="2" collapsed="1">
      <c r="A536" s="7" t="s">
        <v>15</v>
      </c>
      <c r="B536" s="7" t="s">
        <v>16</v>
      </c>
      <c r="C536" s="7" t="s">
        <v>17</v>
      </c>
      <c r="D536" s="7"/>
      <c r="E536" s="7" t="s">
        <v>1671</v>
      </c>
      <c r="F536" s="7" t="s">
        <v>19</v>
      </c>
      <c r="G536" s="7" t="s">
        <v>31</v>
      </c>
      <c r="H536" s="7" t="s">
        <v>17</v>
      </c>
      <c r="I536" s="7" t="s">
        <v>17</v>
      </c>
      <c r="J536" s="7" t="s">
        <v>1672</v>
      </c>
    </row>
    <row r="537" spans="1:10" x14ac:dyDescent="0.25" outlineLevel="2" collapsed="1">
      <c r="A537" s="7" t="s">
        <v>15</v>
      </c>
      <c r="B537" s="7" t="s">
        <v>16</v>
      </c>
      <c r="C537" s="7" t="s">
        <v>17</v>
      </c>
      <c r="D537" s="7"/>
      <c r="E537" s="7" t="s">
        <v>1673</v>
      </c>
      <c r="F537" s="7" t="s">
        <v>19</v>
      </c>
      <c r="G537" s="7" t="s">
        <v>31</v>
      </c>
      <c r="H537" s="7" t="s">
        <v>17</v>
      </c>
      <c r="I537" s="7" t="s">
        <v>17</v>
      </c>
      <c r="J537" s="7" t="s">
        <v>1674</v>
      </c>
    </row>
    <row r="538" spans="1:10" x14ac:dyDescent="0.25" outlineLevel="2" collapsed="1">
      <c r="A538" s="7" t="s">
        <v>15</v>
      </c>
      <c r="B538" s="7" t="s">
        <v>16</v>
      </c>
      <c r="C538" s="7" t="s">
        <v>17</v>
      </c>
      <c r="D538" s="7"/>
      <c r="E538" s="7" t="s">
        <v>1675</v>
      </c>
      <c r="F538" s="7" t="s">
        <v>19</v>
      </c>
      <c r="G538" s="7" t="s">
        <v>31</v>
      </c>
      <c r="H538" s="7" t="s">
        <v>17</v>
      </c>
      <c r="I538" s="7" t="s">
        <v>17</v>
      </c>
      <c r="J538" s="7" t="s">
        <v>1422</v>
      </c>
    </row>
    <row r="539" spans="1:10" x14ac:dyDescent="0.25" outlineLevel="2" collapsed="1">
      <c r="A539" s="7" t="s">
        <v>15</v>
      </c>
      <c r="B539" s="7" t="s">
        <v>284</v>
      </c>
      <c r="C539" s="11" t="s">
        <v>1604</v>
      </c>
      <c r="D539" s="7"/>
      <c r="E539" s="7" t="s">
        <v>1605</v>
      </c>
      <c r="F539" s="7" t="s">
        <v>19</v>
      </c>
      <c r="G539" s="7" t="s">
        <v>1606</v>
      </c>
      <c r="H539" s="7" t="s">
        <v>17</v>
      </c>
      <c r="I539" s="7" t="s">
        <v>17</v>
      </c>
      <c r="J539" s="7" t="s">
        <v>1607</v>
      </c>
    </row>
    <row r="540" spans="1:10" x14ac:dyDescent="0.25" outlineLevel="2" collapsed="1">
      <c r="A540" s="7" t="s">
        <v>19</v>
      </c>
      <c r="B540" s="7" t="s">
        <v>63</v>
      </c>
      <c r="C540" s="7" t="s">
        <v>17</v>
      </c>
      <c r="D540" s="7">
        <f>EXACT(G539,"Single value")</f>
      </c>
      <c r="E540" s="7" t="s">
        <v>1676</v>
      </c>
      <c r="F540" s="7" t="s">
        <v>19</v>
      </c>
      <c r="G540" s="7">
        <v>1</v>
      </c>
      <c r="H540" s="7" t="s">
        <v>17</v>
      </c>
      <c r="I540" s="7" t="s">
        <v>17</v>
      </c>
      <c r="J540" s="7" t="s">
        <v>1609</v>
      </c>
    </row>
    <row r="541" spans="1:10" x14ac:dyDescent="0.25" outlineLevel="2" collapsed="1">
      <c r="A541" s="7" t="s">
        <v>19</v>
      </c>
      <c r="B541" s="7" t="s">
        <v>16</v>
      </c>
      <c r="C541" s="7" t="s">
        <v>17</v>
      </c>
      <c r="D541" s="7"/>
      <c r="E541" s="7" t="s">
        <v>1677</v>
      </c>
      <c r="F541" s="7" t="s">
        <v>19</v>
      </c>
      <c r="G541" s="7" t="s">
        <v>31</v>
      </c>
      <c r="H541" s="7" t="s">
        <v>17</v>
      </c>
      <c r="I541" s="7" t="s">
        <v>17</v>
      </c>
      <c r="J541" s="7" t="s">
        <v>1678</v>
      </c>
    </row>
    <row r="542" spans="1:10" x14ac:dyDescent="0.25" outlineLevel="2" collapsed="1">
      <c r="A542" s="7" t="s">
        <v>15</v>
      </c>
      <c r="B542" s="7" t="s">
        <v>16</v>
      </c>
      <c r="C542" s="7" t="s">
        <v>17</v>
      </c>
      <c r="D542" s="7"/>
      <c r="E542" s="7" t="s">
        <v>1679</v>
      </c>
      <c r="F542" s="7" t="s">
        <v>19</v>
      </c>
      <c r="G542" s="7" t="s">
        <v>31</v>
      </c>
      <c r="H542" s="7" t="s">
        <v>17</v>
      </c>
      <c r="I542" s="7" t="s">
        <v>17</v>
      </c>
      <c r="J542" s="7" t="s">
        <v>1680</v>
      </c>
    </row>
    <row r="543" spans="1:10" x14ac:dyDescent="0.25" outlineLevel="2" collapsed="1">
      <c r="A543" s="7" t="s">
        <v>15</v>
      </c>
      <c r="B543" s="7" t="s">
        <v>284</v>
      </c>
      <c r="C543" s="11" t="s">
        <v>1611</v>
      </c>
      <c r="D543" s="7"/>
      <c r="E543" s="7" t="s">
        <v>1612</v>
      </c>
      <c r="F543" s="7" t="s">
        <v>19</v>
      </c>
      <c r="G543" s="7" t="s">
        <v>1613</v>
      </c>
      <c r="H543" s="7" t="s">
        <v>17</v>
      </c>
      <c r="I543" s="7" t="s">
        <v>17</v>
      </c>
      <c r="J543" s="7" t="s">
        <v>1614</v>
      </c>
    </row>
    <row r="544" spans="1:10" x14ac:dyDescent="0.25" outlineLevel="2" collapsed="1">
      <c r="A544" s="7" t="s">
        <v>19</v>
      </c>
      <c r="B544" s="7" t="s">
        <v>16</v>
      </c>
      <c r="C544" s="7" t="s">
        <v>17</v>
      </c>
      <c r="D544" s="7"/>
      <c r="E544" s="7" t="s">
        <v>1681</v>
      </c>
      <c r="F544" s="7" t="s">
        <v>19</v>
      </c>
      <c r="G544" s="7" t="s">
        <v>31</v>
      </c>
      <c r="H544" s="7" t="s">
        <v>17</v>
      </c>
      <c r="I544" s="7" t="s">
        <v>17</v>
      </c>
      <c r="J544" s="7" t="s">
        <v>1682</v>
      </c>
    </row>
    <row r="545" spans="1:10" x14ac:dyDescent="0.25" outlineLevel="2" collapsed="1">
      <c r="A545" s="7" t="s">
        <v>19</v>
      </c>
      <c r="B545" s="7" t="s">
        <v>16</v>
      </c>
      <c r="C545" s="7" t="s">
        <v>17</v>
      </c>
      <c r="D545" s="7"/>
      <c r="E545" s="7" t="s">
        <v>1615</v>
      </c>
      <c r="F545" s="7" t="s">
        <v>19</v>
      </c>
      <c r="G545" s="7" t="s">
        <v>31</v>
      </c>
      <c r="H545" s="7" t="s">
        <v>17</v>
      </c>
      <c r="I545" s="7" t="s">
        <v>17</v>
      </c>
      <c r="J545" s="7" t="s">
        <v>1616</v>
      </c>
    </row>
    <row r="546" spans="1:10" x14ac:dyDescent="0.25" outlineLevel="1" collapsed="1">
      <c r="A546" s="8" t="s">
        <v>19</v>
      </c>
      <c r="B546" s="9" t="s">
        <v>1667</v>
      </c>
      <c r="C546" s="8" t="s">
        <v>17</v>
      </c>
      <c r="D546" s="8"/>
      <c r="E546" s="8" t="s">
        <v>1752</v>
      </c>
      <c r="F546" s="8" t="s">
        <v>19</v>
      </c>
      <c r="G546" s="8" t="s">
        <v>17</v>
      </c>
      <c r="H546" s="8" t="s">
        <v>17</v>
      </c>
      <c r="I546" s="8" t="s">
        <v>17</v>
      </c>
      <c r="J546" s="8" t="s">
        <v>1753</v>
      </c>
    </row>
    <row r="547" spans="1:10" x14ac:dyDescent="0.25" outlineLevel="2" collapsed="1">
      <c r="A547" s="7" t="s">
        <v>15</v>
      </c>
      <c r="B547" s="7" t="s">
        <v>16</v>
      </c>
      <c r="C547" s="7" t="s">
        <v>17</v>
      </c>
      <c r="D547" s="7"/>
      <c r="E547" s="7" t="s">
        <v>1670</v>
      </c>
      <c r="F547" s="7" t="s">
        <v>19</v>
      </c>
      <c r="G547" s="7" t="s">
        <v>31</v>
      </c>
      <c r="H547" s="7" t="s">
        <v>17</v>
      </c>
      <c r="I547" s="7" t="s">
        <v>17</v>
      </c>
      <c r="J547" s="7" t="s">
        <v>637</v>
      </c>
    </row>
    <row r="548" spans="1:10" x14ac:dyDescent="0.25" outlineLevel="2" collapsed="1">
      <c r="A548" s="7" t="s">
        <v>15</v>
      </c>
      <c r="B548" s="7" t="s">
        <v>16</v>
      </c>
      <c r="C548" s="7" t="s">
        <v>17</v>
      </c>
      <c r="D548" s="7"/>
      <c r="E548" s="7" t="s">
        <v>638</v>
      </c>
      <c r="F548" s="7" t="s">
        <v>19</v>
      </c>
      <c r="G548" s="7" t="s">
        <v>31</v>
      </c>
      <c r="H548" s="7" t="s">
        <v>17</v>
      </c>
      <c r="I548" s="7" t="s">
        <v>17</v>
      </c>
      <c r="J548" s="7" t="s">
        <v>640</v>
      </c>
    </row>
    <row r="549" spans="1:10" x14ac:dyDescent="0.25" outlineLevel="2" collapsed="1">
      <c r="A549" s="7" t="s">
        <v>15</v>
      </c>
      <c r="B549" s="7" t="s">
        <v>16</v>
      </c>
      <c r="C549" s="7" t="s">
        <v>17</v>
      </c>
      <c r="D549" s="7"/>
      <c r="E549" s="7" t="s">
        <v>9</v>
      </c>
      <c r="F549" s="7" t="s">
        <v>19</v>
      </c>
      <c r="G549" s="7" t="s">
        <v>31</v>
      </c>
      <c r="H549" s="7" t="s">
        <v>17</v>
      </c>
      <c r="I549" s="7" t="s">
        <v>17</v>
      </c>
      <c r="J549" s="7" t="s">
        <v>843</v>
      </c>
    </row>
    <row r="550" spans="1:10" x14ac:dyDescent="0.25" outlineLevel="2" collapsed="1">
      <c r="A550" s="7" t="s">
        <v>19</v>
      </c>
      <c r="B550" s="7" t="s">
        <v>16</v>
      </c>
      <c r="C550" s="7" t="s">
        <v>17</v>
      </c>
      <c r="D550" s="7"/>
      <c r="E550" s="7" t="s">
        <v>1600</v>
      </c>
      <c r="F550" s="7" t="s">
        <v>19</v>
      </c>
      <c r="G550" s="7" t="s">
        <v>31</v>
      </c>
      <c r="H550" s="7" t="s">
        <v>17</v>
      </c>
      <c r="I550" s="7" t="s">
        <v>17</v>
      </c>
      <c r="J550" s="7" t="s">
        <v>1424</v>
      </c>
    </row>
    <row r="551" spans="1:10" x14ac:dyDescent="0.25" outlineLevel="2" collapsed="1">
      <c r="A551" s="7" t="s">
        <v>15</v>
      </c>
      <c r="B551" s="7" t="s">
        <v>16</v>
      </c>
      <c r="C551" s="7" t="s">
        <v>17</v>
      </c>
      <c r="D551" s="7"/>
      <c r="E551" s="7" t="s">
        <v>1601</v>
      </c>
      <c r="F551" s="7" t="s">
        <v>19</v>
      </c>
      <c r="G551" s="7" t="s">
        <v>31</v>
      </c>
      <c r="H551" s="7" t="s">
        <v>17</v>
      </c>
      <c r="I551" s="7" t="s">
        <v>17</v>
      </c>
      <c r="J551" s="7" t="s">
        <v>1602</v>
      </c>
    </row>
    <row r="552" spans="1:10" x14ac:dyDescent="0.25" outlineLevel="2" collapsed="1">
      <c r="A552" s="7" t="s">
        <v>15</v>
      </c>
      <c r="B552" s="7" t="s">
        <v>16</v>
      </c>
      <c r="C552" s="7" t="s">
        <v>17</v>
      </c>
      <c r="D552" s="7"/>
      <c r="E552" s="7" t="s">
        <v>1671</v>
      </c>
      <c r="F552" s="7" t="s">
        <v>19</v>
      </c>
      <c r="G552" s="7" t="s">
        <v>31</v>
      </c>
      <c r="H552" s="7" t="s">
        <v>17</v>
      </c>
      <c r="I552" s="7" t="s">
        <v>17</v>
      </c>
      <c r="J552" s="7" t="s">
        <v>1672</v>
      </c>
    </row>
    <row r="553" spans="1:10" x14ac:dyDescent="0.25" outlineLevel="2" collapsed="1">
      <c r="A553" s="7" t="s">
        <v>15</v>
      </c>
      <c r="B553" s="7" t="s">
        <v>16</v>
      </c>
      <c r="C553" s="7" t="s">
        <v>17</v>
      </c>
      <c r="D553" s="7"/>
      <c r="E553" s="7" t="s">
        <v>1673</v>
      </c>
      <c r="F553" s="7" t="s">
        <v>19</v>
      </c>
      <c r="G553" s="7" t="s">
        <v>31</v>
      </c>
      <c r="H553" s="7" t="s">
        <v>17</v>
      </c>
      <c r="I553" s="7" t="s">
        <v>17</v>
      </c>
      <c r="J553" s="7" t="s">
        <v>1674</v>
      </c>
    </row>
    <row r="554" spans="1:10" x14ac:dyDescent="0.25" outlineLevel="2" collapsed="1">
      <c r="A554" s="7" t="s">
        <v>15</v>
      </c>
      <c r="B554" s="7" t="s">
        <v>16</v>
      </c>
      <c r="C554" s="7" t="s">
        <v>17</v>
      </c>
      <c r="D554" s="7"/>
      <c r="E554" s="7" t="s">
        <v>1675</v>
      </c>
      <c r="F554" s="7" t="s">
        <v>19</v>
      </c>
      <c r="G554" s="7" t="s">
        <v>31</v>
      </c>
      <c r="H554" s="7" t="s">
        <v>17</v>
      </c>
      <c r="I554" s="7" t="s">
        <v>17</v>
      </c>
      <c r="J554" s="7" t="s">
        <v>1422</v>
      </c>
    </row>
    <row r="555" spans="1:10" x14ac:dyDescent="0.25" outlineLevel="2" collapsed="1">
      <c r="A555" s="7" t="s">
        <v>15</v>
      </c>
      <c r="B555" s="7" t="s">
        <v>284</v>
      </c>
      <c r="C555" s="11" t="s">
        <v>1604</v>
      </c>
      <c r="D555" s="7"/>
      <c r="E555" s="7" t="s">
        <v>1605</v>
      </c>
      <c r="F555" s="7" t="s">
        <v>19</v>
      </c>
      <c r="G555" s="7" t="s">
        <v>1606</v>
      </c>
      <c r="H555" s="7" t="s">
        <v>17</v>
      </c>
      <c r="I555" s="7" t="s">
        <v>17</v>
      </c>
      <c r="J555" s="7" t="s">
        <v>1607</v>
      </c>
    </row>
    <row r="556" spans="1:10" x14ac:dyDescent="0.25" outlineLevel="2" collapsed="1">
      <c r="A556" s="7" t="s">
        <v>19</v>
      </c>
      <c r="B556" s="7" t="s">
        <v>63</v>
      </c>
      <c r="C556" s="7" t="s">
        <v>17</v>
      </c>
      <c r="D556" s="7">
        <f>EXACT(G555,"Single value")</f>
      </c>
      <c r="E556" s="7" t="s">
        <v>1676</v>
      </c>
      <c r="F556" s="7" t="s">
        <v>19</v>
      </c>
      <c r="G556" s="7">
        <v>1</v>
      </c>
      <c r="H556" s="7" t="s">
        <v>17</v>
      </c>
      <c r="I556" s="7" t="s">
        <v>17</v>
      </c>
      <c r="J556" s="7" t="s">
        <v>1609</v>
      </c>
    </row>
    <row r="557" spans="1:10" x14ac:dyDescent="0.25" outlineLevel="2" collapsed="1">
      <c r="A557" s="7" t="s">
        <v>19</v>
      </c>
      <c r="B557" s="7" t="s">
        <v>16</v>
      </c>
      <c r="C557" s="7" t="s">
        <v>17</v>
      </c>
      <c r="D557" s="7"/>
      <c r="E557" s="7" t="s">
        <v>1677</v>
      </c>
      <c r="F557" s="7" t="s">
        <v>19</v>
      </c>
      <c r="G557" s="7" t="s">
        <v>31</v>
      </c>
      <c r="H557" s="7" t="s">
        <v>17</v>
      </c>
      <c r="I557" s="7" t="s">
        <v>17</v>
      </c>
      <c r="J557" s="7" t="s">
        <v>1678</v>
      </c>
    </row>
    <row r="558" spans="1:10" x14ac:dyDescent="0.25" outlineLevel="2" collapsed="1">
      <c r="A558" s="7" t="s">
        <v>15</v>
      </c>
      <c r="B558" s="7" t="s">
        <v>16</v>
      </c>
      <c r="C558" s="7" t="s">
        <v>17</v>
      </c>
      <c r="D558" s="7"/>
      <c r="E558" s="7" t="s">
        <v>1679</v>
      </c>
      <c r="F558" s="7" t="s">
        <v>19</v>
      </c>
      <c r="G558" s="7" t="s">
        <v>31</v>
      </c>
      <c r="H558" s="7" t="s">
        <v>17</v>
      </c>
      <c r="I558" s="7" t="s">
        <v>17</v>
      </c>
      <c r="J558" s="7" t="s">
        <v>1680</v>
      </c>
    </row>
    <row r="559" spans="1:10" x14ac:dyDescent="0.25" outlineLevel="2" collapsed="1">
      <c r="A559" s="7" t="s">
        <v>15</v>
      </c>
      <c r="B559" s="7" t="s">
        <v>284</v>
      </c>
      <c r="C559" s="11" t="s">
        <v>1611</v>
      </c>
      <c r="D559" s="7"/>
      <c r="E559" s="7" t="s">
        <v>1612</v>
      </c>
      <c r="F559" s="7" t="s">
        <v>19</v>
      </c>
      <c r="G559" s="7" t="s">
        <v>1613</v>
      </c>
      <c r="H559" s="7" t="s">
        <v>17</v>
      </c>
      <c r="I559" s="7" t="s">
        <v>17</v>
      </c>
      <c r="J559" s="7" t="s">
        <v>1614</v>
      </c>
    </row>
    <row r="560" spans="1:10" x14ac:dyDescent="0.25" outlineLevel="2" collapsed="1">
      <c r="A560" s="7" t="s">
        <v>19</v>
      </c>
      <c r="B560" s="7" t="s">
        <v>16</v>
      </c>
      <c r="C560" s="7" t="s">
        <v>17</v>
      </c>
      <c r="D560" s="7"/>
      <c r="E560" s="7" t="s">
        <v>1681</v>
      </c>
      <c r="F560" s="7" t="s">
        <v>19</v>
      </c>
      <c r="G560" s="7" t="s">
        <v>31</v>
      </c>
      <c r="H560" s="7" t="s">
        <v>17</v>
      </c>
      <c r="I560" s="7" t="s">
        <v>17</v>
      </c>
      <c r="J560" s="7" t="s">
        <v>1682</v>
      </c>
    </row>
    <row r="561" spans="1:10" x14ac:dyDescent="0.25" outlineLevel="2" collapsed="1">
      <c r="A561" s="7" t="s">
        <v>19</v>
      </c>
      <c r="B561" s="7" t="s">
        <v>16</v>
      </c>
      <c r="C561" s="7" t="s">
        <v>17</v>
      </c>
      <c r="D561" s="7"/>
      <c r="E561" s="7" t="s">
        <v>1615</v>
      </c>
      <c r="F561" s="7" t="s">
        <v>19</v>
      </c>
      <c r="G561" s="7" t="s">
        <v>31</v>
      </c>
      <c r="H561" s="7" t="s">
        <v>17</v>
      </c>
      <c r="I561" s="7" t="s">
        <v>17</v>
      </c>
      <c r="J561" s="7" t="s">
        <v>1616</v>
      </c>
    </row>
    <row r="562" spans="1:10" x14ac:dyDescent="0.25" outlineLevel="1" collapsed="1">
      <c r="A562" s="8" t="s">
        <v>19</v>
      </c>
      <c r="B562" s="9" t="s">
        <v>1667</v>
      </c>
      <c r="C562" s="8" t="s">
        <v>17</v>
      </c>
      <c r="D562" s="8"/>
      <c r="E562" s="8" t="s">
        <v>1754</v>
      </c>
      <c r="F562" s="8" t="s">
        <v>19</v>
      </c>
      <c r="G562" s="8" t="s">
        <v>17</v>
      </c>
      <c r="H562" s="8" t="s">
        <v>17</v>
      </c>
      <c r="I562" s="8" t="s">
        <v>17</v>
      </c>
      <c r="J562" s="8" t="s">
        <v>1755</v>
      </c>
    </row>
    <row r="563" spans="1:10" x14ac:dyDescent="0.25" outlineLevel="2" collapsed="1">
      <c r="A563" s="7" t="s">
        <v>15</v>
      </c>
      <c r="B563" s="7" t="s">
        <v>16</v>
      </c>
      <c r="C563" s="7" t="s">
        <v>17</v>
      </c>
      <c r="D563" s="7"/>
      <c r="E563" s="7" t="s">
        <v>1670</v>
      </c>
      <c r="F563" s="7" t="s">
        <v>19</v>
      </c>
      <c r="G563" s="7" t="s">
        <v>31</v>
      </c>
      <c r="H563" s="7" t="s">
        <v>17</v>
      </c>
      <c r="I563" s="7" t="s">
        <v>17</v>
      </c>
      <c r="J563" s="7" t="s">
        <v>637</v>
      </c>
    </row>
    <row r="564" spans="1:10" x14ac:dyDescent="0.25" outlineLevel="2" collapsed="1">
      <c r="A564" s="7" t="s">
        <v>15</v>
      </c>
      <c r="B564" s="7" t="s">
        <v>16</v>
      </c>
      <c r="C564" s="7" t="s">
        <v>17</v>
      </c>
      <c r="D564" s="7"/>
      <c r="E564" s="7" t="s">
        <v>638</v>
      </c>
      <c r="F564" s="7" t="s">
        <v>19</v>
      </c>
      <c r="G564" s="7" t="s">
        <v>31</v>
      </c>
      <c r="H564" s="7" t="s">
        <v>17</v>
      </c>
      <c r="I564" s="7" t="s">
        <v>17</v>
      </c>
      <c r="J564" s="7" t="s">
        <v>640</v>
      </c>
    </row>
    <row r="565" spans="1:10" x14ac:dyDescent="0.25" outlineLevel="2" collapsed="1">
      <c r="A565" s="7" t="s">
        <v>15</v>
      </c>
      <c r="B565" s="7" t="s">
        <v>16</v>
      </c>
      <c r="C565" s="7" t="s">
        <v>17</v>
      </c>
      <c r="D565" s="7"/>
      <c r="E565" s="7" t="s">
        <v>9</v>
      </c>
      <c r="F565" s="7" t="s">
        <v>19</v>
      </c>
      <c r="G565" s="7" t="s">
        <v>31</v>
      </c>
      <c r="H565" s="7" t="s">
        <v>17</v>
      </c>
      <c r="I565" s="7" t="s">
        <v>17</v>
      </c>
      <c r="J565" s="7" t="s">
        <v>843</v>
      </c>
    </row>
    <row r="566" spans="1:10" x14ac:dyDescent="0.25" outlineLevel="2" collapsed="1">
      <c r="A566" s="7" t="s">
        <v>19</v>
      </c>
      <c r="B566" s="7" t="s">
        <v>16</v>
      </c>
      <c r="C566" s="7" t="s">
        <v>17</v>
      </c>
      <c r="D566" s="7"/>
      <c r="E566" s="7" t="s">
        <v>1600</v>
      </c>
      <c r="F566" s="7" t="s">
        <v>19</v>
      </c>
      <c r="G566" s="7" t="s">
        <v>31</v>
      </c>
      <c r="H566" s="7" t="s">
        <v>17</v>
      </c>
      <c r="I566" s="7" t="s">
        <v>17</v>
      </c>
      <c r="J566" s="7" t="s">
        <v>1424</v>
      </c>
    </row>
    <row r="567" spans="1:10" x14ac:dyDescent="0.25" outlineLevel="2" collapsed="1">
      <c r="A567" s="7" t="s">
        <v>15</v>
      </c>
      <c r="B567" s="7" t="s">
        <v>16</v>
      </c>
      <c r="C567" s="7" t="s">
        <v>17</v>
      </c>
      <c r="D567" s="7"/>
      <c r="E567" s="7" t="s">
        <v>1601</v>
      </c>
      <c r="F567" s="7" t="s">
        <v>19</v>
      </c>
      <c r="G567" s="7" t="s">
        <v>31</v>
      </c>
      <c r="H567" s="7" t="s">
        <v>17</v>
      </c>
      <c r="I567" s="7" t="s">
        <v>17</v>
      </c>
      <c r="J567" s="7" t="s">
        <v>1602</v>
      </c>
    </row>
    <row r="568" spans="1:10" x14ac:dyDescent="0.25" outlineLevel="2" collapsed="1">
      <c r="A568" s="7" t="s">
        <v>15</v>
      </c>
      <c r="B568" s="7" t="s">
        <v>16</v>
      </c>
      <c r="C568" s="7" t="s">
        <v>17</v>
      </c>
      <c r="D568" s="7"/>
      <c r="E568" s="7" t="s">
        <v>1671</v>
      </c>
      <c r="F568" s="7" t="s">
        <v>19</v>
      </c>
      <c r="G568" s="7" t="s">
        <v>31</v>
      </c>
      <c r="H568" s="7" t="s">
        <v>17</v>
      </c>
      <c r="I568" s="7" t="s">
        <v>17</v>
      </c>
      <c r="J568" s="7" t="s">
        <v>1672</v>
      </c>
    </row>
    <row r="569" spans="1:10" x14ac:dyDescent="0.25" outlineLevel="2" collapsed="1">
      <c r="A569" s="7" t="s">
        <v>15</v>
      </c>
      <c r="B569" s="7" t="s">
        <v>16</v>
      </c>
      <c r="C569" s="7" t="s">
        <v>17</v>
      </c>
      <c r="D569" s="7"/>
      <c r="E569" s="7" t="s">
        <v>1673</v>
      </c>
      <c r="F569" s="7" t="s">
        <v>19</v>
      </c>
      <c r="G569" s="7" t="s">
        <v>31</v>
      </c>
      <c r="H569" s="7" t="s">
        <v>17</v>
      </c>
      <c r="I569" s="7" t="s">
        <v>17</v>
      </c>
      <c r="J569" s="7" t="s">
        <v>1674</v>
      </c>
    </row>
    <row r="570" spans="1:10" x14ac:dyDescent="0.25" outlineLevel="2" collapsed="1">
      <c r="A570" s="7" t="s">
        <v>15</v>
      </c>
      <c r="B570" s="7" t="s">
        <v>16</v>
      </c>
      <c r="C570" s="7" t="s">
        <v>17</v>
      </c>
      <c r="D570" s="7"/>
      <c r="E570" s="7" t="s">
        <v>1675</v>
      </c>
      <c r="F570" s="7" t="s">
        <v>19</v>
      </c>
      <c r="G570" s="7" t="s">
        <v>31</v>
      </c>
      <c r="H570" s="7" t="s">
        <v>17</v>
      </c>
      <c r="I570" s="7" t="s">
        <v>17</v>
      </c>
      <c r="J570" s="7" t="s">
        <v>1422</v>
      </c>
    </row>
    <row r="571" spans="1:10" x14ac:dyDescent="0.25" outlineLevel="2" collapsed="1">
      <c r="A571" s="7" t="s">
        <v>15</v>
      </c>
      <c r="B571" s="7" t="s">
        <v>284</v>
      </c>
      <c r="C571" s="11" t="s">
        <v>1604</v>
      </c>
      <c r="D571" s="7"/>
      <c r="E571" s="7" t="s">
        <v>1605</v>
      </c>
      <c r="F571" s="7" t="s">
        <v>19</v>
      </c>
      <c r="G571" s="7" t="s">
        <v>1606</v>
      </c>
      <c r="H571" s="7" t="s">
        <v>17</v>
      </c>
      <c r="I571" s="7" t="s">
        <v>17</v>
      </c>
      <c r="J571" s="7" t="s">
        <v>1607</v>
      </c>
    </row>
    <row r="572" spans="1:10" x14ac:dyDescent="0.25" outlineLevel="2" collapsed="1">
      <c r="A572" s="7" t="s">
        <v>19</v>
      </c>
      <c r="B572" s="7" t="s">
        <v>63</v>
      </c>
      <c r="C572" s="7" t="s">
        <v>17</v>
      </c>
      <c r="D572" s="7">
        <f>EXACT(G571,"Single value")</f>
      </c>
      <c r="E572" s="7" t="s">
        <v>1676</v>
      </c>
      <c r="F572" s="7" t="s">
        <v>19</v>
      </c>
      <c r="G572" s="7">
        <v>1</v>
      </c>
      <c r="H572" s="7" t="s">
        <v>17</v>
      </c>
      <c r="I572" s="7" t="s">
        <v>17</v>
      </c>
      <c r="J572" s="7" t="s">
        <v>1609</v>
      </c>
    </row>
    <row r="573" spans="1:10" x14ac:dyDescent="0.25" outlineLevel="2" collapsed="1">
      <c r="A573" s="7" t="s">
        <v>19</v>
      </c>
      <c r="B573" s="7" t="s">
        <v>16</v>
      </c>
      <c r="C573" s="7" t="s">
        <v>17</v>
      </c>
      <c r="D573" s="7"/>
      <c r="E573" s="7" t="s">
        <v>1677</v>
      </c>
      <c r="F573" s="7" t="s">
        <v>19</v>
      </c>
      <c r="G573" s="7" t="s">
        <v>31</v>
      </c>
      <c r="H573" s="7" t="s">
        <v>17</v>
      </c>
      <c r="I573" s="7" t="s">
        <v>17</v>
      </c>
      <c r="J573" s="7" t="s">
        <v>1678</v>
      </c>
    </row>
    <row r="574" spans="1:10" x14ac:dyDescent="0.25" outlineLevel="2" collapsed="1">
      <c r="A574" s="7" t="s">
        <v>15</v>
      </c>
      <c r="B574" s="7" t="s">
        <v>16</v>
      </c>
      <c r="C574" s="7" t="s">
        <v>17</v>
      </c>
      <c r="D574" s="7"/>
      <c r="E574" s="7" t="s">
        <v>1679</v>
      </c>
      <c r="F574" s="7" t="s">
        <v>19</v>
      </c>
      <c r="G574" s="7" t="s">
        <v>31</v>
      </c>
      <c r="H574" s="7" t="s">
        <v>17</v>
      </c>
      <c r="I574" s="7" t="s">
        <v>17</v>
      </c>
      <c r="J574" s="7" t="s">
        <v>1680</v>
      </c>
    </row>
    <row r="575" spans="1:10" x14ac:dyDescent="0.25" outlineLevel="2" collapsed="1">
      <c r="A575" s="7" t="s">
        <v>15</v>
      </c>
      <c r="B575" s="7" t="s">
        <v>284</v>
      </c>
      <c r="C575" s="11" t="s">
        <v>1611</v>
      </c>
      <c r="D575" s="7"/>
      <c r="E575" s="7" t="s">
        <v>1612</v>
      </c>
      <c r="F575" s="7" t="s">
        <v>19</v>
      </c>
      <c r="G575" s="7" t="s">
        <v>1613</v>
      </c>
      <c r="H575" s="7" t="s">
        <v>17</v>
      </c>
      <c r="I575" s="7" t="s">
        <v>17</v>
      </c>
      <c r="J575" s="7" t="s">
        <v>1614</v>
      </c>
    </row>
    <row r="576" spans="1:10" x14ac:dyDescent="0.25" outlineLevel="2" collapsed="1">
      <c r="A576" s="7" t="s">
        <v>19</v>
      </c>
      <c r="B576" s="7" t="s">
        <v>16</v>
      </c>
      <c r="C576" s="7" t="s">
        <v>17</v>
      </c>
      <c r="D576" s="7"/>
      <c r="E576" s="7" t="s">
        <v>1681</v>
      </c>
      <c r="F576" s="7" t="s">
        <v>19</v>
      </c>
      <c r="G576" s="7" t="s">
        <v>31</v>
      </c>
      <c r="H576" s="7" t="s">
        <v>17</v>
      </c>
      <c r="I576" s="7" t="s">
        <v>17</v>
      </c>
      <c r="J576" s="7" t="s">
        <v>1682</v>
      </c>
    </row>
    <row r="577" spans="1:10" x14ac:dyDescent="0.25" outlineLevel="2" collapsed="1">
      <c r="A577" s="7" t="s">
        <v>19</v>
      </c>
      <c r="B577" s="7" t="s">
        <v>16</v>
      </c>
      <c r="C577" s="7" t="s">
        <v>17</v>
      </c>
      <c r="D577" s="7"/>
      <c r="E577" s="7" t="s">
        <v>1615</v>
      </c>
      <c r="F577" s="7" t="s">
        <v>19</v>
      </c>
      <c r="G577" s="7" t="s">
        <v>31</v>
      </c>
      <c r="H577" s="7" t="s">
        <v>17</v>
      </c>
      <c r="I577" s="7" t="s">
        <v>17</v>
      </c>
      <c r="J577" s="7" t="s">
        <v>1616</v>
      </c>
    </row>
    <row r="578" spans="1:10" x14ac:dyDescent="0.25" outlineLevel="1" collapsed="1">
      <c r="A578" s="8" t="s">
        <v>19</v>
      </c>
      <c r="B578" s="9" t="s">
        <v>1667</v>
      </c>
      <c r="C578" s="8" t="s">
        <v>17</v>
      </c>
      <c r="D578" s="8"/>
      <c r="E578" s="8" t="s">
        <v>1756</v>
      </c>
      <c r="F578" s="8" t="s">
        <v>19</v>
      </c>
      <c r="G578" s="8" t="s">
        <v>17</v>
      </c>
      <c r="H578" s="8" t="s">
        <v>17</v>
      </c>
      <c r="I578" s="8" t="s">
        <v>17</v>
      </c>
      <c r="J578" s="8" t="s">
        <v>1757</v>
      </c>
    </row>
    <row r="579" spans="1:10" x14ac:dyDescent="0.25" outlineLevel="2" collapsed="1">
      <c r="A579" s="7" t="s">
        <v>15</v>
      </c>
      <c r="B579" s="7" t="s">
        <v>16</v>
      </c>
      <c r="C579" s="7" t="s">
        <v>17</v>
      </c>
      <c r="D579" s="7"/>
      <c r="E579" s="7" t="s">
        <v>1670</v>
      </c>
      <c r="F579" s="7" t="s">
        <v>19</v>
      </c>
      <c r="G579" s="7" t="s">
        <v>31</v>
      </c>
      <c r="H579" s="7" t="s">
        <v>17</v>
      </c>
      <c r="I579" s="7" t="s">
        <v>17</v>
      </c>
      <c r="J579" s="7" t="s">
        <v>637</v>
      </c>
    </row>
    <row r="580" spans="1:10" x14ac:dyDescent="0.25" outlineLevel="2" collapsed="1">
      <c r="A580" s="7" t="s">
        <v>15</v>
      </c>
      <c r="B580" s="7" t="s">
        <v>16</v>
      </c>
      <c r="C580" s="7" t="s">
        <v>17</v>
      </c>
      <c r="D580" s="7"/>
      <c r="E580" s="7" t="s">
        <v>638</v>
      </c>
      <c r="F580" s="7" t="s">
        <v>19</v>
      </c>
      <c r="G580" s="7" t="s">
        <v>31</v>
      </c>
      <c r="H580" s="7" t="s">
        <v>17</v>
      </c>
      <c r="I580" s="7" t="s">
        <v>17</v>
      </c>
      <c r="J580" s="7" t="s">
        <v>640</v>
      </c>
    </row>
    <row r="581" spans="1:10" x14ac:dyDescent="0.25" outlineLevel="2" collapsed="1">
      <c r="A581" s="7" t="s">
        <v>15</v>
      </c>
      <c r="B581" s="7" t="s">
        <v>16</v>
      </c>
      <c r="C581" s="7" t="s">
        <v>17</v>
      </c>
      <c r="D581" s="7"/>
      <c r="E581" s="7" t="s">
        <v>9</v>
      </c>
      <c r="F581" s="7" t="s">
        <v>19</v>
      </c>
      <c r="G581" s="7" t="s">
        <v>31</v>
      </c>
      <c r="H581" s="7" t="s">
        <v>17</v>
      </c>
      <c r="I581" s="7" t="s">
        <v>17</v>
      </c>
      <c r="J581" s="7" t="s">
        <v>843</v>
      </c>
    </row>
    <row r="582" spans="1:10" x14ac:dyDescent="0.25" outlineLevel="2" collapsed="1">
      <c r="A582" s="7" t="s">
        <v>19</v>
      </c>
      <c r="B582" s="7" t="s">
        <v>16</v>
      </c>
      <c r="C582" s="7" t="s">
        <v>17</v>
      </c>
      <c r="D582" s="7"/>
      <c r="E582" s="7" t="s">
        <v>1600</v>
      </c>
      <c r="F582" s="7" t="s">
        <v>19</v>
      </c>
      <c r="G582" s="7" t="s">
        <v>31</v>
      </c>
      <c r="H582" s="7" t="s">
        <v>17</v>
      </c>
      <c r="I582" s="7" t="s">
        <v>17</v>
      </c>
      <c r="J582" s="7" t="s">
        <v>1424</v>
      </c>
    </row>
    <row r="583" spans="1:10" x14ac:dyDescent="0.25" outlineLevel="2" collapsed="1">
      <c r="A583" s="7" t="s">
        <v>15</v>
      </c>
      <c r="B583" s="7" t="s">
        <v>16</v>
      </c>
      <c r="C583" s="7" t="s">
        <v>17</v>
      </c>
      <c r="D583" s="7"/>
      <c r="E583" s="7" t="s">
        <v>1601</v>
      </c>
      <c r="F583" s="7" t="s">
        <v>19</v>
      </c>
      <c r="G583" s="7" t="s">
        <v>31</v>
      </c>
      <c r="H583" s="7" t="s">
        <v>17</v>
      </c>
      <c r="I583" s="7" t="s">
        <v>17</v>
      </c>
      <c r="J583" s="7" t="s">
        <v>1602</v>
      </c>
    </row>
    <row r="584" spans="1:10" x14ac:dyDescent="0.25" outlineLevel="2" collapsed="1">
      <c r="A584" s="7" t="s">
        <v>15</v>
      </c>
      <c r="B584" s="7" t="s">
        <v>16</v>
      </c>
      <c r="C584" s="7" t="s">
        <v>17</v>
      </c>
      <c r="D584" s="7"/>
      <c r="E584" s="7" t="s">
        <v>1671</v>
      </c>
      <c r="F584" s="7" t="s">
        <v>19</v>
      </c>
      <c r="G584" s="7" t="s">
        <v>31</v>
      </c>
      <c r="H584" s="7" t="s">
        <v>17</v>
      </c>
      <c r="I584" s="7" t="s">
        <v>17</v>
      </c>
      <c r="J584" s="7" t="s">
        <v>1672</v>
      </c>
    </row>
    <row r="585" spans="1:10" x14ac:dyDescent="0.25" outlineLevel="2" collapsed="1">
      <c r="A585" s="7" t="s">
        <v>15</v>
      </c>
      <c r="B585" s="7" t="s">
        <v>16</v>
      </c>
      <c r="C585" s="7" t="s">
        <v>17</v>
      </c>
      <c r="D585" s="7"/>
      <c r="E585" s="7" t="s">
        <v>1673</v>
      </c>
      <c r="F585" s="7" t="s">
        <v>19</v>
      </c>
      <c r="G585" s="7" t="s">
        <v>31</v>
      </c>
      <c r="H585" s="7" t="s">
        <v>17</v>
      </c>
      <c r="I585" s="7" t="s">
        <v>17</v>
      </c>
      <c r="J585" s="7" t="s">
        <v>1674</v>
      </c>
    </row>
    <row r="586" spans="1:10" x14ac:dyDescent="0.25" outlineLevel="2" collapsed="1">
      <c r="A586" s="7" t="s">
        <v>15</v>
      </c>
      <c r="B586" s="7" t="s">
        <v>16</v>
      </c>
      <c r="C586" s="7" t="s">
        <v>17</v>
      </c>
      <c r="D586" s="7"/>
      <c r="E586" s="7" t="s">
        <v>1675</v>
      </c>
      <c r="F586" s="7" t="s">
        <v>19</v>
      </c>
      <c r="G586" s="7" t="s">
        <v>31</v>
      </c>
      <c r="H586" s="7" t="s">
        <v>17</v>
      </c>
      <c r="I586" s="7" t="s">
        <v>17</v>
      </c>
      <c r="J586" s="7" t="s">
        <v>1422</v>
      </c>
    </row>
    <row r="587" spans="1:10" x14ac:dyDescent="0.25" outlineLevel="2" collapsed="1">
      <c r="A587" s="7" t="s">
        <v>15</v>
      </c>
      <c r="B587" s="7" t="s">
        <v>284</v>
      </c>
      <c r="C587" s="11" t="s">
        <v>1604</v>
      </c>
      <c r="D587" s="7"/>
      <c r="E587" s="7" t="s">
        <v>1605</v>
      </c>
      <c r="F587" s="7" t="s">
        <v>19</v>
      </c>
      <c r="G587" s="7" t="s">
        <v>1606</v>
      </c>
      <c r="H587" s="7" t="s">
        <v>17</v>
      </c>
      <c r="I587" s="7" t="s">
        <v>17</v>
      </c>
      <c r="J587" s="7" t="s">
        <v>1607</v>
      </c>
    </row>
    <row r="588" spans="1:10" x14ac:dyDescent="0.25" outlineLevel="2" collapsed="1">
      <c r="A588" s="7" t="s">
        <v>19</v>
      </c>
      <c r="B588" s="7" t="s">
        <v>63</v>
      </c>
      <c r="C588" s="7" t="s">
        <v>17</v>
      </c>
      <c r="D588" s="7">
        <f>EXACT(G587,"Single value")</f>
      </c>
      <c r="E588" s="7" t="s">
        <v>1676</v>
      </c>
      <c r="F588" s="7" t="s">
        <v>19</v>
      </c>
      <c r="G588" s="7">
        <v>1</v>
      </c>
      <c r="H588" s="7" t="s">
        <v>17</v>
      </c>
      <c r="I588" s="7" t="s">
        <v>17</v>
      </c>
      <c r="J588" s="7" t="s">
        <v>1609</v>
      </c>
    </row>
    <row r="589" spans="1:10" x14ac:dyDescent="0.25" outlineLevel="2" collapsed="1">
      <c r="A589" s="7" t="s">
        <v>19</v>
      </c>
      <c r="B589" s="7" t="s">
        <v>16</v>
      </c>
      <c r="C589" s="7" t="s">
        <v>17</v>
      </c>
      <c r="D589" s="7"/>
      <c r="E589" s="7" t="s">
        <v>1677</v>
      </c>
      <c r="F589" s="7" t="s">
        <v>19</v>
      </c>
      <c r="G589" s="7" t="s">
        <v>31</v>
      </c>
      <c r="H589" s="7" t="s">
        <v>17</v>
      </c>
      <c r="I589" s="7" t="s">
        <v>17</v>
      </c>
      <c r="J589" s="7" t="s">
        <v>1678</v>
      </c>
    </row>
    <row r="590" spans="1:10" x14ac:dyDescent="0.25" outlineLevel="2" collapsed="1">
      <c r="A590" s="7" t="s">
        <v>15</v>
      </c>
      <c r="B590" s="7" t="s">
        <v>16</v>
      </c>
      <c r="C590" s="7" t="s">
        <v>17</v>
      </c>
      <c r="D590" s="7"/>
      <c r="E590" s="7" t="s">
        <v>1679</v>
      </c>
      <c r="F590" s="7" t="s">
        <v>19</v>
      </c>
      <c r="G590" s="7" t="s">
        <v>31</v>
      </c>
      <c r="H590" s="7" t="s">
        <v>17</v>
      </c>
      <c r="I590" s="7" t="s">
        <v>17</v>
      </c>
      <c r="J590" s="7" t="s">
        <v>1680</v>
      </c>
    </row>
    <row r="591" spans="1:10" x14ac:dyDescent="0.25" outlineLevel="2" collapsed="1">
      <c r="A591" s="7" t="s">
        <v>15</v>
      </c>
      <c r="B591" s="7" t="s">
        <v>284</v>
      </c>
      <c r="C591" s="11" t="s">
        <v>1611</v>
      </c>
      <c r="D591" s="7"/>
      <c r="E591" s="7" t="s">
        <v>1612</v>
      </c>
      <c r="F591" s="7" t="s">
        <v>19</v>
      </c>
      <c r="G591" s="7" t="s">
        <v>1613</v>
      </c>
      <c r="H591" s="7" t="s">
        <v>17</v>
      </c>
      <c r="I591" s="7" t="s">
        <v>17</v>
      </c>
      <c r="J591" s="7" t="s">
        <v>1614</v>
      </c>
    </row>
    <row r="592" spans="1:10" x14ac:dyDescent="0.25" outlineLevel="2" collapsed="1">
      <c r="A592" s="7" t="s">
        <v>19</v>
      </c>
      <c r="B592" s="7" t="s">
        <v>16</v>
      </c>
      <c r="C592" s="7" t="s">
        <v>17</v>
      </c>
      <c r="D592" s="7"/>
      <c r="E592" s="7" t="s">
        <v>1681</v>
      </c>
      <c r="F592" s="7" t="s">
        <v>19</v>
      </c>
      <c r="G592" s="7" t="s">
        <v>31</v>
      </c>
      <c r="H592" s="7" t="s">
        <v>17</v>
      </c>
      <c r="I592" s="7" t="s">
        <v>17</v>
      </c>
      <c r="J592" s="7" t="s">
        <v>1682</v>
      </c>
    </row>
    <row r="593" spans="1:10" x14ac:dyDescent="0.25" outlineLevel="2" collapsed="1">
      <c r="A593" s="7" t="s">
        <v>19</v>
      </c>
      <c r="B593" s="7" t="s">
        <v>16</v>
      </c>
      <c r="C593" s="7" t="s">
        <v>17</v>
      </c>
      <c r="D593" s="7"/>
      <c r="E593" s="7" t="s">
        <v>1615</v>
      </c>
      <c r="F593" s="7" t="s">
        <v>19</v>
      </c>
      <c r="G593" s="7" t="s">
        <v>31</v>
      </c>
      <c r="H593" s="7" t="s">
        <v>17</v>
      </c>
      <c r="I593" s="7" t="s">
        <v>17</v>
      </c>
      <c r="J593" s="7" t="s">
        <v>1616</v>
      </c>
    </row>
    <row r="594" spans="1:10" x14ac:dyDescent="0.25" outlineLevel="1" collapsed="1">
      <c r="A594" s="8" t="s">
        <v>19</v>
      </c>
      <c r="B594" s="9" t="s">
        <v>1667</v>
      </c>
      <c r="C594" s="8" t="s">
        <v>17</v>
      </c>
      <c r="D594" s="8"/>
      <c r="E594" s="8" t="s">
        <v>1758</v>
      </c>
      <c r="F594" s="8" t="s">
        <v>19</v>
      </c>
      <c r="G594" s="8" t="s">
        <v>17</v>
      </c>
      <c r="H594" s="8" t="s">
        <v>17</v>
      </c>
      <c r="I594" s="8" t="s">
        <v>17</v>
      </c>
      <c r="J594" s="8" t="s">
        <v>1759</v>
      </c>
    </row>
    <row r="595" spans="1:10" x14ac:dyDescent="0.25" outlineLevel="2" collapsed="1">
      <c r="A595" s="7" t="s">
        <v>15</v>
      </c>
      <c r="B595" s="7" t="s">
        <v>16</v>
      </c>
      <c r="C595" s="7" t="s">
        <v>17</v>
      </c>
      <c r="D595" s="7"/>
      <c r="E595" s="7" t="s">
        <v>1670</v>
      </c>
      <c r="F595" s="7" t="s">
        <v>19</v>
      </c>
      <c r="G595" s="7" t="s">
        <v>31</v>
      </c>
      <c r="H595" s="7" t="s">
        <v>17</v>
      </c>
      <c r="I595" s="7" t="s">
        <v>17</v>
      </c>
      <c r="J595" s="7" t="s">
        <v>637</v>
      </c>
    </row>
    <row r="596" spans="1:10" x14ac:dyDescent="0.25" outlineLevel="2" collapsed="1">
      <c r="A596" s="7" t="s">
        <v>15</v>
      </c>
      <c r="B596" s="7" t="s">
        <v>16</v>
      </c>
      <c r="C596" s="7" t="s">
        <v>17</v>
      </c>
      <c r="D596" s="7"/>
      <c r="E596" s="7" t="s">
        <v>638</v>
      </c>
      <c r="F596" s="7" t="s">
        <v>19</v>
      </c>
      <c r="G596" s="7" t="s">
        <v>31</v>
      </c>
      <c r="H596" s="7" t="s">
        <v>17</v>
      </c>
      <c r="I596" s="7" t="s">
        <v>17</v>
      </c>
      <c r="J596" s="7" t="s">
        <v>640</v>
      </c>
    </row>
    <row r="597" spans="1:10" x14ac:dyDescent="0.25" outlineLevel="2" collapsed="1">
      <c r="A597" s="7" t="s">
        <v>15</v>
      </c>
      <c r="B597" s="7" t="s">
        <v>16</v>
      </c>
      <c r="C597" s="7" t="s">
        <v>17</v>
      </c>
      <c r="D597" s="7"/>
      <c r="E597" s="7" t="s">
        <v>9</v>
      </c>
      <c r="F597" s="7" t="s">
        <v>19</v>
      </c>
      <c r="G597" s="7" t="s">
        <v>31</v>
      </c>
      <c r="H597" s="7" t="s">
        <v>17</v>
      </c>
      <c r="I597" s="7" t="s">
        <v>17</v>
      </c>
      <c r="J597" s="7" t="s">
        <v>843</v>
      </c>
    </row>
    <row r="598" spans="1:10" x14ac:dyDescent="0.25" outlineLevel="2" collapsed="1">
      <c r="A598" s="7" t="s">
        <v>19</v>
      </c>
      <c r="B598" s="7" t="s">
        <v>16</v>
      </c>
      <c r="C598" s="7" t="s">
        <v>17</v>
      </c>
      <c r="D598" s="7"/>
      <c r="E598" s="7" t="s">
        <v>1600</v>
      </c>
      <c r="F598" s="7" t="s">
        <v>19</v>
      </c>
      <c r="G598" s="7" t="s">
        <v>31</v>
      </c>
      <c r="H598" s="7" t="s">
        <v>17</v>
      </c>
      <c r="I598" s="7" t="s">
        <v>17</v>
      </c>
      <c r="J598" s="7" t="s">
        <v>1424</v>
      </c>
    </row>
    <row r="599" spans="1:10" x14ac:dyDescent="0.25" outlineLevel="2" collapsed="1">
      <c r="A599" s="7" t="s">
        <v>15</v>
      </c>
      <c r="B599" s="7" t="s">
        <v>16</v>
      </c>
      <c r="C599" s="7" t="s">
        <v>17</v>
      </c>
      <c r="D599" s="7"/>
      <c r="E599" s="7" t="s">
        <v>1601</v>
      </c>
      <c r="F599" s="7" t="s">
        <v>19</v>
      </c>
      <c r="G599" s="7" t="s">
        <v>31</v>
      </c>
      <c r="H599" s="7" t="s">
        <v>17</v>
      </c>
      <c r="I599" s="7" t="s">
        <v>17</v>
      </c>
      <c r="J599" s="7" t="s">
        <v>1602</v>
      </c>
    </row>
    <row r="600" spans="1:10" x14ac:dyDescent="0.25" outlineLevel="2" collapsed="1">
      <c r="A600" s="7" t="s">
        <v>15</v>
      </c>
      <c r="B600" s="7" t="s">
        <v>16</v>
      </c>
      <c r="C600" s="7" t="s">
        <v>17</v>
      </c>
      <c r="D600" s="7"/>
      <c r="E600" s="7" t="s">
        <v>1671</v>
      </c>
      <c r="F600" s="7" t="s">
        <v>19</v>
      </c>
      <c r="G600" s="7" t="s">
        <v>31</v>
      </c>
      <c r="H600" s="7" t="s">
        <v>17</v>
      </c>
      <c r="I600" s="7" t="s">
        <v>17</v>
      </c>
      <c r="J600" s="7" t="s">
        <v>1672</v>
      </c>
    </row>
    <row r="601" spans="1:10" x14ac:dyDescent="0.25" outlineLevel="2" collapsed="1">
      <c r="A601" s="7" t="s">
        <v>15</v>
      </c>
      <c r="B601" s="7" t="s">
        <v>16</v>
      </c>
      <c r="C601" s="7" t="s">
        <v>17</v>
      </c>
      <c r="D601" s="7"/>
      <c r="E601" s="7" t="s">
        <v>1673</v>
      </c>
      <c r="F601" s="7" t="s">
        <v>19</v>
      </c>
      <c r="G601" s="7" t="s">
        <v>31</v>
      </c>
      <c r="H601" s="7" t="s">
        <v>17</v>
      </c>
      <c r="I601" s="7" t="s">
        <v>17</v>
      </c>
      <c r="J601" s="7" t="s">
        <v>1674</v>
      </c>
    </row>
    <row r="602" spans="1:10" x14ac:dyDescent="0.25" outlineLevel="2" collapsed="1">
      <c r="A602" s="7" t="s">
        <v>15</v>
      </c>
      <c r="B602" s="7" t="s">
        <v>16</v>
      </c>
      <c r="C602" s="7" t="s">
        <v>17</v>
      </c>
      <c r="D602" s="7"/>
      <c r="E602" s="7" t="s">
        <v>1675</v>
      </c>
      <c r="F602" s="7" t="s">
        <v>19</v>
      </c>
      <c r="G602" s="7" t="s">
        <v>31</v>
      </c>
      <c r="H602" s="7" t="s">
        <v>17</v>
      </c>
      <c r="I602" s="7" t="s">
        <v>17</v>
      </c>
      <c r="J602" s="7" t="s">
        <v>1422</v>
      </c>
    </row>
    <row r="603" spans="1:10" x14ac:dyDescent="0.25" outlineLevel="2" collapsed="1">
      <c r="A603" s="7" t="s">
        <v>15</v>
      </c>
      <c r="B603" s="7" t="s">
        <v>284</v>
      </c>
      <c r="C603" s="11" t="s">
        <v>1604</v>
      </c>
      <c r="D603" s="7"/>
      <c r="E603" s="7" t="s">
        <v>1605</v>
      </c>
      <c r="F603" s="7" t="s">
        <v>19</v>
      </c>
      <c r="G603" s="7" t="s">
        <v>1606</v>
      </c>
      <c r="H603" s="7" t="s">
        <v>17</v>
      </c>
      <c r="I603" s="7" t="s">
        <v>17</v>
      </c>
      <c r="J603" s="7" t="s">
        <v>1607</v>
      </c>
    </row>
    <row r="604" spans="1:10" x14ac:dyDescent="0.25" outlineLevel="2" collapsed="1">
      <c r="A604" s="7" t="s">
        <v>19</v>
      </c>
      <c r="B604" s="7" t="s">
        <v>63</v>
      </c>
      <c r="C604" s="7" t="s">
        <v>17</v>
      </c>
      <c r="D604" s="7">
        <f>EXACT(G603,"Single value")</f>
      </c>
      <c r="E604" s="7" t="s">
        <v>1676</v>
      </c>
      <c r="F604" s="7" t="s">
        <v>19</v>
      </c>
      <c r="G604" s="7">
        <v>1</v>
      </c>
      <c r="H604" s="7" t="s">
        <v>17</v>
      </c>
      <c r="I604" s="7" t="s">
        <v>17</v>
      </c>
      <c r="J604" s="7" t="s">
        <v>1609</v>
      </c>
    </row>
    <row r="605" spans="1:10" x14ac:dyDescent="0.25" outlineLevel="2" collapsed="1">
      <c r="A605" s="7" t="s">
        <v>19</v>
      </c>
      <c r="B605" s="7" t="s">
        <v>16</v>
      </c>
      <c r="C605" s="7" t="s">
        <v>17</v>
      </c>
      <c r="D605" s="7"/>
      <c r="E605" s="7" t="s">
        <v>1677</v>
      </c>
      <c r="F605" s="7" t="s">
        <v>19</v>
      </c>
      <c r="G605" s="7" t="s">
        <v>31</v>
      </c>
      <c r="H605" s="7" t="s">
        <v>17</v>
      </c>
      <c r="I605" s="7" t="s">
        <v>17</v>
      </c>
      <c r="J605" s="7" t="s">
        <v>1678</v>
      </c>
    </row>
    <row r="606" spans="1:10" x14ac:dyDescent="0.25" outlineLevel="2" collapsed="1">
      <c r="A606" s="7" t="s">
        <v>15</v>
      </c>
      <c r="B606" s="7" t="s">
        <v>16</v>
      </c>
      <c r="C606" s="7" t="s">
        <v>17</v>
      </c>
      <c r="D606" s="7"/>
      <c r="E606" s="7" t="s">
        <v>1679</v>
      </c>
      <c r="F606" s="7" t="s">
        <v>19</v>
      </c>
      <c r="G606" s="7" t="s">
        <v>31</v>
      </c>
      <c r="H606" s="7" t="s">
        <v>17</v>
      </c>
      <c r="I606" s="7" t="s">
        <v>17</v>
      </c>
      <c r="J606" s="7" t="s">
        <v>1680</v>
      </c>
    </row>
    <row r="607" spans="1:10" x14ac:dyDescent="0.25" outlineLevel="2" collapsed="1">
      <c r="A607" s="7" t="s">
        <v>15</v>
      </c>
      <c r="B607" s="7" t="s">
        <v>284</v>
      </c>
      <c r="C607" s="11" t="s">
        <v>1611</v>
      </c>
      <c r="D607" s="7"/>
      <c r="E607" s="7" t="s">
        <v>1612</v>
      </c>
      <c r="F607" s="7" t="s">
        <v>19</v>
      </c>
      <c r="G607" s="7" t="s">
        <v>1613</v>
      </c>
      <c r="H607" s="7" t="s">
        <v>17</v>
      </c>
      <c r="I607" s="7" t="s">
        <v>17</v>
      </c>
      <c r="J607" s="7" t="s">
        <v>1614</v>
      </c>
    </row>
    <row r="608" spans="1:10" x14ac:dyDescent="0.25" outlineLevel="2" collapsed="1">
      <c r="A608" s="7" t="s">
        <v>19</v>
      </c>
      <c r="B608" s="7" t="s">
        <v>16</v>
      </c>
      <c r="C608" s="7" t="s">
        <v>17</v>
      </c>
      <c r="D608" s="7"/>
      <c r="E608" s="7" t="s">
        <v>1681</v>
      </c>
      <c r="F608" s="7" t="s">
        <v>19</v>
      </c>
      <c r="G608" s="7" t="s">
        <v>31</v>
      </c>
      <c r="H608" s="7" t="s">
        <v>17</v>
      </c>
      <c r="I608" s="7" t="s">
        <v>17</v>
      </c>
      <c r="J608" s="7" t="s">
        <v>1682</v>
      </c>
    </row>
    <row r="609" spans="1:10" x14ac:dyDescent="0.25" outlineLevel="2" collapsed="1">
      <c r="A609" s="7" t="s">
        <v>19</v>
      </c>
      <c r="B609" s="7" t="s">
        <v>16</v>
      </c>
      <c r="C609" s="7" t="s">
        <v>17</v>
      </c>
      <c r="D609" s="7"/>
      <c r="E609" s="7" t="s">
        <v>1615</v>
      </c>
      <c r="F609" s="7" t="s">
        <v>19</v>
      </c>
      <c r="G609" s="7" t="s">
        <v>31</v>
      </c>
      <c r="H609" s="7" t="s">
        <v>17</v>
      </c>
      <c r="I609" s="7" t="s">
        <v>17</v>
      </c>
      <c r="J609" s="7" t="s">
        <v>1616</v>
      </c>
    </row>
    <row r="610" spans="1:10" x14ac:dyDescent="0.25" outlineLevel="1" collapsed="1">
      <c r="A610" s="8" t="s">
        <v>19</v>
      </c>
      <c r="B610" s="9" t="s">
        <v>1667</v>
      </c>
      <c r="C610" s="8" t="s">
        <v>17</v>
      </c>
      <c r="D610" s="8"/>
      <c r="E610" s="8" t="s">
        <v>1760</v>
      </c>
      <c r="F610" s="8" t="s">
        <v>19</v>
      </c>
      <c r="G610" s="8" t="s">
        <v>17</v>
      </c>
      <c r="H610" s="8" t="s">
        <v>17</v>
      </c>
      <c r="I610" s="8" t="s">
        <v>17</v>
      </c>
      <c r="J610" s="8" t="s">
        <v>1761</v>
      </c>
    </row>
    <row r="611" spans="1:10" x14ac:dyDescent="0.25" outlineLevel="2" collapsed="1">
      <c r="A611" s="7" t="s">
        <v>15</v>
      </c>
      <c r="B611" s="7" t="s">
        <v>16</v>
      </c>
      <c r="C611" s="7" t="s">
        <v>17</v>
      </c>
      <c r="D611" s="7"/>
      <c r="E611" s="7" t="s">
        <v>1670</v>
      </c>
      <c r="F611" s="7" t="s">
        <v>19</v>
      </c>
      <c r="G611" s="7" t="s">
        <v>31</v>
      </c>
      <c r="H611" s="7" t="s">
        <v>17</v>
      </c>
      <c r="I611" s="7" t="s">
        <v>17</v>
      </c>
      <c r="J611" s="7" t="s">
        <v>637</v>
      </c>
    </row>
    <row r="612" spans="1:10" x14ac:dyDescent="0.25" outlineLevel="2" collapsed="1">
      <c r="A612" s="7" t="s">
        <v>15</v>
      </c>
      <c r="B612" s="7" t="s">
        <v>16</v>
      </c>
      <c r="C612" s="7" t="s">
        <v>17</v>
      </c>
      <c r="D612" s="7"/>
      <c r="E612" s="7" t="s">
        <v>638</v>
      </c>
      <c r="F612" s="7" t="s">
        <v>19</v>
      </c>
      <c r="G612" s="7" t="s">
        <v>31</v>
      </c>
      <c r="H612" s="7" t="s">
        <v>17</v>
      </c>
      <c r="I612" s="7" t="s">
        <v>17</v>
      </c>
      <c r="J612" s="7" t="s">
        <v>640</v>
      </c>
    </row>
    <row r="613" spans="1:10" x14ac:dyDescent="0.25" outlineLevel="2" collapsed="1">
      <c r="A613" s="7" t="s">
        <v>15</v>
      </c>
      <c r="B613" s="7" t="s">
        <v>16</v>
      </c>
      <c r="C613" s="7" t="s">
        <v>17</v>
      </c>
      <c r="D613" s="7"/>
      <c r="E613" s="7" t="s">
        <v>9</v>
      </c>
      <c r="F613" s="7" t="s">
        <v>19</v>
      </c>
      <c r="G613" s="7" t="s">
        <v>31</v>
      </c>
      <c r="H613" s="7" t="s">
        <v>17</v>
      </c>
      <c r="I613" s="7" t="s">
        <v>17</v>
      </c>
      <c r="J613" s="7" t="s">
        <v>843</v>
      </c>
    </row>
    <row r="614" spans="1:10" x14ac:dyDescent="0.25" outlineLevel="2" collapsed="1">
      <c r="A614" s="7" t="s">
        <v>19</v>
      </c>
      <c r="B614" s="7" t="s">
        <v>16</v>
      </c>
      <c r="C614" s="7" t="s">
        <v>17</v>
      </c>
      <c r="D614" s="7"/>
      <c r="E614" s="7" t="s">
        <v>1600</v>
      </c>
      <c r="F614" s="7" t="s">
        <v>19</v>
      </c>
      <c r="G614" s="7" t="s">
        <v>31</v>
      </c>
      <c r="H614" s="7" t="s">
        <v>17</v>
      </c>
      <c r="I614" s="7" t="s">
        <v>17</v>
      </c>
      <c r="J614" s="7" t="s">
        <v>1424</v>
      </c>
    </row>
    <row r="615" spans="1:10" x14ac:dyDescent="0.25" outlineLevel="2" collapsed="1">
      <c r="A615" s="7" t="s">
        <v>15</v>
      </c>
      <c r="B615" s="7" t="s">
        <v>16</v>
      </c>
      <c r="C615" s="7" t="s">
        <v>17</v>
      </c>
      <c r="D615" s="7"/>
      <c r="E615" s="7" t="s">
        <v>1601</v>
      </c>
      <c r="F615" s="7" t="s">
        <v>19</v>
      </c>
      <c r="G615" s="7" t="s">
        <v>31</v>
      </c>
      <c r="H615" s="7" t="s">
        <v>17</v>
      </c>
      <c r="I615" s="7" t="s">
        <v>17</v>
      </c>
      <c r="J615" s="7" t="s">
        <v>1602</v>
      </c>
    </row>
    <row r="616" spans="1:10" x14ac:dyDescent="0.25" outlineLevel="2" collapsed="1">
      <c r="A616" s="7" t="s">
        <v>15</v>
      </c>
      <c r="B616" s="7" t="s">
        <v>16</v>
      </c>
      <c r="C616" s="7" t="s">
        <v>17</v>
      </c>
      <c r="D616" s="7"/>
      <c r="E616" s="7" t="s">
        <v>1671</v>
      </c>
      <c r="F616" s="7" t="s">
        <v>19</v>
      </c>
      <c r="G616" s="7" t="s">
        <v>31</v>
      </c>
      <c r="H616" s="7" t="s">
        <v>17</v>
      </c>
      <c r="I616" s="7" t="s">
        <v>17</v>
      </c>
      <c r="J616" s="7" t="s">
        <v>1672</v>
      </c>
    </row>
    <row r="617" spans="1:10" x14ac:dyDescent="0.25" outlineLevel="2" collapsed="1">
      <c r="A617" s="7" t="s">
        <v>15</v>
      </c>
      <c r="B617" s="7" t="s">
        <v>16</v>
      </c>
      <c r="C617" s="7" t="s">
        <v>17</v>
      </c>
      <c r="D617" s="7"/>
      <c r="E617" s="7" t="s">
        <v>1673</v>
      </c>
      <c r="F617" s="7" t="s">
        <v>19</v>
      </c>
      <c r="G617" s="7" t="s">
        <v>31</v>
      </c>
      <c r="H617" s="7" t="s">
        <v>17</v>
      </c>
      <c r="I617" s="7" t="s">
        <v>17</v>
      </c>
      <c r="J617" s="7" t="s">
        <v>1674</v>
      </c>
    </row>
    <row r="618" spans="1:10" x14ac:dyDescent="0.25" outlineLevel="2" collapsed="1">
      <c r="A618" s="7" t="s">
        <v>15</v>
      </c>
      <c r="B618" s="7" t="s">
        <v>16</v>
      </c>
      <c r="C618" s="7" t="s">
        <v>17</v>
      </c>
      <c r="D618" s="7"/>
      <c r="E618" s="7" t="s">
        <v>1675</v>
      </c>
      <c r="F618" s="7" t="s">
        <v>19</v>
      </c>
      <c r="G618" s="7" t="s">
        <v>31</v>
      </c>
      <c r="H618" s="7" t="s">
        <v>17</v>
      </c>
      <c r="I618" s="7" t="s">
        <v>17</v>
      </c>
      <c r="J618" s="7" t="s">
        <v>1422</v>
      </c>
    </row>
    <row r="619" spans="1:10" x14ac:dyDescent="0.25" outlineLevel="2" collapsed="1">
      <c r="A619" s="7" t="s">
        <v>15</v>
      </c>
      <c r="B619" s="7" t="s">
        <v>284</v>
      </c>
      <c r="C619" s="11" t="s">
        <v>1604</v>
      </c>
      <c r="D619" s="7"/>
      <c r="E619" s="7" t="s">
        <v>1605</v>
      </c>
      <c r="F619" s="7" t="s">
        <v>19</v>
      </c>
      <c r="G619" s="7" t="s">
        <v>1606</v>
      </c>
      <c r="H619" s="7" t="s">
        <v>17</v>
      </c>
      <c r="I619" s="7" t="s">
        <v>17</v>
      </c>
      <c r="J619" s="7" t="s">
        <v>1607</v>
      </c>
    </row>
    <row r="620" spans="1:10" x14ac:dyDescent="0.25" outlineLevel="2" collapsed="1">
      <c r="A620" s="7" t="s">
        <v>19</v>
      </c>
      <c r="B620" s="7" t="s">
        <v>63</v>
      </c>
      <c r="C620" s="7" t="s">
        <v>17</v>
      </c>
      <c r="D620" s="7">
        <f>EXACT(G619,"Single value")</f>
      </c>
      <c r="E620" s="7" t="s">
        <v>1676</v>
      </c>
      <c r="F620" s="7" t="s">
        <v>19</v>
      </c>
      <c r="G620" s="7">
        <v>1</v>
      </c>
      <c r="H620" s="7" t="s">
        <v>17</v>
      </c>
      <c r="I620" s="7" t="s">
        <v>17</v>
      </c>
      <c r="J620" s="7" t="s">
        <v>1609</v>
      </c>
    </row>
    <row r="621" spans="1:10" x14ac:dyDescent="0.25" outlineLevel="2" collapsed="1">
      <c r="A621" s="7" t="s">
        <v>19</v>
      </c>
      <c r="B621" s="7" t="s">
        <v>16</v>
      </c>
      <c r="C621" s="7" t="s">
        <v>17</v>
      </c>
      <c r="D621" s="7"/>
      <c r="E621" s="7" t="s">
        <v>1677</v>
      </c>
      <c r="F621" s="7" t="s">
        <v>19</v>
      </c>
      <c r="G621" s="7" t="s">
        <v>31</v>
      </c>
      <c r="H621" s="7" t="s">
        <v>17</v>
      </c>
      <c r="I621" s="7" t="s">
        <v>17</v>
      </c>
      <c r="J621" s="7" t="s">
        <v>1678</v>
      </c>
    </row>
    <row r="622" spans="1:10" x14ac:dyDescent="0.25" outlineLevel="2" collapsed="1">
      <c r="A622" s="7" t="s">
        <v>15</v>
      </c>
      <c r="B622" s="7" t="s">
        <v>16</v>
      </c>
      <c r="C622" s="7" t="s">
        <v>17</v>
      </c>
      <c r="D622" s="7"/>
      <c r="E622" s="7" t="s">
        <v>1679</v>
      </c>
      <c r="F622" s="7" t="s">
        <v>19</v>
      </c>
      <c r="G622" s="7" t="s">
        <v>31</v>
      </c>
      <c r="H622" s="7" t="s">
        <v>17</v>
      </c>
      <c r="I622" s="7" t="s">
        <v>17</v>
      </c>
      <c r="J622" s="7" t="s">
        <v>1680</v>
      </c>
    </row>
    <row r="623" spans="1:10" x14ac:dyDescent="0.25" outlineLevel="2" collapsed="1">
      <c r="A623" s="7" t="s">
        <v>15</v>
      </c>
      <c r="B623" s="7" t="s">
        <v>284</v>
      </c>
      <c r="C623" s="11" t="s">
        <v>1611</v>
      </c>
      <c r="D623" s="7"/>
      <c r="E623" s="7" t="s">
        <v>1612</v>
      </c>
      <c r="F623" s="7" t="s">
        <v>19</v>
      </c>
      <c r="G623" s="7" t="s">
        <v>1613</v>
      </c>
      <c r="H623" s="7" t="s">
        <v>17</v>
      </c>
      <c r="I623" s="7" t="s">
        <v>17</v>
      </c>
      <c r="J623" s="7" t="s">
        <v>1614</v>
      </c>
    </row>
    <row r="624" spans="1:10" x14ac:dyDescent="0.25" outlineLevel="2" collapsed="1">
      <c r="A624" s="7" t="s">
        <v>19</v>
      </c>
      <c r="B624" s="7" t="s">
        <v>16</v>
      </c>
      <c r="C624" s="7" t="s">
        <v>17</v>
      </c>
      <c r="D624" s="7"/>
      <c r="E624" s="7" t="s">
        <v>1681</v>
      </c>
      <c r="F624" s="7" t="s">
        <v>19</v>
      </c>
      <c r="G624" s="7" t="s">
        <v>31</v>
      </c>
      <c r="H624" s="7" t="s">
        <v>17</v>
      </c>
      <c r="I624" s="7" t="s">
        <v>17</v>
      </c>
      <c r="J624" s="7" t="s">
        <v>1682</v>
      </c>
    </row>
    <row r="625" spans="1:10" x14ac:dyDescent="0.25" outlineLevel="2" collapsed="1">
      <c r="A625" s="7" t="s">
        <v>19</v>
      </c>
      <c r="B625" s="7" t="s">
        <v>16</v>
      </c>
      <c r="C625" s="7" t="s">
        <v>17</v>
      </c>
      <c r="D625" s="7"/>
      <c r="E625" s="7" t="s">
        <v>1615</v>
      </c>
      <c r="F625" s="7" t="s">
        <v>19</v>
      </c>
      <c r="G625" s="7" t="s">
        <v>31</v>
      </c>
      <c r="H625" s="7" t="s">
        <v>17</v>
      </c>
      <c r="I625" s="7" t="s">
        <v>17</v>
      </c>
      <c r="J625" s="7" t="s">
        <v>1616</v>
      </c>
    </row>
    <row r="626" spans="1:10" x14ac:dyDescent="0.25" outlineLevel="1" collapsed="1">
      <c r="A626" s="8" t="s">
        <v>19</v>
      </c>
      <c r="B626" s="9" t="s">
        <v>1667</v>
      </c>
      <c r="C626" s="8" t="s">
        <v>17</v>
      </c>
      <c r="D626" s="8"/>
      <c r="E626" s="8" t="s">
        <v>1762</v>
      </c>
      <c r="F626" s="8" t="s">
        <v>19</v>
      </c>
      <c r="G626" s="8" t="s">
        <v>17</v>
      </c>
      <c r="H626" s="8" t="s">
        <v>17</v>
      </c>
      <c r="I626" s="8" t="s">
        <v>17</v>
      </c>
      <c r="J626" s="8" t="s">
        <v>1763</v>
      </c>
    </row>
    <row r="627" spans="1:10" x14ac:dyDescent="0.25" outlineLevel="2" collapsed="1">
      <c r="A627" s="7" t="s">
        <v>15</v>
      </c>
      <c r="B627" s="7" t="s">
        <v>16</v>
      </c>
      <c r="C627" s="7" t="s">
        <v>17</v>
      </c>
      <c r="D627" s="7"/>
      <c r="E627" s="7" t="s">
        <v>1670</v>
      </c>
      <c r="F627" s="7" t="s">
        <v>19</v>
      </c>
      <c r="G627" s="7" t="s">
        <v>31</v>
      </c>
      <c r="H627" s="7" t="s">
        <v>17</v>
      </c>
      <c r="I627" s="7" t="s">
        <v>17</v>
      </c>
      <c r="J627" s="7" t="s">
        <v>637</v>
      </c>
    </row>
    <row r="628" spans="1:10" x14ac:dyDescent="0.25" outlineLevel="2" collapsed="1">
      <c r="A628" s="7" t="s">
        <v>15</v>
      </c>
      <c r="B628" s="7" t="s">
        <v>16</v>
      </c>
      <c r="C628" s="7" t="s">
        <v>17</v>
      </c>
      <c r="D628" s="7"/>
      <c r="E628" s="7" t="s">
        <v>638</v>
      </c>
      <c r="F628" s="7" t="s">
        <v>19</v>
      </c>
      <c r="G628" s="7" t="s">
        <v>31</v>
      </c>
      <c r="H628" s="7" t="s">
        <v>17</v>
      </c>
      <c r="I628" s="7" t="s">
        <v>17</v>
      </c>
      <c r="J628" s="7" t="s">
        <v>640</v>
      </c>
    </row>
    <row r="629" spans="1:10" x14ac:dyDescent="0.25" outlineLevel="2" collapsed="1">
      <c r="A629" s="7" t="s">
        <v>15</v>
      </c>
      <c r="B629" s="7" t="s">
        <v>16</v>
      </c>
      <c r="C629" s="7" t="s">
        <v>17</v>
      </c>
      <c r="D629" s="7"/>
      <c r="E629" s="7" t="s">
        <v>9</v>
      </c>
      <c r="F629" s="7" t="s">
        <v>19</v>
      </c>
      <c r="G629" s="7" t="s">
        <v>31</v>
      </c>
      <c r="H629" s="7" t="s">
        <v>17</v>
      </c>
      <c r="I629" s="7" t="s">
        <v>17</v>
      </c>
      <c r="J629" s="7" t="s">
        <v>843</v>
      </c>
    </row>
    <row r="630" spans="1:10" x14ac:dyDescent="0.25" outlineLevel="2" collapsed="1">
      <c r="A630" s="7" t="s">
        <v>19</v>
      </c>
      <c r="B630" s="7" t="s">
        <v>16</v>
      </c>
      <c r="C630" s="7" t="s">
        <v>17</v>
      </c>
      <c r="D630" s="7"/>
      <c r="E630" s="7" t="s">
        <v>1600</v>
      </c>
      <c r="F630" s="7" t="s">
        <v>19</v>
      </c>
      <c r="G630" s="7" t="s">
        <v>31</v>
      </c>
      <c r="H630" s="7" t="s">
        <v>17</v>
      </c>
      <c r="I630" s="7" t="s">
        <v>17</v>
      </c>
      <c r="J630" s="7" t="s">
        <v>1424</v>
      </c>
    </row>
    <row r="631" spans="1:10" x14ac:dyDescent="0.25" outlineLevel="2" collapsed="1">
      <c r="A631" s="7" t="s">
        <v>15</v>
      </c>
      <c r="B631" s="7" t="s">
        <v>16</v>
      </c>
      <c r="C631" s="7" t="s">
        <v>17</v>
      </c>
      <c r="D631" s="7"/>
      <c r="E631" s="7" t="s">
        <v>1601</v>
      </c>
      <c r="F631" s="7" t="s">
        <v>19</v>
      </c>
      <c r="G631" s="7" t="s">
        <v>31</v>
      </c>
      <c r="H631" s="7" t="s">
        <v>17</v>
      </c>
      <c r="I631" s="7" t="s">
        <v>17</v>
      </c>
      <c r="J631" s="7" t="s">
        <v>1602</v>
      </c>
    </row>
    <row r="632" spans="1:10" x14ac:dyDescent="0.25" outlineLevel="2" collapsed="1">
      <c r="A632" s="7" t="s">
        <v>15</v>
      </c>
      <c r="B632" s="7" t="s">
        <v>16</v>
      </c>
      <c r="C632" s="7" t="s">
        <v>17</v>
      </c>
      <c r="D632" s="7"/>
      <c r="E632" s="7" t="s">
        <v>1671</v>
      </c>
      <c r="F632" s="7" t="s">
        <v>19</v>
      </c>
      <c r="G632" s="7" t="s">
        <v>31</v>
      </c>
      <c r="H632" s="7" t="s">
        <v>17</v>
      </c>
      <c r="I632" s="7" t="s">
        <v>17</v>
      </c>
      <c r="J632" s="7" t="s">
        <v>1672</v>
      </c>
    </row>
    <row r="633" spans="1:10" x14ac:dyDescent="0.25" outlineLevel="2" collapsed="1">
      <c r="A633" s="7" t="s">
        <v>15</v>
      </c>
      <c r="B633" s="7" t="s">
        <v>16</v>
      </c>
      <c r="C633" s="7" t="s">
        <v>17</v>
      </c>
      <c r="D633" s="7"/>
      <c r="E633" s="7" t="s">
        <v>1673</v>
      </c>
      <c r="F633" s="7" t="s">
        <v>19</v>
      </c>
      <c r="G633" s="7" t="s">
        <v>31</v>
      </c>
      <c r="H633" s="7" t="s">
        <v>17</v>
      </c>
      <c r="I633" s="7" t="s">
        <v>17</v>
      </c>
      <c r="J633" s="7" t="s">
        <v>1674</v>
      </c>
    </row>
    <row r="634" spans="1:10" x14ac:dyDescent="0.25" outlineLevel="2" collapsed="1">
      <c r="A634" s="7" t="s">
        <v>15</v>
      </c>
      <c r="B634" s="7" t="s">
        <v>16</v>
      </c>
      <c r="C634" s="7" t="s">
        <v>17</v>
      </c>
      <c r="D634" s="7"/>
      <c r="E634" s="7" t="s">
        <v>1675</v>
      </c>
      <c r="F634" s="7" t="s">
        <v>19</v>
      </c>
      <c r="G634" s="7" t="s">
        <v>31</v>
      </c>
      <c r="H634" s="7" t="s">
        <v>17</v>
      </c>
      <c r="I634" s="7" t="s">
        <v>17</v>
      </c>
      <c r="J634" s="7" t="s">
        <v>1422</v>
      </c>
    </row>
    <row r="635" spans="1:10" x14ac:dyDescent="0.25" outlineLevel="2" collapsed="1">
      <c r="A635" s="7" t="s">
        <v>15</v>
      </c>
      <c r="B635" s="7" t="s">
        <v>284</v>
      </c>
      <c r="C635" s="11" t="s">
        <v>1604</v>
      </c>
      <c r="D635" s="7"/>
      <c r="E635" s="7" t="s">
        <v>1605</v>
      </c>
      <c r="F635" s="7" t="s">
        <v>19</v>
      </c>
      <c r="G635" s="7" t="s">
        <v>1606</v>
      </c>
      <c r="H635" s="7" t="s">
        <v>17</v>
      </c>
      <c r="I635" s="7" t="s">
        <v>17</v>
      </c>
      <c r="J635" s="7" t="s">
        <v>1607</v>
      </c>
    </row>
    <row r="636" spans="1:10" x14ac:dyDescent="0.25" outlineLevel="2" collapsed="1">
      <c r="A636" s="7" t="s">
        <v>19</v>
      </c>
      <c r="B636" s="7" t="s">
        <v>63</v>
      </c>
      <c r="C636" s="7" t="s">
        <v>17</v>
      </c>
      <c r="D636" s="7">
        <f>EXACT(G635,"Single value")</f>
      </c>
      <c r="E636" s="7" t="s">
        <v>1676</v>
      </c>
      <c r="F636" s="7" t="s">
        <v>19</v>
      </c>
      <c r="G636" s="7">
        <v>1</v>
      </c>
      <c r="H636" s="7" t="s">
        <v>17</v>
      </c>
      <c r="I636" s="7" t="s">
        <v>17</v>
      </c>
      <c r="J636" s="7" t="s">
        <v>1609</v>
      </c>
    </row>
    <row r="637" spans="1:10" x14ac:dyDescent="0.25" outlineLevel="2" collapsed="1">
      <c r="A637" s="7" t="s">
        <v>19</v>
      </c>
      <c r="B637" s="7" t="s">
        <v>16</v>
      </c>
      <c r="C637" s="7" t="s">
        <v>17</v>
      </c>
      <c r="D637" s="7"/>
      <c r="E637" s="7" t="s">
        <v>1677</v>
      </c>
      <c r="F637" s="7" t="s">
        <v>19</v>
      </c>
      <c r="G637" s="7" t="s">
        <v>31</v>
      </c>
      <c r="H637" s="7" t="s">
        <v>17</v>
      </c>
      <c r="I637" s="7" t="s">
        <v>17</v>
      </c>
      <c r="J637" s="7" t="s">
        <v>1678</v>
      </c>
    </row>
    <row r="638" spans="1:10" x14ac:dyDescent="0.25" outlineLevel="2" collapsed="1">
      <c r="A638" s="7" t="s">
        <v>15</v>
      </c>
      <c r="B638" s="7" t="s">
        <v>16</v>
      </c>
      <c r="C638" s="7" t="s">
        <v>17</v>
      </c>
      <c r="D638" s="7"/>
      <c r="E638" s="7" t="s">
        <v>1679</v>
      </c>
      <c r="F638" s="7" t="s">
        <v>19</v>
      </c>
      <c r="G638" s="7" t="s">
        <v>31</v>
      </c>
      <c r="H638" s="7" t="s">
        <v>17</v>
      </c>
      <c r="I638" s="7" t="s">
        <v>17</v>
      </c>
      <c r="J638" s="7" t="s">
        <v>1680</v>
      </c>
    </row>
    <row r="639" spans="1:10" x14ac:dyDescent="0.25" outlineLevel="2" collapsed="1">
      <c r="A639" s="7" t="s">
        <v>15</v>
      </c>
      <c r="B639" s="7" t="s">
        <v>284</v>
      </c>
      <c r="C639" s="11" t="s">
        <v>1611</v>
      </c>
      <c r="D639" s="7"/>
      <c r="E639" s="7" t="s">
        <v>1612</v>
      </c>
      <c r="F639" s="7" t="s">
        <v>19</v>
      </c>
      <c r="G639" s="7" t="s">
        <v>1613</v>
      </c>
      <c r="H639" s="7" t="s">
        <v>17</v>
      </c>
      <c r="I639" s="7" t="s">
        <v>17</v>
      </c>
      <c r="J639" s="7" t="s">
        <v>1614</v>
      </c>
    </row>
    <row r="640" spans="1:10" x14ac:dyDescent="0.25" outlineLevel="2" collapsed="1">
      <c r="A640" s="7" t="s">
        <v>19</v>
      </c>
      <c r="B640" s="7" t="s">
        <v>16</v>
      </c>
      <c r="C640" s="7" t="s">
        <v>17</v>
      </c>
      <c r="D640" s="7"/>
      <c r="E640" s="7" t="s">
        <v>1681</v>
      </c>
      <c r="F640" s="7" t="s">
        <v>19</v>
      </c>
      <c r="G640" s="7" t="s">
        <v>31</v>
      </c>
      <c r="H640" s="7" t="s">
        <v>17</v>
      </c>
      <c r="I640" s="7" t="s">
        <v>17</v>
      </c>
      <c r="J640" s="7" t="s">
        <v>1682</v>
      </c>
    </row>
    <row r="641" spans="1:10" x14ac:dyDescent="0.25" outlineLevel="2" collapsed="1">
      <c r="A641" s="7" t="s">
        <v>19</v>
      </c>
      <c r="B641" s="7" t="s">
        <v>16</v>
      </c>
      <c r="C641" s="7" t="s">
        <v>17</v>
      </c>
      <c r="D641" s="7"/>
      <c r="E641" s="7" t="s">
        <v>1615</v>
      </c>
      <c r="F641" s="7" t="s">
        <v>19</v>
      </c>
      <c r="G641" s="7" t="s">
        <v>31</v>
      </c>
      <c r="H641" s="7" t="s">
        <v>17</v>
      </c>
      <c r="I641" s="7" t="s">
        <v>17</v>
      </c>
      <c r="J641" s="7" t="s">
        <v>1616</v>
      </c>
    </row>
    <row r="642" spans="1:10" x14ac:dyDescent="0.25" outlineLevel="1" collapsed="1">
      <c r="A642" s="8" t="s">
        <v>19</v>
      </c>
      <c r="B642" s="9" t="s">
        <v>1667</v>
      </c>
      <c r="C642" s="8" t="s">
        <v>17</v>
      </c>
      <c r="D642" s="8"/>
      <c r="E642" s="8" t="s">
        <v>1764</v>
      </c>
      <c r="F642" s="8" t="s">
        <v>19</v>
      </c>
      <c r="G642" s="8" t="s">
        <v>17</v>
      </c>
      <c r="H642" s="8" t="s">
        <v>17</v>
      </c>
      <c r="I642" s="8" t="s">
        <v>17</v>
      </c>
      <c r="J642" s="8" t="s">
        <v>1765</v>
      </c>
    </row>
    <row r="643" spans="1:10" x14ac:dyDescent="0.25" outlineLevel="2" collapsed="1">
      <c r="A643" s="7" t="s">
        <v>15</v>
      </c>
      <c r="B643" s="7" t="s">
        <v>16</v>
      </c>
      <c r="C643" s="7" t="s">
        <v>17</v>
      </c>
      <c r="D643" s="7"/>
      <c r="E643" s="7" t="s">
        <v>1670</v>
      </c>
      <c r="F643" s="7" t="s">
        <v>19</v>
      </c>
      <c r="G643" s="7" t="s">
        <v>31</v>
      </c>
      <c r="H643" s="7" t="s">
        <v>17</v>
      </c>
      <c r="I643" s="7" t="s">
        <v>17</v>
      </c>
      <c r="J643" s="7" t="s">
        <v>637</v>
      </c>
    </row>
    <row r="644" spans="1:10" x14ac:dyDescent="0.25" outlineLevel="2" collapsed="1">
      <c r="A644" s="7" t="s">
        <v>15</v>
      </c>
      <c r="B644" s="7" t="s">
        <v>16</v>
      </c>
      <c r="C644" s="7" t="s">
        <v>17</v>
      </c>
      <c r="D644" s="7"/>
      <c r="E644" s="7" t="s">
        <v>638</v>
      </c>
      <c r="F644" s="7" t="s">
        <v>19</v>
      </c>
      <c r="G644" s="7" t="s">
        <v>31</v>
      </c>
      <c r="H644" s="7" t="s">
        <v>17</v>
      </c>
      <c r="I644" s="7" t="s">
        <v>17</v>
      </c>
      <c r="J644" s="7" t="s">
        <v>640</v>
      </c>
    </row>
    <row r="645" spans="1:10" x14ac:dyDescent="0.25" outlineLevel="2" collapsed="1">
      <c r="A645" s="7" t="s">
        <v>15</v>
      </c>
      <c r="B645" s="7" t="s">
        <v>16</v>
      </c>
      <c r="C645" s="7" t="s">
        <v>17</v>
      </c>
      <c r="D645" s="7"/>
      <c r="E645" s="7" t="s">
        <v>9</v>
      </c>
      <c r="F645" s="7" t="s">
        <v>19</v>
      </c>
      <c r="G645" s="7" t="s">
        <v>31</v>
      </c>
      <c r="H645" s="7" t="s">
        <v>17</v>
      </c>
      <c r="I645" s="7" t="s">
        <v>17</v>
      </c>
      <c r="J645" s="7" t="s">
        <v>843</v>
      </c>
    </row>
    <row r="646" spans="1:10" x14ac:dyDescent="0.25" outlineLevel="2" collapsed="1">
      <c r="A646" s="7" t="s">
        <v>19</v>
      </c>
      <c r="B646" s="7" t="s">
        <v>16</v>
      </c>
      <c r="C646" s="7" t="s">
        <v>17</v>
      </c>
      <c r="D646" s="7"/>
      <c r="E646" s="7" t="s">
        <v>1600</v>
      </c>
      <c r="F646" s="7" t="s">
        <v>19</v>
      </c>
      <c r="G646" s="7" t="s">
        <v>31</v>
      </c>
      <c r="H646" s="7" t="s">
        <v>17</v>
      </c>
      <c r="I646" s="7" t="s">
        <v>17</v>
      </c>
      <c r="J646" s="7" t="s">
        <v>1424</v>
      </c>
    </row>
    <row r="647" spans="1:10" x14ac:dyDescent="0.25" outlineLevel="2" collapsed="1">
      <c r="A647" s="7" t="s">
        <v>15</v>
      </c>
      <c r="B647" s="7" t="s">
        <v>16</v>
      </c>
      <c r="C647" s="7" t="s">
        <v>17</v>
      </c>
      <c r="D647" s="7"/>
      <c r="E647" s="7" t="s">
        <v>1601</v>
      </c>
      <c r="F647" s="7" t="s">
        <v>19</v>
      </c>
      <c r="G647" s="7" t="s">
        <v>31</v>
      </c>
      <c r="H647" s="7" t="s">
        <v>17</v>
      </c>
      <c r="I647" s="7" t="s">
        <v>17</v>
      </c>
      <c r="J647" s="7" t="s">
        <v>1602</v>
      </c>
    </row>
    <row r="648" spans="1:10" x14ac:dyDescent="0.25" outlineLevel="2" collapsed="1">
      <c r="A648" s="7" t="s">
        <v>15</v>
      </c>
      <c r="B648" s="7" t="s">
        <v>16</v>
      </c>
      <c r="C648" s="7" t="s">
        <v>17</v>
      </c>
      <c r="D648" s="7"/>
      <c r="E648" s="7" t="s">
        <v>1671</v>
      </c>
      <c r="F648" s="7" t="s">
        <v>19</v>
      </c>
      <c r="G648" s="7" t="s">
        <v>31</v>
      </c>
      <c r="H648" s="7" t="s">
        <v>17</v>
      </c>
      <c r="I648" s="7" t="s">
        <v>17</v>
      </c>
      <c r="J648" s="7" t="s">
        <v>1672</v>
      </c>
    </row>
    <row r="649" spans="1:10" x14ac:dyDescent="0.25" outlineLevel="2" collapsed="1">
      <c r="A649" s="7" t="s">
        <v>15</v>
      </c>
      <c r="B649" s="7" t="s">
        <v>16</v>
      </c>
      <c r="C649" s="7" t="s">
        <v>17</v>
      </c>
      <c r="D649" s="7"/>
      <c r="E649" s="7" t="s">
        <v>1673</v>
      </c>
      <c r="F649" s="7" t="s">
        <v>19</v>
      </c>
      <c r="G649" s="7" t="s">
        <v>31</v>
      </c>
      <c r="H649" s="7" t="s">
        <v>17</v>
      </c>
      <c r="I649" s="7" t="s">
        <v>17</v>
      </c>
      <c r="J649" s="7" t="s">
        <v>1674</v>
      </c>
    </row>
    <row r="650" spans="1:10" x14ac:dyDescent="0.25" outlineLevel="2" collapsed="1">
      <c r="A650" s="7" t="s">
        <v>15</v>
      </c>
      <c r="B650" s="7" t="s">
        <v>16</v>
      </c>
      <c r="C650" s="7" t="s">
        <v>17</v>
      </c>
      <c r="D650" s="7"/>
      <c r="E650" s="7" t="s">
        <v>1675</v>
      </c>
      <c r="F650" s="7" t="s">
        <v>19</v>
      </c>
      <c r="G650" s="7" t="s">
        <v>31</v>
      </c>
      <c r="H650" s="7" t="s">
        <v>17</v>
      </c>
      <c r="I650" s="7" t="s">
        <v>17</v>
      </c>
      <c r="J650" s="7" t="s">
        <v>1422</v>
      </c>
    </row>
    <row r="651" spans="1:10" x14ac:dyDescent="0.25" outlineLevel="2" collapsed="1">
      <c r="A651" s="7" t="s">
        <v>15</v>
      </c>
      <c r="B651" s="7" t="s">
        <v>284</v>
      </c>
      <c r="C651" s="11" t="s">
        <v>1604</v>
      </c>
      <c r="D651" s="7"/>
      <c r="E651" s="7" t="s">
        <v>1605</v>
      </c>
      <c r="F651" s="7" t="s">
        <v>19</v>
      </c>
      <c r="G651" s="7" t="s">
        <v>1606</v>
      </c>
      <c r="H651" s="7" t="s">
        <v>17</v>
      </c>
      <c r="I651" s="7" t="s">
        <v>17</v>
      </c>
      <c r="J651" s="7" t="s">
        <v>1607</v>
      </c>
    </row>
    <row r="652" spans="1:10" x14ac:dyDescent="0.25" outlineLevel="2" collapsed="1">
      <c r="A652" s="7" t="s">
        <v>19</v>
      </c>
      <c r="B652" s="7" t="s">
        <v>63</v>
      </c>
      <c r="C652" s="7" t="s">
        <v>17</v>
      </c>
      <c r="D652" s="7">
        <f>EXACT(G651,"Single value")</f>
      </c>
      <c r="E652" s="7" t="s">
        <v>1676</v>
      </c>
      <c r="F652" s="7" t="s">
        <v>19</v>
      </c>
      <c r="G652" s="7">
        <v>1</v>
      </c>
      <c r="H652" s="7" t="s">
        <v>17</v>
      </c>
      <c r="I652" s="7" t="s">
        <v>17</v>
      </c>
      <c r="J652" s="7" t="s">
        <v>1609</v>
      </c>
    </row>
    <row r="653" spans="1:10" x14ac:dyDescent="0.25" outlineLevel="2" collapsed="1">
      <c r="A653" s="7" t="s">
        <v>19</v>
      </c>
      <c r="B653" s="7" t="s">
        <v>16</v>
      </c>
      <c r="C653" s="7" t="s">
        <v>17</v>
      </c>
      <c r="D653" s="7"/>
      <c r="E653" s="7" t="s">
        <v>1677</v>
      </c>
      <c r="F653" s="7" t="s">
        <v>19</v>
      </c>
      <c r="G653" s="7" t="s">
        <v>31</v>
      </c>
      <c r="H653" s="7" t="s">
        <v>17</v>
      </c>
      <c r="I653" s="7" t="s">
        <v>17</v>
      </c>
      <c r="J653" s="7" t="s">
        <v>1678</v>
      </c>
    </row>
    <row r="654" spans="1:10" x14ac:dyDescent="0.25" outlineLevel="2" collapsed="1">
      <c r="A654" s="7" t="s">
        <v>15</v>
      </c>
      <c r="B654" s="7" t="s">
        <v>16</v>
      </c>
      <c r="C654" s="7" t="s">
        <v>17</v>
      </c>
      <c r="D654" s="7"/>
      <c r="E654" s="7" t="s">
        <v>1679</v>
      </c>
      <c r="F654" s="7" t="s">
        <v>19</v>
      </c>
      <c r="G654" s="7" t="s">
        <v>31</v>
      </c>
      <c r="H654" s="7" t="s">
        <v>17</v>
      </c>
      <c r="I654" s="7" t="s">
        <v>17</v>
      </c>
      <c r="J654" s="7" t="s">
        <v>1680</v>
      </c>
    </row>
    <row r="655" spans="1:10" x14ac:dyDescent="0.25" outlineLevel="2" collapsed="1">
      <c r="A655" s="7" t="s">
        <v>15</v>
      </c>
      <c r="B655" s="7" t="s">
        <v>284</v>
      </c>
      <c r="C655" s="11" t="s">
        <v>1611</v>
      </c>
      <c r="D655" s="7"/>
      <c r="E655" s="7" t="s">
        <v>1612</v>
      </c>
      <c r="F655" s="7" t="s">
        <v>19</v>
      </c>
      <c r="G655" s="7" t="s">
        <v>1613</v>
      </c>
      <c r="H655" s="7" t="s">
        <v>17</v>
      </c>
      <c r="I655" s="7" t="s">
        <v>17</v>
      </c>
      <c r="J655" s="7" t="s">
        <v>1614</v>
      </c>
    </row>
    <row r="656" spans="1:10" x14ac:dyDescent="0.25" outlineLevel="2" collapsed="1">
      <c r="A656" s="7" t="s">
        <v>19</v>
      </c>
      <c r="B656" s="7" t="s">
        <v>16</v>
      </c>
      <c r="C656" s="7" t="s">
        <v>17</v>
      </c>
      <c r="D656" s="7"/>
      <c r="E656" s="7" t="s">
        <v>1681</v>
      </c>
      <c r="F656" s="7" t="s">
        <v>19</v>
      </c>
      <c r="G656" s="7" t="s">
        <v>31</v>
      </c>
      <c r="H656" s="7" t="s">
        <v>17</v>
      </c>
      <c r="I656" s="7" t="s">
        <v>17</v>
      </c>
      <c r="J656" s="7" t="s">
        <v>1682</v>
      </c>
    </row>
    <row r="657" spans="1:10" x14ac:dyDescent="0.25" outlineLevel="2" collapsed="1">
      <c r="A657" s="7" t="s">
        <v>19</v>
      </c>
      <c r="B657" s="7" t="s">
        <v>16</v>
      </c>
      <c r="C657" s="7" t="s">
        <v>17</v>
      </c>
      <c r="D657" s="7"/>
      <c r="E657" s="7" t="s">
        <v>1615</v>
      </c>
      <c r="F657" s="7" t="s">
        <v>19</v>
      </c>
      <c r="G657" s="7" t="s">
        <v>31</v>
      </c>
      <c r="H657" s="7" t="s">
        <v>17</v>
      </c>
      <c r="I657" s="7" t="s">
        <v>17</v>
      </c>
      <c r="J657" s="7" t="s">
        <v>1616</v>
      </c>
    </row>
    <row r="658" spans="1:10" x14ac:dyDescent="0.25" outlineLevel="1" collapsed="1">
      <c r="A658" s="8" t="s">
        <v>19</v>
      </c>
      <c r="B658" s="9" t="s">
        <v>1766</v>
      </c>
      <c r="C658" s="8" t="s">
        <v>17</v>
      </c>
      <c r="D658" s="8"/>
      <c r="E658" s="8" t="s">
        <v>1767</v>
      </c>
      <c r="F658" s="8" t="s">
        <v>15</v>
      </c>
      <c r="G658" s="8" t="s">
        <v>17</v>
      </c>
      <c r="H658" s="8" t="s">
        <v>17</v>
      </c>
      <c r="I658" s="8" t="s">
        <v>17</v>
      </c>
      <c r="J658" s="8" t="s">
        <v>1768</v>
      </c>
    </row>
    <row r="659" spans="1:10" x14ac:dyDescent="0.25" outlineLevel="2" collapsed="1">
      <c r="A659" s="7" t="s">
        <v>15</v>
      </c>
      <c r="B659" s="7" t="s">
        <v>16</v>
      </c>
      <c r="C659" s="7" t="s">
        <v>17</v>
      </c>
      <c r="D659" s="7"/>
      <c r="E659" s="7" t="s">
        <v>1769</v>
      </c>
      <c r="F659" s="7" t="s">
        <v>19</v>
      </c>
      <c r="G659" s="7" t="s">
        <v>31</v>
      </c>
      <c r="H659" s="7" t="s">
        <v>17</v>
      </c>
      <c r="I659" s="7" t="s">
        <v>17</v>
      </c>
      <c r="J659" s="7" t="s">
        <v>1770</v>
      </c>
    </row>
    <row r="660" spans="1:10" x14ac:dyDescent="0.25" outlineLevel="2" collapsed="1">
      <c r="A660" s="7" t="s">
        <v>15</v>
      </c>
      <c r="B660" s="7" t="s">
        <v>63</v>
      </c>
      <c r="C660" s="7" t="s">
        <v>17</v>
      </c>
      <c r="D660" s="7"/>
      <c r="E660" s="7" t="s">
        <v>1771</v>
      </c>
      <c r="F660" s="7" t="s">
        <v>19</v>
      </c>
      <c r="G660" s="7">
        <v>1</v>
      </c>
      <c r="H660" s="7" t="s">
        <v>17</v>
      </c>
      <c r="I660" s="7" t="s">
        <v>17</v>
      </c>
      <c r="J660" s="7" t="s">
        <v>1739</v>
      </c>
    </row>
    <row r="661" spans="1:10" x14ac:dyDescent="0.25" outlineLevel="2" collapsed="1">
      <c r="A661" s="7" t="s">
        <v>19</v>
      </c>
      <c r="B661" s="7" t="s">
        <v>63</v>
      </c>
      <c r="C661" s="7" t="s">
        <v>17</v>
      </c>
      <c r="D661" s="7"/>
      <c r="E661" s="7" t="s">
        <v>1772</v>
      </c>
      <c r="F661" s="7" t="s">
        <v>19</v>
      </c>
      <c r="G661" s="7">
        <v>1</v>
      </c>
      <c r="H661" s="7" t="s">
        <v>17</v>
      </c>
      <c r="I661" s="7" t="s">
        <v>17</v>
      </c>
      <c r="J661" s="7" t="s">
        <v>1656</v>
      </c>
    </row>
    <row r="662" spans="1:10" x14ac:dyDescent="0.25" outlineLevel="2" collapsed="1">
      <c r="A662" s="7" t="s">
        <v>15</v>
      </c>
      <c r="B662" s="7" t="s">
        <v>63</v>
      </c>
      <c r="C662" s="7" t="s">
        <v>17</v>
      </c>
      <c r="D662" s="7"/>
      <c r="E662" s="7" t="s">
        <v>1773</v>
      </c>
      <c r="F662" s="7" t="s">
        <v>19</v>
      </c>
      <c r="G662" s="7">
        <v>1</v>
      </c>
      <c r="H662" s="7" t="s">
        <v>17</v>
      </c>
      <c r="I662" s="7" t="s">
        <v>17</v>
      </c>
      <c r="J662" s="7" t="s">
        <v>1741</v>
      </c>
    </row>
    <row r="663" spans="1:10" x14ac:dyDescent="0.25" outlineLevel="2" collapsed="1">
      <c r="A663" s="7" t="s">
        <v>19</v>
      </c>
      <c r="B663" s="7" t="s">
        <v>63</v>
      </c>
      <c r="C663" s="7" t="s">
        <v>17</v>
      </c>
      <c r="D663" s="7"/>
      <c r="E663" s="7" t="s">
        <v>1774</v>
      </c>
      <c r="F663" s="7" t="s">
        <v>19</v>
      </c>
      <c r="G663" s="7">
        <v>1</v>
      </c>
      <c r="H663" s="7" t="s">
        <v>17</v>
      </c>
      <c r="I663" s="7" t="s">
        <v>17</v>
      </c>
      <c r="J663" s="7" t="s">
        <v>1761</v>
      </c>
    </row>
    <row r="664" spans="1:10" x14ac:dyDescent="0.25" outlineLevel="2" collapsed="1">
      <c r="A664" s="7" t="s">
        <v>19</v>
      </c>
      <c r="B664" s="7" t="s">
        <v>63</v>
      </c>
      <c r="C664" s="7" t="s">
        <v>17</v>
      </c>
      <c r="D664" s="7"/>
      <c r="E664" s="7" t="s">
        <v>1775</v>
      </c>
      <c r="F664" s="7" t="s">
        <v>19</v>
      </c>
      <c r="G664" s="7">
        <v>1</v>
      </c>
      <c r="H664" s="7" t="s">
        <v>17</v>
      </c>
      <c r="I664" s="7" t="s">
        <v>17</v>
      </c>
      <c r="J664" s="7" t="s">
        <v>1765</v>
      </c>
    </row>
    <row r="665" spans="1:10" x14ac:dyDescent="0.25" outlineLevel="2" collapsed="1">
      <c r="A665" s="7" t="s">
        <v>19</v>
      </c>
      <c r="B665" s="7" t="s">
        <v>63</v>
      </c>
      <c r="C665" s="7" t="s">
        <v>17</v>
      </c>
      <c r="D665" s="7"/>
      <c r="E665" s="7" t="s">
        <v>1776</v>
      </c>
      <c r="F665" s="7" t="s">
        <v>19</v>
      </c>
      <c r="G665" s="7">
        <v>1</v>
      </c>
      <c r="H665" s="7" t="s">
        <v>17</v>
      </c>
      <c r="I665" s="7" t="s">
        <v>17</v>
      </c>
      <c r="J665" s="7" t="s">
        <v>1763</v>
      </c>
    </row>
    <row r="666" spans="1:10" x14ac:dyDescent="0.25" outlineLevel="1" collapsed="1">
      <c r="A666" s="8" t="s">
        <v>19</v>
      </c>
      <c r="B666" s="9" t="s">
        <v>1777</v>
      </c>
      <c r="C666" s="8" t="s">
        <v>17</v>
      </c>
      <c r="D666" s="8"/>
      <c r="E666" s="8" t="s">
        <v>1778</v>
      </c>
      <c r="F666" s="8" t="s">
        <v>15</v>
      </c>
      <c r="G666" s="8" t="s">
        <v>17</v>
      </c>
      <c r="H666" s="8" t="s">
        <v>17</v>
      </c>
      <c r="I666" s="8" t="s">
        <v>17</v>
      </c>
      <c r="J666" s="8" t="s">
        <v>1779</v>
      </c>
    </row>
    <row r="667" spans="1:10" x14ac:dyDescent="0.25" outlineLevel="2" collapsed="1">
      <c r="A667" s="7" t="s">
        <v>15</v>
      </c>
      <c r="B667" s="7" t="s">
        <v>16</v>
      </c>
      <c r="C667" s="7" t="s">
        <v>17</v>
      </c>
      <c r="D667" s="7"/>
      <c r="E667" s="7" t="s">
        <v>1780</v>
      </c>
      <c r="F667" s="7" t="s">
        <v>19</v>
      </c>
      <c r="G667" s="7" t="s">
        <v>31</v>
      </c>
      <c r="H667" s="7" t="s">
        <v>17</v>
      </c>
      <c r="I667" s="7" t="s">
        <v>17</v>
      </c>
      <c r="J667" s="7" t="s">
        <v>1781</v>
      </c>
    </row>
    <row r="668" spans="1:10" x14ac:dyDescent="0.25" outlineLevel="2" collapsed="1">
      <c r="A668" s="7" t="s">
        <v>19</v>
      </c>
      <c r="B668" s="7" t="s">
        <v>63</v>
      </c>
      <c r="C668" s="7" t="s">
        <v>17</v>
      </c>
      <c r="D668" s="7"/>
      <c r="E668" s="7" t="s">
        <v>1782</v>
      </c>
      <c r="F668" s="7" t="s">
        <v>19</v>
      </c>
      <c r="G668" s="7">
        <v>1</v>
      </c>
      <c r="H668" s="7" t="s">
        <v>17</v>
      </c>
      <c r="I668" s="7" t="s">
        <v>17</v>
      </c>
      <c r="J668" s="7" t="s">
        <v>1745</v>
      </c>
    </row>
    <row r="669" spans="1:10" x14ac:dyDescent="0.25" outlineLevel="2" collapsed="1">
      <c r="A669" s="7" t="s">
        <v>19</v>
      </c>
      <c r="B669" s="7" t="s">
        <v>63</v>
      </c>
      <c r="C669" s="7" t="s">
        <v>17</v>
      </c>
      <c r="D669" s="7"/>
      <c r="E669" s="7" t="s">
        <v>1783</v>
      </c>
      <c r="F669" s="7" t="s">
        <v>19</v>
      </c>
      <c r="G669" s="7">
        <v>1</v>
      </c>
      <c r="H669" s="7" t="s">
        <v>17</v>
      </c>
      <c r="I669" s="7" t="s">
        <v>17</v>
      </c>
      <c r="J669" s="7" t="s">
        <v>1755</v>
      </c>
    </row>
    <row r="670" spans="1:10" x14ac:dyDescent="0.25" outlineLevel="2" collapsed="1">
      <c r="A670" s="7" t="s">
        <v>19</v>
      </c>
      <c r="B670" s="7" t="s">
        <v>63</v>
      </c>
      <c r="C670" s="7" t="s">
        <v>17</v>
      </c>
      <c r="D670" s="7"/>
      <c r="E670" s="7" t="s">
        <v>1784</v>
      </c>
      <c r="F670" s="7" t="s">
        <v>19</v>
      </c>
      <c r="G670" s="7">
        <v>1</v>
      </c>
      <c r="H670" s="7" t="s">
        <v>17</v>
      </c>
      <c r="I670" s="7" t="s">
        <v>17</v>
      </c>
      <c r="J670" s="7" t="s">
        <v>1759</v>
      </c>
    </row>
    <row r="671" spans="1:10" x14ac:dyDescent="0.25" outlineLevel="2" collapsed="1">
      <c r="A671" s="7" t="s">
        <v>19</v>
      </c>
      <c r="B671" s="7" t="s">
        <v>63</v>
      </c>
      <c r="C671" s="7" t="s">
        <v>17</v>
      </c>
      <c r="D671" s="7"/>
      <c r="E671" s="7" t="s">
        <v>1785</v>
      </c>
      <c r="F671" s="7" t="s">
        <v>19</v>
      </c>
      <c r="G671" s="7">
        <v>1</v>
      </c>
      <c r="H671" s="7" t="s">
        <v>17</v>
      </c>
      <c r="I671" s="7" t="s">
        <v>17</v>
      </c>
      <c r="J671" s="7" t="s">
        <v>1658</v>
      </c>
    </row>
    <row r="672" spans="1:10" x14ac:dyDescent="0.25" outlineLevel="2" collapsed="1">
      <c r="A672" s="7" t="s">
        <v>19</v>
      </c>
      <c r="B672" s="7" t="s">
        <v>63</v>
      </c>
      <c r="C672" s="7" t="s">
        <v>17</v>
      </c>
      <c r="D672" s="7"/>
      <c r="E672" s="7" t="s">
        <v>1786</v>
      </c>
      <c r="F672" s="7" t="s">
        <v>19</v>
      </c>
      <c r="G672" s="7">
        <v>1</v>
      </c>
      <c r="H672" s="7" t="s">
        <v>17</v>
      </c>
      <c r="I672" s="7" t="s">
        <v>17</v>
      </c>
      <c r="J672" s="7" t="s">
        <v>1747</v>
      </c>
    </row>
    <row r="673" spans="1:10" x14ac:dyDescent="0.25" outlineLevel="2" collapsed="1">
      <c r="A673" s="7" t="s">
        <v>15</v>
      </c>
      <c r="B673" s="7" t="s">
        <v>16</v>
      </c>
      <c r="C673" s="7" t="s">
        <v>17</v>
      </c>
      <c r="D673" s="7"/>
      <c r="E673" s="7" t="s">
        <v>1787</v>
      </c>
      <c r="F673" s="7" t="s">
        <v>19</v>
      </c>
      <c r="G673" s="7" t="s">
        <v>31</v>
      </c>
      <c r="H673" s="7" t="s">
        <v>17</v>
      </c>
      <c r="I673" s="7" t="s">
        <v>17</v>
      </c>
      <c r="J673" s="7" t="s">
        <v>1725</v>
      </c>
    </row>
    <row r="674" spans="1:10" x14ac:dyDescent="0.25" outlineLevel="2" collapsed="1">
      <c r="A674" s="7" t="s">
        <v>19</v>
      </c>
      <c r="B674" s="7" t="s">
        <v>63</v>
      </c>
      <c r="C674" s="7" t="s">
        <v>17</v>
      </c>
      <c r="D674" s="7"/>
      <c r="E674" s="7" t="s">
        <v>1788</v>
      </c>
      <c r="F674" s="7" t="s">
        <v>19</v>
      </c>
      <c r="G674" s="7">
        <v>1</v>
      </c>
      <c r="H674" s="7" t="s">
        <v>17</v>
      </c>
      <c r="I674" s="7" t="s">
        <v>17</v>
      </c>
      <c r="J674" s="7" t="s">
        <v>1749</v>
      </c>
    </row>
    <row r="675" spans="1:10" x14ac:dyDescent="0.25" outlineLevel="2" collapsed="1">
      <c r="A675" s="7" t="s">
        <v>19</v>
      </c>
      <c r="B675" s="7" t="s">
        <v>63</v>
      </c>
      <c r="C675" s="7" t="s">
        <v>17</v>
      </c>
      <c r="D675" s="7"/>
      <c r="E675" s="7" t="s">
        <v>1789</v>
      </c>
      <c r="F675" s="7" t="s">
        <v>19</v>
      </c>
      <c r="G675" s="7">
        <v>1</v>
      </c>
      <c r="H675" s="7" t="s">
        <v>17</v>
      </c>
      <c r="I675" s="7" t="s">
        <v>17</v>
      </c>
      <c r="J675" s="7" t="s">
        <v>1751</v>
      </c>
    </row>
    <row r="676" spans="1:10" x14ac:dyDescent="0.25" outlineLevel="2" collapsed="1">
      <c r="A676" s="7" t="s">
        <v>19</v>
      </c>
      <c r="B676" s="7" t="s">
        <v>63</v>
      </c>
      <c r="C676" s="7" t="s">
        <v>17</v>
      </c>
      <c r="D676" s="7"/>
      <c r="E676" s="7" t="s">
        <v>1790</v>
      </c>
      <c r="F676" s="7" t="s">
        <v>19</v>
      </c>
      <c r="G676" s="7">
        <v>1</v>
      </c>
      <c r="H676" s="7" t="s">
        <v>17</v>
      </c>
      <c r="I676" s="7" t="s">
        <v>17</v>
      </c>
      <c r="J676" s="7" t="s">
        <v>1753</v>
      </c>
    </row>
    <row r="677" spans="1:10" x14ac:dyDescent="0.25">
      <c r="A677" s="5" t="s">
        <v>15</v>
      </c>
      <c r="B677" s="6" t="s">
        <v>1791</v>
      </c>
      <c r="C677" s="5" t="s">
        <v>17</v>
      </c>
      <c r="D677" s="5"/>
      <c r="E677" s="5" t="s">
        <v>1792</v>
      </c>
      <c r="F677" s="5" t="s">
        <v>19</v>
      </c>
      <c r="G677" s="5" t="s">
        <v>17</v>
      </c>
      <c r="H677" s="5" t="s">
        <v>17</v>
      </c>
      <c r="I677" s="5" t="s">
        <v>17</v>
      </c>
      <c r="J677" s="5" t="s">
        <v>1793</v>
      </c>
    </row>
    <row r="678" spans="1:10" x14ac:dyDescent="0.25" outlineLevel="1" collapsed="1">
      <c r="A678" s="8" t="s">
        <v>15</v>
      </c>
      <c r="B678" s="9" t="s">
        <v>1667</v>
      </c>
      <c r="C678" s="8" t="s">
        <v>17</v>
      </c>
      <c r="D678" s="8"/>
      <c r="E678" s="8" t="s">
        <v>1794</v>
      </c>
      <c r="F678" s="8" t="s">
        <v>19</v>
      </c>
      <c r="G678" s="8" t="s">
        <v>17</v>
      </c>
      <c r="H678" s="8" t="s">
        <v>17</v>
      </c>
      <c r="I678" s="8" t="s">
        <v>17</v>
      </c>
      <c r="J678" s="8" t="s">
        <v>1795</v>
      </c>
    </row>
    <row r="679" spans="1:10" x14ac:dyDescent="0.25" outlineLevel="2" collapsed="1">
      <c r="A679" s="7" t="s">
        <v>15</v>
      </c>
      <c r="B679" s="7" t="s">
        <v>16</v>
      </c>
      <c r="C679" s="7" t="s">
        <v>17</v>
      </c>
      <c r="D679" s="7"/>
      <c r="E679" s="7" t="s">
        <v>1670</v>
      </c>
      <c r="F679" s="7" t="s">
        <v>19</v>
      </c>
      <c r="G679" s="7" t="s">
        <v>31</v>
      </c>
      <c r="H679" s="7" t="s">
        <v>17</v>
      </c>
      <c r="I679" s="7" t="s">
        <v>17</v>
      </c>
      <c r="J679" s="7" t="s">
        <v>637</v>
      </c>
    </row>
    <row r="680" spans="1:10" x14ac:dyDescent="0.25" outlineLevel="2" collapsed="1">
      <c r="A680" s="7" t="s">
        <v>15</v>
      </c>
      <c r="B680" s="7" t="s">
        <v>16</v>
      </c>
      <c r="C680" s="7" t="s">
        <v>17</v>
      </c>
      <c r="D680" s="7"/>
      <c r="E680" s="7" t="s">
        <v>638</v>
      </c>
      <c r="F680" s="7" t="s">
        <v>19</v>
      </c>
      <c r="G680" s="7" t="s">
        <v>31</v>
      </c>
      <c r="H680" s="7" t="s">
        <v>17</v>
      </c>
      <c r="I680" s="7" t="s">
        <v>17</v>
      </c>
      <c r="J680" s="7" t="s">
        <v>640</v>
      </c>
    </row>
    <row r="681" spans="1:10" x14ac:dyDescent="0.25" outlineLevel="2" collapsed="1">
      <c r="A681" s="7" t="s">
        <v>15</v>
      </c>
      <c r="B681" s="7" t="s">
        <v>16</v>
      </c>
      <c r="C681" s="7" t="s">
        <v>17</v>
      </c>
      <c r="D681" s="7"/>
      <c r="E681" s="7" t="s">
        <v>9</v>
      </c>
      <c r="F681" s="7" t="s">
        <v>19</v>
      </c>
      <c r="G681" s="7" t="s">
        <v>31</v>
      </c>
      <c r="H681" s="7" t="s">
        <v>17</v>
      </c>
      <c r="I681" s="7" t="s">
        <v>17</v>
      </c>
      <c r="J681" s="7" t="s">
        <v>843</v>
      </c>
    </row>
    <row r="682" spans="1:10" x14ac:dyDescent="0.25" outlineLevel="2" collapsed="1">
      <c r="A682" s="7" t="s">
        <v>19</v>
      </c>
      <c r="B682" s="7" t="s">
        <v>16</v>
      </c>
      <c r="C682" s="7" t="s">
        <v>17</v>
      </c>
      <c r="D682" s="7"/>
      <c r="E682" s="7" t="s">
        <v>1600</v>
      </c>
      <c r="F682" s="7" t="s">
        <v>19</v>
      </c>
      <c r="G682" s="7" t="s">
        <v>31</v>
      </c>
      <c r="H682" s="7" t="s">
        <v>17</v>
      </c>
      <c r="I682" s="7" t="s">
        <v>17</v>
      </c>
      <c r="J682" s="7" t="s">
        <v>1424</v>
      </c>
    </row>
    <row r="683" spans="1:10" x14ac:dyDescent="0.25" outlineLevel="2" collapsed="1">
      <c r="A683" s="7" t="s">
        <v>15</v>
      </c>
      <c r="B683" s="7" t="s">
        <v>16</v>
      </c>
      <c r="C683" s="7" t="s">
        <v>17</v>
      </c>
      <c r="D683" s="7"/>
      <c r="E683" s="7" t="s">
        <v>1601</v>
      </c>
      <c r="F683" s="7" t="s">
        <v>19</v>
      </c>
      <c r="G683" s="7" t="s">
        <v>31</v>
      </c>
      <c r="H683" s="7" t="s">
        <v>17</v>
      </c>
      <c r="I683" s="7" t="s">
        <v>17</v>
      </c>
      <c r="J683" s="7" t="s">
        <v>1602</v>
      </c>
    </row>
    <row r="684" spans="1:10" x14ac:dyDescent="0.25" outlineLevel="2" collapsed="1">
      <c r="A684" s="7" t="s">
        <v>15</v>
      </c>
      <c r="B684" s="7" t="s">
        <v>16</v>
      </c>
      <c r="C684" s="7" t="s">
        <v>17</v>
      </c>
      <c r="D684" s="7"/>
      <c r="E684" s="7" t="s">
        <v>1671</v>
      </c>
      <c r="F684" s="7" t="s">
        <v>19</v>
      </c>
      <c r="G684" s="7" t="s">
        <v>31</v>
      </c>
      <c r="H684" s="7" t="s">
        <v>17</v>
      </c>
      <c r="I684" s="7" t="s">
        <v>17</v>
      </c>
      <c r="J684" s="7" t="s">
        <v>1672</v>
      </c>
    </row>
    <row r="685" spans="1:10" x14ac:dyDescent="0.25" outlineLevel="2" collapsed="1">
      <c r="A685" s="7" t="s">
        <v>15</v>
      </c>
      <c r="B685" s="7" t="s">
        <v>16</v>
      </c>
      <c r="C685" s="7" t="s">
        <v>17</v>
      </c>
      <c r="D685" s="7"/>
      <c r="E685" s="7" t="s">
        <v>1673</v>
      </c>
      <c r="F685" s="7" t="s">
        <v>19</v>
      </c>
      <c r="G685" s="7" t="s">
        <v>31</v>
      </c>
      <c r="H685" s="7" t="s">
        <v>17</v>
      </c>
      <c r="I685" s="7" t="s">
        <v>17</v>
      </c>
      <c r="J685" s="7" t="s">
        <v>1674</v>
      </c>
    </row>
    <row r="686" spans="1:10" x14ac:dyDescent="0.25" outlineLevel="2" collapsed="1">
      <c r="A686" s="7" t="s">
        <v>15</v>
      </c>
      <c r="B686" s="7" t="s">
        <v>16</v>
      </c>
      <c r="C686" s="7" t="s">
        <v>17</v>
      </c>
      <c r="D686" s="7"/>
      <c r="E686" s="7" t="s">
        <v>1675</v>
      </c>
      <c r="F686" s="7" t="s">
        <v>19</v>
      </c>
      <c r="G686" s="7" t="s">
        <v>31</v>
      </c>
      <c r="H686" s="7" t="s">
        <v>17</v>
      </c>
      <c r="I686" s="7" t="s">
        <v>17</v>
      </c>
      <c r="J686" s="7" t="s">
        <v>1422</v>
      </c>
    </row>
    <row r="687" spans="1:10" x14ac:dyDescent="0.25" outlineLevel="2" collapsed="1">
      <c r="A687" s="7" t="s">
        <v>15</v>
      </c>
      <c r="B687" s="7" t="s">
        <v>284</v>
      </c>
      <c r="C687" s="11" t="s">
        <v>1604</v>
      </c>
      <c r="D687" s="7"/>
      <c r="E687" s="7" t="s">
        <v>1605</v>
      </c>
      <c r="F687" s="7" t="s">
        <v>19</v>
      </c>
      <c r="G687" s="7" t="s">
        <v>1606</v>
      </c>
      <c r="H687" s="7" t="s">
        <v>17</v>
      </c>
      <c r="I687" s="7" t="s">
        <v>17</v>
      </c>
      <c r="J687" s="7" t="s">
        <v>1607</v>
      </c>
    </row>
    <row r="688" spans="1:10" x14ac:dyDescent="0.25" outlineLevel="2" collapsed="1">
      <c r="A688" s="7" t="s">
        <v>19</v>
      </c>
      <c r="B688" s="7" t="s">
        <v>63</v>
      </c>
      <c r="C688" s="7" t="s">
        <v>17</v>
      </c>
      <c r="D688" s="7">
        <f>EXACT(G687,"Single value")</f>
      </c>
      <c r="E688" s="7" t="s">
        <v>1676</v>
      </c>
      <c r="F688" s="7" t="s">
        <v>19</v>
      </c>
      <c r="G688" s="7">
        <v>1</v>
      </c>
      <c r="H688" s="7" t="s">
        <v>17</v>
      </c>
      <c r="I688" s="7" t="s">
        <v>17</v>
      </c>
      <c r="J688" s="7" t="s">
        <v>1609</v>
      </c>
    </row>
    <row r="689" spans="1:10" x14ac:dyDescent="0.25" outlineLevel="2" collapsed="1">
      <c r="A689" s="7" t="s">
        <v>19</v>
      </c>
      <c r="B689" s="7" t="s">
        <v>16</v>
      </c>
      <c r="C689" s="7" t="s">
        <v>17</v>
      </c>
      <c r="D689" s="7"/>
      <c r="E689" s="7" t="s">
        <v>1677</v>
      </c>
      <c r="F689" s="7" t="s">
        <v>19</v>
      </c>
      <c r="G689" s="7" t="s">
        <v>31</v>
      </c>
      <c r="H689" s="7" t="s">
        <v>17</v>
      </c>
      <c r="I689" s="7" t="s">
        <v>17</v>
      </c>
      <c r="J689" s="7" t="s">
        <v>1678</v>
      </c>
    </row>
    <row r="690" spans="1:10" x14ac:dyDescent="0.25" outlineLevel="2" collapsed="1">
      <c r="A690" s="7" t="s">
        <v>15</v>
      </c>
      <c r="B690" s="7" t="s">
        <v>16</v>
      </c>
      <c r="C690" s="7" t="s">
        <v>17</v>
      </c>
      <c r="D690" s="7"/>
      <c r="E690" s="7" t="s">
        <v>1679</v>
      </c>
      <c r="F690" s="7" t="s">
        <v>19</v>
      </c>
      <c r="G690" s="7" t="s">
        <v>31</v>
      </c>
      <c r="H690" s="7" t="s">
        <v>17</v>
      </c>
      <c r="I690" s="7" t="s">
        <v>17</v>
      </c>
      <c r="J690" s="7" t="s">
        <v>1680</v>
      </c>
    </row>
    <row r="691" spans="1:10" x14ac:dyDescent="0.25" outlineLevel="2" collapsed="1">
      <c r="A691" s="7" t="s">
        <v>15</v>
      </c>
      <c r="B691" s="7" t="s">
        <v>284</v>
      </c>
      <c r="C691" s="11" t="s">
        <v>1611</v>
      </c>
      <c r="D691" s="7"/>
      <c r="E691" s="7" t="s">
        <v>1612</v>
      </c>
      <c r="F691" s="7" t="s">
        <v>19</v>
      </c>
      <c r="G691" s="7" t="s">
        <v>1613</v>
      </c>
      <c r="H691" s="7" t="s">
        <v>17</v>
      </c>
      <c r="I691" s="7" t="s">
        <v>17</v>
      </c>
      <c r="J691" s="7" t="s">
        <v>1614</v>
      </c>
    </row>
    <row r="692" spans="1:10" x14ac:dyDescent="0.25" outlineLevel="2" collapsed="1">
      <c r="A692" s="7" t="s">
        <v>19</v>
      </c>
      <c r="B692" s="7" t="s">
        <v>16</v>
      </c>
      <c r="C692" s="7" t="s">
        <v>17</v>
      </c>
      <c r="D692" s="7"/>
      <c r="E692" s="7" t="s">
        <v>1681</v>
      </c>
      <c r="F692" s="7" t="s">
        <v>19</v>
      </c>
      <c r="G692" s="7" t="s">
        <v>31</v>
      </c>
      <c r="H692" s="7" t="s">
        <v>17</v>
      </c>
      <c r="I692" s="7" t="s">
        <v>17</v>
      </c>
      <c r="J692" s="7" t="s">
        <v>1682</v>
      </c>
    </row>
    <row r="693" spans="1:10" x14ac:dyDescent="0.25" outlineLevel="2" collapsed="1">
      <c r="A693" s="7" t="s">
        <v>19</v>
      </c>
      <c r="B693" s="7" t="s">
        <v>16</v>
      </c>
      <c r="C693" s="7" t="s">
        <v>17</v>
      </c>
      <c r="D693" s="7"/>
      <c r="E693" s="7" t="s">
        <v>1615</v>
      </c>
      <c r="F693" s="7" t="s">
        <v>19</v>
      </c>
      <c r="G693" s="7" t="s">
        <v>31</v>
      </c>
      <c r="H693" s="7" t="s">
        <v>17</v>
      </c>
      <c r="I693" s="7" t="s">
        <v>17</v>
      </c>
      <c r="J693" s="7" t="s">
        <v>1616</v>
      </c>
    </row>
  </sheetData>
  <mergeCells count="3">
    <mergeCell ref="A1:J1"/>
    <mergeCell ref="B2:J2"/>
    <mergeCell ref="B3:J3"/>
  </mergeCells>
  <dataValidations count="96">
    <dataValidation type="list" allowBlank="1" sqref="G100:I100">
      <formula1>'Enums'!C609:C613</formula1>
    </dataValidation>
    <dataValidation type="list" allowBlank="1" sqref="G109:I109">
      <formula1>'Enums'!C607:C608</formula1>
    </dataValidation>
    <dataValidation type="list" allowBlank="1" sqref="G112:I112">
      <formula1>'Enums'!C609:C613</formula1>
    </dataValidation>
    <dataValidation type="list" allowBlank="1" sqref="G114:I114">
      <formula1>'Enums'!C614:C615</formula1>
    </dataValidation>
    <dataValidation type="list" allowBlank="1" sqref="G122:I122">
      <formula1>'Enums'!C607:C608</formula1>
    </dataValidation>
    <dataValidation type="list" allowBlank="1" sqref="G125:I125">
      <formula1>'Enums'!C609:C613</formula1>
    </dataValidation>
    <dataValidation type="list" allowBlank="1" sqref="G13:I13">
      <formula1>'Enums'!C607:C608</formula1>
    </dataValidation>
    <dataValidation type="list" allowBlank="1" sqref="G134:I134">
      <formula1>'Enums'!C607:C608</formula1>
    </dataValidation>
    <dataValidation type="list" allowBlank="1" sqref="G137:I137">
      <formula1>'Enums'!C609:C613</formula1>
    </dataValidation>
    <dataValidation type="list" allowBlank="1" sqref="G146:I146">
      <formula1>'Enums'!C607:C608</formula1>
    </dataValidation>
    <dataValidation type="list" allowBlank="1" sqref="G149:I149">
      <formula1>'Enums'!C609:C613</formula1>
    </dataValidation>
    <dataValidation type="list" allowBlank="1" sqref="G158:I158">
      <formula1>'Enums'!C607:C608</formula1>
    </dataValidation>
    <dataValidation type="list" allowBlank="1" sqref="G16:I16">
      <formula1>'Enums'!C609:C613</formula1>
    </dataValidation>
    <dataValidation type="list" allowBlank="1" sqref="G161:I161">
      <formula1>'Enums'!C609:C613</formula1>
    </dataValidation>
    <dataValidation type="list" allowBlank="1" sqref="G170:I170">
      <formula1>'Enums'!C607:C608</formula1>
    </dataValidation>
    <dataValidation type="list" allowBlank="1" sqref="G173:I173">
      <formula1>'Enums'!C609:C613</formula1>
    </dataValidation>
    <dataValidation type="list" allowBlank="1" sqref="G183:I183">
      <formula1>'Enums'!C607:C608</formula1>
    </dataValidation>
    <dataValidation type="list" allowBlank="1" sqref="G186:I186">
      <formula1>'Enums'!C609:C613</formula1>
    </dataValidation>
    <dataValidation type="list" allowBlank="1" sqref="G196:I196">
      <formula1>'Enums'!C607:C608</formula1>
    </dataValidation>
    <dataValidation type="list" allowBlank="1" sqref="G199:I199">
      <formula1>'Enums'!C609:C613</formula1>
    </dataValidation>
    <dataValidation type="list" allowBlank="1" sqref="G208:I208">
      <formula1>'Enums'!C607:C608</formula1>
    </dataValidation>
    <dataValidation type="list" allowBlank="1" sqref="G211:I211">
      <formula1>'Enums'!C609:C613</formula1>
    </dataValidation>
    <dataValidation type="list" allowBlank="1" sqref="G221:I221">
      <formula1>'Enums'!C607:C608</formula1>
    </dataValidation>
    <dataValidation type="list" allowBlank="1" sqref="G224:I224">
      <formula1>'Enums'!C609:C613</formula1>
    </dataValidation>
    <dataValidation type="list" allowBlank="1" sqref="G236:I236">
      <formula1>'Enums'!C607:C608</formula1>
    </dataValidation>
    <dataValidation type="list" allowBlank="1" sqref="G240:I240">
      <formula1>'Enums'!C609:C613</formula1>
    </dataValidation>
    <dataValidation type="list" allowBlank="1" sqref="G25:I25">
      <formula1>'Enums'!C607:C608</formula1>
    </dataValidation>
    <dataValidation type="list" allowBlank="1" sqref="G252:I252">
      <formula1>'Enums'!C607:C608</formula1>
    </dataValidation>
    <dataValidation type="list" allowBlank="1" sqref="G256:I256">
      <formula1>'Enums'!C609:C613</formula1>
    </dataValidation>
    <dataValidation type="list" allowBlank="1" sqref="G268:I268">
      <formula1>'Enums'!C607:C608</formula1>
    </dataValidation>
    <dataValidation type="list" allowBlank="1" sqref="G272:I272">
      <formula1>'Enums'!C609:C613</formula1>
    </dataValidation>
    <dataValidation type="list" allowBlank="1" sqref="G28:I28">
      <formula1>'Enums'!C609:C613</formula1>
    </dataValidation>
    <dataValidation type="list" allowBlank="1" sqref="G284:I284">
      <formula1>'Enums'!C607:C608</formula1>
    </dataValidation>
    <dataValidation type="list" allowBlank="1" sqref="G288:I288">
      <formula1>'Enums'!C609:C613</formula1>
    </dataValidation>
    <dataValidation type="list" allowBlank="1" sqref="G300:I300">
      <formula1>'Enums'!C607:C608</formula1>
    </dataValidation>
    <dataValidation type="list" allowBlank="1" sqref="G304:I304">
      <formula1>'Enums'!C609:C613</formula1>
    </dataValidation>
    <dataValidation type="list" allowBlank="1" sqref="G316:I316">
      <formula1>'Enums'!C607:C608</formula1>
    </dataValidation>
    <dataValidation type="list" allowBlank="1" sqref="G320:I320">
      <formula1>'Enums'!C609:C613</formula1>
    </dataValidation>
    <dataValidation type="list" allowBlank="1" sqref="G332:I332">
      <formula1>'Enums'!C607:C608</formula1>
    </dataValidation>
    <dataValidation type="list" allowBlank="1" sqref="G336:I336">
      <formula1>'Enums'!C609:C613</formula1>
    </dataValidation>
    <dataValidation type="list" allowBlank="1" sqref="G349:I349">
      <formula1>'Enums'!C607:C608</formula1>
    </dataValidation>
    <dataValidation type="list" allowBlank="1" sqref="G353:I353">
      <formula1>'Enums'!C609:C613</formula1>
    </dataValidation>
    <dataValidation type="list" allowBlank="1" sqref="G365:I365">
      <formula1>'Enums'!C607:C608</formula1>
    </dataValidation>
    <dataValidation type="list" allowBlank="1" sqref="G369:I369">
      <formula1>'Enums'!C609:C613</formula1>
    </dataValidation>
    <dataValidation type="list" allowBlank="1" sqref="G37:I37">
      <formula1>'Enums'!C607:C608</formula1>
    </dataValidation>
    <dataValidation type="list" allowBlank="1" sqref="G381:I381">
      <formula1>'Enums'!C607:C608</formula1>
    </dataValidation>
    <dataValidation type="list" allowBlank="1" sqref="G385:I385">
      <formula1>'Enums'!C609:C613</formula1>
    </dataValidation>
    <dataValidation type="list" allowBlank="1" sqref="G397:I397">
      <formula1>'Enums'!C607:C608</formula1>
    </dataValidation>
    <dataValidation type="list" allowBlank="1" sqref="G40:I40">
      <formula1>'Enums'!C609:C613</formula1>
    </dataValidation>
    <dataValidation type="list" allowBlank="1" sqref="G401:I401">
      <formula1>'Enums'!C609:C613</formula1>
    </dataValidation>
    <dataValidation type="list" allowBlank="1" sqref="G413:I413">
      <formula1>'Enums'!C607:C608</formula1>
    </dataValidation>
    <dataValidation type="list" allowBlank="1" sqref="G417:I417">
      <formula1>'Enums'!C609:C613</formula1>
    </dataValidation>
    <dataValidation type="list" allowBlank="1" sqref="G420:I420">
      <formula1>'Enums'!C616:C617</formula1>
    </dataValidation>
    <dataValidation type="list" allowBlank="1" sqref="G421:I421">
      <formula1>'Enums'!C618:C619</formula1>
    </dataValidation>
    <dataValidation type="list" allowBlank="1" sqref="G424:I424">
      <formula1>'Enums'!C813:C815</formula1>
    </dataValidation>
    <dataValidation type="list" allowBlank="1" sqref="G426:I426">
      <formula1>'Enums'!C816:C817</formula1>
    </dataValidation>
    <dataValidation type="list" allowBlank="1" sqref="G427:I427">
      <formula1>'Enums'!C818:C819</formula1>
    </dataValidation>
    <dataValidation type="list" allowBlank="1" sqref="G443:I443">
      <formula1>'Enums'!C607:C608</formula1>
    </dataValidation>
    <dataValidation type="list" allowBlank="1" sqref="G447:I447">
      <formula1>'Enums'!C609:C613</formula1>
    </dataValidation>
    <dataValidation type="list" allowBlank="1" sqref="G459:I459">
      <formula1>'Enums'!C607:C608</formula1>
    </dataValidation>
    <dataValidation type="list" allowBlank="1" sqref="G463:I463">
      <formula1>'Enums'!C609:C613</formula1>
    </dataValidation>
    <dataValidation type="list" allowBlank="1" sqref="G475:I475">
      <formula1>'Enums'!C607:C608</formula1>
    </dataValidation>
    <dataValidation type="list" allowBlank="1" sqref="G479:I479">
      <formula1>'Enums'!C609:C613</formula1>
    </dataValidation>
    <dataValidation type="list" allowBlank="1" sqref="G49:I49">
      <formula1>'Enums'!C607:C608</formula1>
    </dataValidation>
    <dataValidation type="list" allowBlank="1" sqref="G491:I491">
      <formula1>'Enums'!C607:C608</formula1>
    </dataValidation>
    <dataValidation type="list" allowBlank="1" sqref="G495:I495">
      <formula1>'Enums'!C609:C613</formula1>
    </dataValidation>
    <dataValidation type="list" allowBlank="1" sqref="G507:I507">
      <formula1>'Enums'!C607:C608</formula1>
    </dataValidation>
    <dataValidation type="list" allowBlank="1" sqref="G511:I511">
      <formula1>'Enums'!C609:C613</formula1>
    </dataValidation>
    <dataValidation type="list" allowBlank="1" sqref="G52:I52">
      <formula1>'Enums'!C609:C613</formula1>
    </dataValidation>
    <dataValidation type="list" allowBlank="1" sqref="G523:I523">
      <formula1>'Enums'!C607:C608</formula1>
    </dataValidation>
    <dataValidation type="list" allowBlank="1" sqref="G527:I527">
      <formula1>'Enums'!C609:C613</formula1>
    </dataValidation>
    <dataValidation type="list" allowBlank="1" sqref="G539:I539">
      <formula1>'Enums'!C607:C608</formula1>
    </dataValidation>
    <dataValidation type="list" allowBlank="1" sqref="G543:I543">
      <formula1>'Enums'!C609:C613</formula1>
    </dataValidation>
    <dataValidation type="list" allowBlank="1" sqref="G555:I555">
      <formula1>'Enums'!C607:C608</formula1>
    </dataValidation>
    <dataValidation type="list" allowBlank="1" sqref="G559:I559">
      <formula1>'Enums'!C609:C613</formula1>
    </dataValidation>
    <dataValidation type="list" allowBlank="1" sqref="G571:I571">
      <formula1>'Enums'!C607:C608</formula1>
    </dataValidation>
    <dataValidation type="list" allowBlank="1" sqref="G575:I575">
      <formula1>'Enums'!C609:C613</formula1>
    </dataValidation>
    <dataValidation type="list" allowBlank="1" sqref="G587:I587">
      <formula1>'Enums'!C607:C608</formula1>
    </dataValidation>
    <dataValidation type="list" allowBlank="1" sqref="G591:I591">
      <formula1>'Enums'!C609:C613</formula1>
    </dataValidation>
    <dataValidation type="list" allowBlank="1" sqref="G603:I603">
      <formula1>'Enums'!C607:C608</formula1>
    </dataValidation>
    <dataValidation type="list" allowBlank="1" sqref="G607:I607">
      <formula1>'Enums'!C609:C613</formula1>
    </dataValidation>
    <dataValidation type="list" allowBlank="1" sqref="G61:I61">
      <formula1>'Enums'!C607:C608</formula1>
    </dataValidation>
    <dataValidation type="list" allowBlank="1" sqref="G619:I619">
      <formula1>'Enums'!C607:C608</formula1>
    </dataValidation>
    <dataValidation type="list" allowBlank="1" sqref="G623:I623">
      <formula1>'Enums'!C609:C613</formula1>
    </dataValidation>
    <dataValidation type="list" allowBlank="1" sqref="G635:I635">
      <formula1>'Enums'!C607:C608</formula1>
    </dataValidation>
    <dataValidation type="list" allowBlank="1" sqref="G639:I639">
      <formula1>'Enums'!C609:C613</formula1>
    </dataValidation>
    <dataValidation type="list" allowBlank="1" sqref="G64:I64">
      <formula1>'Enums'!C609:C613</formula1>
    </dataValidation>
    <dataValidation type="list" allowBlank="1" sqref="G651:I651">
      <formula1>'Enums'!C607:C608</formula1>
    </dataValidation>
    <dataValidation type="list" allowBlank="1" sqref="G655:I655">
      <formula1>'Enums'!C609:C613</formula1>
    </dataValidation>
    <dataValidation type="list" allowBlank="1" sqref="G687:I687">
      <formula1>'Enums'!C607:C608</formula1>
    </dataValidation>
    <dataValidation type="list" allowBlank="1" sqref="G691:I691">
      <formula1>'Enums'!C609:C613</formula1>
    </dataValidation>
    <dataValidation type="list" allowBlank="1" sqref="G73:I73">
      <formula1>'Enums'!C607:C608</formula1>
    </dataValidation>
    <dataValidation type="list" allowBlank="1" sqref="G76:I76">
      <formula1>'Enums'!C609:C613</formula1>
    </dataValidation>
    <dataValidation type="list" allowBlank="1" sqref="G85:I85">
      <formula1>'Enums'!C607:C608</formula1>
    </dataValidation>
    <dataValidation type="list" allowBlank="1" sqref="G88:I88">
      <formula1>'Enums'!C609:C613</formula1>
    </dataValidation>
    <dataValidation type="list" allowBlank="1" sqref="G97:I97">
      <formula1>'Enums'!C607:C608</formula1>
    </dataValidation>
  </dataValidations>
  <hyperlinks>
    <hyperlink ref="B5" r:id="rId1" location="#'VMR0015 A2.1.1 VMR0015  AMS-II'!A1"/>
    <hyperlink ref="B6" r:id="rId2" location="#'VMR0015 A2.1 DataParameter Ava'!A1"/>
    <hyperlink ref="B18" r:id="rId3" location="#'VMR0015 A2.1 DataParameter Ava'!A1"/>
    <hyperlink ref="B30" r:id="rId4" location="#'VMR0015 A2.1 DataParameter Ava'!A1"/>
    <hyperlink ref="B42" r:id="rId5" location="#'VMR0015 A2.1 DataParameter Ava'!A1"/>
    <hyperlink ref="B54" r:id="rId6" location="#'VMR0015 A2.1 DataParameter Ava'!A1"/>
    <hyperlink ref="B66" r:id="rId7" location="#'VMR0015 A2.1 DataParameter Ava'!A1"/>
    <hyperlink ref="B78" r:id="rId8" location="#'VMR0015 A2.1 DataParameter Ava'!A1"/>
    <hyperlink ref="B90" r:id="rId9" location="#'VMR0015 A2.1 DataParameter Ava'!A1"/>
    <hyperlink ref="B102" r:id="rId10" location="#'VMR0015 A2.1 DataParameter Ava'!A1"/>
    <hyperlink ref="B115" r:id="rId11" location="#'VMR0015 A2.1 DataParameter Ava'!A1"/>
    <hyperlink ref="B127" r:id="rId12" location="#'VMR0015 A2.1 DataParameter Ava'!A1"/>
    <hyperlink ref="B139" r:id="rId13" location="#'VMR0015 A2.1 DataParameter Ava'!A1"/>
    <hyperlink ref="B151" r:id="rId14" location="#'VMR0015 A2.1 DataParameter Ava'!A1"/>
    <hyperlink ref="B163" r:id="rId15" location="#'VMR0015 A2.1 DataParameter Ava'!A1"/>
    <hyperlink ref="B175" r:id="rId16" location="#'VMR0015 A2.1.2 TOOL03 paramete'!A1"/>
    <hyperlink ref="B176" r:id="rId17" location="#'VMR0015 A2.1 DataParameter Ava'!A1"/>
    <hyperlink ref="B188" r:id="rId18" location="#'VMR0015 A2.1.3 VT0010  VT0011'!A1"/>
    <hyperlink ref="B189" r:id="rId19" location="#'VMR0015 A2.1 DataParameter Ava'!A1"/>
    <hyperlink ref="B201" r:id="rId20" location="#'VMR0015 A2.1 DataParameter Ava'!A1"/>
    <hyperlink ref="B213" r:id="rId21" location="#'VMR0015 A2.1.4 AMS-I.E paramet'!A1"/>
    <hyperlink ref="B214" r:id="rId22" location="#'VMR0015 A2.1 DataParameter Ava'!A1"/>
    <hyperlink ref="B226" r:id="rId23" location="#'VMR0015 A2.2.1 VMR0015  AMS 2'!A1"/>
    <hyperlink ref="B227" r:id="rId24" location="#'VMR0015 A2.2 DataParameter  2'!A1"/>
    <hyperlink ref="B243" r:id="rId25" location="#'VMR0015 A2.2 DataParameter  2'!A1"/>
    <hyperlink ref="B259" r:id="rId26" location="#'VMR0015 A2.2 DataParameter  2'!A1"/>
    <hyperlink ref="B275" r:id="rId27" location="#'VMR0015 A2.2 DataParameter  2'!A1"/>
    <hyperlink ref="B291" r:id="rId28" location="#'VMR0015 A2.2 DataParameter  2'!A1"/>
    <hyperlink ref="B307" r:id="rId29" location="#'VMR0015 A2.2 DataParameter  2'!A1"/>
    <hyperlink ref="B323" r:id="rId30" location="#'VMR0015 A2.2 DataParameter  2'!A1"/>
    <hyperlink ref="B339" r:id="rId31" location="#'VMR0015 A2.2.2 TOOL03 monit 2'!A1"/>
    <hyperlink ref="B340" r:id="rId32" location="#'VMR0015 A2.2 DataParameter  2'!A1"/>
    <hyperlink ref="B356" r:id="rId33" location="#'VMR0015 A2.2 DataParameter  2'!A1"/>
    <hyperlink ref="B372" r:id="rId34" location="#'VMR0015 A2.2 DataParameter  2'!A1"/>
    <hyperlink ref="B388" r:id="rId35" location="#'VMR0015 A2.2 DataParameter  2'!A1"/>
    <hyperlink ref="B404" r:id="rId36" location="#'VMR0015 A2.2 DataParameter  2'!A1"/>
    <hyperlink ref="B422" r:id="rId37" location="#'TOOL03 fuel combustion row (fu'!A1"/>
    <hyperlink ref="B433" r:id="rId38" location="#'VMR0015 A2.2.3 VT0010  VT00 2'!A1"/>
    <hyperlink ref="B434" r:id="rId39" location="#'VMR0015 A2.2 DataParameter  2'!A1"/>
    <hyperlink ref="B450" r:id="rId40" location="#'VMR0015 A2.2 DataParameter  2'!A1"/>
    <hyperlink ref="B466" r:id="rId41" location="#'VMR0015 A2.2 DataParameter  2'!A1"/>
    <hyperlink ref="B482" r:id="rId42" location="#'VMR0015 A2.2 DataParameter  2'!A1"/>
    <hyperlink ref="B498" r:id="rId43" location="#'VMR0015 A2.2 DataParameter  2'!A1"/>
    <hyperlink ref="B514" r:id="rId44" location="#'VMR0015 A2.2 DataParameter  2'!A1"/>
    <hyperlink ref="B530" r:id="rId45" location="#'VMR0015 A2.2 DataParameter  2'!A1"/>
    <hyperlink ref="B546" r:id="rId46" location="#'VMR0015 A2.2 DataParameter  2'!A1"/>
    <hyperlink ref="B562" r:id="rId47" location="#'VMR0015 A2.2 DataParameter  2'!A1"/>
    <hyperlink ref="B578" r:id="rId48" location="#'VMR0015 A2.2 DataParameter  2'!A1"/>
    <hyperlink ref="B594" r:id="rId49" location="#'VMR0015 A2.2 DataParameter  2'!A1"/>
    <hyperlink ref="B610" r:id="rId50" location="#'VMR0015 A2.2 DataParameter  2'!A1"/>
    <hyperlink ref="B626" r:id="rId51" location="#'VMR0015 A2.2 DataParameter  2'!A1"/>
    <hyperlink ref="B642" r:id="rId52" location="#'VMR0015 A2.2 DataParameter  2'!A1"/>
    <hyperlink ref="B658" r:id="rId53" location="#'VT0010 grid load row (load L;'!A1"/>
    <hyperlink ref="B666" r:id="rId54" location="#'VT0010 shared plant fuel row ('!A1"/>
    <hyperlink ref="B677" r:id="rId55" location="#'VMR0015 A2.2.4 fNRB monitor 2'!A1"/>
    <hyperlink ref="B678" r:id="rId56" location="#'VMR0015 A2.2 DataParameter  2'!A1"/>
  </hyperlinks>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3448</v>
      </c>
      <c r="B1" s="1"/>
      <c r="C1" s="1"/>
      <c r="D1" s="1"/>
      <c r="E1" s="1"/>
      <c r="F1" s="1"/>
      <c r="G1" s="1"/>
      <c r="H1" s="1"/>
      <c r="I1" s="1"/>
      <c r="J1" s="1"/>
    </row>
    <row r="2" spans="1:10" x14ac:dyDescent="0.25">
      <c r="A2" s="2" t="s">
        <v>1</v>
      </c>
      <c r="B2" s="3" t="s">
        <v>3449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1804</v>
      </c>
      <c r="F5" s="5" t="s">
        <v>19</v>
      </c>
      <c r="G5" s="5" t="s">
        <v>31</v>
      </c>
      <c r="H5" s="5" t="s">
        <v>17</v>
      </c>
      <c r="I5" s="5" t="s">
        <v>17</v>
      </c>
      <c r="J5" s="5" t="s">
        <v>944</v>
      </c>
    </row>
    <row r="6" spans="1:10" x14ac:dyDescent="0.25">
      <c r="A6" s="5" t="s">
        <v>19</v>
      </c>
      <c r="B6" s="5" t="s">
        <v>63</v>
      </c>
      <c r="C6" s="5" t="s">
        <v>17</v>
      </c>
      <c r="D6" s="5"/>
      <c r="E6" s="5" t="s">
        <v>1805</v>
      </c>
      <c r="F6" s="5" t="s">
        <v>19</v>
      </c>
      <c r="G6" s="5">
        <v>1</v>
      </c>
      <c r="H6" s="5" t="s">
        <v>17</v>
      </c>
      <c r="I6" s="5" t="s">
        <v>17</v>
      </c>
      <c r="J6" s="5" t="s">
        <v>1806</v>
      </c>
    </row>
    <row r="7" spans="1:10" x14ac:dyDescent="0.25">
      <c r="A7" s="5" t="s">
        <v>15</v>
      </c>
      <c r="B7" s="5" t="s">
        <v>63</v>
      </c>
      <c r="C7" s="5" t="s">
        <v>17</v>
      </c>
      <c r="D7" s="5"/>
      <c r="E7" s="5" t="s">
        <v>1807</v>
      </c>
      <c r="F7" s="5" t="s">
        <v>19</v>
      </c>
      <c r="G7" s="5">
        <v>1</v>
      </c>
      <c r="H7" s="5" t="s">
        <v>17</v>
      </c>
      <c r="I7" s="5" t="s">
        <v>17</v>
      </c>
      <c r="J7" s="5" t="s">
        <v>1684</v>
      </c>
    </row>
    <row r="8" spans="1:10" x14ac:dyDescent="0.25">
      <c r="A8" s="5" t="s">
        <v>15</v>
      </c>
      <c r="B8" s="5" t="s">
        <v>284</v>
      </c>
      <c r="C8" s="10" t="s">
        <v>1808</v>
      </c>
      <c r="D8" s="5"/>
      <c r="E8" s="5" t="s">
        <v>1809</v>
      </c>
      <c r="F8" s="5" t="s">
        <v>19</v>
      </c>
      <c r="G8" s="5" t="s">
        <v>1810</v>
      </c>
      <c r="H8" s="5" t="s">
        <v>17</v>
      </c>
      <c r="I8" s="5" t="s">
        <v>17</v>
      </c>
      <c r="J8" s="5" t="s">
        <v>1811</v>
      </c>
    </row>
    <row r="9" spans="1:10" x14ac:dyDescent="0.25">
      <c r="A9" s="5" t="s">
        <v>19</v>
      </c>
      <c r="B9" s="6" t="s">
        <v>1812</v>
      </c>
      <c r="C9" s="5" t="s">
        <v>17</v>
      </c>
      <c r="D9" s="5">
        <f>EXACT(G8,"Option 1 - measured volume (flow meter / standard vessel)")</f>
      </c>
      <c r="E9" s="5" t="s">
        <v>1813</v>
      </c>
      <c r="F9" s="5" t="s">
        <v>15</v>
      </c>
      <c r="G9" s="5" t="s">
        <v>17</v>
      </c>
      <c r="H9" s="5" t="s">
        <v>17</v>
      </c>
      <c r="I9" s="5" t="s">
        <v>17</v>
      </c>
      <c r="J9" s="5" t="s">
        <v>1814</v>
      </c>
    </row>
    <row r="10" spans="1:10" x14ac:dyDescent="0.25" outlineLevel="1" collapsed="1">
      <c r="A10" s="7" t="s">
        <v>15</v>
      </c>
      <c r="B10" s="7" t="s">
        <v>16</v>
      </c>
      <c r="C10" s="7" t="s">
        <v>17</v>
      </c>
      <c r="D10" s="7"/>
      <c r="E10" s="7" t="s">
        <v>1815</v>
      </c>
      <c r="F10" s="7" t="s">
        <v>19</v>
      </c>
      <c r="G10" s="7" t="s">
        <v>31</v>
      </c>
      <c r="H10" s="7" t="s">
        <v>17</v>
      </c>
      <c r="I10" s="7" t="s">
        <v>17</v>
      </c>
      <c r="J10" s="7" t="s">
        <v>1816</v>
      </c>
    </row>
    <row r="11" spans="1:10" x14ac:dyDescent="0.25" outlineLevel="1" collapsed="1">
      <c r="A11" s="7" t="s">
        <v>15</v>
      </c>
      <c r="B11" s="7" t="s">
        <v>284</v>
      </c>
      <c r="C11" s="11" t="s">
        <v>1817</v>
      </c>
      <c r="D11" s="7"/>
      <c r="E11" s="7" t="s">
        <v>1818</v>
      </c>
      <c r="F11" s="7" t="s">
        <v>19</v>
      </c>
      <c r="G11" s="7" t="s">
        <v>1819</v>
      </c>
      <c r="H11" s="7" t="s">
        <v>17</v>
      </c>
      <c r="I11" s="7" t="s">
        <v>17</v>
      </c>
      <c r="J11" s="7" t="s">
        <v>1820</v>
      </c>
    </row>
    <row r="12" spans="1:10" x14ac:dyDescent="0.25" outlineLevel="1" collapsed="1">
      <c r="A12" s="7" t="s">
        <v>15</v>
      </c>
      <c r="B12" s="7" t="s">
        <v>63</v>
      </c>
      <c r="C12" s="7" t="s">
        <v>17</v>
      </c>
      <c r="D12" s="7"/>
      <c r="E12" s="7" t="s">
        <v>1821</v>
      </c>
      <c r="F12" s="7" t="s">
        <v>19</v>
      </c>
      <c r="G12" s="7">
        <v>1</v>
      </c>
      <c r="H12" s="7" t="s">
        <v>17</v>
      </c>
      <c r="I12" s="7" t="s">
        <v>17</v>
      </c>
      <c r="J12" s="7" t="s">
        <v>1822</v>
      </c>
    </row>
    <row r="13" spans="1:10" x14ac:dyDescent="0.25" outlineLevel="1" collapsed="1">
      <c r="A13" s="7" t="s">
        <v>15</v>
      </c>
      <c r="B13" s="7" t="s">
        <v>63</v>
      </c>
      <c r="C13" s="7" t="s">
        <v>17</v>
      </c>
      <c r="D13" s="7"/>
      <c r="E13" s="7" t="s">
        <v>1823</v>
      </c>
      <c r="F13" s="7" t="s">
        <v>19</v>
      </c>
      <c r="G13" s="7">
        <v>1</v>
      </c>
      <c r="H13" s="7" t="s">
        <v>17</v>
      </c>
      <c r="I13" s="7" t="s">
        <v>17</v>
      </c>
      <c r="J13" s="7" t="s">
        <v>1824</v>
      </c>
    </row>
    <row r="14" spans="1:10" x14ac:dyDescent="0.25" outlineLevel="1" collapsed="1">
      <c r="A14" s="7" t="s">
        <v>19</v>
      </c>
      <c r="B14" s="7" t="s">
        <v>159</v>
      </c>
      <c r="C14" s="7" t="s">
        <v>17</v>
      </c>
      <c r="D14" s="7"/>
      <c r="E14" s="7" t="s">
        <v>1825</v>
      </c>
      <c r="F14" s="7" t="s">
        <v>19</v>
      </c>
      <c r="G14" s="7" t="b">
        <v>1</v>
      </c>
      <c r="H14" s="7" t="s">
        <v>17</v>
      </c>
      <c r="I14" s="7" t="s">
        <v>17</v>
      </c>
      <c r="J14" s="7" t="s">
        <v>1826</v>
      </c>
    </row>
    <row r="15" spans="1:10" x14ac:dyDescent="0.25" outlineLevel="1" collapsed="1">
      <c r="A15" s="8" t="s">
        <v>19</v>
      </c>
      <c r="B15" s="9" t="s">
        <v>952</v>
      </c>
      <c r="C15" s="8" t="s">
        <v>17</v>
      </c>
      <c r="D15" s="8"/>
      <c r="E15" s="8" t="s">
        <v>953</v>
      </c>
      <c r="F15" s="8" t="s">
        <v>15</v>
      </c>
      <c r="G15" s="8" t="s">
        <v>17</v>
      </c>
      <c r="H15" s="8" t="s">
        <v>17</v>
      </c>
      <c r="I15" s="8" t="s">
        <v>17</v>
      </c>
      <c r="J15" s="8" t="s">
        <v>954</v>
      </c>
    </row>
    <row r="16" spans="1:10" x14ac:dyDescent="0.25" outlineLevel="2" collapsed="1">
      <c r="A16" s="7" t="s">
        <v>15</v>
      </c>
      <c r="B16" s="7" t="s">
        <v>16</v>
      </c>
      <c r="C16" s="7" t="s">
        <v>17</v>
      </c>
      <c r="D16" s="7"/>
      <c r="E16" s="7" t="s">
        <v>955</v>
      </c>
      <c r="F16" s="7" t="s">
        <v>19</v>
      </c>
      <c r="G16" s="7" t="s">
        <v>956</v>
      </c>
      <c r="H16" s="7" t="s">
        <v>17</v>
      </c>
      <c r="I16" s="7" t="s">
        <v>17</v>
      </c>
      <c r="J16" s="7" t="s">
        <v>957</v>
      </c>
    </row>
    <row r="17" spans="1:10" x14ac:dyDescent="0.25" outlineLevel="2" collapsed="1">
      <c r="A17" s="7" t="s">
        <v>15</v>
      </c>
      <c r="B17" s="7" t="s">
        <v>284</v>
      </c>
      <c r="C17" s="11" t="s">
        <v>958</v>
      </c>
      <c r="D17" s="7"/>
      <c r="E17" s="7" t="s">
        <v>959</v>
      </c>
      <c r="F17" s="7" t="s">
        <v>19</v>
      </c>
      <c r="G17" s="7" t="s">
        <v>960</v>
      </c>
      <c r="H17" s="7" t="s">
        <v>17</v>
      </c>
      <c r="I17" s="7" t="s">
        <v>17</v>
      </c>
      <c r="J17" s="7" t="s">
        <v>961</v>
      </c>
    </row>
    <row r="18" spans="1:10" x14ac:dyDescent="0.25" outlineLevel="2" collapsed="1">
      <c r="A18" s="7" t="s">
        <v>15</v>
      </c>
      <c r="B18" s="7" t="s">
        <v>16</v>
      </c>
      <c r="C18" s="7" t="s">
        <v>17</v>
      </c>
      <c r="D18" s="7"/>
      <c r="E18" s="7" t="s">
        <v>962</v>
      </c>
      <c r="F18" s="7" t="s">
        <v>19</v>
      </c>
      <c r="G18" s="7" t="s">
        <v>963</v>
      </c>
      <c r="H18" s="7" t="s">
        <v>17</v>
      </c>
      <c r="I18" s="7" t="s">
        <v>17</v>
      </c>
      <c r="J18" s="7" t="s">
        <v>964</v>
      </c>
    </row>
    <row r="19" spans="1:10" x14ac:dyDescent="0.25" outlineLevel="2" collapsed="1">
      <c r="A19" s="7" t="s">
        <v>19</v>
      </c>
      <c r="B19" s="7" t="s">
        <v>291</v>
      </c>
      <c r="C19" s="7" t="s">
        <v>17</v>
      </c>
      <c r="D19" s="7"/>
      <c r="E19" s="7" t="s">
        <v>965</v>
      </c>
      <c r="F19" s="7" t="s">
        <v>19</v>
      </c>
      <c r="G19" s="7" t="s">
        <v>293</v>
      </c>
      <c r="H19" s="7" t="s">
        <v>17</v>
      </c>
      <c r="I19" s="7" t="s">
        <v>17</v>
      </c>
      <c r="J19" s="7" t="s">
        <v>966</v>
      </c>
    </row>
    <row r="20" spans="1:10" x14ac:dyDescent="0.25" outlineLevel="2" collapsed="1">
      <c r="A20" s="7" t="s">
        <v>19</v>
      </c>
      <c r="B20" s="7" t="s">
        <v>16</v>
      </c>
      <c r="C20" s="7" t="s">
        <v>17</v>
      </c>
      <c r="D20" s="7"/>
      <c r="E20" s="7" t="s">
        <v>967</v>
      </c>
      <c r="F20" s="7" t="s">
        <v>19</v>
      </c>
      <c r="G20" s="7" t="s">
        <v>968</v>
      </c>
      <c r="H20" s="7" t="s">
        <v>17</v>
      </c>
      <c r="I20" s="7" t="s">
        <v>17</v>
      </c>
      <c r="J20" s="7" t="s">
        <v>843</v>
      </c>
    </row>
    <row r="21" spans="1:10" x14ac:dyDescent="0.25" outlineLevel="1" collapsed="1">
      <c r="A21" s="7" t="s">
        <v>19</v>
      </c>
      <c r="B21" s="7" t="s">
        <v>284</v>
      </c>
      <c r="C21" s="11" t="s">
        <v>1827</v>
      </c>
      <c r="D21" s="7"/>
      <c r="E21" s="7" t="s">
        <v>1828</v>
      </c>
      <c r="F21" s="7" t="s">
        <v>19</v>
      </c>
      <c r="G21" s="7" t="s">
        <v>1829</v>
      </c>
      <c r="H21" s="7" t="s">
        <v>17</v>
      </c>
      <c r="I21" s="7" t="s">
        <v>17</v>
      </c>
      <c r="J21" s="7" t="s">
        <v>1830</v>
      </c>
    </row>
    <row r="22" spans="1:10" x14ac:dyDescent="0.25" outlineLevel="1" collapsed="1">
      <c r="A22" s="7" t="s">
        <v>19</v>
      </c>
      <c r="B22" s="7" t="s">
        <v>63</v>
      </c>
      <c r="C22" s="7" t="s">
        <v>17</v>
      </c>
      <c r="D22" s="7"/>
      <c r="E22" s="7" t="s">
        <v>1831</v>
      </c>
      <c r="F22" s="7" t="s">
        <v>19</v>
      </c>
      <c r="G22" s="7">
        <v>1</v>
      </c>
      <c r="H22" s="7" t="s">
        <v>17</v>
      </c>
      <c r="I22" s="7" t="s">
        <v>17</v>
      </c>
      <c r="J22" s="7" t="s">
        <v>1832</v>
      </c>
    </row>
    <row r="23" spans="1:10" x14ac:dyDescent="0.25">
      <c r="A23" s="5" t="s">
        <v>19</v>
      </c>
      <c r="B23" s="6" t="s">
        <v>1833</v>
      </c>
      <c r="C23" s="5" t="s">
        <v>17</v>
      </c>
      <c r="D23" s="5">
        <f>EXACT(G8,"Option 2.1 - capacity x usage time (AMS-III.AV Eq.(2))")</f>
      </c>
      <c r="E23" s="5" t="s">
        <v>1834</v>
      </c>
      <c r="F23" s="5" t="s">
        <v>15</v>
      </c>
      <c r="G23" s="5" t="s">
        <v>17</v>
      </c>
      <c r="H23" s="5" t="s">
        <v>17</v>
      </c>
      <c r="I23" s="5" t="s">
        <v>17</v>
      </c>
      <c r="J23" s="5" t="s">
        <v>1835</v>
      </c>
    </row>
    <row r="24" spans="1:10" x14ac:dyDescent="0.25" outlineLevel="1" collapsed="1">
      <c r="A24" s="7" t="s">
        <v>15</v>
      </c>
      <c r="B24" s="7" t="s">
        <v>16</v>
      </c>
      <c r="C24" s="7" t="s">
        <v>17</v>
      </c>
      <c r="D24" s="7"/>
      <c r="E24" s="7" t="s">
        <v>1836</v>
      </c>
      <c r="F24" s="7" t="s">
        <v>19</v>
      </c>
      <c r="G24" s="7" t="s">
        <v>31</v>
      </c>
      <c r="H24" s="7" t="s">
        <v>17</v>
      </c>
      <c r="I24" s="7" t="s">
        <v>17</v>
      </c>
      <c r="J24" s="7" t="s">
        <v>1816</v>
      </c>
    </row>
    <row r="25" spans="1:10" x14ac:dyDescent="0.25" outlineLevel="1" collapsed="1">
      <c r="A25" s="7" t="s">
        <v>15</v>
      </c>
      <c r="B25" s="7" t="s">
        <v>63</v>
      </c>
      <c r="C25" s="7" t="s">
        <v>17</v>
      </c>
      <c r="D25" s="7"/>
      <c r="E25" s="7" t="s">
        <v>1837</v>
      </c>
      <c r="F25" s="7" t="s">
        <v>19</v>
      </c>
      <c r="G25" s="7">
        <v>1</v>
      </c>
      <c r="H25" s="7" t="s">
        <v>17</v>
      </c>
      <c r="I25" s="7" t="s">
        <v>17</v>
      </c>
      <c r="J25" s="7" t="s">
        <v>1628</v>
      </c>
    </row>
    <row r="26" spans="1:10" x14ac:dyDescent="0.25" outlineLevel="1" collapsed="1">
      <c r="A26" s="7" t="s">
        <v>15</v>
      </c>
      <c r="B26" s="7" t="s">
        <v>63</v>
      </c>
      <c r="C26" s="7" t="s">
        <v>17</v>
      </c>
      <c r="D26" s="7"/>
      <c r="E26" s="7" t="s">
        <v>1838</v>
      </c>
      <c r="F26" s="7" t="s">
        <v>19</v>
      </c>
      <c r="G26" s="7">
        <v>1</v>
      </c>
      <c r="H26" s="7" t="s">
        <v>17</v>
      </c>
      <c r="I26" s="7" t="s">
        <v>17</v>
      </c>
      <c r="J26" s="7" t="s">
        <v>1839</v>
      </c>
    </row>
    <row r="27" spans="1:10" x14ac:dyDescent="0.25">
      <c r="A27" s="5" t="s">
        <v>19</v>
      </c>
      <c r="B27" s="6" t="s">
        <v>1840</v>
      </c>
      <c r="C27" s="5" t="s">
        <v>17</v>
      </c>
      <c r="D27" s="5">
        <f>EXACT(G8,"Option 2.2 - population x volume per person (AMS-III.AV Eq.(3))")</f>
      </c>
      <c r="E27" s="5" t="s">
        <v>1841</v>
      </c>
      <c r="F27" s="5" t="s">
        <v>15</v>
      </c>
      <c r="G27" s="5" t="s">
        <v>17</v>
      </c>
      <c r="H27" s="5" t="s">
        <v>17</v>
      </c>
      <c r="I27" s="5" t="s">
        <v>17</v>
      </c>
      <c r="J27" s="5" t="s">
        <v>1842</v>
      </c>
    </row>
    <row r="28" spans="1:10" x14ac:dyDescent="0.25" outlineLevel="1" collapsed="1">
      <c r="A28" s="7" t="s">
        <v>19</v>
      </c>
      <c r="B28" s="7" t="s">
        <v>16</v>
      </c>
      <c r="C28" s="7" t="s">
        <v>17</v>
      </c>
      <c r="D28" s="7"/>
      <c r="E28" s="7" t="s">
        <v>1843</v>
      </c>
      <c r="F28" s="7" t="s">
        <v>19</v>
      </c>
      <c r="G28" s="7" t="s">
        <v>31</v>
      </c>
      <c r="H28" s="7" t="s">
        <v>17</v>
      </c>
      <c r="I28" s="7" t="s">
        <v>17</v>
      </c>
      <c r="J28" s="7" t="s">
        <v>1844</v>
      </c>
    </row>
    <row r="29" spans="1:10" x14ac:dyDescent="0.25" outlineLevel="1" collapsed="1">
      <c r="A29" s="7" t="s">
        <v>15</v>
      </c>
      <c r="B29" s="7" t="s">
        <v>63</v>
      </c>
      <c r="C29" s="7" t="s">
        <v>17</v>
      </c>
      <c r="D29" s="7"/>
      <c r="E29" s="7" t="s">
        <v>1845</v>
      </c>
      <c r="F29" s="7" t="s">
        <v>19</v>
      </c>
      <c r="G29" s="7">
        <v>1</v>
      </c>
      <c r="H29" s="7" t="s">
        <v>17</v>
      </c>
      <c r="I29" s="7" t="s">
        <v>17</v>
      </c>
      <c r="J29" s="7" t="s">
        <v>1684</v>
      </c>
    </row>
    <row r="30" spans="1:10" x14ac:dyDescent="0.25" outlineLevel="1" collapsed="1">
      <c r="A30" s="7" t="s">
        <v>15</v>
      </c>
      <c r="B30" s="7" t="s">
        <v>63</v>
      </c>
      <c r="C30" s="7" t="s">
        <v>17</v>
      </c>
      <c r="D30" s="7"/>
      <c r="E30" s="7" t="s">
        <v>1846</v>
      </c>
      <c r="F30" s="7" t="s">
        <v>19</v>
      </c>
      <c r="G30" s="7">
        <v>1</v>
      </c>
      <c r="H30" s="7" t="s">
        <v>17</v>
      </c>
      <c r="I30" s="7" t="s">
        <v>17</v>
      </c>
      <c r="J30" s="7" t="s">
        <v>1630</v>
      </c>
    </row>
    <row r="31" spans="1:10" x14ac:dyDescent="0.25" outlineLevel="1" collapsed="1">
      <c r="A31" s="7" t="s">
        <v>19</v>
      </c>
      <c r="B31" s="7" t="s">
        <v>63</v>
      </c>
      <c r="C31" s="7" t="s">
        <v>17</v>
      </c>
      <c r="D31" s="7"/>
      <c r="E31" s="7" t="s">
        <v>1847</v>
      </c>
      <c r="F31" s="7" t="s">
        <v>19</v>
      </c>
      <c r="G31" s="7">
        <v>1</v>
      </c>
      <c r="H31" s="7" t="s">
        <v>17</v>
      </c>
      <c r="I31" s="7" t="s">
        <v>17</v>
      </c>
      <c r="J31" s="7" t="s">
        <v>1848</v>
      </c>
    </row>
    <row r="32" spans="1:10" x14ac:dyDescent="0.25">
      <c r="A32" s="5" t="s">
        <v>15</v>
      </c>
      <c r="B32" s="6" t="s">
        <v>1849</v>
      </c>
      <c r="C32" s="5" t="s">
        <v>17</v>
      </c>
      <c r="D32" s="5"/>
      <c r="E32" s="5" t="s">
        <v>1850</v>
      </c>
      <c r="F32" s="5" t="s">
        <v>15</v>
      </c>
      <c r="G32" s="5" t="s">
        <v>17</v>
      </c>
      <c r="H32" s="5" t="s">
        <v>17</v>
      </c>
      <c r="I32" s="5" t="s">
        <v>17</v>
      </c>
      <c r="J32" s="5" t="s">
        <v>1851</v>
      </c>
    </row>
    <row r="33" spans="1:10" x14ac:dyDescent="0.25" outlineLevel="1" collapsed="1">
      <c r="A33" s="7" t="s">
        <v>15</v>
      </c>
      <c r="B33" s="7" t="s">
        <v>16</v>
      </c>
      <c r="C33" s="7" t="s">
        <v>17</v>
      </c>
      <c r="D33" s="7"/>
      <c r="E33" s="7" t="s">
        <v>1852</v>
      </c>
      <c r="F33" s="7" t="s">
        <v>19</v>
      </c>
      <c r="G33" s="7" t="s">
        <v>31</v>
      </c>
      <c r="H33" s="7" t="s">
        <v>17</v>
      </c>
      <c r="I33" s="7" t="s">
        <v>17</v>
      </c>
      <c r="J33" s="7" t="s">
        <v>1853</v>
      </c>
    </row>
    <row r="34" spans="1:10" x14ac:dyDescent="0.25" outlineLevel="1" collapsed="1">
      <c r="A34" s="7" t="s">
        <v>15</v>
      </c>
      <c r="B34" s="7" t="s">
        <v>291</v>
      </c>
      <c r="C34" s="7" t="s">
        <v>17</v>
      </c>
      <c r="D34" s="7"/>
      <c r="E34" s="7" t="s">
        <v>1854</v>
      </c>
      <c r="F34" s="7" t="s">
        <v>19</v>
      </c>
      <c r="G34" s="7" t="s">
        <v>950</v>
      </c>
      <c r="H34" s="7" t="s">
        <v>17</v>
      </c>
      <c r="I34" s="7" t="s">
        <v>17</v>
      </c>
      <c r="J34" s="7" t="s">
        <v>934</v>
      </c>
    </row>
    <row r="35" spans="1:10" x14ac:dyDescent="0.25" outlineLevel="1" collapsed="1">
      <c r="A35" s="7" t="s">
        <v>15</v>
      </c>
      <c r="B35" s="7" t="s">
        <v>159</v>
      </c>
      <c r="C35" s="7" t="s">
        <v>17</v>
      </c>
      <c r="D35" s="7"/>
      <c r="E35" s="7" t="s">
        <v>1855</v>
      </c>
      <c r="F35" s="7" t="s">
        <v>19</v>
      </c>
      <c r="G35" s="7" t="b">
        <v>1</v>
      </c>
      <c r="H35" s="7" t="s">
        <v>17</v>
      </c>
      <c r="I35" s="7" t="s">
        <v>17</v>
      </c>
      <c r="J35" s="7" t="s">
        <v>1856</v>
      </c>
    </row>
    <row r="36" spans="1:10" x14ac:dyDescent="0.25" outlineLevel="1" collapsed="1">
      <c r="A36" s="7" t="s">
        <v>15</v>
      </c>
      <c r="B36" s="7" t="s">
        <v>159</v>
      </c>
      <c r="C36" s="7" t="s">
        <v>17</v>
      </c>
      <c r="D36" s="7"/>
      <c r="E36" s="7" t="s">
        <v>1857</v>
      </c>
      <c r="F36" s="7" t="s">
        <v>19</v>
      </c>
      <c r="G36" s="7" t="b">
        <v>1</v>
      </c>
      <c r="H36" s="7" t="s">
        <v>17</v>
      </c>
      <c r="I36" s="7" t="s">
        <v>17</v>
      </c>
      <c r="J36" s="7" t="s">
        <v>1858</v>
      </c>
    </row>
    <row r="37" spans="1:10" x14ac:dyDescent="0.25" outlineLevel="1" collapsed="1">
      <c r="A37" s="7" t="s">
        <v>19</v>
      </c>
      <c r="B37" s="7" t="s">
        <v>63</v>
      </c>
      <c r="C37" s="7" t="s">
        <v>17</v>
      </c>
      <c r="D37" s="7">
        <f>EXACT(G36,true)</f>
      </c>
      <c r="E37" s="7" t="s">
        <v>1859</v>
      </c>
      <c r="F37" s="7" t="s">
        <v>19</v>
      </c>
      <c r="G37" s="7">
        <v>1</v>
      </c>
      <c r="H37" s="7" t="s">
        <v>17</v>
      </c>
      <c r="I37" s="7" t="s">
        <v>17</v>
      </c>
      <c r="J37" s="7" t="s">
        <v>1860</v>
      </c>
    </row>
    <row r="38" spans="1:10" x14ac:dyDescent="0.25" outlineLevel="1" collapsed="1">
      <c r="A38" s="7" t="s">
        <v>19</v>
      </c>
      <c r="B38" s="7" t="s">
        <v>63</v>
      </c>
      <c r="C38" s="7" t="s">
        <v>17</v>
      </c>
      <c r="D38" s="7"/>
      <c r="E38" s="7" t="s">
        <v>1861</v>
      </c>
      <c r="F38" s="7" t="s">
        <v>19</v>
      </c>
      <c r="G38" s="7">
        <v>1</v>
      </c>
      <c r="H38" s="7">
        <v>1</v>
      </c>
      <c r="I38" s="7" t="s">
        <v>17</v>
      </c>
      <c r="J38" s="7" t="s">
        <v>1862</v>
      </c>
    </row>
    <row r="39" spans="1:10" x14ac:dyDescent="0.25" outlineLevel="1" collapsed="1">
      <c r="A39" s="7" t="s">
        <v>19</v>
      </c>
      <c r="B39" s="7" t="s">
        <v>16</v>
      </c>
      <c r="C39" s="7" t="s">
        <v>17</v>
      </c>
      <c r="D39" s="7"/>
      <c r="E39" s="7" t="s">
        <v>1863</v>
      </c>
      <c r="F39" s="7" t="s">
        <v>19</v>
      </c>
      <c r="G39" s="7" t="s">
        <v>31</v>
      </c>
      <c r="H39" s="7" t="s">
        <v>17</v>
      </c>
      <c r="I39" s="7" t="s">
        <v>17</v>
      </c>
      <c r="J39" s="7" t="s">
        <v>1864</v>
      </c>
    </row>
    <row r="40" spans="1:10" x14ac:dyDescent="0.25" outlineLevel="1" collapsed="1">
      <c r="A40" s="8" t="s">
        <v>19</v>
      </c>
      <c r="B40" s="9" t="s">
        <v>952</v>
      </c>
      <c r="C40" s="8" t="s">
        <v>17</v>
      </c>
      <c r="D40" s="8"/>
      <c r="E40" s="8" t="s">
        <v>953</v>
      </c>
      <c r="F40" s="8" t="s">
        <v>15</v>
      </c>
      <c r="G40" s="8" t="s">
        <v>17</v>
      </c>
      <c r="H40" s="8" t="s">
        <v>17</v>
      </c>
      <c r="I40" s="8" t="s">
        <v>17</v>
      </c>
      <c r="J40" s="8" t="s">
        <v>954</v>
      </c>
    </row>
    <row r="41" spans="1:10" x14ac:dyDescent="0.25" outlineLevel="2" collapsed="1">
      <c r="A41" s="7" t="s">
        <v>15</v>
      </c>
      <c r="B41" s="7" t="s">
        <v>16</v>
      </c>
      <c r="C41" s="7" t="s">
        <v>17</v>
      </c>
      <c r="D41" s="7"/>
      <c r="E41" s="7" t="s">
        <v>955</v>
      </c>
      <c r="F41" s="7" t="s">
        <v>19</v>
      </c>
      <c r="G41" s="7" t="s">
        <v>956</v>
      </c>
      <c r="H41" s="7" t="s">
        <v>17</v>
      </c>
      <c r="I41" s="7" t="s">
        <v>17</v>
      </c>
      <c r="J41" s="7" t="s">
        <v>957</v>
      </c>
    </row>
    <row r="42" spans="1:10" x14ac:dyDescent="0.25" outlineLevel="2" collapsed="1">
      <c r="A42" s="7" t="s">
        <v>15</v>
      </c>
      <c r="B42" s="7" t="s">
        <v>284</v>
      </c>
      <c r="C42" s="11" t="s">
        <v>958</v>
      </c>
      <c r="D42" s="7"/>
      <c r="E42" s="7" t="s">
        <v>959</v>
      </c>
      <c r="F42" s="7" t="s">
        <v>19</v>
      </c>
      <c r="G42" s="7" t="s">
        <v>960</v>
      </c>
      <c r="H42" s="7" t="s">
        <v>17</v>
      </c>
      <c r="I42" s="7" t="s">
        <v>17</v>
      </c>
      <c r="J42" s="7" t="s">
        <v>961</v>
      </c>
    </row>
    <row r="43" spans="1:10" x14ac:dyDescent="0.25" outlineLevel="2" collapsed="1">
      <c r="A43" s="7" t="s">
        <v>15</v>
      </c>
      <c r="B43" s="7" t="s">
        <v>16</v>
      </c>
      <c r="C43" s="7" t="s">
        <v>17</v>
      </c>
      <c r="D43" s="7"/>
      <c r="E43" s="7" t="s">
        <v>962</v>
      </c>
      <c r="F43" s="7" t="s">
        <v>19</v>
      </c>
      <c r="G43" s="7" t="s">
        <v>963</v>
      </c>
      <c r="H43" s="7" t="s">
        <v>17</v>
      </c>
      <c r="I43" s="7" t="s">
        <v>17</v>
      </c>
      <c r="J43" s="7" t="s">
        <v>964</v>
      </c>
    </row>
    <row r="44" spans="1:10" x14ac:dyDescent="0.25" outlineLevel="2" collapsed="1">
      <c r="A44" s="7" t="s">
        <v>19</v>
      </c>
      <c r="B44" s="7" t="s">
        <v>291</v>
      </c>
      <c r="C44" s="7" t="s">
        <v>17</v>
      </c>
      <c r="D44" s="7"/>
      <c r="E44" s="7" t="s">
        <v>965</v>
      </c>
      <c r="F44" s="7" t="s">
        <v>19</v>
      </c>
      <c r="G44" s="7" t="s">
        <v>293</v>
      </c>
      <c r="H44" s="7" t="s">
        <v>17</v>
      </c>
      <c r="I44" s="7" t="s">
        <v>17</v>
      </c>
      <c r="J44" s="7" t="s">
        <v>966</v>
      </c>
    </row>
    <row r="45" spans="1:10" x14ac:dyDescent="0.25" outlineLevel="2" collapsed="1">
      <c r="A45" s="7" t="s">
        <v>19</v>
      </c>
      <c r="B45" s="7" t="s">
        <v>16</v>
      </c>
      <c r="C45" s="7" t="s">
        <v>17</v>
      </c>
      <c r="D45" s="7"/>
      <c r="E45" s="7" t="s">
        <v>967</v>
      </c>
      <c r="F45" s="7" t="s">
        <v>19</v>
      </c>
      <c r="G45" s="7" t="s">
        <v>968</v>
      </c>
      <c r="H45" s="7" t="s">
        <v>17</v>
      </c>
      <c r="I45" s="7" t="s">
        <v>17</v>
      </c>
      <c r="J45" s="7" t="s">
        <v>843</v>
      </c>
    </row>
    <row r="46" spans="1:10" x14ac:dyDescent="0.25">
      <c r="A46" s="5" t="s">
        <v>15</v>
      </c>
      <c r="B46" s="6" t="s">
        <v>930</v>
      </c>
      <c r="C46" s="5" t="s">
        <v>17</v>
      </c>
      <c r="D46" s="5"/>
      <c r="E46" s="5" t="s">
        <v>1865</v>
      </c>
      <c r="F46" s="5" t="s">
        <v>15</v>
      </c>
      <c r="G46" s="5" t="s">
        <v>17</v>
      </c>
      <c r="H46" s="5" t="s">
        <v>17</v>
      </c>
      <c r="I46" s="5" t="s">
        <v>17</v>
      </c>
      <c r="J46" s="5" t="s">
        <v>1866</v>
      </c>
    </row>
    <row r="47" spans="1:10" x14ac:dyDescent="0.25" outlineLevel="1" collapsed="1">
      <c r="A47" s="7" t="s">
        <v>15</v>
      </c>
      <c r="B47" s="7" t="s">
        <v>16</v>
      </c>
      <c r="C47" s="7" t="s">
        <v>17</v>
      </c>
      <c r="D47" s="7"/>
      <c r="E47" s="7" t="s">
        <v>933</v>
      </c>
      <c r="F47" s="7" t="s">
        <v>19</v>
      </c>
      <c r="G47" s="7" t="s">
        <v>920</v>
      </c>
      <c r="H47" s="7" t="s">
        <v>17</v>
      </c>
      <c r="I47" s="7" t="s">
        <v>17</v>
      </c>
      <c r="J47" s="7" t="s">
        <v>934</v>
      </c>
    </row>
    <row r="48" spans="1:10" x14ac:dyDescent="0.25" outlineLevel="1" collapsed="1">
      <c r="A48" s="7" t="s">
        <v>15</v>
      </c>
      <c r="B48" s="7" t="s">
        <v>159</v>
      </c>
      <c r="C48" s="7" t="s">
        <v>17</v>
      </c>
      <c r="D48" s="7"/>
      <c r="E48" s="7" t="s">
        <v>935</v>
      </c>
      <c r="F48" s="7" t="s">
        <v>19</v>
      </c>
      <c r="G48" s="7" t="b">
        <v>0</v>
      </c>
      <c r="H48" s="7" t="s">
        <v>17</v>
      </c>
      <c r="I48" s="7" t="s">
        <v>17</v>
      </c>
      <c r="J48" s="7" t="s">
        <v>936</v>
      </c>
    </row>
    <row r="49" spans="1:10" x14ac:dyDescent="0.25" outlineLevel="1" collapsed="1">
      <c r="A49" s="7" t="s">
        <v>19</v>
      </c>
      <c r="B49" s="7" t="s">
        <v>16</v>
      </c>
      <c r="C49" s="7" t="s">
        <v>17</v>
      </c>
      <c r="D49" s="7"/>
      <c r="E49" s="7" t="s">
        <v>937</v>
      </c>
      <c r="F49" s="7" t="s">
        <v>19</v>
      </c>
      <c r="G49" s="7" t="s">
        <v>938</v>
      </c>
      <c r="H49" s="7" t="s">
        <v>17</v>
      </c>
      <c r="I49" s="7" t="s">
        <v>17</v>
      </c>
      <c r="J49" s="7" t="s">
        <v>939</v>
      </c>
    </row>
    <row r="50" spans="1:10" x14ac:dyDescent="0.25" outlineLevel="1" collapsed="1">
      <c r="A50" s="7" t="s">
        <v>15</v>
      </c>
      <c r="B50" s="7" t="s">
        <v>16</v>
      </c>
      <c r="C50" s="7" t="s">
        <v>17</v>
      </c>
      <c r="D50" s="7"/>
      <c r="E50" s="7" t="s">
        <v>940</v>
      </c>
      <c r="F50" s="7" t="s">
        <v>19</v>
      </c>
      <c r="G50" s="7" t="s">
        <v>941</v>
      </c>
      <c r="H50" s="7" t="s">
        <v>17</v>
      </c>
      <c r="I50" s="7" t="s">
        <v>17</v>
      </c>
      <c r="J50" s="7" t="s">
        <v>942</v>
      </c>
    </row>
    <row r="51" spans="1:10" x14ac:dyDescent="0.25" outlineLevel="1" collapsed="1">
      <c r="A51" s="7" t="s">
        <v>19</v>
      </c>
      <c r="B51" s="7" t="s">
        <v>16</v>
      </c>
      <c r="C51" s="7" t="s">
        <v>17</v>
      </c>
      <c r="D51" s="7"/>
      <c r="E51" s="7" t="s">
        <v>943</v>
      </c>
      <c r="F51" s="7" t="s">
        <v>19</v>
      </c>
      <c r="G51" s="7" t="s">
        <v>31</v>
      </c>
      <c r="H51" s="7" t="s">
        <v>17</v>
      </c>
      <c r="I51" s="7" t="s">
        <v>17</v>
      </c>
      <c r="J51" s="7" t="s">
        <v>944</v>
      </c>
    </row>
    <row r="52" spans="1:10" x14ac:dyDescent="0.25" outlineLevel="1" collapsed="1">
      <c r="A52" s="7" t="s">
        <v>19</v>
      </c>
      <c r="B52" s="7" t="s">
        <v>63</v>
      </c>
      <c r="C52" s="7" t="s">
        <v>17</v>
      </c>
      <c r="D52" s="7">
        <f>EXACT(G48,true)</f>
      </c>
      <c r="E52" s="7" t="s">
        <v>945</v>
      </c>
      <c r="F52" s="7" t="s">
        <v>19</v>
      </c>
      <c r="G52" s="7">
        <v>1</v>
      </c>
      <c r="H52" s="7" t="s">
        <v>17</v>
      </c>
      <c r="I52" s="7" t="s">
        <v>17</v>
      </c>
      <c r="J52" s="7" t="s">
        <v>946</v>
      </c>
    </row>
    <row r="53" spans="1:10" x14ac:dyDescent="0.25" outlineLevel="1" collapsed="1">
      <c r="A53" s="7" t="s">
        <v>19</v>
      </c>
      <c r="B53" s="7" t="s">
        <v>63</v>
      </c>
      <c r="C53" s="7" t="s">
        <v>17</v>
      </c>
      <c r="D53" s="7">
        <f>EXACT(G48,true)</f>
      </c>
      <c r="E53" s="7" t="s">
        <v>947</v>
      </c>
      <c r="F53" s="7" t="s">
        <v>19</v>
      </c>
      <c r="G53" s="7">
        <v>1</v>
      </c>
      <c r="H53" s="7" t="s">
        <v>17</v>
      </c>
      <c r="I53" s="7" t="s">
        <v>17</v>
      </c>
      <c r="J53" s="7" t="s">
        <v>948</v>
      </c>
    </row>
    <row r="54" spans="1:10" x14ac:dyDescent="0.25" outlineLevel="1" collapsed="1">
      <c r="A54" s="7" t="s">
        <v>19</v>
      </c>
      <c r="B54" s="7" t="s">
        <v>291</v>
      </c>
      <c r="C54" s="7" t="s">
        <v>17</v>
      </c>
      <c r="D54" s="7">
        <f>EXACT(G48,true)</f>
      </c>
      <c r="E54" s="7" t="s">
        <v>949</v>
      </c>
      <c r="F54" s="7" t="s">
        <v>19</v>
      </c>
      <c r="G54" s="7" t="s">
        <v>950</v>
      </c>
      <c r="H54" s="7" t="s">
        <v>17</v>
      </c>
      <c r="I54" s="7" t="s">
        <v>17</v>
      </c>
      <c r="J54" s="7" t="s">
        <v>951</v>
      </c>
    </row>
    <row r="55" spans="1:10" x14ac:dyDescent="0.25" outlineLevel="1" collapsed="1">
      <c r="A55" s="8" t="s">
        <v>19</v>
      </c>
      <c r="B55" s="9" t="s">
        <v>952</v>
      </c>
      <c r="C55" s="8" t="s">
        <v>17</v>
      </c>
      <c r="D55" s="8"/>
      <c r="E55" s="8" t="s">
        <v>953</v>
      </c>
      <c r="F55" s="8" t="s">
        <v>15</v>
      </c>
      <c r="G55" s="8" t="s">
        <v>17</v>
      </c>
      <c r="H55" s="8" t="s">
        <v>17</v>
      </c>
      <c r="I55" s="8" t="s">
        <v>17</v>
      </c>
      <c r="J55" s="8" t="s">
        <v>954</v>
      </c>
    </row>
    <row r="56" spans="1:10" x14ac:dyDescent="0.25" outlineLevel="2" collapsed="1">
      <c r="A56" s="7" t="s">
        <v>15</v>
      </c>
      <c r="B56" s="7" t="s">
        <v>16</v>
      </c>
      <c r="C56" s="7" t="s">
        <v>17</v>
      </c>
      <c r="D56" s="7"/>
      <c r="E56" s="7" t="s">
        <v>955</v>
      </c>
      <c r="F56" s="7" t="s">
        <v>19</v>
      </c>
      <c r="G56" s="7" t="s">
        <v>956</v>
      </c>
      <c r="H56" s="7" t="s">
        <v>17</v>
      </c>
      <c r="I56" s="7" t="s">
        <v>17</v>
      </c>
      <c r="J56" s="7" t="s">
        <v>957</v>
      </c>
    </row>
    <row r="57" spans="1:10" x14ac:dyDescent="0.25" outlineLevel="2" collapsed="1">
      <c r="A57" s="7" t="s">
        <v>15</v>
      </c>
      <c r="B57" s="7" t="s">
        <v>284</v>
      </c>
      <c r="C57" s="11" t="s">
        <v>958</v>
      </c>
      <c r="D57" s="7"/>
      <c r="E57" s="7" t="s">
        <v>959</v>
      </c>
      <c r="F57" s="7" t="s">
        <v>19</v>
      </c>
      <c r="G57" s="7" t="s">
        <v>960</v>
      </c>
      <c r="H57" s="7" t="s">
        <v>17</v>
      </c>
      <c r="I57" s="7" t="s">
        <v>17</v>
      </c>
      <c r="J57" s="7" t="s">
        <v>961</v>
      </c>
    </row>
    <row r="58" spans="1:10" x14ac:dyDescent="0.25" outlineLevel="2" collapsed="1">
      <c r="A58" s="7" t="s">
        <v>15</v>
      </c>
      <c r="B58" s="7" t="s">
        <v>16</v>
      </c>
      <c r="C58" s="7" t="s">
        <v>17</v>
      </c>
      <c r="D58" s="7"/>
      <c r="E58" s="7" t="s">
        <v>962</v>
      </c>
      <c r="F58" s="7" t="s">
        <v>19</v>
      </c>
      <c r="G58" s="7" t="s">
        <v>963</v>
      </c>
      <c r="H58" s="7" t="s">
        <v>17</v>
      </c>
      <c r="I58" s="7" t="s">
        <v>17</v>
      </c>
      <c r="J58" s="7" t="s">
        <v>964</v>
      </c>
    </row>
    <row r="59" spans="1:10" x14ac:dyDescent="0.25" outlineLevel="2" collapsed="1">
      <c r="A59" s="7" t="s">
        <v>19</v>
      </c>
      <c r="B59" s="7" t="s">
        <v>291</v>
      </c>
      <c r="C59" s="7" t="s">
        <v>17</v>
      </c>
      <c r="D59" s="7"/>
      <c r="E59" s="7" t="s">
        <v>965</v>
      </c>
      <c r="F59" s="7" t="s">
        <v>19</v>
      </c>
      <c r="G59" s="7" t="s">
        <v>293</v>
      </c>
      <c r="H59" s="7" t="s">
        <v>17</v>
      </c>
      <c r="I59" s="7" t="s">
        <v>17</v>
      </c>
      <c r="J59" s="7" t="s">
        <v>966</v>
      </c>
    </row>
    <row r="60" spans="1:10" x14ac:dyDescent="0.25" outlineLevel="2" collapsed="1">
      <c r="A60" s="7" t="s">
        <v>19</v>
      </c>
      <c r="B60" s="7" t="s">
        <v>16</v>
      </c>
      <c r="C60" s="7" t="s">
        <v>17</v>
      </c>
      <c r="D60" s="7"/>
      <c r="E60" s="7" t="s">
        <v>967</v>
      </c>
      <c r="F60" s="7" t="s">
        <v>19</v>
      </c>
      <c r="G60" s="7" t="s">
        <v>968</v>
      </c>
      <c r="H60" s="7" t="s">
        <v>17</v>
      </c>
      <c r="I60" s="7" t="s">
        <v>17</v>
      </c>
      <c r="J60" s="7" t="s">
        <v>843</v>
      </c>
    </row>
    <row r="61" spans="1:10" x14ac:dyDescent="0.25">
      <c r="A61" s="5" t="s">
        <v>19</v>
      </c>
      <c r="B61" s="6" t="s">
        <v>1867</v>
      </c>
      <c r="C61" s="5" t="s">
        <v>17</v>
      </c>
      <c r="D61" s="5"/>
      <c r="E61" s="5" t="s">
        <v>1868</v>
      </c>
      <c r="F61" s="5" t="s">
        <v>15</v>
      </c>
      <c r="G61" s="5" t="s">
        <v>17</v>
      </c>
      <c r="H61" s="5" t="s">
        <v>17</v>
      </c>
      <c r="I61" s="5" t="s">
        <v>17</v>
      </c>
      <c r="J61" s="5" t="s">
        <v>1869</v>
      </c>
    </row>
    <row r="62" spans="1:10" x14ac:dyDescent="0.25" outlineLevel="1" collapsed="1">
      <c r="A62" s="7" t="s">
        <v>15</v>
      </c>
      <c r="B62" s="7" t="s">
        <v>291</v>
      </c>
      <c r="C62" s="7" t="s">
        <v>17</v>
      </c>
      <c r="D62" s="7"/>
      <c r="E62" s="7" t="s">
        <v>1870</v>
      </c>
      <c r="F62" s="7" t="s">
        <v>19</v>
      </c>
      <c r="G62" s="7" t="s">
        <v>293</v>
      </c>
      <c r="H62" s="7" t="s">
        <v>17</v>
      </c>
      <c r="I62" s="7" t="s">
        <v>17</v>
      </c>
      <c r="J62" s="7" t="s">
        <v>934</v>
      </c>
    </row>
    <row r="63" spans="1:10" x14ac:dyDescent="0.25" outlineLevel="1" collapsed="1">
      <c r="A63" s="7" t="s">
        <v>15</v>
      </c>
      <c r="B63" s="7" t="s">
        <v>16</v>
      </c>
      <c r="C63" s="7" t="s">
        <v>17</v>
      </c>
      <c r="D63" s="7"/>
      <c r="E63" s="7" t="s">
        <v>1871</v>
      </c>
      <c r="F63" s="7" t="s">
        <v>19</v>
      </c>
      <c r="G63" s="7" t="s">
        <v>1872</v>
      </c>
      <c r="H63" s="7" t="s">
        <v>17</v>
      </c>
      <c r="I63" s="7" t="s">
        <v>17</v>
      </c>
      <c r="J63" s="7" t="s">
        <v>1830</v>
      </c>
    </row>
    <row r="64" spans="1:10" x14ac:dyDescent="0.25" outlineLevel="1" collapsed="1">
      <c r="A64" s="7" t="s">
        <v>15</v>
      </c>
      <c r="B64" s="7" t="s">
        <v>159</v>
      </c>
      <c r="C64" s="7" t="s">
        <v>17</v>
      </c>
      <c r="D64" s="7"/>
      <c r="E64" s="7" t="s">
        <v>1873</v>
      </c>
      <c r="F64" s="7" t="s">
        <v>19</v>
      </c>
      <c r="G64" s="7" t="b">
        <v>1</v>
      </c>
      <c r="H64" s="7" t="s">
        <v>17</v>
      </c>
      <c r="I64" s="7" t="s">
        <v>17</v>
      </c>
      <c r="J64" s="7" t="s">
        <v>1874</v>
      </c>
    </row>
    <row r="65" spans="1:10" x14ac:dyDescent="0.25" outlineLevel="1" collapsed="1">
      <c r="A65" s="7" t="s">
        <v>15</v>
      </c>
      <c r="B65" s="7" t="s">
        <v>16</v>
      </c>
      <c r="C65" s="7" t="s">
        <v>17</v>
      </c>
      <c r="D65" s="7"/>
      <c r="E65" s="7" t="s">
        <v>1875</v>
      </c>
      <c r="F65" s="7" t="s">
        <v>19</v>
      </c>
      <c r="G65" s="7" t="s">
        <v>1876</v>
      </c>
      <c r="H65" s="7" t="s">
        <v>17</v>
      </c>
      <c r="I65" s="7" t="s">
        <v>17</v>
      </c>
      <c r="J65" s="7" t="s">
        <v>1877</v>
      </c>
    </row>
    <row r="66" spans="1:10" x14ac:dyDescent="0.25" outlineLevel="1" collapsed="1">
      <c r="A66" s="7" t="s">
        <v>15</v>
      </c>
      <c r="B66" s="7" t="s">
        <v>16</v>
      </c>
      <c r="C66" s="7" t="s">
        <v>17</v>
      </c>
      <c r="D66" s="7"/>
      <c r="E66" s="7" t="s">
        <v>1878</v>
      </c>
      <c r="F66" s="7" t="s">
        <v>19</v>
      </c>
      <c r="G66" s="7" t="s">
        <v>1879</v>
      </c>
      <c r="H66" s="7" t="s">
        <v>17</v>
      </c>
      <c r="I66" s="7" t="s">
        <v>17</v>
      </c>
      <c r="J66" s="7" t="s">
        <v>1880</v>
      </c>
    </row>
    <row r="67" spans="1:10" x14ac:dyDescent="0.25" outlineLevel="1" collapsed="1">
      <c r="A67" s="7" t="s">
        <v>15</v>
      </c>
      <c r="B67" s="7" t="s">
        <v>63</v>
      </c>
      <c r="C67" s="7" t="s">
        <v>17</v>
      </c>
      <c r="D67" s="7"/>
      <c r="E67" s="7" t="s">
        <v>1881</v>
      </c>
      <c r="F67" s="7" t="s">
        <v>19</v>
      </c>
      <c r="G67" s="7">
        <v>0</v>
      </c>
      <c r="H67" s="7" t="s">
        <v>17</v>
      </c>
      <c r="I67" s="7" t="s">
        <v>17</v>
      </c>
      <c r="J67" s="7" t="s">
        <v>1882</v>
      </c>
    </row>
    <row r="68" spans="1:10" x14ac:dyDescent="0.25" outlineLevel="1" collapsed="1">
      <c r="A68" s="7" t="s">
        <v>15</v>
      </c>
      <c r="B68" s="7" t="s">
        <v>63</v>
      </c>
      <c r="C68" s="7" t="s">
        <v>17</v>
      </c>
      <c r="D68" s="7"/>
      <c r="E68" s="7" t="s">
        <v>1883</v>
      </c>
      <c r="F68" s="7" t="s">
        <v>19</v>
      </c>
      <c r="G68" s="7">
        <v>0.8</v>
      </c>
      <c r="H68" s="7" t="s">
        <v>17</v>
      </c>
      <c r="I68" s="7" t="s">
        <v>17</v>
      </c>
      <c r="J68" s="7" t="s">
        <v>1884</v>
      </c>
    </row>
    <row r="69" spans="1:10" x14ac:dyDescent="0.25" outlineLevel="1" collapsed="1">
      <c r="A69" s="7" t="s">
        <v>19</v>
      </c>
      <c r="B69" s="7" t="s">
        <v>63</v>
      </c>
      <c r="C69" s="7" t="s">
        <v>17</v>
      </c>
      <c r="D69" s="7"/>
      <c r="E69" s="7" t="s">
        <v>1885</v>
      </c>
      <c r="F69" s="7" t="s">
        <v>19</v>
      </c>
      <c r="G69" s="7">
        <v>0</v>
      </c>
      <c r="H69" s="7" t="s">
        <v>17</v>
      </c>
      <c r="I69" s="7" t="s">
        <v>17</v>
      </c>
      <c r="J69" s="7" t="s">
        <v>1886</v>
      </c>
    </row>
    <row r="70" spans="1:10" x14ac:dyDescent="0.25" outlineLevel="1" collapsed="1">
      <c r="A70" s="7" t="s">
        <v>19</v>
      </c>
      <c r="B70" s="7" t="s">
        <v>63</v>
      </c>
      <c r="C70" s="7" t="s">
        <v>17</v>
      </c>
      <c r="D70" s="7"/>
      <c r="E70" s="7" t="s">
        <v>1887</v>
      </c>
      <c r="F70" s="7" t="s">
        <v>19</v>
      </c>
      <c r="G70" s="7">
        <v>0.3</v>
      </c>
      <c r="H70" s="7" t="s">
        <v>17</v>
      </c>
      <c r="I70" s="7" t="s">
        <v>17</v>
      </c>
      <c r="J70" s="7" t="s">
        <v>1888</v>
      </c>
    </row>
    <row r="71" spans="1:10" x14ac:dyDescent="0.25" outlineLevel="1" collapsed="1">
      <c r="A71" s="8" t="s">
        <v>19</v>
      </c>
      <c r="B71" s="9" t="s">
        <v>952</v>
      </c>
      <c r="C71" s="8" t="s">
        <v>17</v>
      </c>
      <c r="D71" s="8"/>
      <c r="E71" s="8" t="s">
        <v>953</v>
      </c>
      <c r="F71" s="8" t="s">
        <v>15</v>
      </c>
      <c r="G71" s="8" t="s">
        <v>17</v>
      </c>
      <c r="H71" s="8" t="s">
        <v>17</v>
      </c>
      <c r="I71" s="8" t="s">
        <v>17</v>
      </c>
      <c r="J71" s="8" t="s">
        <v>954</v>
      </c>
    </row>
    <row r="72" spans="1:10" x14ac:dyDescent="0.25" outlineLevel="2" collapsed="1">
      <c r="A72" s="7" t="s">
        <v>15</v>
      </c>
      <c r="B72" s="7" t="s">
        <v>16</v>
      </c>
      <c r="C72" s="7" t="s">
        <v>17</v>
      </c>
      <c r="D72" s="7"/>
      <c r="E72" s="7" t="s">
        <v>955</v>
      </c>
      <c r="F72" s="7" t="s">
        <v>19</v>
      </c>
      <c r="G72" s="7" t="s">
        <v>956</v>
      </c>
      <c r="H72" s="7" t="s">
        <v>17</v>
      </c>
      <c r="I72" s="7" t="s">
        <v>17</v>
      </c>
      <c r="J72" s="7" t="s">
        <v>957</v>
      </c>
    </row>
    <row r="73" spans="1:10" x14ac:dyDescent="0.25" outlineLevel="2" collapsed="1">
      <c r="A73" s="7" t="s">
        <v>15</v>
      </c>
      <c r="B73" s="7" t="s">
        <v>284</v>
      </c>
      <c r="C73" s="11" t="s">
        <v>958</v>
      </c>
      <c r="D73" s="7"/>
      <c r="E73" s="7" t="s">
        <v>959</v>
      </c>
      <c r="F73" s="7" t="s">
        <v>19</v>
      </c>
      <c r="G73" s="7" t="s">
        <v>960</v>
      </c>
      <c r="H73" s="7" t="s">
        <v>17</v>
      </c>
      <c r="I73" s="7" t="s">
        <v>17</v>
      </c>
      <c r="J73" s="7" t="s">
        <v>961</v>
      </c>
    </row>
    <row r="74" spans="1:10" x14ac:dyDescent="0.25" outlineLevel="2" collapsed="1">
      <c r="A74" s="7" t="s">
        <v>15</v>
      </c>
      <c r="B74" s="7" t="s">
        <v>16</v>
      </c>
      <c r="C74" s="7" t="s">
        <v>17</v>
      </c>
      <c r="D74" s="7"/>
      <c r="E74" s="7" t="s">
        <v>962</v>
      </c>
      <c r="F74" s="7" t="s">
        <v>19</v>
      </c>
      <c r="G74" s="7" t="s">
        <v>963</v>
      </c>
      <c r="H74" s="7" t="s">
        <v>17</v>
      </c>
      <c r="I74" s="7" t="s">
        <v>17</v>
      </c>
      <c r="J74" s="7" t="s">
        <v>964</v>
      </c>
    </row>
    <row r="75" spans="1:10" x14ac:dyDescent="0.25" outlineLevel="2" collapsed="1">
      <c r="A75" s="7" t="s">
        <v>19</v>
      </c>
      <c r="B75" s="7" t="s">
        <v>291</v>
      </c>
      <c r="C75" s="7" t="s">
        <v>17</v>
      </c>
      <c r="D75" s="7"/>
      <c r="E75" s="7" t="s">
        <v>965</v>
      </c>
      <c r="F75" s="7" t="s">
        <v>19</v>
      </c>
      <c r="G75" s="7" t="s">
        <v>293</v>
      </c>
      <c r="H75" s="7" t="s">
        <v>17</v>
      </c>
      <c r="I75" s="7" t="s">
        <v>17</v>
      </c>
      <c r="J75" s="7" t="s">
        <v>966</v>
      </c>
    </row>
    <row r="76" spans="1:10" x14ac:dyDescent="0.25" outlineLevel="2" collapsed="1">
      <c r="A76" s="7" t="s">
        <v>19</v>
      </c>
      <c r="B76" s="7" t="s">
        <v>16</v>
      </c>
      <c r="C76" s="7" t="s">
        <v>17</v>
      </c>
      <c r="D76" s="7"/>
      <c r="E76" s="7" t="s">
        <v>967</v>
      </c>
      <c r="F76" s="7" t="s">
        <v>19</v>
      </c>
      <c r="G76" s="7" t="s">
        <v>968</v>
      </c>
      <c r="H76" s="7" t="s">
        <v>17</v>
      </c>
      <c r="I76" s="7" t="s">
        <v>17</v>
      </c>
      <c r="J76" s="7" t="s">
        <v>843</v>
      </c>
    </row>
    <row r="77" spans="1:10" x14ac:dyDescent="0.25">
      <c r="A77" s="5" t="s">
        <v>15</v>
      </c>
      <c r="B77" s="6" t="s">
        <v>1889</v>
      </c>
      <c r="C77" s="5" t="s">
        <v>17</v>
      </c>
      <c r="D77" s="5"/>
      <c r="E77" s="5" t="s">
        <v>1890</v>
      </c>
      <c r="F77" s="5" t="s">
        <v>15</v>
      </c>
      <c r="G77" s="5" t="s">
        <v>17</v>
      </c>
      <c r="H77" s="5" t="s">
        <v>17</v>
      </c>
      <c r="I77" s="5" t="s">
        <v>17</v>
      </c>
      <c r="J77" s="5" t="s">
        <v>1891</v>
      </c>
    </row>
    <row r="78" spans="1:10" x14ac:dyDescent="0.25" outlineLevel="1" collapsed="1">
      <c r="A78" s="7" t="s">
        <v>15</v>
      </c>
      <c r="B78" s="7" t="s">
        <v>284</v>
      </c>
      <c r="C78" s="11" t="s">
        <v>1892</v>
      </c>
      <c r="D78" s="7"/>
      <c r="E78" s="7" t="s">
        <v>1893</v>
      </c>
      <c r="F78" s="7" t="s">
        <v>19</v>
      </c>
      <c r="G78" s="7" t="s">
        <v>1669</v>
      </c>
      <c r="H78" s="7" t="s">
        <v>17</v>
      </c>
      <c r="I78" s="7" t="s">
        <v>17</v>
      </c>
      <c r="J78" s="7" t="s">
        <v>1894</v>
      </c>
    </row>
    <row r="79" spans="1:10" x14ac:dyDescent="0.25" outlineLevel="1" collapsed="1">
      <c r="A79" s="7" t="s">
        <v>19</v>
      </c>
      <c r="B79" s="7" t="s">
        <v>63</v>
      </c>
      <c r="C79" s="7" t="s">
        <v>17</v>
      </c>
      <c r="D79" s="7"/>
      <c r="E79" s="7" t="s">
        <v>1895</v>
      </c>
      <c r="F79" s="7" t="s">
        <v>19</v>
      </c>
      <c r="G79" s="7">
        <v>90</v>
      </c>
      <c r="H79" s="7">
        <v>90</v>
      </c>
      <c r="I79" s="7" t="s">
        <v>17</v>
      </c>
      <c r="J79" s="7" t="s">
        <v>1896</v>
      </c>
    </row>
    <row r="80" spans="1:10" x14ac:dyDescent="0.25" outlineLevel="1" collapsed="1">
      <c r="A80" s="7" t="s">
        <v>19</v>
      </c>
      <c r="B80" s="7" t="s">
        <v>63</v>
      </c>
      <c r="C80" s="7" t="s">
        <v>17</v>
      </c>
      <c r="D80" s="7"/>
      <c r="E80" s="7" t="s">
        <v>1897</v>
      </c>
      <c r="F80" s="7" t="s">
        <v>19</v>
      </c>
      <c r="G80" s="7">
        <v>10</v>
      </c>
      <c r="H80" s="7">
        <v>10</v>
      </c>
      <c r="I80" s="7" t="s">
        <v>17</v>
      </c>
      <c r="J80" s="7" t="s">
        <v>1898</v>
      </c>
    </row>
    <row r="81" spans="1:10" x14ac:dyDescent="0.25" outlineLevel="1" collapsed="1">
      <c r="A81" s="7" t="s">
        <v>15</v>
      </c>
      <c r="B81" s="7" t="s">
        <v>63</v>
      </c>
      <c r="C81" s="7" t="s">
        <v>17</v>
      </c>
      <c r="D81" s="7"/>
      <c r="E81" s="7" t="s">
        <v>1899</v>
      </c>
      <c r="F81" s="7" t="s">
        <v>19</v>
      </c>
      <c r="G81" s="7">
        <v>1</v>
      </c>
      <c r="H81" s="7" t="s">
        <v>17</v>
      </c>
      <c r="I81" s="7" t="s">
        <v>17</v>
      </c>
      <c r="J81" s="7" t="s">
        <v>1900</v>
      </c>
    </row>
    <row r="82" spans="1:10" x14ac:dyDescent="0.25" outlineLevel="1" collapsed="1">
      <c r="A82" s="7" t="s">
        <v>19</v>
      </c>
      <c r="B82" s="7" t="s">
        <v>63</v>
      </c>
      <c r="C82" s="7" t="s">
        <v>17</v>
      </c>
      <c r="D82" s="7"/>
      <c r="E82" s="7" t="s">
        <v>1901</v>
      </c>
      <c r="F82" s="7" t="s">
        <v>19</v>
      </c>
      <c r="G82" s="7">
        <v>1</v>
      </c>
      <c r="H82" s="7" t="s">
        <v>17</v>
      </c>
      <c r="I82" s="7" t="s">
        <v>17</v>
      </c>
      <c r="J82" s="7" t="s">
        <v>1902</v>
      </c>
    </row>
    <row r="83" spans="1:10" x14ac:dyDescent="0.25" outlineLevel="1" collapsed="1">
      <c r="A83" s="7" t="s">
        <v>15</v>
      </c>
      <c r="B83" s="7" t="s">
        <v>63</v>
      </c>
      <c r="C83" s="7" t="s">
        <v>17</v>
      </c>
      <c r="D83" s="7"/>
      <c r="E83" s="7" t="s">
        <v>1903</v>
      </c>
      <c r="F83" s="7" t="s">
        <v>19</v>
      </c>
      <c r="G83" s="7">
        <v>1</v>
      </c>
      <c r="H83" s="7" t="s">
        <v>17</v>
      </c>
      <c r="I83" s="7" t="s">
        <v>17</v>
      </c>
      <c r="J83" s="7" t="s">
        <v>1904</v>
      </c>
    </row>
    <row r="84" spans="1:10" x14ac:dyDescent="0.25" outlineLevel="1" collapsed="1">
      <c r="A84" s="7" t="s">
        <v>15</v>
      </c>
      <c r="B84" s="7" t="s">
        <v>63</v>
      </c>
      <c r="C84" s="7" t="s">
        <v>17</v>
      </c>
      <c r="D84" s="7"/>
      <c r="E84" s="7" t="s">
        <v>1905</v>
      </c>
      <c r="F84" s="7" t="s">
        <v>19</v>
      </c>
      <c r="G84" s="7">
        <v>1</v>
      </c>
      <c r="H84" s="7" t="s">
        <v>17</v>
      </c>
      <c r="I84" s="7" t="s">
        <v>17</v>
      </c>
      <c r="J84" s="7" t="s">
        <v>1906</v>
      </c>
    </row>
    <row r="85" spans="1:10" x14ac:dyDescent="0.25" outlineLevel="1" collapsed="1">
      <c r="A85" s="7" t="s">
        <v>15</v>
      </c>
      <c r="B85" s="7" t="s">
        <v>284</v>
      </c>
      <c r="C85" s="11" t="s">
        <v>1907</v>
      </c>
      <c r="D85" s="7"/>
      <c r="E85" s="7" t="s">
        <v>1908</v>
      </c>
      <c r="F85" s="7" t="s">
        <v>19</v>
      </c>
      <c r="G85" s="7" t="s">
        <v>1909</v>
      </c>
      <c r="H85" s="7" t="s">
        <v>17</v>
      </c>
      <c r="I85" s="7" t="s">
        <v>17</v>
      </c>
      <c r="J85" s="7" t="s">
        <v>1910</v>
      </c>
    </row>
    <row r="86" spans="1:10" x14ac:dyDescent="0.25" outlineLevel="1" collapsed="1">
      <c r="A86" s="8" t="s">
        <v>19</v>
      </c>
      <c r="B86" s="9" t="s">
        <v>952</v>
      </c>
      <c r="C86" s="8" t="s">
        <v>17</v>
      </c>
      <c r="D86" s="8"/>
      <c r="E86" s="8" t="s">
        <v>953</v>
      </c>
      <c r="F86" s="8" t="s">
        <v>15</v>
      </c>
      <c r="G86" s="8" t="s">
        <v>17</v>
      </c>
      <c r="H86" s="8" t="s">
        <v>17</v>
      </c>
      <c r="I86" s="8" t="s">
        <v>17</v>
      </c>
      <c r="J86" s="8" t="s">
        <v>954</v>
      </c>
    </row>
    <row r="87" spans="1:10" x14ac:dyDescent="0.25" outlineLevel="2" collapsed="1">
      <c r="A87" s="7" t="s">
        <v>15</v>
      </c>
      <c r="B87" s="7" t="s">
        <v>16</v>
      </c>
      <c r="C87" s="7" t="s">
        <v>17</v>
      </c>
      <c r="D87" s="7"/>
      <c r="E87" s="7" t="s">
        <v>955</v>
      </c>
      <c r="F87" s="7" t="s">
        <v>19</v>
      </c>
      <c r="G87" s="7" t="s">
        <v>956</v>
      </c>
      <c r="H87" s="7" t="s">
        <v>17</v>
      </c>
      <c r="I87" s="7" t="s">
        <v>17</v>
      </c>
      <c r="J87" s="7" t="s">
        <v>957</v>
      </c>
    </row>
    <row r="88" spans="1:10" x14ac:dyDescent="0.25" outlineLevel="2" collapsed="1">
      <c r="A88" s="7" t="s">
        <v>15</v>
      </c>
      <c r="B88" s="7" t="s">
        <v>284</v>
      </c>
      <c r="C88" s="11" t="s">
        <v>958</v>
      </c>
      <c r="D88" s="7"/>
      <c r="E88" s="7" t="s">
        <v>959</v>
      </c>
      <c r="F88" s="7" t="s">
        <v>19</v>
      </c>
      <c r="G88" s="7" t="s">
        <v>960</v>
      </c>
      <c r="H88" s="7" t="s">
        <v>17</v>
      </c>
      <c r="I88" s="7" t="s">
        <v>17</v>
      </c>
      <c r="J88" s="7" t="s">
        <v>961</v>
      </c>
    </row>
    <row r="89" spans="1:10" x14ac:dyDescent="0.25" outlineLevel="2" collapsed="1">
      <c r="A89" s="7" t="s">
        <v>15</v>
      </c>
      <c r="B89" s="7" t="s">
        <v>16</v>
      </c>
      <c r="C89" s="7" t="s">
        <v>17</v>
      </c>
      <c r="D89" s="7"/>
      <c r="E89" s="7" t="s">
        <v>962</v>
      </c>
      <c r="F89" s="7" t="s">
        <v>19</v>
      </c>
      <c r="G89" s="7" t="s">
        <v>963</v>
      </c>
      <c r="H89" s="7" t="s">
        <v>17</v>
      </c>
      <c r="I89" s="7" t="s">
        <v>17</v>
      </c>
      <c r="J89" s="7" t="s">
        <v>964</v>
      </c>
    </row>
    <row r="90" spans="1:10" x14ac:dyDescent="0.25" outlineLevel="2" collapsed="1">
      <c r="A90" s="7" t="s">
        <v>19</v>
      </c>
      <c r="B90" s="7" t="s">
        <v>291</v>
      </c>
      <c r="C90" s="7" t="s">
        <v>17</v>
      </c>
      <c r="D90" s="7"/>
      <c r="E90" s="7" t="s">
        <v>965</v>
      </c>
      <c r="F90" s="7" t="s">
        <v>19</v>
      </c>
      <c r="G90" s="7" t="s">
        <v>293</v>
      </c>
      <c r="H90" s="7" t="s">
        <v>17</v>
      </c>
      <c r="I90" s="7" t="s">
        <v>17</v>
      </c>
      <c r="J90" s="7" t="s">
        <v>966</v>
      </c>
    </row>
    <row r="91" spans="1:10" x14ac:dyDescent="0.25" outlineLevel="2" collapsed="1">
      <c r="A91" s="7" t="s">
        <v>19</v>
      </c>
      <c r="B91" s="7" t="s">
        <v>16</v>
      </c>
      <c r="C91" s="7" t="s">
        <v>17</v>
      </c>
      <c r="D91" s="7"/>
      <c r="E91" s="7" t="s">
        <v>967</v>
      </c>
      <c r="F91" s="7" t="s">
        <v>19</v>
      </c>
      <c r="G91" s="7" t="s">
        <v>968</v>
      </c>
      <c r="H91" s="7" t="s">
        <v>17</v>
      </c>
      <c r="I91" s="7" t="s">
        <v>17</v>
      </c>
      <c r="J91" s="7" t="s">
        <v>843</v>
      </c>
    </row>
    <row r="92" spans="1:10" x14ac:dyDescent="0.25" outlineLevel="1" collapsed="1">
      <c r="A92" s="7" t="s">
        <v>19</v>
      </c>
      <c r="B92" s="7" t="s">
        <v>63</v>
      </c>
      <c r="C92" s="7" t="s">
        <v>17</v>
      </c>
      <c r="D92" s="7"/>
      <c r="E92" s="7" t="s">
        <v>1911</v>
      </c>
      <c r="F92" s="7" t="s">
        <v>19</v>
      </c>
      <c r="G92" s="7">
        <v>0.8</v>
      </c>
      <c r="H92" s="7" t="s">
        <v>17</v>
      </c>
      <c r="I92" s="7" t="s">
        <v>17</v>
      </c>
      <c r="J92" s="7" t="s">
        <v>1912</v>
      </c>
    </row>
    <row r="93" spans="1:10" x14ac:dyDescent="0.25">
      <c r="A93" s="5" t="s">
        <v>19</v>
      </c>
      <c r="B93" s="5" t="s">
        <v>291</v>
      </c>
      <c r="C93" s="5" t="s">
        <v>17</v>
      </c>
      <c r="D93" s="5"/>
      <c r="E93" s="5" t="s">
        <v>1913</v>
      </c>
      <c r="F93" s="5" t="s">
        <v>19</v>
      </c>
      <c r="G93" s="5" t="s">
        <v>293</v>
      </c>
      <c r="H93" s="5" t="s">
        <v>17</v>
      </c>
      <c r="I93" s="5" t="s">
        <v>17</v>
      </c>
      <c r="J93" s="5" t="s">
        <v>1914</v>
      </c>
    </row>
    <row r="94" spans="1:10" x14ac:dyDescent="0.25">
      <c r="A94" s="5" t="s">
        <v>19</v>
      </c>
      <c r="B94" s="5" t="s">
        <v>159</v>
      </c>
      <c r="C94" s="5" t="s">
        <v>17</v>
      </c>
      <c r="D94" s="5"/>
      <c r="E94" s="5" t="s">
        <v>1915</v>
      </c>
      <c r="F94" s="5" t="s">
        <v>19</v>
      </c>
      <c r="G94" s="5" t="b">
        <v>1</v>
      </c>
      <c r="H94" s="5" t="s">
        <v>17</v>
      </c>
      <c r="I94" s="5" t="s">
        <v>17</v>
      </c>
      <c r="J94" s="5" t="s">
        <v>1916</v>
      </c>
    </row>
    <row r="95" spans="1:10" x14ac:dyDescent="0.25">
      <c r="A95" s="5" t="s">
        <v>19</v>
      </c>
      <c r="B95" s="5" t="s">
        <v>63</v>
      </c>
      <c r="C95" s="5" t="s">
        <v>17</v>
      </c>
      <c r="D95" s="5"/>
      <c r="E95" s="5" t="s">
        <v>1917</v>
      </c>
      <c r="F95" s="5" t="s">
        <v>19</v>
      </c>
      <c r="G95" s="5">
        <v>1</v>
      </c>
      <c r="H95" s="5" t="s">
        <v>17</v>
      </c>
      <c r="I95" s="5" t="s">
        <v>17</v>
      </c>
      <c r="J95" s="5" t="s">
        <v>1918</v>
      </c>
    </row>
    <row r="96" spans="1:10" x14ac:dyDescent="0.25">
      <c r="A96" s="5" t="s">
        <v>19</v>
      </c>
      <c r="B96" s="5" t="s">
        <v>63</v>
      </c>
      <c r="C96" s="5" t="s">
        <v>17</v>
      </c>
      <c r="D96" s="5"/>
      <c r="E96" s="5" t="s">
        <v>1919</v>
      </c>
      <c r="F96" s="5" t="s">
        <v>19</v>
      </c>
      <c r="G96" s="5">
        <v>1</v>
      </c>
      <c r="H96" s="5" t="s">
        <v>17</v>
      </c>
      <c r="I96" s="5" t="s">
        <v>17</v>
      </c>
      <c r="J96" s="5" t="s">
        <v>1920</v>
      </c>
    </row>
  </sheetData>
  <mergeCells count="3">
    <mergeCell ref="A1:J1"/>
    <mergeCell ref="B2:J2"/>
    <mergeCell ref="B3:J3"/>
  </mergeCells>
  <dataValidations count="10">
    <dataValidation type="list" allowBlank="1" sqref="G11:I11">
      <formula1>'Enums'!C726:C728</formula1>
    </dataValidation>
    <dataValidation type="list" allowBlank="1" sqref="G17:I17">
      <formula1>'Enums'!C802:C810</formula1>
    </dataValidation>
    <dataValidation type="list" allowBlank="1" sqref="G21:I21">
      <formula1>'Enums'!C738:C741</formula1>
    </dataValidation>
    <dataValidation type="list" allowBlank="1" sqref="G42:I42">
      <formula1>'Enums'!C802:C810</formula1>
    </dataValidation>
    <dataValidation type="list" allowBlank="1" sqref="G57:I57">
      <formula1>'Enums'!C802:C810</formula1>
    </dataValidation>
    <dataValidation type="list" allowBlank="1" sqref="G73:I73">
      <formula1>'Enums'!C802:C810</formula1>
    </dataValidation>
    <dataValidation type="list" allowBlank="1" sqref="G78:I78">
      <formula1>'Enums'!C742:C749</formula1>
    </dataValidation>
    <dataValidation type="list" allowBlank="1" sqref="G8:I8">
      <formula1>'Enums'!C723:C725</formula1>
    </dataValidation>
    <dataValidation type="list" allowBlank="1" sqref="G85:I85">
      <formula1>'Enums'!C750:C752</formula1>
    </dataValidation>
    <dataValidation type="list" allowBlank="1" sqref="G88:I88">
      <formula1>'Enums'!C802:C810</formula1>
    </dataValidation>
  </dataValidations>
  <hyperlinks>
    <hyperlink ref="B9" r:id="rId1" location="#'VMR0015 Water Quantity Record'!A1"/>
    <hyperlink ref="B15" r:id="rId2" location="#'Evidence item'!A1"/>
    <hyperlink ref="B23" r:id="rId3" location="#'VMR0015 Water Quantity Reco 2'!A1"/>
    <hyperlink ref="B27" r:id="rId4" location="#'VMR0015 Water Quantity Reco 3'!A1"/>
    <hyperlink ref="B32" r:id="rId5" location="#'VMR0015 Appliance Functionalit'!A1"/>
    <hyperlink ref="B40" r:id="rId6" location="#'Evidence item'!A1"/>
    <hyperlink ref="B46" r:id="rId7" location="#'SDW Public Distribution Networ'!A1"/>
    <hyperlink ref="B55" r:id="rId8" location="#'Evidence item'!A1"/>
    <hyperlink ref="B61" r:id="rId9" location="#'Biennial Water Quality Check ('!A1"/>
    <hyperlink ref="B71" r:id="rId10" location="#'Evidence item'!A1"/>
    <hyperlink ref="B77" r:id="rId11" location="#'VMR0015 Sampling Plan and Resu'!A1"/>
    <hyperlink ref="B86" r:id="rId12" location="#'Evidence item'!A1"/>
  </hyperlinks>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3450</v>
      </c>
      <c r="B1" s="1"/>
      <c r="C1" s="1"/>
      <c r="D1" s="1"/>
      <c r="E1" s="1"/>
      <c r="F1" s="1"/>
      <c r="G1" s="1"/>
      <c r="H1" s="1"/>
      <c r="I1" s="1"/>
      <c r="J1" s="1"/>
    </row>
    <row r="2" spans="1:10" x14ac:dyDescent="0.25">
      <c r="A2" s="2" t="s">
        <v>1</v>
      </c>
      <c r="B2" s="3" t="s">
        <v>3451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2629</v>
      </c>
      <c r="C5" s="5" t="s">
        <v>17</v>
      </c>
      <c r="D5" s="5"/>
      <c r="E5" s="5" t="s">
        <v>2630</v>
      </c>
      <c r="F5" s="5" t="s">
        <v>15</v>
      </c>
      <c r="G5" s="5" t="s">
        <v>17</v>
      </c>
      <c r="H5" s="5" t="s">
        <v>17</v>
      </c>
      <c r="I5" s="5" t="s">
        <v>17</v>
      </c>
      <c r="J5" s="5" t="s">
        <v>1803</v>
      </c>
    </row>
    <row r="6" spans="1:10" x14ac:dyDescent="0.25" outlineLevel="1" collapsed="1">
      <c r="A6" s="7" t="s">
        <v>15</v>
      </c>
      <c r="B6" s="7" t="s">
        <v>16</v>
      </c>
      <c r="C6" s="7" t="s">
        <v>17</v>
      </c>
      <c r="D6" s="7"/>
      <c r="E6" s="7" t="s">
        <v>943</v>
      </c>
      <c r="F6" s="7" t="s">
        <v>19</v>
      </c>
      <c r="G6" s="7" t="s">
        <v>1989</v>
      </c>
      <c r="H6" s="7" t="s">
        <v>17</v>
      </c>
      <c r="I6" s="7" t="s">
        <v>17</v>
      </c>
      <c r="J6" s="7" t="s">
        <v>944</v>
      </c>
    </row>
    <row r="7" spans="1:10" x14ac:dyDescent="0.25" outlineLevel="1" collapsed="1">
      <c r="A7" s="7" t="s">
        <v>19</v>
      </c>
      <c r="B7" s="7" t="s">
        <v>16</v>
      </c>
      <c r="C7" s="7" t="s">
        <v>17</v>
      </c>
      <c r="D7" s="7"/>
      <c r="E7" s="7" t="s">
        <v>2631</v>
      </c>
      <c r="F7" s="7" t="s">
        <v>19</v>
      </c>
      <c r="G7" s="7" t="s">
        <v>31</v>
      </c>
      <c r="H7" s="7" t="s">
        <v>17</v>
      </c>
      <c r="I7" s="7" t="s">
        <v>17</v>
      </c>
      <c r="J7" s="7" t="s">
        <v>2632</v>
      </c>
    </row>
    <row r="8" spans="1:10" x14ac:dyDescent="0.25" outlineLevel="1" collapsed="1">
      <c r="A8" s="7" t="s">
        <v>15</v>
      </c>
      <c r="B8" s="7" t="s">
        <v>284</v>
      </c>
      <c r="C8" s="11" t="s">
        <v>2633</v>
      </c>
      <c r="D8" s="7"/>
      <c r="E8" s="7" t="s">
        <v>2634</v>
      </c>
      <c r="F8" s="7" t="s">
        <v>19</v>
      </c>
      <c r="G8" s="7" t="s">
        <v>2635</v>
      </c>
      <c r="H8" s="7" t="s">
        <v>17</v>
      </c>
      <c r="I8" s="7" t="s">
        <v>17</v>
      </c>
      <c r="J8" s="7" t="s">
        <v>2636</v>
      </c>
    </row>
    <row r="9" spans="1:10" x14ac:dyDescent="0.25" outlineLevel="1" collapsed="1">
      <c r="A9" s="7" t="s">
        <v>19</v>
      </c>
      <c r="B9" s="7" t="s">
        <v>16</v>
      </c>
      <c r="C9" s="7" t="s">
        <v>17</v>
      </c>
      <c r="D9" s="7"/>
      <c r="E9" s="7" t="s">
        <v>2637</v>
      </c>
      <c r="F9" s="7" t="s">
        <v>19</v>
      </c>
      <c r="G9" s="7" t="s">
        <v>31</v>
      </c>
      <c r="H9" s="7" t="s">
        <v>17</v>
      </c>
      <c r="I9" s="7" t="s">
        <v>17</v>
      </c>
      <c r="J9" s="7" t="s">
        <v>2638</v>
      </c>
    </row>
    <row r="10" spans="1:10" x14ac:dyDescent="0.25" outlineLevel="1" collapsed="1">
      <c r="A10" s="7" t="s">
        <v>19</v>
      </c>
      <c r="B10" s="7" t="s">
        <v>16</v>
      </c>
      <c r="C10" s="7" t="s">
        <v>17</v>
      </c>
      <c r="D10" s="7"/>
      <c r="E10" s="7" t="s">
        <v>2639</v>
      </c>
      <c r="F10" s="7" t="s">
        <v>19</v>
      </c>
      <c r="G10" s="7" t="s">
        <v>31</v>
      </c>
      <c r="H10" s="7" t="s">
        <v>17</v>
      </c>
      <c r="I10" s="7" t="s">
        <v>17</v>
      </c>
      <c r="J10" s="7" t="s">
        <v>2640</v>
      </c>
    </row>
    <row r="11" spans="1:10" x14ac:dyDescent="0.25" outlineLevel="1" collapsed="1">
      <c r="A11" s="7" t="s">
        <v>19</v>
      </c>
      <c r="B11" s="7" t="s">
        <v>63</v>
      </c>
      <c r="C11" s="7" t="s">
        <v>17</v>
      </c>
      <c r="D11" s="7"/>
      <c r="E11" s="7" t="s">
        <v>2641</v>
      </c>
      <c r="F11" s="7" t="s">
        <v>19</v>
      </c>
      <c r="G11" s="7">
        <v>1</v>
      </c>
      <c r="H11" s="7" t="s">
        <v>17</v>
      </c>
      <c r="I11" s="7" t="s">
        <v>17</v>
      </c>
      <c r="J11" s="7" t="s">
        <v>1806</v>
      </c>
    </row>
    <row r="12" spans="1:10" x14ac:dyDescent="0.25" outlineLevel="1" collapsed="1">
      <c r="A12" s="7" t="s">
        <v>15</v>
      </c>
      <c r="B12" s="7" t="s">
        <v>63</v>
      </c>
      <c r="C12" s="7" t="s">
        <v>17</v>
      </c>
      <c r="D12" s="7"/>
      <c r="E12" s="7" t="s">
        <v>2642</v>
      </c>
      <c r="F12" s="7" t="s">
        <v>19</v>
      </c>
      <c r="G12" s="7">
        <v>1</v>
      </c>
      <c r="H12" s="7" t="s">
        <v>17</v>
      </c>
      <c r="I12" s="7" t="s">
        <v>17</v>
      </c>
      <c r="J12" s="7" t="s">
        <v>1684</v>
      </c>
    </row>
    <row r="13" spans="1:10" x14ac:dyDescent="0.25" outlineLevel="1" collapsed="1">
      <c r="A13" s="7" t="s">
        <v>15</v>
      </c>
      <c r="B13" s="7" t="s">
        <v>284</v>
      </c>
      <c r="C13" s="11" t="s">
        <v>2643</v>
      </c>
      <c r="D13" s="7"/>
      <c r="E13" s="7" t="s">
        <v>2644</v>
      </c>
      <c r="F13" s="7" t="s">
        <v>19</v>
      </c>
      <c r="G13" s="7" t="s">
        <v>1810</v>
      </c>
      <c r="H13" s="7" t="s">
        <v>17</v>
      </c>
      <c r="I13" s="7" t="s">
        <v>17</v>
      </c>
      <c r="J13" s="7" t="s">
        <v>1811</v>
      </c>
    </row>
    <row r="14" spans="1:10" x14ac:dyDescent="0.25" outlineLevel="1" collapsed="1">
      <c r="A14" s="7" t="s">
        <v>19</v>
      </c>
      <c r="B14" s="7" t="s">
        <v>63</v>
      </c>
      <c r="C14" s="7" t="s">
        <v>17</v>
      </c>
      <c r="D14" s="7">
        <f>EXACT(G13,"Option 1 - measured volume (flow meter / standard vessel)")</f>
      </c>
      <c r="E14" s="7" t="s">
        <v>2645</v>
      </c>
      <c r="F14" s="7" t="s">
        <v>19</v>
      </c>
      <c r="G14" s="7">
        <v>1</v>
      </c>
      <c r="H14" s="7" t="s">
        <v>17</v>
      </c>
      <c r="I14" s="7" t="s">
        <v>17</v>
      </c>
      <c r="J14" s="7" t="s">
        <v>2646</v>
      </c>
    </row>
    <row r="15" spans="1:10" x14ac:dyDescent="0.25" outlineLevel="1" collapsed="1">
      <c r="A15" s="7" t="s">
        <v>19</v>
      </c>
      <c r="B15" s="7" t="s">
        <v>63</v>
      </c>
      <c r="C15" s="7" t="s">
        <v>17</v>
      </c>
      <c r="D15" s="7">
        <f>EXACT(G13,"Option 2.1 - capacity x usage time (AMS-III.AV Eq.(2))")</f>
      </c>
      <c r="E15" s="7" t="s">
        <v>2647</v>
      </c>
      <c r="F15" s="7" t="s">
        <v>19</v>
      </c>
      <c r="G15" s="7">
        <v>1</v>
      </c>
      <c r="H15" s="7" t="s">
        <v>17</v>
      </c>
      <c r="I15" s="7" t="s">
        <v>17</v>
      </c>
      <c r="J15" s="7" t="s">
        <v>1628</v>
      </c>
    </row>
    <row r="16" spans="1:10" x14ac:dyDescent="0.25" outlineLevel="1" collapsed="1">
      <c r="A16" s="7" t="s">
        <v>19</v>
      </c>
      <c r="B16" s="7" t="s">
        <v>63</v>
      </c>
      <c r="C16" s="7" t="s">
        <v>17</v>
      </c>
      <c r="D16" s="7">
        <f>EXACT(G13,"Option 2.1 - capacity x usage time (AMS-III.AV Eq.(2))")</f>
      </c>
      <c r="E16" s="7" t="s">
        <v>2648</v>
      </c>
      <c r="F16" s="7" t="s">
        <v>19</v>
      </c>
      <c r="G16" s="7">
        <v>1</v>
      </c>
      <c r="H16" s="7" t="s">
        <v>17</v>
      </c>
      <c r="I16" s="7" t="s">
        <v>17</v>
      </c>
      <c r="J16" s="7" t="s">
        <v>2649</v>
      </c>
    </row>
    <row r="17" spans="1:10" x14ac:dyDescent="0.25" outlineLevel="1" collapsed="1">
      <c r="A17" s="7" t="s">
        <v>19</v>
      </c>
      <c r="B17" s="7" t="s">
        <v>63</v>
      </c>
      <c r="C17" s="7" t="s">
        <v>17</v>
      </c>
      <c r="D17" s="7">
        <f>EXACT(G13,"Option 2.1 - capacity x usage time (AMS-III.AV Eq.(2))")</f>
      </c>
      <c r="E17" s="7" t="s">
        <v>2650</v>
      </c>
      <c r="F17" s="7" t="s">
        <v>19</v>
      </c>
      <c r="G17" s="7">
        <v>1</v>
      </c>
      <c r="H17" s="7" t="s">
        <v>17</v>
      </c>
      <c r="I17" s="7" t="s">
        <v>17</v>
      </c>
      <c r="J17" s="7" t="s">
        <v>2651</v>
      </c>
    </row>
    <row r="18" spans="1:10" x14ac:dyDescent="0.25" outlineLevel="1" collapsed="1">
      <c r="A18" s="7" t="s">
        <v>19</v>
      </c>
      <c r="B18" s="7" t="s">
        <v>63</v>
      </c>
      <c r="C18" s="7" t="s">
        <v>17</v>
      </c>
      <c r="D18" s="7">
        <f>EXACT(G13,"Option 2.2 - population x volume per person (AMS-III.AV Eq.(3))")</f>
      </c>
      <c r="E18" s="7" t="s">
        <v>2652</v>
      </c>
      <c r="F18" s="7" t="s">
        <v>19</v>
      </c>
      <c r="G18" s="7">
        <v>1</v>
      </c>
      <c r="H18" s="7" t="s">
        <v>17</v>
      </c>
      <c r="I18" s="7" t="s">
        <v>17</v>
      </c>
      <c r="J18" s="7" t="s">
        <v>1630</v>
      </c>
    </row>
    <row r="19" spans="1:10" x14ac:dyDescent="0.25" outlineLevel="1" collapsed="1">
      <c r="A19" s="7" t="s">
        <v>15</v>
      </c>
      <c r="B19" s="7" t="s">
        <v>63</v>
      </c>
      <c r="C19" s="7" t="s">
        <v>17</v>
      </c>
      <c r="D19" s="7"/>
      <c r="E19" s="7" t="s">
        <v>2653</v>
      </c>
      <c r="F19" s="7" t="s">
        <v>19</v>
      </c>
      <c r="G19" s="7">
        <v>1</v>
      </c>
      <c r="H19" s="7" t="s">
        <v>17</v>
      </c>
      <c r="I19" s="7" t="s">
        <v>17</v>
      </c>
      <c r="J19" s="7" t="s">
        <v>2654</v>
      </c>
    </row>
    <row r="20" spans="1:10" x14ac:dyDescent="0.25" outlineLevel="1" collapsed="1">
      <c r="A20" s="8" t="s">
        <v>15</v>
      </c>
      <c r="B20" s="9" t="s">
        <v>2655</v>
      </c>
      <c r="C20" s="8" t="s">
        <v>17</v>
      </c>
      <c r="D20" s="8"/>
      <c r="E20" s="8" t="s">
        <v>2656</v>
      </c>
      <c r="F20" s="8" t="s">
        <v>15</v>
      </c>
      <c r="G20" s="8" t="s">
        <v>17</v>
      </c>
      <c r="H20" s="8" t="s">
        <v>17</v>
      </c>
      <c r="I20" s="8" t="s">
        <v>17</v>
      </c>
      <c r="J20" s="8" t="s">
        <v>2657</v>
      </c>
    </row>
    <row r="21" spans="1:10" x14ac:dyDescent="0.25" outlineLevel="2" collapsed="1">
      <c r="A21" s="7" t="s">
        <v>15</v>
      </c>
      <c r="B21" s="7" t="s">
        <v>16</v>
      </c>
      <c r="C21" s="7" t="s">
        <v>17</v>
      </c>
      <c r="D21" s="7"/>
      <c r="E21" s="7" t="s">
        <v>2658</v>
      </c>
      <c r="F21" s="7" t="s">
        <v>19</v>
      </c>
      <c r="G21" s="7" t="s">
        <v>2659</v>
      </c>
      <c r="H21" s="7" t="s">
        <v>17</v>
      </c>
      <c r="I21" s="7" t="s">
        <v>17</v>
      </c>
      <c r="J21" s="7" t="s">
        <v>2660</v>
      </c>
    </row>
    <row r="22" spans="1:10" x14ac:dyDescent="0.25" outlineLevel="2" collapsed="1">
      <c r="A22" s="7" t="s">
        <v>15</v>
      </c>
      <c r="B22" s="7" t="s">
        <v>284</v>
      </c>
      <c r="C22" s="11" t="s">
        <v>2661</v>
      </c>
      <c r="D22" s="7"/>
      <c r="E22" s="7" t="s">
        <v>2662</v>
      </c>
      <c r="F22" s="7" t="s">
        <v>19</v>
      </c>
      <c r="G22" s="7" t="s">
        <v>2663</v>
      </c>
      <c r="H22" s="7" t="s">
        <v>17</v>
      </c>
      <c r="I22" s="7" t="s">
        <v>17</v>
      </c>
      <c r="J22" s="7" t="s">
        <v>2664</v>
      </c>
    </row>
    <row r="23" spans="1:10" x14ac:dyDescent="0.25" outlineLevel="2" collapsed="1">
      <c r="A23" s="7" t="s">
        <v>15</v>
      </c>
      <c r="B23" s="7" t="s">
        <v>284</v>
      </c>
      <c r="C23" s="11" t="s">
        <v>2665</v>
      </c>
      <c r="D23" s="7"/>
      <c r="E23" s="7" t="s">
        <v>2666</v>
      </c>
      <c r="F23" s="7" t="s">
        <v>19</v>
      </c>
      <c r="G23" s="7" t="s">
        <v>1929</v>
      </c>
      <c r="H23" s="7" t="s">
        <v>17</v>
      </c>
      <c r="I23" s="7" t="s">
        <v>17</v>
      </c>
      <c r="J23" s="7" t="s">
        <v>1725</v>
      </c>
    </row>
    <row r="24" spans="1:10" x14ac:dyDescent="0.25" outlineLevel="2" collapsed="1">
      <c r="A24" s="7" t="s">
        <v>15</v>
      </c>
      <c r="B24" s="7" t="s">
        <v>284</v>
      </c>
      <c r="C24" s="11" t="s">
        <v>2667</v>
      </c>
      <c r="D24" s="7"/>
      <c r="E24" s="7" t="s">
        <v>2668</v>
      </c>
      <c r="F24" s="7" t="s">
        <v>19</v>
      </c>
      <c r="G24" s="7" t="s">
        <v>2669</v>
      </c>
      <c r="H24" s="7" t="s">
        <v>17</v>
      </c>
      <c r="I24" s="7" t="s">
        <v>17</v>
      </c>
      <c r="J24" s="7" t="s">
        <v>2670</v>
      </c>
    </row>
    <row r="25" spans="1:10" x14ac:dyDescent="0.25" outlineLevel="2" collapsed="1">
      <c r="A25" s="7" t="s">
        <v>15</v>
      </c>
      <c r="B25" s="7" t="s">
        <v>63</v>
      </c>
      <c r="C25" s="7" t="s">
        <v>17</v>
      </c>
      <c r="D25" s="7"/>
      <c r="E25" s="7" t="s">
        <v>2671</v>
      </c>
      <c r="F25" s="7" t="s">
        <v>19</v>
      </c>
      <c r="G25" s="7">
        <v>0.8</v>
      </c>
      <c r="H25" s="7" t="s">
        <v>17</v>
      </c>
      <c r="I25" s="7" t="s">
        <v>17</v>
      </c>
      <c r="J25" s="7" t="s">
        <v>2672</v>
      </c>
    </row>
    <row r="26" spans="1:10" x14ac:dyDescent="0.25" outlineLevel="2" collapsed="1">
      <c r="A26" s="7" t="s">
        <v>15</v>
      </c>
      <c r="B26" s="7" t="s">
        <v>63</v>
      </c>
      <c r="C26" s="7" t="s">
        <v>17</v>
      </c>
      <c r="D26" s="7"/>
      <c r="E26" s="7" t="s">
        <v>2673</v>
      </c>
      <c r="F26" s="7" t="s">
        <v>19</v>
      </c>
      <c r="G26" s="7">
        <v>112</v>
      </c>
      <c r="H26" s="7" t="s">
        <v>17</v>
      </c>
      <c r="I26" s="7" t="s">
        <v>17</v>
      </c>
      <c r="J26" s="7" t="s">
        <v>2674</v>
      </c>
    </row>
    <row r="27" spans="1:10" x14ac:dyDescent="0.25" outlineLevel="2" collapsed="1">
      <c r="A27" s="7" t="s">
        <v>15</v>
      </c>
      <c r="B27" s="7" t="s">
        <v>63</v>
      </c>
      <c r="C27" s="7" t="s">
        <v>17</v>
      </c>
      <c r="D27" s="7"/>
      <c r="E27" s="7" t="s">
        <v>2675</v>
      </c>
      <c r="F27" s="7" t="s">
        <v>19</v>
      </c>
      <c r="G27" s="7">
        <v>9.46</v>
      </c>
      <c r="H27" s="7" t="s">
        <v>17</v>
      </c>
      <c r="I27" s="7" t="s">
        <v>17</v>
      </c>
      <c r="J27" s="7" t="s">
        <v>2676</v>
      </c>
    </row>
    <row r="28" spans="1:10" x14ac:dyDescent="0.25" outlineLevel="2" collapsed="1">
      <c r="A28" s="7" t="s">
        <v>15</v>
      </c>
      <c r="B28" s="7" t="s">
        <v>284</v>
      </c>
      <c r="C28" s="11" t="s">
        <v>2677</v>
      </c>
      <c r="D28" s="7"/>
      <c r="E28" s="7" t="s">
        <v>2678</v>
      </c>
      <c r="F28" s="7" t="s">
        <v>19</v>
      </c>
      <c r="G28" s="7" t="s">
        <v>2679</v>
      </c>
      <c r="H28" s="7" t="s">
        <v>17</v>
      </c>
      <c r="I28" s="7" t="s">
        <v>17</v>
      </c>
      <c r="J28" s="7" t="s">
        <v>2680</v>
      </c>
    </row>
    <row r="29" spans="1:10" x14ac:dyDescent="0.25" outlineLevel="2" collapsed="1">
      <c r="A29" s="7" t="s">
        <v>19</v>
      </c>
      <c r="B29" s="7" t="s">
        <v>63</v>
      </c>
      <c r="C29" s="7" t="s">
        <v>17</v>
      </c>
      <c r="D29" s="7">
        <f>EXACT(G22,"Non-renewable biomass (woody biomass or charcoal)")</f>
      </c>
      <c r="E29" s="7" t="s">
        <v>2681</v>
      </c>
      <c r="F29" s="7" t="s">
        <v>19</v>
      </c>
      <c r="G29" s="7">
        <v>0.29</v>
      </c>
      <c r="H29" s="7" t="s">
        <v>17</v>
      </c>
      <c r="I29" s="7" t="s">
        <v>17</v>
      </c>
      <c r="J29" s="7" t="s">
        <v>2682</v>
      </c>
    </row>
    <row r="30" spans="1:10" x14ac:dyDescent="0.25" outlineLevel="2" collapsed="1">
      <c r="A30" s="7" t="s">
        <v>19</v>
      </c>
      <c r="B30" s="7" t="s">
        <v>16</v>
      </c>
      <c r="C30" s="7" t="s">
        <v>17</v>
      </c>
      <c r="D30" s="7">
        <f>EXACT(G22,"Non-renewable biomass (woody biomass or charcoal)")</f>
      </c>
      <c r="E30" s="7" t="s">
        <v>2683</v>
      </c>
      <c r="F30" s="7" t="s">
        <v>19</v>
      </c>
      <c r="G30" s="7" t="s">
        <v>31</v>
      </c>
      <c r="H30" s="7" t="s">
        <v>17</v>
      </c>
      <c r="I30" s="7" t="s">
        <v>17</v>
      </c>
      <c r="J30" s="7" t="s">
        <v>2684</v>
      </c>
    </row>
    <row r="31" spans="1:10" x14ac:dyDescent="0.25" outlineLevel="2" collapsed="1">
      <c r="A31" s="7" t="s">
        <v>19</v>
      </c>
      <c r="B31" s="7" t="s">
        <v>63</v>
      </c>
      <c r="C31" s="7" t="s">
        <v>17</v>
      </c>
      <c r="D31" s="7">
        <f>EXACT(G22,"Fossil fuel")</f>
      </c>
      <c r="E31" s="7" t="s">
        <v>2685</v>
      </c>
      <c r="F31" s="7" t="s">
        <v>19</v>
      </c>
      <c r="G31" s="7">
        <v>1</v>
      </c>
      <c r="H31" s="7" t="s">
        <v>17</v>
      </c>
      <c r="I31" s="7" t="s">
        <v>17</v>
      </c>
      <c r="J31" s="7" t="s">
        <v>2686</v>
      </c>
    </row>
    <row r="32" spans="1:10" x14ac:dyDescent="0.25" outlineLevel="1" collapsed="1">
      <c r="A32" s="8" t="s">
        <v>19</v>
      </c>
      <c r="B32" s="9" t="s">
        <v>2687</v>
      </c>
      <c r="C32" s="8" t="s">
        <v>17</v>
      </c>
      <c r="D32" s="8"/>
      <c r="E32" s="8" t="s">
        <v>2688</v>
      </c>
      <c r="F32" s="8" t="s">
        <v>15</v>
      </c>
      <c r="G32" s="8" t="s">
        <v>17</v>
      </c>
      <c r="H32" s="8" t="s">
        <v>17</v>
      </c>
      <c r="I32" s="8" t="s">
        <v>17</v>
      </c>
      <c r="J32" s="8" t="s">
        <v>2689</v>
      </c>
    </row>
    <row r="33" spans="1:10" x14ac:dyDescent="0.25" outlineLevel="2" collapsed="1">
      <c r="A33" s="7" t="s">
        <v>15</v>
      </c>
      <c r="B33" s="7" t="s">
        <v>16</v>
      </c>
      <c r="C33" s="7" t="s">
        <v>17</v>
      </c>
      <c r="D33" s="7"/>
      <c r="E33" s="7" t="s">
        <v>2690</v>
      </c>
      <c r="F33" s="7" t="s">
        <v>19</v>
      </c>
      <c r="G33" s="7" t="s">
        <v>31</v>
      </c>
      <c r="H33" s="7" t="s">
        <v>17</v>
      </c>
      <c r="I33" s="7" t="s">
        <v>17</v>
      </c>
      <c r="J33" s="7" t="s">
        <v>2691</v>
      </c>
    </row>
    <row r="34" spans="1:10" x14ac:dyDescent="0.25" outlineLevel="2" collapsed="1">
      <c r="A34" s="7" t="s">
        <v>15</v>
      </c>
      <c r="B34" s="7" t="s">
        <v>63</v>
      </c>
      <c r="C34" s="7" t="s">
        <v>17</v>
      </c>
      <c r="D34" s="7"/>
      <c r="E34" s="7" t="s">
        <v>2692</v>
      </c>
      <c r="F34" s="7" t="s">
        <v>19</v>
      </c>
      <c r="G34" s="7">
        <v>5</v>
      </c>
      <c r="H34" s="7" t="s">
        <v>17</v>
      </c>
      <c r="I34" s="7" t="s">
        <v>17</v>
      </c>
      <c r="J34" s="7" t="s">
        <v>2693</v>
      </c>
    </row>
    <row r="35" spans="1:10" x14ac:dyDescent="0.25" outlineLevel="2" collapsed="1">
      <c r="A35" s="7" t="s">
        <v>15</v>
      </c>
      <c r="B35" s="7" t="s">
        <v>159</v>
      </c>
      <c r="C35" s="7" t="s">
        <v>17</v>
      </c>
      <c r="D35" s="7"/>
      <c r="E35" s="7" t="s">
        <v>2694</v>
      </c>
      <c r="F35" s="7" t="s">
        <v>19</v>
      </c>
      <c r="G35" s="7" t="b">
        <v>1</v>
      </c>
      <c r="H35" s="7" t="s">
        <v>17</v>
      </c>
      <c r="I35" s="7" t="s">
        <v>17</v>
      </c>
      <c r="J35" s="7" t="s">
        <v>2695</v>
      </c>
    </row>
    <row r="36" spans="1:10" x14ac:dyDescent="0.25" outlineLevel="2" collapsed="1">
      <c r="A36" s="8" t="s">
        <v>15</v>
      </c>
      <c r="B36" s="9" t="s">
        <v>2696</v>
      </c>
      <c r="C36" s="8" t="s">
        <v>17</v>
      </c>
      <c r="D36" s="8"/>
      <c r="E36" s="8" t="s">
        <v>2697</v>
      </c>
      <c r="F36" s="8" t="s">
        <v>15</v>
      </c>
      <c r="G36" s="8" t="s">
        <v>17</v>
      </c>
      <c r="H36" s="8" t="s">
        <v>17</v>
      </c>
      <c r="I36" s="8" t="s">
        <v>17</v>
      </c>
      <c r="J36" s="8" t="s">
        <v>2698</v>
      </c>
    </row>
    <row r="37" spans="1:10" x14ac:dyDescent="0.25" outlineLevel="3" collapsed="1">
      <c r="A37" s="7" t="s">
        <v>15</v>
      </c>
      <c r="B37" s="7" t="s">
        <v>284</v>
      </c>
      <c r="C37" s="11" t="s">
        <v>2699</v>
      </c>
      <c r="D37" s="7"/>
      <c r="E37" s="7" t="s">
        <v>2700</v>
      </c>
      <c r="F37" s="7" t="s">
        <v>19</v>
      </c>
      <c r="G37" s="7" t="s">
        <v>2669</v>
      </c>
      <c r="H37" s="7" t="s">
        <v>17</v>
      </c>
      <c r="I37" s="7" t="s">
        <v>17</v>
      </c>
      <c r="J37" s="7" t="s">
        <v>2701</v>
      </c>
    </row>
    <row r="38" spans="1:10" x14ac:dyDescent="0.25" outlineLevel="3" collapsed="1">
      <c r="A38" s="7" t="s">
        <v>15</v>
      </c>
      <c r="B38" s="7" t="s">
        <v>63</v>
      </c>
      <c r="C38" s="7" t="s">
        <v>17</v>
      </c>
      <c r="D38" s="7"/>
      <c r="E38" s="7" t="s">
        <v>2702</v>
      </c>
      <c r="F38" s="7" t="s">
        <v>19</v>
      </c>
      <c r="G38" s="7">
        <v>7</v>
      </c>
      <c r="H38" s="7" t="s">
        <v>17</v>
      </c>
      <c r="I38" s="7" t="s">
        <v>17</v>
      </c>
      <c r="J38" s="7" t="s">
        <v>2703</v>
      </c>
    </row>
    <row r="39" spans="1:10" x14ac:dyDescent="0.25" outlineLevel="3" collapsed="1">
      <c r="A39" s="7" t="s">
        <v>15</v>
      </c>
      <c r="B39" s="7" t="s">
        <v>63</v>
      </c>
      <c r="C39" s="7" t="s">
        <v>17</v>
      </c>
      <c r="D39" s="7"/>
      <c r="E39" s="7" t="s">
        <v>2704</v>
      </c>
      <c r="F39" s="7" t="s">
        <v>19</v>
      </c>
      <c r="G39" s="7">
        <v>0.1</v>
      </c>
      <c r="H39" s="7" t="s">
        <v>17</v>
      </c>
      <c r="I39" s="7" t="s">
        <v>17</v>
      </c>
      <c r="J39" s="7" t="s">
        <v>1622</v>
      </c>
    </row>
    <row r="40" spans="1:10" x14ac:dyDescent="0.25" outlineLevel="3" collapsed="1">
      <c r="A40" s="7" t="s">
        <v>15</v>
      </c>
      <c r="B40" s="7" t="s">
        <v>284</v>
      </c>
      <c r="C40" s="11" t="s">
        <v>2705</v>
      </c>
      <c r="D40" s="7"/>
      <c r="E40" s="7" t="s">
        <v>2706</v>
      </c>
      <c r="F40" s="7" t="s">
        <v>19</v>
      </c>
      <c r="G40" s="7" t="s">
        <v>2707</v>
      </c>
      <c r="H40" s="7" t="s">
        <v>17</v>
      </c>
      <c r="I40" s="7" t="s">
        <v>17</v>
      </c>
      <c r="J40" s="7" t="s">
        <v>2708</v>
      </c>
    </row>
    <row r="41" spans="1:10" x14ac:dyDescent="0.25" outlineLevel="2" collapsed="1">
      <c r="A41" s="7" t="s">
        <v>15</v>
      </c>
      <c r="B41" s="7" t="s">
        <v>284</v>
      </c>
      <c r="C41" s="11" t="s">
        <v>2709</v>
      </c>
      <c r="D41" s="7"/>
      <c r="E41" s="7" t="s">
        <v>2710</v>
      </c>
      <c r="F41" s="7" t="s">
        <v>19</v>
      </c>
      <c r="G41" s="7" t="s">
        <v>2711</v>
      </c>
      <c r="H41" s="7" t="s">
        <v>17</v>
      </c>
      <c r="I41" s="7" t="s">
        <v>17</v>
      </c>
      <c r="J41" s="7" t="s">
        <v>2712</v>
      </c>
    </row>
    <row r="42" spans="1:10" x14ac:dyDescent="0.25" outlineLevel="2" collapsed="1">
      <c r="A42" s="7" t="s">
        <v>19</v>
      </c>
      <c r="B42" s="7" t="s">
        <v>63</v>
      </c>
      <c r="C42" s="7" t="s">
        <v>17</v>
      </c>
      <c r="D42" s="7"/>
      <c r="E42" s="7" t="s">
        <v>2713</v>
      </c>
      <c r="F42" s="7" t="s">
        <v>19</v>
      </c>
      <c r="G42" s="7">
        <v>1</v>
      </c>
      <c r="H42" s="7" t="s">
        <v>17</v>
      </c>
      <c r="I42" s="7" t="s">
        <v>17</v>
      </c>
      <c r="J42" s="7" t="s">
        <v>2714</v>
      </c>
    </row>
    <row r="43" spans="1:10" x14ac:dyDescent="0.25" outlineLevel="2" collapsed="1">
      <c r="A43" s="7" t="s">
        <v>19</v>
      </c>
      <c r="B43" s="7" t="s">
        <v>63</v>
      </c>
      <c r="C43" s="7" t="s">
        <v>17</v>
      </c>
      <c r="D43" s="7"/>
      <c r="E43" s="7" t="s">
        <v>2715</v>
      </c>
      <c r="F43" s="7" t="s">
        <v>19</v>
      </c>
      <c r="G43" s="7">
        <v>1</v>
      </c>
      <c r="H43" s="7" t="s">
        <v>17</v>
      </c>
      <c r="I43" s="7" t="s">
        <v>17</v>
      </c>
      <c r="J43" s="7" t="s">
        <v>2716</v>
      </c>
    </row>
    <row r="44" spans="1:10" x14ac:dyDescent="0.25" outlineLevel="1" collapsed="1">
      <c r="A44" s="7" t="s">
        <v>19</v>
      </c>
      <c r="B44" s="7" t="s">
        <v>63</v>
      </c>
      <c r="C44" s="7" t="s">
        <v>17</v>
      </c>
      <c r="D44" s="7"/>
      <c r="E44" s="7" t="s">
        <v>2717</v>
      </c>
      <c r="F44" s="7" t="s">
        <v>19</v>
      </c>
      <c r="G44" s="7">
        <v>1</v>
      </c>
      <c r="H44" s="7" t="s">
        <v>17</v>
      </c>
      <c r="I44" s="7" t="s">
        <v>17</v>
      </c>
      <c r="J44" s="7" t="s">
        <v>2718</v>
      </c>
    </row>
    <row r="45" spans="1:10" x14ac:dyDescent="0.25">
      <c r="A45" s="5" t="s">
        <v>15</v>
      </c>
      <c r="B45" s="6" t="s">
        <v>1921</v>
      </c>
      <c r="C45" s="5" t="s">
        <v>17</v>
      </c>
      <c r="D45" s="5"/>
      <c r="E45" s="5" t="s">
        <v>2719</v>
      </c>
      <c r="F45" s="5" t="s">
        <v>15</v>
      </c>
      <c r="G45" s="5" t="s">
        <v>17</v>
      </c>
      <c r="H45" s="5" t="s">
        <v>17</v>
      </c>
      <c r="I45" s="5" t="s">
        <v>17</v>
      </c>
      <c r="J45" s="5" t="s">
        <v>1923</v>
      </c>
    </row>
    <row r="46" spans="1:10" x14ac:dyDescent="0.25" outlineLevel="1" collapsed="1">
      <c r="A46" s="7" t="s">
        <v>15</v>
      </c>
      <c r="B46" s="7" t="s">
        <v>16</v>
      </c>
      <c r="C46" s="7" t="s">
        <v>17</v>
      </c>
      <c r="D46" s="7"/>
      <c r="E46" s="7" t="s">
        <v>1924</v>
      </c>
      <c r="F46" s="7" t="s">
        <v>19</v>
      </c>
      <c r="G46" s="7" t="s">
        <v>1925</v>
      </c>
      <c r="H46" s="7" t="s">
        <v>17</v>
      </c>
      <c r="I46" s="7" t="s">
        <v>17</v>
      </c>
      <c r="J46" s="7" t="s">
        <v>1926</v>
      </c>
    </row>
    <row r="47" spans="1:10" x14ac:dyDescent="0.25" outlineLevel="1" collapsed="1">
      <c r="A47" s="7" t="s">
        <v>15</v>
      </c>
      <c r="B47" s="7" t="s">
        <v>284</v>
      </c>
      <c r="C47" s="11" t="s">
        <v>1927</v>
      </c>
      <c r="D47" s="7"/>
      <c r="E47" s="7" t="s">
        <v>1928</v>
      </c>
      <c r="F47" s="7" t="s">
        <v>19</v>
      </c>
      <c r="G47" s="7" t="s">
        <v>1929</v>
      </c>
      <c r="H47" s="7" t="s">
        <v>17</v>
      </c>
      <c r="I47" s="7" t="s">
        <v>17</v>
      </c>
      <c r="J47" s="7" t="s">
        <v>1725</v>
      </c>
    </row>
    <row r="48" spans="1:10" x14ac:dyDescent="0.25" outlineLevel="1" collapsed="1">
      <c r="A48" s="7" t="s">
        <v>15</v>
      </c>
      <c r="B48" s="7" t="s">
        <v>284</v>
      </c>
      <c r="C48" s="11" t="s">
        <v>1930</v>
      </c>
      <c r="D48" s="7"/>
      <c r="E48" s="7" t="s">
        <v>1931</v>
      </c>
      <c r="F48" s="7" t="s">
        <v>19</v>
      </c>
      <c r="G48" s="7" t="s">
        <v>1932</v>
      </c>
      <c r="H48" s="7" t="s">
        <v>17</v>
      </c>
      <c r="I48" s="7" t="s">
        <v>17</v>
      </c>
      <c r="J48" s="7" t="s">
        <v>1933</v>
      </c>
    </row>
    <row r="49" spans="1:10" x14ac:dyDescent="0.25" outlineLevel="1" collapsed="1">
      <c r="A49" s="7" t="s">
        <v>19</v>
      </c>
      <c r="B49" s="7" t="s">
        <v>63</v>
      </c>
      <c r="C49" s="7" t="s">
        <v>17</v>
      </c>
      <c r="D49" s="7">
        <f>EXACT(G48,"Option 1 - latest UNFCCC national default")</f>
      </c>
      <c r="E49" s="7" t="s">
        <v>1934</v>
      </c>
      <c r="F49" s="7" t="s">
        <v>19</v>
      </c>
      <c r="G49" s="7">
        <v>1</v>
      </c>
      <c r="H49" s="7" t="s">
        <v>17</v>
      </c>
      <c r="I49" s="7" t="s">
        <v>17</v>
      </c>
      <c r="J49" s="7" t="s">
        <v>1935</v>
      </c>
    </row>
    <row r="50" spans="1:10" x14ac:dyDescent="0.25" outlineLevel="1" collapsed="1">
      <c r="A50" s="7" t="s">
        <v>19</v>
      </c>
      <c r="B50" s="7" t="s">
        <v>16</v>
      </c>
      <c r="C50" s="7" t="s">
        <v>17</v>
      </c>
      <c r="D50" s="7">
        <f>EXACT(G48,"Option 1 - latest UNFCCC national default")</f>
      </c>
      <c r="E50" s="7" t="s">
        <v>1936</v>
      </c>
      <c r="F50" s="7" t="s">
        <v>19</v>
      </c>
      <c r="G50" s="7" t="s">
        <v>31</v>
      </c>
      <c r="H50" s="7" t="s">
        <v>17</v>
      </c>
      <c r="I50" s="7" t="s">
        <v>17</v>
      </c>
      <c r="J50" s="7" t="s">
        <v>1937</v>
      </c>
    </row>
    <row r="51" spans="1:10" x14ac:dyDescent="0.25" outlineLevel="1" collapsed="1">
      <c r="A51" s="7" t="s">
        <v>19</v>
      </c>
      <c r="B51" s="7" t="s">
        <v>284</v>
      </c>
      <c r="C51" s="11" t="s">
        <v>1938</v>
      </c>
      <c r="D51" s="7">
        <f>EXACT(G48,"Option 1 - latest UNFCCC national default")</f>
      </c>
      <c r="E51" s="7" t="s">
        <v>1939</v>
      </c>
      <c r="F51" s="7" t="s">
        <v>19</v>
      </c>
      <c r="G51" s="7" t="s">
        <v>1940</v>
      </c>
      <c r="H51" s="7" t="s">
        <v>17</v>
      </c>
      <c r="I51" s="7" t="s">
        <v>17</v>
      </c>
      <c r="J51" s="7" t="s">
        <v>1941</v>
      </c>
    </row>
    <row r="52" spans="1:10" x14ac:dyDescent="0.25" outlineLevel="1" collapsed="1">
      <c r="A52" s="7" t="s">
        <v>19</v>
      </c>
      <c r="B52" s="7" t="s">
        <v>63</v>
      </c>
      <c r="C52" s="7" t="s">
        <v>17</v>
      </c>
      <c r="D52" s="7">
        <f>EXACT(G48,"Option 1 - latest UNFCCC national default")</f>
      </c>
      <c r="E52" s="7" t="s">
        <v>1942</v>
      </c>
      <c r="F52" s="7" t="s">
        <v>19</v>
      </c>
      <c r="G52" s="7">
        <v>1</v>
      </c>
      <c r="H52" s="7" t="s">
        <v>17</v>
      </c>
      <c r="I52" s="7" t="s">
        <v>17</v>
      </c>
      <c r="J52" s="7" t="s">
        <v>1943</v>
      </c>
    </row>
    <row r="53" spans="1:10" x14ac:dyDescent="0.25" outlineLevel="1" collapsed="1">
      <c r="A53" s="7" t="s">
        <v>19</v>
      </c>
      <c r="B53" s="7" t="s">
        <v>63</v>
      </c>
      <c r="C53" s="7" t="s">
        <v>17</v>
      </c>
      <c r="D53" s="7">
        <f>EXACT(G48,"Option 2 - TOOL30 calculated value x (1 - 0.26)")</f>
      </c>
      <c r="E53" s="7" t="s">
        <v>1944</v>
      </c>
      <c r="F53" s="7" t="s">
        <v>19</v>
      </c>
      <c r="G53" s="7">
        <v>1</v>
      </c>
      <c r="H53" s="7" t="s">
        <v>17</v>
      </c>
      <c r="I53" s="7" t="s">
        <v>17</v>
      </c>
      <c r="J53" s="7" t="s">
        <v>1945</v>
      </c>
    </row>
    <row r="54" spans="1:10" x14ac:dyDescent="0.25" outlineLevel="1" collapsed="1">
      <c r="A54" s="7" t="s">
        <v>19</v>
      </c>
      <c r="B54" s="7" t="s">
        <v>159</v>
      </c>
      <c r="C54" s="7" t="s">
        <v>17</v>
      </c>
      <c r="D54" s="7">
        <f>EXACT(G48,"Option 2 - TOOL30 calculated value x (1 - 0.26)")</f>
      </c>
      <c r="E54" s="7" t="s">
        <v>1946</v>
      </c>
      <c r="F54" s="7" t="s">
        <v>19</v>
      </c>
      <c r="G54" s="7" t="b">
        <v>1</v>
      </c>
      <c r="H54" s="7" t="s">
        <v>17</v>
      </c>
      <c r="I54" s="7" t="s">
        <v>17</v>
      </c>
      <c r="J54" s="7" t="s">
        <v>1947</v>
      </c>
    </row>
    <row r="55" spans="1:10" x14ac:dyDescent="0.25" outlineLevel="1" collapsed="1">
      <c r="A55" s="7" t="s">
        <v>19</v>
      </c>
      <c r="B55" s="7" t="s">
        <v>63</v>
      </c>
      <c r="C55" s="7" t="s">
        <v>17</v>
      </c>
      <c r="D55" s="7">
        <f>EXACT(G48,"Option 3 - latest TOOL33 default (national Table 3 / regional Table 2)")</f>
      </c>
      <c r="E55" s="7" t="s">
        <v>1948</v>
      </c>
      <c r="F55" s="7" t="s">
        <v>19</v>
      </c>
      <c r="G55" s="7">
        <v>1</v>
      </c>
      <c r="H55" s="7" t="s">
        <v>17</v>
      </c>
      <c r="I55" s="7" t="s">
        <v>17</v>
      </c>
      <c r="J55" s="7" t="s">
        <v>1949</v>
      </c>
    </row>
    <row r="56" spans="1:10" x14ac:dyDescent="0.25" outlineLevel="1" collapsed="1">
      <c r="A56" s="7" t="s">
        <v>19</v>
      </c>
      <c r="B56" s="7" t="s">
        <v>284</v>
      </c>
      <c r="C56" s="11" t="s">
        <v>1950</v>
      </c>
      <c r="D56" s="7">
        <f>EXACT(G48,"Option 3 - latest TOOL33 default (national Table 3 / regional Table 2)")</f>
      </c>
      <c r="E56" s="7" t="s">
        <v>1951</v>
      </c>
      <c r="F56" s="7" t="s">
        <v>19</v>
      </c>
      <c r="G56" s="7" t="s">
        <v>1952</v>
      </c>
      <c r="H56" s="7" t="s">
        <v>17</v>
      </c>
      <c r="I56" s="7" t="s">
        <v>17</v>
      </c>
      <c r="J56" s="7" t="s">
        <v>1953</v>
      </c>
    </row>
    <row r="57" spans="1:10" x14ac:dyDescent="0.25" outlineLevel="1" collapsed="1">
      <c r="A57" s="7" t="s">
        <v>19</v>
      </c>
      <c r="B57" s="7" t="s">
        <v>16</v>
      </c>
      <c r="C57" s="7" t="s">
        <v>17</v>
      </c>
      <c r="D57" s="7">
        <f>EXACT(G48,"Option 3 - latest TOOL33 default (national Table 3 / regional Table 2)")</f>
      </c>
      <c r="E57" s="7" t="s">
        <v>1954</v>
      </c>
      <c r="F57" s="7" t="s">
        <v>19</v>
      </c>
      <c r="G57" s="7" t="s">
        <v>31</v>
      </c>
      <c r="H57" s="7" t="s">
        <v>17</v>
      </c>
      <c r="I57" s="7" t="s">
        <v>17</v>
      </c>
      <c r="J57" s="7" t="s">
        <v>1955</v>
      </c>
    </row>
    <row r="58" spans="1:10" x14ac:dyDescent="0.25" outlineLevel="1" collapsed="1">
      <c r="A58" s="7" t="s">
        <v>15</v>
      </c>
      <c r="B58" s="7" t="s">
        <v>63</v>
      </c>
      <c r="C58" s="7" t="s">
        <v>17</v>
      </c>
      <c r="D58" s="7"/>
      <c r="E58" s="7" t="s">
        <v>1956</v>
      </c>
      <c r="F58" s="7" t="s">
        <v>19</v>
      </c>
      <c r="G58" s="7">
        <v>1</v>
      </c>
      <c r="H58" s="7" t="s">
        <v>17</v>
      </c>
      <c r="I58" s="7" t="s">
        <v>17</v>
      </c>
      <c r="J58" s="7" t="s">
        <v>1957</v>
      </c>
    </row>
    <row r="59" spans="1:10" x14ac:dyDescent="0.25" outlineLevel="1" collapsed="1">
      <c r="A59" s="7" t="s">
        <v>15</v>
      </c>
      <c r="B59" s="7" t="s">
        <v>291</v>
      </c>
      <c r="C59" s="7" t="s">
        <v>17</v>
      </c>
      <c r="D59" s="7"/>
      <c r="E59" s="7" t="s">
        <v>1958</v>
      </c>
      <c r="F59" s="7" t="s">
        <v>19</v>
      </c>
      <c r="G59" s="7" t="s">
        <v>950</v>
      </c>
      <c r="H59" s="7" t="s">
        <v>17</v>
      </c>
      <c r="I59" s="7" t="s">
        <v>17</v>
      </c>
      <c r="J59" s="7" t="s">
        <v>1959</v>
      </c>
    </row>
    <row r="60" spans="1:10" x14ac:dyDescent="0.25" outlineLevel="1" collapsed="1">
      <c r="A60" s="7" t="s">
        <v>19</v>
      </c>
      <c r="B60" s="7" t="s">
        <v>291</v>
      </c>
      <c r="C60" s="7" t="s">
        <v>17</v>
      </c>
      <c r="D60" s="7"/>
      <c r="E60" s="7" t="s">
        <v>1960</v>
      </c>
      <c r="F60" s="7" t="s">
        <v>19</v>
      </c>
      <c r="G60" s="7" t="s">
        <v>950</v>
      </c>
      <c r="H60" s="7" t="s">
        <v>17</v>
      </c>
      <c r="I60" s="7" t="s">
        <v>17</v>
      </c>
      <c r="J60" s="7" t="s">
        <v>1961</v>
      </c>
    </row>
    <row r="61" spans="1:10" x14ac:dyDescent="0.25" outlineLevel="1" collapsed="1">
      <c r="A61" s="7" t="s">
        <v>19</v>
      </c>
      <c r="B61" s="7" t="s">
        <v>63</v>
      </c>
      <c r="C61" s="7" t="s">
        <v>17</v>
      </c>
      <c r="D61" s="7"/>
      <c r="E61" s="7" t="s">
        <v>1962</v>
      </c>
      <c r="F61" s="7" t="s">
        <v>19</v>
      </c>
      <c r="G61" s="7">
        <v>1</v>
      </c>
      <c r="H61" s="7" t="s">
        <v>17</v>
      </c>
      <c r="I61" s="7" t="s">
        <v>17</v>
      </c>
      <c r="J61" s="7" t="s">
        <v>1963</v>
      </c>
    </row>
    <row r="62" spans="1:10" x14ac:dyDescent="0.25" outlineLevel="1" collapsed="1">
      <c r="A62" s="7" t="s">
        <v>19</v>
      </c>
      <c r="B62" s="7" t="s">
        <v>63</v>
      </c>
      <c r="C62" s="7" t="s">
        <v>17</v>
      </c>
      <c r="D62" s="7"/>
      <c r="E62" s="7" t="s">
        <v>1964</v>
      </c>
      <c r="F62" s="7" t="s">
        <v>19</v>
      </c>
      <c r="G62" s="7">
        <v>1</v>
      </c>
      <c r="H62" s="7" t="s">
        <v>17</v>
      </c>
      <c r="I62" s="7" t="s">
        <v>17</v>
      </c>
      <c r="J62" s="7" t="s">
        <v>1965</v>
      </c>
    </row>
    <row r="63" spans="1:10" x14ac:dyDescent="0.25" outlineLevel="1" collapsed="1">
      <c r="A63" s="8" t="s">
        <v>19</v>
      </c>
      <c r="B63" s="9" t="s">
        <v>952</v>
      </c>
      <c r="C63" s="8" t="s">
        <v>17</v>
      </c>
      <c r="D63" s="8"/>
      <c r="E63" s="8" t="s">
        <v>953</v>
      </c>
      <c r="F63" s="8" t="s">
        <v>15</v>
      </c>
      <c r="G63" s="8" t="s">
        <v>17</v>
      </c>
      <c r="H63" s="8" t="s">
        <v>17</v>
      </c>
      <c r="I63" s="8" t="s">
        <v>17</v>
      </c>
      <c r="J63" s="8" t="s">
        <v>954</v>
      </c>
    </row>
    <row r="64" spans="1:10" x14ac:dyDescent="0.25" outlineLevel="2" collapsed="1">
      <c r="A64" s="7" t="s">
        <v>15</v>
      </c>
      <c r="B64" s="7" t="s">
        <v>16</v>
      </c>
      <c r="C64" s="7" t="s">
        <v>17</v>
      </c>
      <c r="D64" s="7"/>
      <c r="E64" s="7" t="s">
        <v>955</v>
      </c>
      <c r="F64" s="7" t="s">
        <v>19</v>
      </c>
      <c r="G64" s="7" t="s">
        <v>956</v>
      </c>
      <c r="H64" s="7" t="s">
        <v>17</v>
      </c>
      <c r="I64" s="7" t="s">
        <v>17</v>
      </c>
      <c r="J64" s="7" t="s">
        <v>957</v>
      </c>
    </row>
    <row r="65" spans="1:10" x14ac:dyDescent="0.25" outlineLevel="2" collapsed="1">
      <c r="A65" s="7" t="s">
        <v>15</v>
      </c>
      <c r="B65" s="7" t="s">
        <v>284</v>
      </c>
      <c r="C65" s="11" t="s">
        <v>958</v>
      </c>
      <c r="D65" s="7"/>
      <c r="E65" s="7" t="s">
        <v>959</v>
      </c>
      <c r="F65" s="7" t="s">
        <v>19</v>
      </c>
      <c r="G65" s="7" t="s">
        <v>960</v>
      </c>
      <c r="H65" s="7" t="s">
        <v>17</v>
      </c>
      <c r="I65" s="7" t="s">
        <v>17</v>
      </c>
      <c r="J65" s="7" t="s">
        <v>961</v>
      </c>
    </row>
    <row r="66" spans="1:10" x14ac:dyDescent="0.25" outlineLevel="2" collapsed="1">
      <c r="A66" s="7" t="s">
        <v>15</v>
      </c>
      <c r="B66" s="7" t="s">
        <v>16</v>
      </c>
      <c r="C66" s="7" t="s">
        <v>17</v>
      </c>
      <c r="D66" s="7"/>
      <c r="E66" s="7" t="s">
        <v>962</v>
      </c>
      <c r="F66" s="7" t="s">
        <v>19</v>
      </c>
      <c r="G66" s="7" t="s">
        <v>963</v>
      </c>
      <c r="H66" s="7" t="s">
        <v>17</v>
      </c>
      <c r="I66" s="7" t="s">
        <v>17</v>
      </c>
      <c r="J66" s="7" t="s">
        <v>964</v>
      </c>
    </row>
    <row r="67" spans="1:10" x14ac:dyDescent="0.25" outlineLevel="2" collapsed="1">
      <c r="A67" s="7" t="s">
        <v>19</v>
      </c>
      <c r="B67" s="7" t="s">
        <v>291</v>
      </c>
      <c r="C67" s="7" t="s">
        <v>17</v>
      </c>
      <c r="D67" s="7"/>
      <c r="E67" s="7" t="s">
        <v>965</v>
      </c>
      <c r="F67" s="7" t="s">
        <v>19</v>
      </c>
      <c r="G67" s="7" t="s">
        <v>293</v>
      </c>
      <c r="H67" s="7" t="s">
        <v>17</v>
      </c>
      <c r="I67" s="7" t="s">
        <v>17</v>
      </c>
      <c r="J67" s="7" t="s">
        <v>966</v>
      </c>
    </row>
    <row r="68" spans="1:10" x14ac:dyDescent="0.25" outlineLevel="2" collapsed="1">
      <c r="A68" s="7" t="s">
        <v>19</v>
      </c>
      <c r="B68" s="7" t="s">
        <v>16</v>
      </c>
      <c r="C68" s="7" t="s">
        <v>17</v>
      </c>
      <c r="D68" s="7"/>
      <c r="E68" s="7" t="s">
        <v>967</v>
      </c>
      <c r="F68" s="7" t="s">
        <v>19</v>
      </c>
      <c r="G68" s="7" t="s">
        <v>968</v>
      </c>
      <c r="H68" s="7" t="s">
        <v>17</v>
      </c>
      <c r="I68" s="7" t="s">
        <v>17</v>
      </c>
      <c r="J68" s="7" t="s">
        <v>843</v>
      </c>
    </row>
    <row r="69" spans="1:10" x14ac:dyDescent="0.25">
      <c r="A69" s="5" t="s">
        <v>15</v>
      </c>
      <c r="B69" s="6" t="s">
        <v>2720</v>
      </c>
      <c r="C69" s="5" t="s">
        <v>17</v>
      </c>
      <c r="D69" s="5"/>
      <c r="E69" s="5" t="s">
        <v>2721</v>
      </c>
      <c r="F69" s="5" t="s">
        <v>19</v>
      </c>
      <c r="G69" s="5" t="s">
        <v>17</v>
      </c>
      <c r="H69" s="5" t="s">
        <v>17</v>
      </c>
      <c r="I69" s="5" t="s">
        <v>17</v>
      </c>
      <c r="J69" s="5" t="s">
        <v>2722</v>
      </c>
    </row>
    <row r="70" spans="1:10" x14ac:dyDescent="0.25" outlineLevel="1" collapsed="1">
      <c r="A70" s="7" t="s">
        <v>15</v>
      </c>
      <c r="B70" s="7" t="s">
        <v>284</v>
      </c>
      <c r="C70" s="11" t="s">
        <v>2723</v>
      </c>
      <c r="D70" s="7"/>
      <c r="E70" s="7" t="s">
        <v>2724</v>
      </c>
      <c r="F70" s="7" t="s">
        <v>19</v>
      </c>
      <c r="G70" s="7" t="s">
        <v>2725</v>
      </c>
      <c r="H70" s="7" t="s">
        <v>17</v>
      </c>
      <c r="I70" s="7" t="s">
        <v>17</v>
      </c>
      <c r="J70" s="7" t="s">
        <v>1933</v>
      </c>
    </row>
    <row r="71" spans="1:10" x14ac:dyDescent="0.25" outlineLevel="1" collapsed="1">
      <c r="A71" s="7" t="s">
        <v>19</v>
      </c>
      <c r="B71" s="7" t="s">
        <v>63</v>
      </c>
      <c r="C71" s="7" t="s">
        <v>17</v>
      </c>
      <c r="D71" s="7">
        <f>EXACT(G70,"0.95 - AMS-I.E net-to-gross default")</f>
      </c>
      <c r="E71" s="7" t="s">
        <v>2726</v>
      </c>
      <c r="F71" s="7" t="s">
        <v>19</v>
      </c>
      <c r="G71" s="7">
        <v>1</v>
      </c>
      <c r="H71" s="7" t="s">
        <v>17</v>
      </c>
      <c r="I71" s="7" t="s">
        <v>17</v>
      </c>
      <c r="J71" s="7" t="s">
        <v>2727</v>
      </c>
    </row>
    <row r="72" spans="1:10" x14ac:dyDescent="0.25" outlineLevel="1" collapsed="1">
      <c r="A72" s="7" t="s">
        <v>19</v>
      </c>
      <c r="B72" s="7" t="s">
        <v>63</v>
      </c>
      <c r="C72" s="7" t="s">
        <v>17</v>
      </c>
      <c r="D72" s="7">
        <f>EXACT(G70,"Survey-based value (90/30)")</f>
      </c>
      <c r="E72" s="7" t="s">
        <v>2728</v>
      </c>
      <c r="F72" s="7" t="s">
        <v>19</v>
      </c>
      <c r="G72" s="7">
        <v>1</v>
      </c>
      <c r="H72" s="7" t="s">
        <v>17</v>
      </c>
      <c r="I72" s="7" t="s">
        <v>17</v>
      </c>
      <c r="J72" s="7" t="s">
        <v>2729</v>
      </c>
    </row>
    <row r="73" spans="1:10" x14ac:dyDescent="0.25" outlineLevel="1" collapsed="1">
      <c r="A73" s="7" t="s">
        <v>19</v>
      </c>
      <c r="B73" s="7" t="s">
        <v>16</v>
      </c>
      <c r="C73" s="7" t="s">
        <v>17</v>
      </c>
      <c r="D73" s="7">
        <f>EXACT(G70,"Survey-based value (90/30)")</f>
      </c>
      <c r="E73" s="7" t="s">
        <v>2730</v>
      </c>
      <c r="F73" s="7" t="s">
        <v>19</v>
      </c>
      <c r="G73" s="7" t="s">
        <v>31</v>
      </c>
      <c r="H73" s="7" t="s">
        <v>17</v>
      </c>
      <c r="I73" s="7" t="s">
        <v>17</v>
      </c>
      <c r="J73" s="7" t="s">
        <v>2731</v>
      </c>
    </row>
    <row r="74" spans="1:10" x14ac:dyDescent="0.25" outlineLevel="1" collapsed="1">
      <c r="A74" s="7" t="s">
        <v>15</v>
      </c>
      <c r="B74" s="7" t="s">
        <v>159</v>
      </c>
      <c r="C74" s="7" t="s">
        <v>17</v>
      </c>
      <c r="D74" s="7"/>
      <c r="E74" s="7" t="s">
        <v>2732</v>
      </c>
      <c r="F74" s="7" t="s">
        <v>19</v>
      </c>
      <c r="G74" s="7" t="b">
        <v>1</v>
      </c>
      <c r="H74" s="7" t="s">
        <v>17</v>
      </c>
      <c r="I74" s="7" t="s">
        <v>17</v>
      </c>
      <c r="J74" s="7" t="s">
        <v>2733</v>
      </c>
    </row>
    <row r="75" spans="1:10" x14ac:dyDescent="0.25">
      <c r="A75" s="5" t="s">
        <v>15</v>
      </c>
      <c r="B75" s="6" t="s">
        <v>2734</v>
      </c>
      <c r="C75" s="5" t="s">
        <v>17</v>
      </c>
      <c r="D75" s="5"/>
      <c r="E75" s="5" t="s">
        <v>2404</v>
      </c>
      <c r="F75" s="5" t="s">
        <v>19</v>
      </c>
      <c r="G75" s="5" t="s">
        <v>17</v>
      </c>
      <c r="H75" s="5" t="s">
        <v>17</v>
      </c>
      <c r="I75" s="5" t="s">
        <v>17</v>
      </c>
      <c r="J75" s="5" t="s">
        <v>2405</v>
      </c>
    </row>
    <row r="76" spans="1:10" x14ac:dyDescent="0.25" outlineLevel="1" collapsed="1">
      <c r="A76" s="7" t="s">
        <v>15</v>
      </c>
      <c r="B76" s="7" t="s">
        <v>284</v>
      </c>
      <c r="C76" s="11" t="s">
        <v>2735</v>
      </c>
      <c r="D76" s="7"/>
      <c r="E76" s="7" t="s">
        <v>2736</v>
      </c>
      <c r="F76" s="7" t="s">
        <v>19</v>
      </c>
      <c r="G76" s="7" t="s">
        <v>2737</v>
      </c>
      <c r="H76" s="7" t="s">
        <v>17</v>
      </c>
      <c r="I76" s="7" t="s">
        <v>17</v>
      </c>
      <c r="J76" s="7" t="s">
        <v>2738</v>
      </c>
    </row>
    <row r="77" spans="1:10" x14ac:dyDescent="0.25" outlineLevel="1" collapsed="1">
      <c r="A77" s="7" t="s">
        <v>19</v>
      </c>
      <c r="B77" s="7" t="s">
        <v>284</v>
      </c>
      <c r="C77" s="11" t="s">
        <v>2739</v>
      </c>
      <c r="D77" s="7">
        <f>EXACT(G76,"VT0008 (any scale)")</f>
      </c>
      <c r="E77" s="7" t="s">
        <v>2740</v>
      </c>
      <c r="F77" s="7" t="s">
        <v>19</v>
      </c>
      <c r="G77" s="7" t="s">
        <v>2741</v>
      </c>
      <c r="H77" s="7" t="s">
        <v>17</v>
      </c>
      <c r="I77" s="7" t="s">
        <v>17</v>
      </c>
      <c r="J77" s="7" t="s">
        <v>2742</v>
      </c>
    </row>
    <row r="78" spans="1:10" x14ac:dyDescent="0.25" outlineLevel="1" collapsed="1">
      <c r="A78" s="7" t="s">
        <v>19</v>
      </c>
      <c r="B78" s="7" t="s">
        <v>63</v>
      </c>
      <c r="C78" s="7" t="s">
        <v>17</v>
      </c>
      <c r="D78" s="7"/>
      <c r="E78" s="7" t="s">
        <v>2743</v>
      </c>
      <c r="F78" s="7" t="s">
        <v>19</v>
      </c>
      <c r="G78" s="7">
        <v>1</v>
      </c>
      <c r="H78" s="7" t="s">
        <v>17</v>
      </c>
      <c r="I78" s="7" t="s">
        <v>17</v>
      </c>
      <c r="J78" s="7" t="s">
        <v>2744</v>
      </c>
    </row>
    <row r="79" spans="1:10" x14ac:dyDescent="0.25" outlineLevel="1" collapsed="1">
      <c r="A79" s="7" t="s">
        <v>19</v>
      </c>
      <c r="B79" s="7" t="s">
        <v>63</v>
      </c>
      <c r="C79" s="7" t="s">
        <v>17</v>
      </c>
      <c r="D79" s="7"/>
      <c r="E79" s="7" t="s">
        <v>2745</v>
      </c>
      <c r="F79" s="7" t="s">
        <v>19</v>
      </c>
      <c r="G79" s="7">
        <v>1</v>
      </c>
      <c r="H79" s="7" t="s">
        <v>17</v>
      </c>
      <c r="I79" s="7" t="s">
        <v>17</v>
      </c>
      <c r="J79" s="7" t="s">
        <v>2746</v>
      </c>
    </row>
    <row r="80" spans="1:10" x14ac:dyDescent="0.25" outlineLevel="1" collapsed="1">
      <c r="A80" s="7" t="s">
        <v>19</v>
      </c>
      <c r="B80" s="7" t="s">
        <v>63</v>
      </c>
      <c r="C80" s="7" t="s">
        <v>17</v>
      </c>
      <c r="D80" s="7"/>
      <c r="E80" s="7" t="s">
        <v>2747</v>
      </c>
      <c r="F80" s="7" t="s">
        <v>19</v>
      </c>
      <c r="G80" s="7">
        <v>1</v>
      </c>
      <c r="H80" s="7" t="s">
        <v>17</v>
      </c>
      <c r="I80" s="7" t="s">
        <v>17</v>
      </c>
      <c r="J80" s="7" t="s">
        <v>2748</v>
      </c>
    </row>
    <row r="81" spans="1:10" x14ac:dyDescent="0.25" outlineLevel="1" collapsed="1">
      <c r="A81" s="7" t="s">
        <v>19</v>
      </c>
      <c r="B81" s="7" t="s">
        <v>63</v>
      </c>
      <c r="C81" s="7" t="s">
        <v>17</v>
      </c>
      <c r="D81" s="7"/>
      <c r="E81" s="7" t="s">
        <v>2749</v>
      </c>
      <c r="F81" s="7" t="s">
        <v>19</v>
      </c>
      <c r="G81" s="7">
        <v>1</v>
      </c>
      <c r="H81" s="7" t="s">
        <v>17</v>
      </c>
      <c r="I81" s="7" t="s">
        <v>17</v>
      </c>
      <c r="J81" s="7" t="s">
        <v>2750</v>
      </c>
    </row>
    <row r="82" spans="1:10" x14ac:dyDescent="0.25" outlineLevel="1" collapsed="1">
      <c r="A82" s="7" t="s">
        <v>19</v>
      </c>
      <c r="B82" s="7" t="s">
        <v>63</v>
      </c>
      <c r="C82" s="7" t="s">
        <v>17</v>
      </c>
      <c r="D82" s="7"/>
      <c r="E82" s="7" t="s">
        <v>2751</v>
      </c>
      <c r="F82" s="7" t="s">
        <v>19</v>
      </c>
      <c r="G82" s="7">
        <v>1</v>
      </c>
      <c r="H82" s="7" t="s">
        <v>17</v>
      </c>
      <c r="I82" s="7" t="s">
        <v>17</v>
      </c>
      <c r="J82" s="7" t="s">
        <v>2752</v>
      </c>
    </row>
    <row r="83" spans="1:10" x14ac:dyDescent="0.25" outlineLevel="1" collapsed="1">
      <c r="A83" s="7" t="s">
        <v>19</v>
      </c>
      <c r="B83" s="7" t="s">
        <v>63</v>
      </c>
      <c r="C83" s="7" t="s">
        <v>17</v>
      </c>
      <c r="D83" s="7"/>
      <c r="E83" s="7" t="s">
        <v>2753</v>
      </c>
      <c r="F83" s="7" t="s">
        <v>19</v>
      </c>
      <c r="G83" s="7">
        <v>1</v>
      </c>
      <c r="H83" s="7" t="s">
        <v>17</v>
      </c>
      <c r="I83" s="7" t="s">
        <v>17</v>
      </c>
      <c r="J83" s="7" t="s">
        <v>2754</v>
      </c>
    </row>
    <row r="84" spans="1:10" x14ac:dyDescent="0.25" outlineLevel="1" collapsed="1">
      <c r="A84" s="7" t="s">
        <v>19</v>
      </c>
      <c r="B84" s="7" t="s">
        <v>63</v>
      </c>
      <c r="C84" s="7" t="s">
        <v>17</v>
      </c>
      <c r="D84" s="7"/>
      <c r="E84" s="7" t="s">
        <v>2755</v>
      </c>
      <c r="F84" s="7" t="s">
        <v>19</v>
      </c>
      <c r="G84" s="7">
        <v>1</v>
      </c>
      <c r="H84" s="7" t="s">
        <v>17</v>
      </c>
      <c r="I84" s="7" t="s">
        <v>17</v>
      </c>
      <c r="J84" s="7" t="s">
        <v>2756</v>
      </c>
    </row>
    <row r="85" spans="1:10" x14ac:dyDescent="0.25" outlineLevel="1" collapsed="1">
      <c r="A85" s="7" t="s">
        <v>19</v>
      </c>
      <c r="B85" s="7" t="s">
        <v>63</v>
      </c>
      <c r="C85" s="7" t="s">
        <v>17</v>
      </c>
      <c r="D85" s="7">
        <f>EXACT(G76,"VT0008 (any scale)")</f>
      </c>
      <c r="E85" s="7" t="s">
        <v>2757</v>
      </c>
      <c r="F85" s="7" t="s">
        <v>19</v>
      </c>
      <c r="G85" s="7">
        <v>1</v>
      </c>
      <c r="H85" s="7" t="s">
        <v>17</v>
      </c>
      <c r="I85" s="7" t="s">
        <v>17</v>
      </c>
      <c r="J85" s="7" t="s">
        <v>2758</v>
      </c>
    </row>
    <row r="86" spans="1:10" x14ac:dyDescent="0.25" outlineLevel="1" collapsed="1">
      <c r="A86" s="7" t="s">
        <v>19</v>
      </c>
      <c r="B86" s="7" t="s">
        <v>63</v>
      </c>
      <c r="C86" s="7" t="s">
        <v>17</v>
      </c>
      <c r="D86" s="7">
        <f>EXACT(G76,"VT0008 (any scale)")</f>
      </c>
      <c r="E86" s="7" t="s">
        <v>2759</v>
      </c>
      <c r="F86" s="7" t="s">
        <v>19</v>
      </c>
      <c r="G86" s="7">
        <v>1</v>
      </c>
      <c r="H86" s="7" t="s">
        <v>17</v>
      </c>
      <c r="I86" s="7" t="s">
        <v>17</v>
      </c>
      <c r="J86" s="7" t="s">
        <v>2760</v>
      </c>
    </row>
    <row r="87" spans="1:10" x14ac:dyDescent="0.25" outlineLevel="1" collapsed="1">
      <c r="A87" s="7" t="s">
        <v>19</v>
      </c>
      <c r="B87" s="7" t="s">
        <v>284</v>
      </c>
      <c r="C87" s="11" t="s">
        <v>2761</v>
      </c>
      <c r="D87" s="7">
        <f>EXACT(G76,"TOOL19 (max annual ER &lt;= 20 000 t CO2e; LDC/SIDS/SUZ location route)")</f>
      </c>
      <c r="E87" s="7" t="s">
        <v>2762</v>
      </c>
      <c r="F87" s="7" t="s">
        <v>19</v>
      </c>
      <c r="G87" s="7" t="s">
        <v>2763</v>
      </c>
      <c r="H87" s="7" t="s">
        <v>17</v>
      </c>
      <c r="I87" s="7" t="s">
        <v>17</v>
      </c>
      <c r="J87" s="7" t="s">
        <v>2764</v>
      </c>
    </row>
    <row r="88" spans="1:10" x14ac:dyDescent="0.25" outlineLevel="1" collapsed="1">
      <c r="A88" s="7" t="s">
        <v>15</v>
      </c>
      <c r="B88" s="7" t="s">
        <v>16</v>
      </c>
      <c r="C88" s="7" t="s">
        <v>17</v>
      </c>
      <c r="D88" s="7"/>
      <c r="E88" s="7" t="s">
        <v>2765</v>
      </c>
      <c r="F88" s="7" t="s">
        <v>19</v>
      </c>
      <c r="G88" s="7" t="s">
        <v>31</v>
      </c>
      <c r="H88" s="7" t="s">
        <v>17</v>
      </c>
      <c r="I88" s="7" t="s">
        <v>17</v>
      </c>
      <c r="J88" s="7" t="s">
        <v>2766</v>
      </c>
    </row>
    <row r="89" spans="1:10" x14ac:dyDescent="0.25">
      <c r="A89" s="5" t="s">
        <v>15</v>
      </c>
      <c r="B89" s="5" t="s">
        <v>63</v>
      </c>
      <c r="C89" s="5" t="s">
        <v>17</v>
      </c>
      <c r="D89" s="5"/>
      <c r="E89" s="5" t="s">
        <v>2767</v>
      </c>
      <c r="F89" s="5" t="s">
        <v>19</v>
      </c>
      <c r="G89" s="5">
        <v>1</v>
      </c>
      <c r="H89" s="5" t="s">
        <v>17</v>
      </c>
      <c r="I89" s="5" t="s">
        <v>17</v>
      </c>
      <c r="J89" s="5" t="s">
        <v>2768</v>
      </c>
    </row>
    <row r="90" spans="1:10" x14ac:dyDescent="0.25">
      <c r="A90" s="5" t="s">
        <v>19</v>
      </c>
      <c r="B90" s="6" t="s">
        <v>1991</v>
      </c>
      <c r="C90" s="5" t="s">
        <v>17</v>
      </c>
      <c r="D90" s="5"/>
      <c r="E90" s="5" t="s">
        <v>2769</v>
      </c>
      <c r="F90" s="5" t="s">
        <v>15</v>
      </c>
      <c r="G90" s="5" t="s">
        <v>17</v>
      </c>
      <c r="H90" s="5" t="s">
        <v>17</v>
      </c>
      <c r="I90" s="5" t="s">
        <v>17</v>
      </c>
      <c r="J90" s="5" t="s">
        <v>1993</v>
      </c>
    </row>
    <row r="91" spans="1:10" x14ac:dyDescent="0.25" outlineLevel="1" collapsed="1">
      <c r="A91" s="7" t="s">
        <v>15</v>
      </c>
      <c r="B91" s="7" t="s">
        <v>284</v>
      </c>
      <c r="C91" s="11" t="s">
        <v>1994</v>
      </c>
      <c r="D91" s="7"/>
      <c r="E91" s="7" t="s">
        <v>1995</v>
      </c>
      <c r="F91" s="7" t="s">
        <v>19</v>
      </c>
      <c r="G91" s="7" t="s">
        <v>1996</v>
      </c>
      <c r="H91" s="7" t="s">
        <v>17</v>
      </c>
      <c r="I91" s="7" t="s">
        <v>17</v>
      </c>
      <c r="J91" s="7" t="s">
        <v>1997</v>
      </c>
    </row>
    <row r="92" spans="1:10" x14ac:dyDescent="0.25" outlineLevel="1" collapsed="1">
      <c r="A92" s="7" t="s">
        <v>15</v>
      </c>
      <c r="B92" s="7" t="s">
        <v>16</v>
      </c>
      <c r="C92" s="7" t="s">
        <v>17</v>
      </c>
      <c r="D92" s="7"/>
      <c r="E92" s="7" t="s">
        <v>1998</v>
      </c>
      <c r="F92" s="7" t="s">
        <v>19</v>
      </c>
      <c r="G92" s="7" t="s">
        <v>1999</v>
      </c>
      <c r="H92" s="7" t="s">
        <v>17</v>
      </c>
      <c r="I92" s="7" t="s">
        <v>17</v>
      </c>
      <c r="J92" s="7" t="s">
        <v>1844</v>
      </c>
    </row>
    <row r="93" spans="1:10" x14ac:dyDescent="0.25" outlineLevel="1" collapsed="1">
      <c r="A93" s="7" t="s">
        <v>15</v>
      </c>
      <c r="B93" s="7" t="s">
        <v>159</v>
      </c>
      <c r="C93" s="7" t="s">
        <v>17</v>
      </c>
      <c r="D93" s="7"/>
      <c r="E93" s="7" t="s">
        <v>2000</v>
      </c>
      <c r="F93" s="7" t="s">
        <v>19</v>
      </c>
      <c r="G93" s="7" t="b">
        <v>1</v>
      </c>
      <c r="H93" s="7" t="s">
        <v>17</v>
      </c>
      <c r="I93" s="7" t="s">
        <v>17</v>
      </c>
      <c r="J93" s="7" t="s">
        <v>2001</v>
      </c>
    </row>
    <row r="94" spans="1:10" x14ac:dyDescent="0.25" outlineLevel="1" collapsed="1">
      <c r="A94" s="7" t="s">
        <v>15</v>
      </c>
      <c r="B94" s="7" t="s">
        <v>63</v>
      </c>
      <c r="C94" s="7" t="s">
        <v>17</v>
      </c>
      <c r="D94" s="7"/>
      <c r="E94" s="7" t="s">
        <v>2002</v>
      </c>
      <c r="F94" s="7" t="s">
        <v>19</v>
      </c>
      <c r="G94" s="7">
        <v>100</v>
      </c>
      <c r="H94" s="7" t="s">
        <v>17</v>
      </c>
      <c r="I94" s="7" t="s">
        <v>17</v>
      </c>
      <c r="J94" s="7" t="s">
        <v>2003</v>
      </c>
    </row>
    <row r="95" spans="1:10" x14ac:dyDescent="0.25" outlineLevel="1" collapsed="1">
      <c r="A95" s="7" t="s">
        <v>15</v>
      </c>
      <c r="B95" s="7" t="s">
        <v>63</v>
      </c>
      <c r="C95" s="7" t="s">
        <v>17</v>
      </c>
      <c r="D95" s="7"/>
      <c r="E95" s="7" t="s">
        <v>2004</v>
      </c>
      <c r="F95" s="7" t="s">
        <v>19</v>
      </c>
      <c r="G95" s="7">
        <v>0</v>
      </c>
      <c r="H95" s="7" t="s">
        <v>17</v>
      </c>
      <c r="I95" s="7" t="s">
        <v>17</v>
      </c>
      <c r="J95" s="7" t="s">
        <v>2005</v>
      </c>
    </row>
    <row r="96" spans="1:10" x14ac:dyDescent="0.25" outlineLevel="1" collapsed="1">
      <c r="A96" s="7" t="s">
        <v>19</v>
      </c>
      <c r="B96" s="7" t="s">
        <v>63</v>
      </c>
      <c r="C96" s="7" t="s">
        <v>17</v>
      </c>
      <c r="D96" s="7"/>
      <c r="E96" s="7" t="s">
        <v>2006</v>
      </c>
      <c r="F96" s="7" t="s">
        <v>19</v>
      </c>
      <c r="G96" s="7">
        <v>0</v>
      </c>
      <c r="H96" s="7" t="s">
        <v>17</v>
      </c>
      <c r="I96" s="7" t="s">
        <v>17</v>
      </c>
      <c r="J96" s="7" t="s">
        <v>2007</v>
      </c>
    </row>
    <row r="97" spans="1:10" x14ac:dyDescent="0.25" outlineLevel="1" collapsed="1">
      <c r="A97" s="7" t="s">
        <v>19</v>
      </c>
      <c r="B97" s="7" t="s">
        <v>16</v>
      </c>
      <c r="C97" s="7" t="s">
        <v>17</v>
      </c>
      <c r="D97" s="7"/>
      <c r="E97" s="7" t="s">
        <v>2008</v>
      </c>
      <c r="F97" s="7" t="s">
        <v>19</v>
      </c>
      <c r="G97" s="7" t="s">
        <v>2009</v>
      </c>
      <c r="H97" s="7" t="s">
        <v>17</v>
      </c>
      <c r="I97" s="7" t="s">
        <v>17</v>
      </c>
      <c r="J97" s="7" t="s">
        <v>2010</v>
      </c>
    </row>
  </sheetData>
  <mergeCells count="3">
    <mergeCell ref="A1:J1"/>
    <mergeCell ref="B2:J2"/>
    <mergeCell ref="B3:J3"/>
  </mergeCells>
  <dataValidations count="19">
    <dataValidation type="list" allowBlank="1" sqref="G13:I13">
      <formula1>'Enums'!C660:C662</formula1>
    </dataValidation>
    <dataValidation type="list" allowBlank="1" sqref="G22:I22">
      <formula1>'Enums'!C663:C664</formula1>
    </dataValidation>
    <dataValidation type="list" allowBlank="1" sqref="G23:I23">
      <formula1>'Enums'!C665:C671</formula1>
    </dataValidation>
    <dataValidation type="list" allowBlank="1" sqref="G24:I24">
      <formula1>'Enums'!C672:C676</formula1>
    </dataValidation>
    <dataValidation type="list" allowBlank="1" sqref="G28:I28">
      <formula1>'Enums'!C677:C679</formula1>
    </dataValidation>
    <dataValidation type="list" allowBlank="1" sqref="G37:I37">
      <formula1>'Enums'!C680:C684</formula1>
    </dataValidation>
    <dataValidation type="list" allowBlank="1" sqref="G40:I40">
      <formula1>'Enums'!C685:C686</formula1>
    </dataValidation>
    <dataValidation type="list" allowBlank="1" sqref="G41:I41">
      <formula1>'Enums'!C687:C689</formula1>
    </dataValidation>
    <dataValidation type="list" allowBlank="1" sqref="G47:I47">
      <formula1>'Enums'!C753:C755</formula1>
    </dataValidation>
    <dataValidation type="list" allowBlank="1" sqref="G48:I48">
      <formula1>'Enums'!C756:C758</formula1>
    </dataValidation>
    <dataValidation type="list" allowBlank="1" sqref="G51:I51">
      <formula1>'Enums'!C759:C760</formula1>
    </dataValidation>
    <dataValidation type="list" allowBlank="1" sqref="G56:I56">
      <formula1>'Enums'!C761:C762</formula1>
    </dataValidation>
    <dataValidation type="list" allowBlank="1" sqref="G65:I65">
      <formula1>'Enums'!C802:C810</formula1>
    </dataValidation>
    <dataValidation type="list" allowBlank="1" sqref="G70:I70">
      <formula1>'Enums'!C709:C710</formula1>
    </dataValidation>
    <dataValidation type="list" allowBlank="1" sqref="G76:I76">
      <formula1>'Enums'!C711:C713</formula1>
    </dataValidation>
    <dataValidation type="list" allowBlank="1" sqref="G77:I77">
      <formula1>'Enums'!C714:C717</formula1>
    </dataValidation>
    <dataValidation type="list" allowBlank="1" sqref="G8:I8">
      <formula1>'Enums'!C657:C659</formula1>
    </dataValidation>
    <dataValidation type="list" allowBlank="1" sqref="G87:I87">
      <formula1>'Enums'!C718:C720</formula1>
    </dataValidation>
    <dataValidation type="list" allowBlank="1" sqref="G91:I91">
      <formula1>'Enums'!C811:C812</formula1>
    </dataValidation>
  </dataValidations>
  <hyperlinks>
    <hyperlink ref="B5" r:id="rId1" location="#'VMR0015 Project Section - PD ('!A1"/>
    <hyperlink ref="B20" r:id="rId2" location="#'VMR0015 Baseline Fuel Row (fue'!A1"/>
    <hyperlink ref="B32" r:id="rId3" location="#'VMR0015 Survey Household Row'!A1"/>
    <hyperlink ref="B36" r:id="rId4" location="#'VMR0015 Survey Device Use Row'!A1"/>
    <hyperlink ref="B45" r:id="rId5" location="#'VMR0015 fNRB Determination'!A1"/>
    <hyperlink ref="B63" r:id="rId6" location="#'Evidence item'!A1"/>
    <hyperlink ref="B69" r:id="rId7" location="#'VMR0015 Leakage Adjustment Det'!A1"/>
    <hyperlink ref="B75" r:id="rId8" location="#'VMR0015 Additionality'!A1"/>
    <hyperlink ref="B90" r:id="rId9" location="#'Interactive effects survey res'!A1"/>
  </hyperlinks>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3452</v>
      </c>
      <c r="B1" s="1"/>
      <c r="C1" s="1"/>
      <c r="D1" s="1"/>
      <c r="E1" s="1"/>
      <c r="F1" s="1"/>
      <c r="G1" s="1"/>
      <c r="H1" s="1"/>
      <c r="I1" s="1"/>
      <c r="J1" s="1"/>
    </row>
    <row r="2" spans="1:10" x14ac:dyDescent="0.25">
      <c r="A2" s="2" t="s">
        <v>1</v>
      </c>
      <c r="B2" s="3" t="s">
        <v>3453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63</v>
      </c>
      <c r="C5" s="5" t="s">
        <v>17</v>
      </c>
      <c r="D5" s="5"/>
      <c r="E5" s="5" t="s">
        <v>1799</v>
      </c>
      <c r="F5" s="5" t="s">
        <v>19</v>
      </c>
      <c r="G5" s="5">
        <v>1</v>
      </c>
      <c r="H5" s="5" t="s">
        <v>17</v>
      </c>
      <c r="I5" s="5" t="s">
        <v>17</v>
      </c>
      <c r="J5" s="5" t="s">
        <v>1800</v>
      </c>
    </row>
    <row r="6" spans="1:10" x14ac:dyDescent="0.25">
      <c r="A6" s="5" t="s">
        <v>15</v>
      </c>
      <c r="B6" s="6" t="s">
        <v>1801</v>
      </c>
      <c r="C6" s="5" t="s">
        <v>17</v>
      </c>
      <c r="D6" s="5"/>
      <c r="E6" s="5" t="s">
        <v>1802</v>
      </c>
      <c r="F6" s="5" t="s">
        <v>15</v>
      </c>
      <c r="G6" s="5" t="s">
        <v>17</v>
      </c>
      <c r="H6" s="5" t="s">
        <v>17</v>
      </c>
      <c r="I6" s="5" t="s">
        <v>17</v>
      </c>
      <c r="J6" s="5" t="s">
        <v>1803</v>
      </c>
    </row>
    <row r="7" spans="1:10" x14ac:dyDescent="0.25" outlineLevel="1" collapsed="1">
      <c r="A7" s="7" t="s">
        <v>15</v>
      </c>
      <c r="B7" s="7" t="s">
        <v>16</v>
      </c>
      <c r="C7" s="7" t="s">
        <v>17</v>
      </c>
      <c r="D7" s="7"/>
      <c r="E7" s="7" t="s">
        <v>1804</v>
      </c>
      <c r="F7" s="7" t="s">
        <v>19</v>
      </c>
      <c r="G7" s="7" t="s">
        <v>31</v>
      </c>
      <c r="H7" s="7" t="s">
        <v>17</v>
      </c>
      <c r="I7" s="7" t="s">
        <v>17</v>
      </c>
      <c r="J7" s="7" t="s">
        <v>944</v>
      </c>
    </row>
    <row r="8" spans="1:10" x14ac:dyDescent="0.25" outlineLevel="1" collapsed="1">
      <c r="A8" s="7" t="s">
        <v>19</v>
      </c>
      <c r="B8" s="7" t="s">
        <v>63</v>
      </c>
      <c r="C8" s="7" t="s">
        <v>17</v>
      </c>
      <c r="D8" s="7"/>
      <c r="E8" s="7" t="s">
        <v>1805</v>
      </c>
      <c r="F8" s="7" t="s">
        <v>19</v>
      </c>
      <c r="G8" s="7">
        <v>1</v>
      </c>
      <c r="H8" s="7" t="s">
        <v>17</v>
      </c>
      <c r="I8" s="7" t="s">
        <v>17</v>
      </c>
      <c r="J8" s="7" t="s">
        <v>1806</v>
      </c>
    </row>
    <row r="9" spans="1:10" x14ac:dyDescent="0.25" outlineLevel="1" collapsed="1">
      <c r="A9" s="7" t="s">
        <v>15</v>
      </c>
      <c r="B9" s="7" t="s">
        <v>63</v>
      </c>
      <c r="C9" s="7" t="s">
        <v>17</v>
      </c>
      <c r="D9" s="7"/>
      <c r="E9" s="7" t="s">
        <v>1807</v>
      </c>
      <c r="F9" s="7" t="s">
        <v>19</v>
      </c>
      <c r="G9" s="7">
        <v>1</v>
      </c>
      <c r="H9" s="7" t="s">
        <v>17</v>
      </c>
      <c r="I9" s="7" t="s">
        <v>17</v>
      </c>
      <c r="J9" s="7" t="s">
        <v>1684</v>
      </c>
    </row>
    <row r="10" spans="1:10" x14ac:dyDescent="0.25" outlineLevel="1" collapsed="1">
      <c r="A10" s="7" t="s">
        <v>15</v>
      </c>
      <c r="B10" s="7" t="s">
        <v>284</v>
      </c>
      <c r="C10" s="11" t="s">
        <v>1808</v>
      </c>
      <c r="D10" s="7"/>
      <c r="E10" s="7" t="s">
        <v>1809</v>
      </c>
      <c r="F10" s="7" t="s">
        <v>19</v>
      </c>
      <c r="G10" s="7" t="s">
        <v>1810</v>
      </c>
      <c r="H10" s="7" t="s">
        <v>17</v>
      </c>
      <c r="I10" s="7" t="s">
        <v>17</v>
      </c>
      <c r="J10" s="7" t="s">
        <v>1811</v>
      </c>
    </row>
    <row r="11" spans="1:10" x14ac:dyDescent="0.25" outlineLevel="1" collapsed="1">
      <c r="A11" s="8" t="s">
        <v>19</v>
      </c>
      <c r="B11" s="9" t="s">
        <v>1812</v>
      </c>
      <c r="C11" s="8" t="s">
        <v>17</v>
      </c>
      <c r="D11" s="8">
        <f>EXACT(G10,"Option 1 - measured volume (flow meter / standard vessel)")</f>
      </c>
      <c r="E11" s="8" t="s">
        <v>1813</v>
      </c>
      <c r="F11" s="8" t="s">
        <v>15</v>
      </c>
      <c r="G11" s="8" t="s">
        <v>17</v>
      </c>
      <c r="H11" s="8" t="s">
        <v>17</v>
      </c>
      <c r="I11" s="8" t="s">
        <v>17</v>
      </c>
      <c r="J11" s="8" t="s">
        <v>1814</v>
      </c>
    </row>
    <row r="12" spans="1:10" x14ac:dyDescent="0.25" outlineLevel="2" collapsed="1">
      <c r="A12" s="7" t="s">
        <v>15</v>
      </c>
      <c r="B12" s="7" t="s">
        <v>16</v>
      </c>
      <c r="C12" s="7" t="s">
        <v>17</v>
      </c>
      <c r="D12" s="7"/>
      <c r="E12" s="7" t="s">
        <v>1815</v>
      </c>
      <c r="F12" s="7" t="s">
        <v>19</v>
      </c>
      <c r="G12" s="7" t="s">
        <v>31</v>
      </c>
      <c r="H12" s="7" t="s">
        <v>17</v>
      </c>
      <c r="I12" s="7" t="s">
        <v>17</v>
      </c>
      <c r="J12" s="7" t="s">
        <v>1816</v>
      </c>
    </row>
    <row r="13" spans="1:10" x14ac:dyDescent="0.25" outlineLevel="2" collapsed="1">
      <c r="A13" s="7" t="s">
        <v>15</v>
      </c>
      <c r="B13" s="7" t="s">
        <v>284</v>
      </c>
      <c r="C13" s="11" t="s">
        <v>1817</v>
      </c>
      <c r="D13" s="7"/>
      <c r="E13" s="7" t="s">
        <v>1818</v>
      </c>
      <c r="F13" s="7" t="s">
        <v>19</v>
      </c>
      <c r="G13" s="7" t="s">
        <v>1819</v>
      </c>
      <c r="H13" s="7" t="s">
        <v>17</v>
      </c>
      <c r="I13" s="7" t="s">
        <v>17</v>
      </c>
      <c r="J13" s="7" t="s">
        <v>1820</v>
      </c>
    </row>
    <row r="14" spans="1:10" x14ac:dyDescent="0.25" outlineLevel="2" collapsed="1">
      <c r="A14" s="7" t="s">
        <v>15</v>
      </c>
      <c r="B14" s="7" t="s">
        <v>63</v>
      </c>
      <c r="C14" s="7" t="s">
        <v>17</v>
      </c>
      <c r="D14" s="7"/>
      <c r="E14" s="7" t="s">
        <v>1821</v>
      </c>
      <c r="F14" s="7" t="s">
        <v>19</v>
      </c>
      <c r="G14" s="7">
        <v>1</v>
      </c>
      <c r="H14" s="7" t="s">
        <v>17</v>
      </c>
      <c r="I14" s="7" t="s">
        <v>17</v>
      </c>
      <c r="J14" s="7" t="s">
        <v>1822</v>
      </c>
    </row>
    <row r="15" spans="1:10" x14ac:dyDescent="0.25" outlineLevel="2" collapsed="1">
      <c r="A15" s="7" t="s">
        <v>15</v>
      </c>
      <c r="B15" s="7" t="s">
        <v>63</v>
      </c>
      <c r="C15" s="7" t="s">
        <v>17</v>
      </c>
      <c r="D15" s="7"/>
      <c r="E15" s="7" t="s">
        <v>1823</v>
      </c>
      <c r="F15" s="7" t="s">
        <v>19</v>
      </c>
      <c r="G15" s="7">
        <v>1</v>
      </c>
      <c r="H15" s="7" t="s">
        <v>17</v>
      </c>
      <c r="I15" s="7" t="s">
        <v>17</v>
      </c>
      <c r="J15" s="7" t="s">
        <v>1824</v>
      </c>
    </row>
    <row r="16" spans="1:10" x14ac:dyDescent="0.25" outlineLevel="2" collapsed="1">
      <c r="A16" s="7" t="s">
        <v>19</v>
      </c>
      <c r="B16" s="7" t="s">
        <v>159</v>
      </c>
      <c r="C16" s="7" t="s">
        <v>17</v>
      </c>
      <c r="D16" s="7"/>
      <c r="E16" s="7" t="s">
        <v>1825</v>
      </c>
      <c r="F16" s="7" t="s">
        <v>19</v>
      </c>
      <c r="G16" s="7" t="b">
        <v>1</v>
      </c>
      <c r="H16" s="7" t="s">
        <v>17</v>
      </c>
      <c r="I16" s="7" t="s">
        <v>17</v>
      </c>
      <c r="J16" s="7" t="s">
        <v>1826</v>
      </c>
    </row>
    <row r="17" spans="1:10" x14ac:dyDescent="0.25" outlineLevel="2" collapsed="1">
      <c r="A17" s="8" t="s">
        <v>19</v>
      </c>
      <c r="B17" s="9" t="s">
        <v>952</v>
      </c>
      <c r="C17" s="8" t="s">
        <v>17</v>
      </c>
      <c r="D17" s="8"/>
      <c r="E17" s="8" t="s">
        <v>953</v>
      </c>
      <c r="F17" s="8" t="s">
        <v>15</v>
      </c>
      <c r="G17" s="8" t="s">
        <v>17</v>
      </c>
      <c r="H17" s="8" t="s">
        <v>17</v>
      </c>
      <c r="I17" s="8" t="s">
        <v>17</v>
      </c>
      <c r="J17" s="8" t="s">
        <v>954</v>
      </c>
    </row>
    <row r="18" spans="1:10" x14ac:dyDescent="0.25" outlineLevel="3" collapsed="1">
      <c r="A18" s="7" t="s">
        <v>15</v>
      </c>
      <c r="B18" s="7" t="s">
        <v>16</v>
      </c>
      <c r="C18" s="7" t="s">
        <v>17</v>
      </c>
      <c r="D18" s="7"/>
      <c r="E18" s="7" t="s">
        <v>955</v>
      </c>
      <c r="F18" s="7" t="s">
        <v>19</v>
      </c>
      <c r="G18" s="7" t="s">
        <v>956</v>
      </c>
      <c r="H18" s="7" t="s">
        <v>17</v>
      </c>
      <c r="I18" s="7" t="s">
        <v>17</v>
      </c>
      <c r="J18" s="7" t="s">
        <v>957</v>
      </c>
    </row>
    <row r="19" spans="1:10" x14ac:dyDescent="0.25" outlineLevel="3" collapsed="1">
      <c r="A19" s="7" t="s">
        <v>15</v>
      </c>
      <c r="B19" s="7" t="s">
        <v>284</v>
      </c>
      <c r="C19" s="11" t="s">
        <v>958</v>
      </c>
      <c r="D19" s="7"/>
      <c r="E19" s="7" t="s">
        <v>959</v>
      </c>
      <c r="F19" s="7" t="s">
        <v>19</v>
      </c>
      <c r="G19" s="7" t="s">
        <v>960</v>
      </c>
      <c r="H19" s="7" t="s">
        <v>17</v>
      </c>
      <c r="I19" s="7" t="s">
        <v>17</v>
      </c>
      <c r="J19" s="7" t="s">
        <v>961</v>
      </c>
    </row>
    <row r="20" spans="1:10" x14ac:dyDescent="0.25" outlineLevel="3" collapsed="1">
      <c r="A20" s="7" t="s">
        <v>15</v>
      </c>
      <c r="B20" s="7" t="s">
        <v>16</v>
      </c>
      <c r="C20" s="7" t="s">
        <v>17</v>
      </c>
      <c r="D20" s="7"/>
      <c r="E20" s="7" t="s">
        <v>962</v>
      </c>
      <c r="F20" s="7" t="s">
        <v>19</v>
      </c>
      <c r="G20" s="7" t="s">
        <v>963</v>
      </c>
      <c r="H20" s="7" t="s">
        <v>17</v>
      </c>
      <c r="I20" s="7" t="s">
        <v>17</v>
      </c>
      <c r="J20" s="7" t="s">
        <v>964</v>
      </c>
    </row>
    <row r="21" spans="1:10" x14ac:dyDescent="0.25" outlineLevel="3" collapsed="1">
      <c r="A21" s="7" t="s">
        <v>19</v>
      </c>
      <c r="B21" s="7" t="s">
        <v>291</v>
      </c>
      <c r="C21" s="7" t="s">
        <v>17</v>
      </c>
      <c r="D21" s="7"/>
      <c r="E21" s="7" t="s">
        <v>965</v>
      </c>
      <c r="F21" s="7" t="s">
        <v>19</v>
      </c>
      <c r="G21" s="7" t="s">
        <v>293</v>
      </c>
      <c r="H21" s="7" t="s">
        <v>17</v>
      </c>
      <c r="I21" s="7" t="s">
        <v>17</v>
      </c>
      <c r="J21" s="7" t="s">
        <v>966</v>
      </c>
    </row>
    <row r="22" spans="1:10" x14ac:dyDescent="0.25" outlineLevel="3" collapsed="1">
      <c r="A22" s="7" t="s">
        <v>19</v>
      </c>
      <c r="B22" s="7" t="s">
        <v>16</v>
      </c>
      <c r="C22" s="7" t="s">
        <v>17</v>
      </c>
      <c r="D22" s="7"/>
      <c r="E22" s="7" t="s">
        <v>967</v>
      </c>
      <c r="F22" s="7" t="s">
        <v>19</v>
      </c>
      <c r="G22" s="7" t="s">
        <v>968</v>
      </c>
      <c r="H22" s="7" t="s">
        <v>17</v>
      </c>
      <c r="I22" s="7" t="s">
        <v>17</v>
      </c>
      <c r="J22" s="7" t="s">
        <v>843</v>
      </c>
    </row>
    <row r="23" spans="1:10" x14ac:dyDescent="0.25" outlineLevel="2" collapsed="1">
      <c r="A23" s="7" t="s">
        <v>19</v>
      </c>
      <c r="B23" s="7" t="s">
        <v>284</v>
      </c>
      <c r="C23" s="11" t="s">
        <v>1827</v>
      </c>
      <c r="D23" s="7"/>
      <c r="E23" s="7" t="s">
        <v>1828</v>
      </c>
      <c r="F23" s="7" t="s">
        <v>19</v>
      </c>
      <c r="G23" s="7" t="s">
        <v>1829</v>
      </c>
      <c r="H23" s="7" t="s">
        <v>17</v>
      </c>
      <c r="I23" s="7" t="s">
        <v>17</v>
      </c>
      <c r="J23" s="7" t="s">
        <v>1830</v>
      </c>
    </row>
    <row r="24" spans="1:10" x14ac:dyDescent="0.25" outlineLevel="2" collapsed="1">
      <c r="A24" s="7" t="s">
        <v>19</v>
      </c>
      <c r="B24" s="7" t="s">
        <v>63</v>
      </c>
      <c r="C24" s="7" t="s">
        <v>17</v>
      </c>
      <c r="D24" s="7"/>
      <c r="E24" s="7" t="s">
        <v>1831</v>
      </c>
      <c r="F24" s="7" t="s">
        <v>19</v>
      </c>
      <c r="G24" s="7">
        <v>1</v>
      </c>
      <c r="H24" s="7" t="s">
        <v>17</v>
      </c>
      <c r="I24" s="7" t="s">
        <v>17</v>
      </c>
      <c r="J24" s="7" t="s">
        <v>1832</v>
      </c>
    </row>
    <row r="25" spans="1:10" x14ac:dyDescent="0.25" outlineLevel="1" collapsed="1">
      <c r="A25" s="8" t="s">
        <v>19</v>
      </c>
      <c r="B25" s="9" t="s">
        <v>1833</v>
      </c>
      <c r="C25" s="8" t="s">
        <v>17</v>
      </c>
      <c r="D25" s="8">
        <f>EXACT(G10,"Option 2.1 - capacity x usage time (AMS-III.AV Eq.(2))")</f>
      </c>
      <c r="E25" s="8" t="s">
        <v>1834</v>
      </c>
      <c r="F25" s="8" t="s">
        <v>15</v>
      </c>
      <c r="G25" s="8" t="s">
        <v>17</v>
      </c>
      <c r="H25" s="8" t="s">
        <v>17</v>
      </c>
      <c r="I25" s="8" t="s">
        <v>17</v>
      </c>
      <c r="J25" s="8" t="s">
        <v>1835</v>
      </c>
    </row>
    <row r="26" spans="1:10" x14ac:dyDescent="0.25" outlineLevel="2" collapsed="1">
      <c r="A26" s="7" t="s">
        <v>15</v>
      </c>
      <c r="B26" s="7" t="s">
        <v>16</v>
      </c>
      <c r="C26" s="7" t="s">
        <v>17</v>
      </c>
      <c r="D26" s="7"/>
      <c r="E26" s="7" t="s">
        <v>1836</v>
      </c>
      <c r="F26" s="7" t="s">
        <v>19</v>
      </c>
      <c r="G26" s="7" t="s">
        <v>31</v>
      </c>
      <c r="H26" s="7" t="s">
        <v>17</v>
      </c>
      <c r="I26" s="7" t="s">
        <v>17</v>
      </c>
      <c r="J26" s="7" t="s">
        <v>1816</v>
      </c>
    </row>
    <row r="27" spans="1:10" x14ac:dyDescent="0.25" outlineLevel="2" collapsed="1">
      <c r="A27" s="7" t="s">
        <v>15</v>
      </c>
      <c r="B27" s="7" t="s">
        <v>63</v>
      </c>
      <c r="C27" s="7" t="s">
        <v>17</v>
      </c>
      <c r="D27" s="7"/>
      <c r="E27" s="7" t="s">
        <v>1837</v>
      </c>
      <c r="F27" s="7" t="s">
        <v>19</v>
      </c>
      <c r="G27" s="7">
        <v>1</v>
      </c>
      <c r="H27" s="7" t="s">
        <v>17</v>
      </c>
      <c r="I27" s="7" t="s">
        <v>17</v>
      </c>
      <c r="J27" s="7" t="s">
        <v>1628</v>
      </c>
    </row>
    <row r="28" spans="1:10" x14ac:dyDescent="0.25" outlineLevel="2" collapsed="1">
      <c r="A28" s="7" t="s">
        <v>15</v>
      </c>
      <c r="B28" s="7" t="s">
        <v>63</v>
      </c>
      <c r="C28" s="7" t="s">
        <v>17</v>
      </c>
      <c r="D28" s="7"/>
      <c r="E28" s="7" t="s">
        <v>1838</v>
      </c>
      <c r="F28" s="7" t="s">
        <v>19</v>
      </c>
      <c r="G28" s="7">
        <v>1</v>
      </c>
      <c r="H28" s="7" t="s">
        <v>17</v>
      </c>
      <c r="I28" s="7" t="s">
        <v>17</v>
      </c>
      <c r="J28" s="7" t="s">
        <v>1839</v>
      </c>
    </row>
    <row r="29" spans="1:10" x14ac:dyDescent="0.25" outlineLevel="1" collapsed="1">
      <c r="A29" s="8" t="s">
        <v>19</v>
      </c>
      <c r="B29" s="9" t="s">
        <v>1840</v>
      </c>
      <c r="C29" s="8" t="s">
        <v>17</v>
      </c>
      <c r="D29" s="8">
        <f>EXACT(G10,"Option 2.2 - population x volume per person (AMS-III.AV Eq.(3))")</f>
      </c>
      <c r="E29" s="8" t="s">
        <v>1841</v>
      </c>
      <c r="F29" s="8" t="s">
        <v>15</v>
      </c>
      <c r="G29" s="8" t="s">
        <v>17</v>
      </c>
      <c r="H29" s="8" t="s">
        <v>17</v>
      </c>
      <c r="I29" s="8" t="s">
        <v>17</v>
      </c>
      <c r="J29" s="8" t="s">
        <v>1842</v>
      </c>
    </row>
    <row r="30" spans="1:10" x14ac:dyDescent="0.25" outlineLevel="2" collapsed="1">
      <c r="A30" s="7" t="s">
        <v>19</v>
      </c>
      <c r="B30" s="7" t="s">
        <v>16</v>
      </c>
      <c r="C30" s="7" t="s">
        <v>17</v>
      </c>
      <c r="D30" s="7"/>
      <c r="E30" s="7" t="s">
        <v>1843</v>
      </c>
      <c r="F30" s="7" t="s">
        <v>19</v>
      </c>
      <c r="G30" s="7" t="s">
        <v>31</v>
      </c>
      <c r="H30" s="7" t="s">
        <v>17</v>
      </c>
      <c r="I30" s="7" t="s">
        <v>17</v>
      </c>
      <c r="J30" s="7" t="s">
        <v>1844</v>
      </c>
    </row>
    <row r="31" spans="1:10" x14ac:dyDescent="0.25" outlineLevel="2" collapsed="1">
      <c r="A31" s="7" t="s">
        <v>15</v>
      </c>
      <c r="B31" s="7" t="s">
        <v>63</v>
      </c>
      <c r="C31" s="7" t="s">
        <v>17</v>
      </c>
      <c r="D31" s="7"/>
      <c r="E31" s="7" t="s">
        <v>1845</v>
      </c>
      <c r="F31" s="7" t="s">
        <v>19</v>
      </c>
      <c r="G31" s="7">
        <v>1</v>
      </c>
      <c r="H31" s="7" t="s">
        <v>17</v>
      </c>
      <c r="I31" s="7" t="s">
        <v>17</v>
      </c>
      <c r="J31" s="7" t="s">
        <v>1684</v>
      </c>
    </row>
    <row r="32" spans="1:10" x14ac:dyDescent="0.25" outlineLevel="2" collapsed="1">
      <c r="A32" s="7" t="s">
        <v>15</v>
      </c>
      <c r="B32" s="7" t="s">
        <v>63</v>
      </c>
      <c r="C32" s="7" t="s">
        <v>17</v>
      </c>
      <c r="D32" s="7"/>
      <c r="E32" s="7" t="s">
        <v>1846</v>
      </c>
      <c r="F32" s="7" t="s">
        <v>19</v>
      </c>
      <c r="G32" s="7">
        <v>1</v>
      </c>
      <c r="H32" s="7" t="s">
        <v>17</v>
      </c>
      <c r="I32" s="7" t="s">
        <v>17</v>
      </c>
      <c r="J32" s="7" t="s">
        <v>1630</v>
      </c>
    </row>
    <row r="33" spans="1:10" x14ac:dyDescent="0.25" outlineLevel="2" collapsed="1">
      <c r="A33" s="7" t="s">
        <v>19</v>
      </c>
      <c r="B33" s="7" t="s">
        <v>63</v>
      </c>
      <c r="C33" s="7" t="s">
        <v>17</v>
      </c>
      <c r="D33" s="7"/>
      <c r="E33" s="7" t="s">
        <v>1847</v>
      </c>
      <c r="F33" s="7" t="s">
        <v>19</v>
      </c>
      <c r="G33" s="7">
        <v>1</v>
      </c>
      <c r="H33" s="7" t="s">
        <v>17</v>
      </c>
      <c r="I33" s="7" t="s">
        <v>17</v>
      </c>
      <c r="J33" s="7" t="s">
        <v>1848</v>
      </c>
    </row>
    <row r="34" spans="1:10" x14ac:dyDescent="0.25" outlineLevel="1" collapsed="1">
      <c r="A34" s="8" t="s">
        <v>15</v>
      </c>
      <c r="B34" s="9" t="s">
        <v>1849</v>
      </c>
      <c r="C34" s="8" t="s">
        <v>17</v>
      </c>
      <c r="D34" s="8"/>
      <c r="E34" s="8" t="s">
        <v>1850</v>
      </c>
      <c r="F34" s="8" t="s">
        <v>15</v>
      </c>
      <c r="G34" s="8" t="s">
        <v>17</v>
      </c>
      <c r="H34" s="8" t="s">
        <v>17</v>
      </c>
      <c r="I34" s="8" t="s">
        <v>17</v>
      </c>
      <c r="J34" s="8" t="s">
        <v>1851</v>
      </c>
    </row>
    <row r="35" spans="1:10" x14ac:dyDescent="0.25" outlineLevel="2" collapsed="1">
      <c r="A35" s="7" t="s">
        <v>15</v>
      </c>
      <c r="B35" s="7" t="s">
        <v>16</v>
      </c>
      <c r="C35" s="7" t="s">
        <v>17</v>
      </c>
      <c r="D35" s="7"/>
      <c r="E35" s="7" t="s">
        <v>1852</v>
      </c>
      <c r="F35" s="7" t="s">
        <v>19</v>
      </c>
      <c r="G35" s="7" t="s">
        <v>31</v>
      </c>
      <c r="H35" s="7" t="s">
        <v>17</v>
      </c>
      <c r="I35" s="7" t="s">
        <v>17</v>
      </c>
      <c r="J35" s="7" t="s">
        <v>1853</v>
      </c>
    </row>
    <row r="36" spans="1:10" x14ac:dyDescent="0.25" outlineLevel="2" collapsed="1">
      <c r="A36" s="7" t="s">
        <v>15</v>
      </c>
      <c r="B36" s="7" t="s">
        <v>291</v>
      </c>
      <c r="C36" s="7" t="s">
        <v>17</v>
      </c>
      <c r="D36" s="7"/>
      <c r="E36" s="7" t="s">
        <v>1854</v>
      </c>
      <c r="F36" s="7" t="s">
        <v>19</v>
      </c>
      <c r="G36" s="7" t="s">
        <v>950</v>
      </c>
      <c r="H36" s="7" t="s">
        <v>17</v>
      </c>
      <c r="I36" s="7" t="s">
        <v>17</v>
      </c>
      <c r="J36" s="7" t="s">
        <v>934</v>
      </c>
    </row>
    <row r="37" spans="1:10" x14ac:dyDescent="0.25" outlineLevel="2" collapsed="1">
      <c r="A37" s="7" t="s">
        <v>15</v>
      </c>
      <c r="B37" s="7" t="s">
        <v>159</v>
      </c>
      <c r="C37" s="7" t="s">
        <v>17</v>
      </c>
      <c r="D37" s="7"/>
      <c r="E37" s="7" t="s">
        <v>1855</v>
      </c>
      <c r="F37" s="7" t="s">
        <v>19</v>
      </c>
      <c r="G37" s="7" t="b">
        <v>1</v>
      </c>
      <c r="H37" s="7" t="s">
        <v>17</v>
      </c>
      <c r="I37" s="7" t="s">
        <v>17</v>
      </c>
      <c r="J37" s="7" t="s">
        <v>1856</v>
      </c>
    </row>
    <row r="38" spans="1:10" x14ac:dyDescent="0.25" outlineLevel="2" collapsed="1">
      <c r="A38" s="7" t="s">
        <v>15</v>
      </c>
      <c r="B38" s="7" t="s">
        <v>159</v>
      </c>
      <c r="C38" s="7" t="s">
        <v>17</v>
      </c>
      <c r="D38" s="7"/>
      <c r="E38" s="7" t="s">
        <v>1857</v>
      </c>
      <c r="F38" s="7" t="s">
        <v>19</v>
      </c>
      <c r="G38" s="7" t="b">
        <v>1</v>
      </c>
      <c r="H38" s="7" t="s">
        <v>17</v>
      </c>
      <c r="I38" s="7" t="s">
        <v>17</v>
      </c>
      <c r="J38" s="7" t="s">
        <v>1858</v>
      </c>
    </row>
    <row r="39" spans="1:10" x14ac:dyDescent="0.25" outlineLevel="2" collapsed="1">
      <c r="A39" s="7" t="s">
        <v>19</v>
      </c>
      <c r="B39" s="7" t="s">
        <v>63</v>
      </c>
      <c r="C39" s="7" t="s">
        <v>17</v>
      </c>
      <c r="D39" s="7">
        <f>EXACT(G38,true)</f>
      </c>
      <c r="E39" s="7" t="s">
        <v>1859</v>
      </c>
      <c r="F39" s="7" t="s">
        <v>19</v>
      </c>
      <c r="G39" s="7">
        <v>1</v>
      </c>
      <c r="H39" s="7" t="s">
        <v>17</v>
      </c>
      <c r="I39" s="7" t="s">
        <v>17</v>
      </c>
      <c r="J39" s="7" t="s">
        <v>1860</v>
      </c>
    </row>
    <row r="40" spans="1:10" x14ac:dyDescent="0.25" outlineLevel="2" collapsed="1">
      <c r="A40" s="7" t="s">
        <v>19</v>
      </c>
      <c r="B40" s="7" t="s">
        <v>63</v>
      </c>
      <c r="C40" s="7" t="s">
        <v>17</v>
      </c>
      <c r="D40" s="7"/>
      <c r="E40" s="7" t="s">
        <v>1861</v>
      </c>
      <c r="F40" s="7" t="s">
        <v>19</v>
      </c>
      <c r="G40" s="7">
        <v>1</v>
      </c>
      <c r="H40" s="7">
        <v>1</v>
      </c>
      <c r="I40" s="7" t="s">
        <v>17</v>
      </c>
      <c r="J40" s="7" t="s">
        <v>1862</v>
      </c>
    </row>
    <row r="41" spans="1:10" x14ac:dyDescent="0.25" outlineLevel="2" collapsed="1">
      <c r="A41" s="7" t="s">
        <v>19</v>
      </c>
      <c r="B41" s="7" t="s">
        <v>16</v>
      </c>
      <c r="C41" s="7" t="s">
        <v>17</v>
      </c>
      <c r="D41" s="7"/>
      <c r="E41" s="7" t="s">
        <v>1863</v>
      </c>
      <c r="F41" s="7" t="s">
        <v>19</v>
      </c>
      <c r="G41" s="7" t="s">
        <v>31</v>
      </c>
      <c r="H41" s="7" t="s">
        <v>17</v>
      </c>
      <c r="I41" s="7" t="s">
        <v>17</v>
      </c>
      <c r="J41" s="7" t="s">
        <v>1864</v>
      </c>
    </row>
    <row r="42" spans="1:10" x14ac:dyDescent="0.25" outlineLevel="2" collapsed="1">
      <c r="A42" s="8" t="s">
        <v>19</v>
      </c>
      <c r="B42" s="9" t="s">
        <v>952</v>
      </c>
      <c r="C42" s="8" t="s">
        <v>17</v>
      </c>
      <c r="D42" s="8"/>
      <c r="E42" s="8" t="s">
        <v>953</v>
      </c>
      <c r="F42" s="8" t="s">
        <v>15</v>
      </c>
      <c r="G42" s="8" t="s">
        <v>17</v>
      </c>
      <c r="H42" s="8" t="s">
        <v>17</v>
      </c>
      <c r="I42" s="8" t="s">
        <v>17</v>
      </c>
      <c r="J42" s="8" t="s">
        <v>954</v>
      </c>
    </row>
    <row r="43" spans="1:10" x14ac:dyDescent="0.25" outlineLevel="3" collapsed="1">
      <c r="A43" s="7" t="s">
        <v>15</v>
      </c>
      <c r="B43" s="7" t="s">
        <v>16</v>
      </c>
      <c r="C43" s="7" t="s">
        <v>17</v>
      </c>
      <c r="D43" s="7"/>
      <c r="E43" s="7" t="s">
        <v>955</v>
      </c>
      <c r="F43" s="7" t="s">
        <v>19</v>
      </c>
      <c r="G43" s="7" t="s">
        <v>956</v>
      </c>
      <c r="H43" s="7" t="s">
        <v>17</v>
      </c>
      <c r="I43" s="7" t="s">
        <v>17</v>
      </c>
      <c r="J43" s="7" t="s">
        <v>957</v>
      </c>
    </row>
    <row r="44" spans="1:10" x14ac:dyDescent="0.25" outlineLevel="3" collapsed="1">
      <c r="A44" s="7" t="s">
        <v>15</v>
      </c>
      <c r="B44" s="7" t="s">
        <v>284</v>
      </c>
      <c r="C44" s="11" t="s">
        <v>958</v>
      </c>
      <c r="D44" s="7"/>
      <c r="E44" s="7" t="s">
        <v>959</v>
      </c>
      <c r="F44" s="7" t="s">
        <v>19</v>
      </c>
      <c r="G44" s="7" t="s">
        <v>960</v>
      </c>
      <c r="H44" s="7" t="s">
        <v>17</v>
      </c>
      <c r="I44" s="7" t="s">
        <v>17</v>
      </c>
      <c r="J44" s="7" t="s">
        <v>961</v>
      </c>
    </row>
    <row r="45" spans="1:10" x14ac:dyDescent="0.25" outlineLevel="3" collapsed="1">
      <c r="A45" s="7" t="s">
        <v>15</v>
      </c>
      <c r="B45" s="7" t="s">
        <v>16</v>
      </c>
      <c r="C45" s="7" t="s">
        <v>17</v>
      </c>
      <c r="D45" s="7"/>
      <c r="E45" s="7" t="s">
        <v>962</v>
      </c>
      <c r="F45" s="7" t="s">
        <v>19</v>
      </c>
      <c r="G45" s="7" t="s">
        <v>963</v>
      </c>
      <c r="H45" s="7" t="s">
        <v>17</v>
      </c>
      <c r="I45" s="7" t="s">
        <v>17</v>
      </c>
      <c r="J45" s="7" t="s">
        <v>964</v>
      </c>
    </row>
    <row r="46" spans="1:10" x14ac:dyDescent="0.25" outlineLevel="3" collapsed="1">
      <c r="A46" s="7" t="s">
        <v>19</v>
      </c>
      <c r="B46" s="7" t="s">
        <v>291</v>
      </c>
      <c r="C46" s="7" t="s">
        <v>17</v>
      </c>
      <c r="D46" s="7"/>
      <c r="E46" s="7" t="s">
        <v>965</v>
      </c>
      <c r="F46" s="7" t="s">
        <v>19</v>
      </c>
      <c r="G46" s="7" t="s">
        <v>293</v>
      </c>
      <c r="H46" s="7" t="s">
        <v>17</v>
      </c>
      <c r="I46" s="7" t="s">
        <v>17</v>
      </c>
      <c r="J46" s="7" t="s">
        <v>966</v>
      </c>
    </row>
    <row r="47" spans="1:10" x14ac:dyDescent="0.25" outlineLevel="3" collapsed="1">
      <c r="A47" s="7" t="s">
        <v>19</v>
      </c>
      <c r="B47" s="7" t="s">
        <v>16</v>
      </c>
      <c r="C47" s="7" t="s">
        <v>17</v>
      </c>
      <c r="D47" s="7"/>
      <c r="E47" s="7" t="s">
        <v>967</v>
      </c>
      <c r="F47" s="7" t="s">
        <v>19</v>
      </c>
      <c r="G47" s="7" t="s">
        <v>968</v>
      </c>
      <c r="H47" s="7" t="s">
        <v>17</v>
      </c>
      <c r="I47" s="7" t="s">
        <v>17</v>
      </c>
      <c r="J47" s="7" t="s">
        <v>843</v>
      </c>
    </row>
    <row r="48" spans="1:10" x14ac:dyDescent="0.25" outlineLevel="1" collapsed="1">
      <c r="A48" s="8" t="s">
        <v>15</v>
      </c>
      <c r="B48" s="9" t="s">
        <v>930</v>
      </c>
      <c r="C48" s="8" t="s">
        <v>17</v>
      </c>
      <c r="D48" s="8"/>
      <c r="E48" s="8" t="s">
        <v>1865</v>
      </c>
      <c r="F48" s="8" t="s">
        <v>15</v>
      </c>
      <c r="G48" s="8" t="s">
        <v>17</v>
      </c>
      <c r="H48" s="8" t="s">
        <v>17</v>
      </c>
      <c r="I48" s="8" t="s">
        <v>17</v>
      </c>
      <c r="J48" s="8" t="s">
        <v>1866</v>
      </c>
    </row>
    <row r="49" spans="1:10" x14ac:dyDescent="0.25" outlineLevel="2" collapsed="1">
      <c r="A49" s="7" t="s">
        <v>15</v>
      </c>
      <c r="B49" s="7" t="s">
        <v>16</v>
      </c>
      <c r="C49" s="7" t="s">
        <v>17</v>
      </c>
      <c r="D49" s="7"/>
      <c r="E49" s="7" t="s">
        <v>933</v>
      </c>
      <c r="F49" s="7" t="s">
        <v>19</v>
      </c>
      <c r="G49" s="7" t="s">
        <v>920</v>
      </c>
      <c r="H49" s="7" t="s">
        <v>17</v>
      </c>
      <c r="I49" s="7" t="s">
        <v>17</v>
      </c>
      <c r="J49" s="7" t="s">
        <v>934</v>
      </c>
    </row>
    <row r="50" spans="1:10" x14ac:dyDescent="0.25" outlineLevel="2" collapsed="1">
      <c r="A50" s="7" t="s">
        <v>15</v>
      </c>
      <c r="B50" s="7" t="s">
        <v>159</v>
      </c>
      <c r="C50" s="7" t="s">
        <v>17</v>
      </c>
      <c r="D50" s="7"/>
      <c r="E50" s="7" t="s">
        <v>935</v>
      </c>
      <c r="F50" s="7" t="s">
        <v>19</v>
      </c>
      <c r="G50" s="7" t="b">
        <v>0</v>
      </c>
      <c r="H50" s="7" t="s">
        <v>17</v>
      </c>
      <c r="I50" s="7" t="s">
        <v>17</v>
      </c>
      <c r="J50" s="7" t="s">
        <v>936</v>
      </c>
    </row>
    <row r="51" spans="1:10" x14ac:dyDescent="0.25" outlineLevel="2" collapsed="1">
      <c r="A51" s="7" t="s">
        <v>19</v>
      </c>
      <c r="B51" s="7" t="s">
        <v>16</v>
      </c>
      <c r="C51" s="7" t="s">
        <v>17</v>
      </c>
      <c r="D51" s="7"/>
      <c r="E51" s="7" t="s">
        <v>937</v>
      </c>
      <c r="F51" s="7" t="s">
        <v>19</v>
      </c>
      <c r="G51" s="7" t="s">
        <v>938</v>
      </c>
      <c r="H51" s="7" t="s">
        <v>17</v>
      </c>
      <c r="I51" s="7" t="s">
        <v>17</v>
      </c>
      <c r="J51" s="7" t="s">
        <v>939</v>
      </c>
    </row>
    <row r="52" spans="1:10" x14ac:dyDescent="0.25" outlineLevel="2" collapsed="1">
      <c r="A52" s="7" t="s">
        <v>15</v>
      </c>
      <c r="B52" s="7" t="s">
        <v>16</v>
      </c>
      <c r="C52" s="7" t="s">
        <v>17</v>
      </c>
      <c r="D52" s="7"/>
      <c r="E52" s="7" t="s">
        <v>940</v>
      </c>
      <c r="F52" s="7" t="s">
        <v>19</v>
      </c>
      <c r="G52" s="7" t="s">
        <v>941</v>
      </c>
      <c r="H52" s="7" t="s">
        <v>17</v>
      </c>
      <c r="I52" s="7" t="s">
        <v>17</v>
      </c>
      <c r="J52" s="7" t="s">
        <v>942</v>
      </c>
    </row>
    <row r="53" spans="1:10" x14ac:dyDescent="0.25" outlineLevel="2" collapsed="1">
      <c r="A53" s="7" t="s">
        <v>19</v>
      </c>
      <c r="B53" s="7" t="s">
        <v>16</v>
      </c>
      <c r="C53" s="7" t="s">
        <v>17</v>
      </c>
      <c r="D53" s="7"/>
      <c r="E53" s="7" t="s">
        <v>943</v>
      </c>
      <c r="F53" s="7" t="s">
        <v>19</v>
      </c>
      <c r="G53" s="7" t="s">
        <v>31</v>
      </c>
      <c r="H53" s="7" t="s">
        <v>17</v>
      </c>
      <c r="I53" s="7" t="s">
        <v>17</v>
      </c>
      <c r="J53" s="7" t="s">
        <v>944</v>
      </c>
    </row>
    <row r="54" spans="1:10" x14ac:dyDescent="0.25" outlineLevel="2" collapsed="1">
      <c r="A54" s="7" t="s">
        <v>19</v>
      </c>
      <c r="B54" s="7" t="s">
        <v>63</v>
      </c>
      <c r="C54" s="7" t="s">
        <v>17</v>
      </c>
      <c r="D54" s="7">
        <f>EXACT(G50,true)</f>
      </c>
      <c r="E54" s="7" t="s">
        <v>945</v>
      </c>
      <c r="F54" s="7" t="s">
        <v>19</v>
      </c>
      <c r="G54" s="7">
        <v>1</v>
      </c>
      <c r="H54" s="7" t="s">
        <v>17</v>
      </c>
      <c r="I54" s="7" t="s">
        <v>17</v>
      </c>
      <c r="J54" s="7" t="s">
        <v>946</v>
      </c>
    </row>
    <row r="55" spans="1:10" x14ac:dyDescent="0.25" outlineLevel="2" collapsed="1">
      <c r="A55" s="7" t="s">
        <v>19</v>
      </c>
      <c r="B55" s="7" t="s">
        <v>63</v>
      </c>
      <c r="C55" s="7" t="s">
        <v>17</v>
      </c>
      <c r="D55" s="7">
        <f>EXACT(G50,true)</f>
      </c>
      <c r="E55" s="7" t="s">
        <v>947</v>
      </c>
      <c r="F55" s="7" t="s">
        <v>19</v>
      </c>
      <c r="G55" s="7">
        <v>1</v>
      </c>
      <c r="H55" s="7" t="s">
        <v>17</v>
      </c>
      <c r="I55" s="7" t="s">
        <v>17</v>
      </c>
      <c r="J55" s="7" t="s">
        <v>948</v>
      </c>
    </row>
    <row r="56" spans="1:10" x14ac:dyDescent="0.25" outlineLevel="2" collapsed="1">
      <c r="A56" s="7" t="s">
        <v>19</v>
      </c>
      <c r="B56" s="7" t="s">
        <v>291</v>
      </c>
      <c r="C56" s="7" t="s">
        <v>17</v>
      </c>
      <c r="D56" s="7">
        <f>EXACT(G50,true)</f>
      </c>
      <c r="E56" s="7" t="s">
        <v>949</v>
      </c>
      <c r="F56" s="7" t="s">
        <v>19</v>
      </c>
      <c r="G56" s="7" t="s">
        <v>950</v>
      </c>
      <c r="H56" s="7" t="s">
        <v>17</v>
      </c>
      <c r="I56" s="7" t="s">
        <v>17</v>
      </c>
      <c r="J56" s="7" t="s">
        <v>951</v>
      </c>
    </row>
    <row r="57" spans="1:10" x14ac:dyDescent="0.25" outlineLevel="2" collapsed="1">
      <c r="A57" s="8" t="s">
        <v>19</v>
      </c>
      <c r="B57" s="9" t="s">
        <v>952</v>
      </c>
      <c r="C57" s="8" t="s">
        <v>17</v>
      </c>
      <c r="D57" s="8"/>
      <c r="E57" s="8" t="s">
        <v>953</v>
      </c>
      <c r="F57" s="8" t="s">
        <v>15</v>
      </c>
      <c r="G57" s="8" t="s">
        <v>17</v>
      </c>
      <c r="H57" s="8" t="s">
        <v>17</v>
      </c>
      <c r="I57" s="8" t="s">
        <v>17</v>
      </c>
      <c r="J57" s="8" t="s">
        <v>954</v>
      </c>
    </row>
    <row r="58" spans="1:10" x14ac:dyDescent="0.25" outlineLevel="3" collapsed="1">
      <c r="A58" s="7" t="s">
        <v>15</v>
      </c>
      <c r="B58" s="7" t="s">
        <v>16</v>
      </c>
      <c r="C58" s="7" t="s">
        <v>17</v>
      </c>
      <c r="D58" s="7"/>
      <c r="E58" s="7" t="s">
        <v>955</v>
      </c>
      <c r="F58" s="7" t="s">
        <v>19</v>
      </c>
      <c r="G58" s="7" t="s">
        <v>956</v>
      </c>
      <c r="H58" s="7" t="s">
        <v>17</v>
      </c>
      <c r="I58" s="7" t="s">
        <v>17</v>
      </c>
      <c r="J58" s="7" t="s">
        <v>957</v>
      </c>
    </row>
    <row r="59" spans="1:10" x14ac:dyDescent="0.25" outlineLevel="3" collapsed="1">
      <c r="A59" s="7" t="s">
        <v>15</v>
      </c>
      <c r="B59" s="7" t="s">
        <v>284</v>
      </c>
      <c r="C59" s="11" t="s">
        <v>958</v>
      </c>
      <c r="D59" s="7"/>
      <c r="E59" s="7" t="s">
        <v>959</v>
      </c>
      <c r="F59" s="7" t="s">
        <v>19</v>
      </c>
      <c r="G59" s="7" t="s">
        <v>960</v>
      </c>
      <c r="H59" s="7" t="s">
        <v>17</v>
      </c>
      <c r="I59" s="7" t="s">
        <v>17</v>
      </c>
      <c r="J59" s="7" t="s">
        <v>961</v>
      </c>
    </row>
    <row r="60" spans="1:10" x14ac:dyDescent="0.25" outlineLevel="3" collapsed="1">
      <c r="A60" s="7" t="s">
        <v>15</v>
      </c>
      <c r="B60" s="7" t="s">
        <v>16</v>
      </c>
      <c r="C60" s="7" t="s">
        <v>17</v>
      </c>
      <c r="D60" s="7"/>
      <c r="E60" s="7" t="s">
        <v>962</v>
      </c>
      <c r="F60" s="7" t="s">
        <v>19</v>
      </c>
      <c r="G60" s="7" t="s">
        <v>963</v>
      </c>
      <c r="H60" s="7" t="s">
        <v>17</v>
      </c>
      <c r="I60" s="7" t="s">
        <v>17</v>
      </c>
      <c r="J60" s="7" t="s">
        <v>964</v>
      </c>
    </row>
    <row r="61" spans="1:10" x14ac:dyDescent="0.25" outlineLevel="3" collapsed="1">
      <c r="A61" s="7" t="s">
        <v>19</v>
      </c>
      <c r="B61" s="7" t="s">
        <v>291</v>
      </c>
      <c r="C61" s="7" t="s">
        <v>17</v>
      </c>
      <c r="D61" s="7"/>
      <c r="E61" s="7" t="s">
        <v>965</v>
      </c>
      <c r="F61" s="7" t="s">
        <v>19</v>
      </c>
      <c r="G61" s="7" t="s">
        <v>293</v>
      </c>
      <c r="H61" s="7" t="s">
        <v>17</v>
      </c>
      <c r="I61" s="7" t="s">
        <v>17</v>
      </c>
      <c r="J61" s="7" t="s">
        <v>966</v>
      </c>
    </row>
    <row r="62" spans="1:10" x14ac:dyDescent="0.25" outlineLevel="3" collapsed="1">
      <c r="A62" s="7" t="s">
        <v>19</v>
      </c>
      <c r="B62" s="7" t="s">
        <v>16</v>
      </c>
      <c r="C62" s="7" t="s">
        <v>17</v>
      </c>
      <c r="D62" s="7"/>
      <c r="E62" s="7" t="s">
        <v>967</v>
      </c>
      <c r="F62" s="7" t="s">
        <v>19</v>
      </c>
      <c r="G62" s="7" t="s">
        <v>968</v>
      </c>
      <c r="H62" s="7" t="s">
        <v>17</v>
      </c>
      <c r="I62" s="7" t="s">
        <v>17</v>
      </c>
      <c r="J62" s="7" t="s">
        <v>843</v>
      </c>
    </row>
    <row r="63" spans="1:10" x14ac:dyDescent="0.25" outlineLevel="1" collapsed="1">
      <c r="A63" s="8" t="s">
        <v>19</v>
      </c>
      <c r="B63" s="9" t="s">
        <v>1867</v>
      </c>
      <c r="C63" s="8" t="s">
        <v>17</v>
      </c>
      <c r="D63" s="8"/>
      <c r="E63" s="8" t="s">
        <v>1868</v>
      </c>
      <c r="F63" s="8" t="s">
        <v>15</v>
      </c>
      <c r="G63" s="8" t="s">
        <v>17</v>
      </c>
      <c r="H63" s="8" t="s">
        <v>17</v>
      </c>
      <c r="I63" s="8" t="s">
        <v>17</v>
      </c>
      <c r="J63" s="8" t="s">
        <v>1869</v>
      </c>
    </row>
    <row r="64" spans="1:10" x14ac:dyDescent="0.25" outlineLevel="2" collapsed="1">
      <c r="A64" s="7" t="s">
        <v>15</v>
      </c>
      <c r="B64" s="7" t="s">
        <v>291</v>
      </c>
      <c r="C64" s="7" t="s">
        <v>17</v>
      </c>
      <c r="D64" s="7"/>
      <c r="E64" s="7" t="s">
        <v>1870</v>
      </c>
      <c r="F64" s="7" t="s">
        <v>19</v>
      </c>
      <c r="G64" s="7" t="s">
        <v>293</v>
      </c>
      <c r="H64" s="7" t="s">
        <v>17</v>
      </c>
      <c r="I64" s="7" t="s">
        <v>17</v>
      </c>
      <c r="J64" s="7" t="s">
        <v>934</v>
      </c>
    </row>
    <row r="65" spans="1:10" x14ac:dyDescent="0.25" outlineLevel="2" collapsed="1">
      <c r="A65" s="7" t="s">
        <v>15</v>
      </c>
      <c r="B65" s="7" t="s">
        <v>16</v>
      </c>
      <c r="C65" s="7" t="s">
        <v>17</v>
      </c>
      <c r="D65" s="7"/>
      <c r="E65" s="7" t="s">
        <v>1871</v>
      </c>
      <c r="F65" s="7" t="s">
        <v>19</v>
      </c>
      <c r="G65" s="7" t="s">
        <v>1872</v>
      </c>
      <c r="H65" s="7" t="s">
        <v>17</v>
      </c>
      <c r="I65" s="7" t="s">
        <v>17</v>
      </c>
      <c r="J65" s="7" t="s">
        <v>1830</v>
      </c>
    </row>
    <row r="66" spans="1:10" x14ac:dyDescent="0.25" outlineLevel="2" collapsed="1">
      <c r="A66" s="7" t="s">
        <v>15</v>
      </c>
      <c r="B66" s="7" t="s">
        <v>159</v>
      </c>
      <c r="C66" s="7" t="s">
        <v>17</v>
      </c>
      <c r="D66" s="7"/>
      <c r="E66" s="7" t="s">
        <v>1873</v>
      </c>
      <c r="F66" s="7" t="s">
        <v>19</v>
      </c>
      <c r="G66" s="7" t="b">
        <v>1</v>
      </c>
      <c r="H66" s="7" t="s">
        <v>17</v>
      </c>
      <c r="I66" s="7" t="s">
        <v>17</v>
      </c>
      <c r="J66" s="7" t="s">
        <v>1874</v>
      </c>
    </row>
    <row r="67" spans="1:10" x14ac:dyDescent="0.25" outlineLevel="2" collapsed="1">
      <c r="A67" s="7" t="s">
        <v>15</v>
      </c>
      <c r="B67" s="7" t="s">
        <v>16</v>
      </c>
      <c r="C67" s="7" t="s">
        <v>17</v>
      </c>
      <c r="D67" s="7"/>
      <c r="E67" s="7" t="s">
        <v>1875</v>
      </c>
      <c r="F67" s="7" t="s">
        <v>19</v>
      </c>
      <c r="G67" s="7" t="s">
        <v>1876</v>
      </c>
      <c r="H67" s="7" t="s">
        <v>17</v>
      </c>
      <c r="I67" s="7" t="s">
        <v>17</v>
      </c>
      <c r="J67" s="7" t="s">
        <v>1877</v>
      </c>
    </row>
    <row r="68" spans="1:10" x14ac:dyDescent="0.25" outlineLevel="2" collapsed="1">
      <c r="A68" s="7" t="s">
        <v>15</v>
      </c>
      <c r="B68" s="7" t="s">
        <v>16</v>
      </c>
      <c r="C68" s="7" t="s">
        <v>17</v>
      </c>
      <c r="D68" s="7"/>
      <c r="E68" s="7" t="s">
        <v>1878</v>
      </c>
      <c r="F68" s="7" t="s">
        <v>19</v>
      </c>
      <c r="G68" s="7" t="s">
        <v>1879</v>
      </c>
      <c r="H68" s="7" t="s">
        <v>17</v>
      </c>
      <c r="I68" s="7" t="s">
        <v>17</v>
      </c>
      <c r="J68" s="7" t="s">
        <v>1880</v>
      </c>
    </row>
    <row r="69" spans="1:10" x14ac:dyDescent="0.25" outlineLevel="2" collapsed="1">
      <c r="A69" s="7" t="s">
        <v>15</v>
      </c>
      <c r="B69" s="7" t="s">
        <v>63</v>
      </c>
      <c r="C69" s="7" t="s">
        <v>17</v>
      </c>
      <c r="D69" s="7"/>
      <c r="E69" s="7" t="s">
        <v>1881</v>
      </c>
      <c r="F69" s="7" t="s">
        <v>19</v>
      </c>
      <c r="G69" s="7">
        <v>0</v>
      </c>
      <c r="H69" s="7" t="s">
        <v>17</v>
      </c>
      <c r="I69" s="7" t="s">
        <v>17</v>
      </c>
      <c r="J69" s="7" t="s">
        <v>1882</v>
      </c>
    </row>
    <row r="70" spans="1:10" x14ac:dyDescent="0.25" outlineLevel="2" collapsed="1">
      <c r="A70" s="7" t="s">
        <v>15</v>
      </c>
      <c r="B70" s="7" t="s">
        <v>63</v>
      </c>
      <c r="C70" s="7" t="s">
        <v>17</v>
      </c>
      <c r="D70" s="7"/>
      <c r="E70" s="7" t="s">
        <v>1883</v>
      </c>
      <c r="F70" s="7" t="s">
        <v>19</v>
      </c>
      <c r="G70" s="7">
        <v>0.8</v>
      </c>
      <c r="H70" s="7" t="s">
        <v>17</v>
      </c>
      <c r="I70" s="7" t="s">
        <v>17</v>
      </c>
      <c r="J70" s="7" t="s">
        <v>1884</v>
      </c>
    </row>
    <row r="71" spans="1:10" x14ac:dyDescent="0.25" outlineLevel="2" collapsed="1">
      <c r="A71" s="7" t="s">
        <v>19</v>
      </c>
      <c r="B71" s="7" t="s">
        <v>63</v>
      </c>
      <c r="C71" s="7" t="s">
        <v>17</v>
      </c>
      <c r="D71" s="7"/>
      <c r="E71" s="7" t="s">
        <v>1885</v>
      </c>
      <c r="F71" s="7" t="s">
        <v>19</v>
      </c>
      <c r="G71" s="7">
        <v>0</v>
      </c>
      <c r="H71" s="7" t="s">
        <v>17</v>
      </c>
      <c r="I71" s="7" t="s">
        <v>17</v>
      </c>
      <c r="J71" s="7" t="s">
        <v>1886</v>
      </c>
    </row>
    <row r="72" spans="1:10" x14ac:dyDescent="0.25" outlineLevel="2" collapsed="1">
      <c r="A72" s="7" t="s">
        <v>19</v>
      </c>
      <c r="B72" s="7" t="s">
        <v>63</v>
      </c>
      <c r="C72" s="7" t="s">
        <v>17</v>
      </c>
      <c r="D72" s="7"/>
      <c r="E72" s="7" t="s">
        <v>1887</v>
      </c>
      <c r="F72" s="7" t="s">
        <v>19</v>
      </c>
      <c r="G72" s="7">
        <v>0.3</v>
      </c>
      <c r="H72" s="7" t="s">
        <v>17</v>
      </c>
      <c r="I72" s="7" t="s">
        <v>17</v>
      </c>
      <c r="J72" s="7" t="s">
        <v>1888</v>
      </c>
    </row>
    <row r="73" spans="1:10" x14ac:dyDescent="0.25" outlineLevel="2" collapsed="1">
      <c r="A73" s="8" t="s">
        <v>19</v>
      </c>
      <c r="B73" s="9" t="s">
        <v>952</v>
      </c>
      <c r="C73" s="8" t="s">
        <v>17</v>
      </c>
      <c r="D73" s="8"/>
      <c r="E73" s="8" t="s">
        <v>953</v>
      </c>
      <c r="F73" s="8" t="s">
        <v>15</v>
      </c>
      <c r="G73" s="8" t="s">
        <v>17</v>
      </c>
      <c r="H73" s="8" t="s">
        <v>17</v>
      </c>
      <c r="I73" s="8" t="s">
        <v>17</v>
      </c>
      <c r="J73" s="8" t="s">
        <v>954</v>
      </c>
    </row>
    <row r="74" spans="1:10" x14ac:dyDescent="0.25" outlineLevel="3" collapsed="1">
      <c r="A74" s="7" t="s">
        <v>15</v>
      </c>
      <c r="B74" s="7" t="s">
        <v>16</v>
      </c>
      <c r="C74" s="7" t="s">
        <v>17</v>
      </c>
      <c r="D74" s="7"/>
      <c r="E74" s="7" t="s">
        <v>955</v>
      </c>
      <c r="F74" s="7" t="s">
        <v>19</v>
      </c>
      <c r="G74" s="7" t="s">
        <v>956</v>
      </c>
      <c r="H74" s="7" t="s">
        <v>17</v>
      </c>
      <c r="I74" s="7" t="s">
        <v>17</v>
      </c>
      <c r="J74" s="7" t="s">
        <v>957</v>
      </c>
    </row>
    <row r="75" spans="1:10" x14ac:dyDescent="0.25" outlineLevel="3" collapsed="1">
      <c r="A75" s="7" t="s">
        <v>15</v>
      </c>
      <c r="B75" s="7" t="s">
        <v>284</v>
      </c>
      <c r="C75" s="11" t="s">
        <v>958</v>
      </c>
      <c r="D75" s="7"/>
      <c r="E75" s="7" t="s">
        <v>959</v>
      </c>
      <c r="F75" s="7" t="s">
        <v>19</v>
      </c>
      <c r="G75" s="7" t="s">
        <v>960</v>
      </c>
      <c r="H75" s="7" t="s">
        <v>17</v>
      </c>
      <c r="I75" s="7" t="s">
        <v>17</v>
      </c>
      <c r="J75" s="7" t="s">
        <v>961</v>
      </c>
    </row>
    <row r="76" spans="1:10" x14ac:dyDescent="0.25" outlineLevel="3" collapsed="1">
      <c r="A76" s="7" t="s">
        <v>15</v>
      </c>
      <c r="B76" s="7" t="s">
        <v>16</v>
      </c>
      <c r="C76" s="7" t="s">
        <v>17</v>
      </c>
      <c r="D76" s="7"/>
      <c r="E76" s="7" t="s">
        <v>962</v>
      </c>
      <c r="F76" s="7" t="s">
        <v>19</v>
      </c>
      <c r="G76" s="7" t="s">
        <v>963</v>
      </c>
      <c r="H76" s="7" t="s">
        <v>17</v>
      </c>
      <c r="I76" s="7" t="s">
        <v>17</v>
      </c>
      <c r="J76" s="7" t="s">
        <v>964</v>
      </c>
    </row>
    <row r="77" spans="1:10" x14ac:dyDescent="0.25" outlineLevel="3" collapsed="1">
      <c r="A77" s="7" t="s">
        <v>19</v>
      </c>
      <c r="B77" s="7" t="s">
        <v>291</v>
      </c>
      <c r="C77" s="7" t="s">
        <v>17</v>
      </c>
      <c r="D77" s="7"/>
      <c r="E77" s="7" t="s">
        <v>965</v>
      </c>
      <c r="F77" s="7" t="s">
        <v>19</v>
      </c>
      <c r="G77" s="7" t="s">
        <v>293</v>
      </c>
      <c r="H77" s="7" t="s">
        <v>17</v>
      </c>
      <c r="I77" s="7" t="s">
        <v>17</v>
      </c>
      <c r="J77" s="7" t="s">
        <v>966</v>
      </c>
    </row>
    <row r="78" spans="1:10" x14ac:dyDescent="0.25" outlineLevel="3" collapsed="1">
      <c r="A78" s="7" t="s">
        <v>19</v>
      </c>
      <c r="B78" s="7" t="s">
        <v>16</v>
      </c>
      <c r="C78" s="7" t="s">
        <v>17</v>
      </c>
      <c r="D78" s="7"/>
      <c r="E78" s="7" t="s">
        <v>967</v>
      </c>
      <c r="F78" s="7" t="s">
        <v>19</v>
      </c>
      <c r="G78" s="7" t="s">
        <v>968</v>
      </c>
      <c r="H78" s="7" t="s">
        <v>17</v>
      </c>
      <c r="I78" s="7" t="s">
        <v>17</v>
      </c>
      <c r="J78" s="7" t="s">
        <v>843</v>
      </c>
    </row>
    <row r="79" spans="1:10" x14ac:dyDescent="0.25" outlineLevel="1" collapsed="1">
      <c r="A79" s="8" t="s">
        <v>15</v>
      </c>
      <c r="B79" s="9" t="s">
        <v>1889</v>
      </c>
      <c r="C79" s="8" t="s">
        <v>17</v>
      </c>
      <c r="D79" s="8"/>
      <c r="E79" s="8" t="s">
        <v>1890</v>
      </c>
      <c r="F79" s="8" t="s">
        <v>15</v>
      </c>
      <c r="G79" s="8" t="s">
        <v>17</v>
      </c>
      <c r="H79" s="8" t="s">
        <v>17</v>
      </c>
      <c r="I79" s="8" t="s">
        <v>17</v>
      </c>
      <c r="J79" s="8" t="s">
        <v>1891</v>
      </c>
    </row>
    <row r="80" spans="1:10" x14ac:dyDescent="0.25" outlineLevel="2" collapsed="1">
      <c r="A80" s="7" t="s">
        <v>15</v>
      </c>
      <c r="B80" s="7" t="s">
        <v>284</v>
      </c>
      <c r="C80" s="11" t="s">
        <v>1892</v>
      </c>
      <c r="D80" s="7"/>
      <c r="E80" s="7" t="s">
        <v>1893</v>
      </c>
      <c r="F80" s="7" t="s">
        <v>19</v>
      </c>
      <c r="G80" s="7" t="s">
        <v>1669</v>
      </c>
      <c r="H80" s="7" t="s">
        <v>17</v>
      </c>
      <c r="I80" s="7" t="s">
        <v>17</v>
      </c>
      <c r="J80" s="7" t="s">
        <v>1894</v>
      </c>
    </row>
    <row r="81" spans="1:10" x14ac:dyDescent="0.25" outlineLevel="2" collapsed="1">
      <c r="A81" s="7" t="s">
        <v>19</v>
      </c>
      <c r="B81" s="7" t="s">
        <v>63</v>
      </c>
      <c r="C81" s="7" t="s">
        <v>17</v>
      </c>
      <c r="D81" s="7"/>
      <c r="E81" s="7" t="s">
        <v>1895</v>
      </c>
      <c r="F81" s="7" t="s">
        <v>19</v>
      </c>
      <c r="G81" s="7">
        <v>90</v>
      </c>
      <c r="H81" s="7">
        <v>90</v>
      </c>
      <c r="I81" s="7" t="s">
        <v>17</v>
      </c>
      <c r="J81" s="7" t="s">
        <v>1896</v>
      </c>
    </row>
    <row r="82" spans="1:10" x14ac:dyDescent="0.25" outlineLevel="2" collapsed="1">
      <c r="A82" s="7" t="s">
        <v>19</v>
      </c>
      <c r="B82" s="7" t="s">
        <v>63</v>
      </c>
      <c r="C82" s="7" t="s">
        <v>17</v>
      </c>
      <c r="D82" s="7"/>
      <c r="E82" s="7" t="s">
        <v>1897</v>
      </c>
      <c r="F82" s="7" t="s">
        <v>19</v>
      </c>
      <c r="G82" s="7">
        <v>10</v>
      </c>
      <c r="H82" s="7">
        <v>10</v>
      </c>
      <c r="I82" s="7" t="s">
        <v>17</v>
      </c>
      <c r="J82" s="7" t="s">
        <v>1898</v>
      </c>
    </row>
    <row r="83" spans="1:10" x14ac:dyDescent="0.25" outlineLevel="2" collapsed="1">
      <c r="A83" s="7" t="s">
        <v>15</v>
      </c>
      <c r="B83" s="7" t="s">
        <v>63</v>
      </c>
      <c r="C83" s="7" t="s">
        <v>17</v>
      </c>
      <c r="D83" s="7"/>
      <c r="E83" s="7" t="s">
        <v>1899</v>
      </c>
      <c r="F83" s="7" t="s">
        <v>19</v>
      </c>
      <c r="G83" s="7">
        <v>1</v>
      </c>
      <c r="H83" s="7" t="s">
        <v>17</v>
      </c>
      <c r="I83" s="7" t="s">
        <v>17</v>
      </c>
      <c r="J83" s="7" t="s">
        <v>1900</v>
      </c>
    </row>
    <row r="84" spans="1:10" x14ac:dyDescent="0.25" outlineLevel="2" collapsed="1">
      <c r="A84" s="7" t="s">
        <v>19</v>
      </c>
      <c r="B84" s="7" t="s">
        <v>63</v>
      </c>
      <c r="C84" s="7" t="s">
        <v>17</v>
      </c>
      <c r="D84" s="7"/>
      <c r="E84" s="7" t="s">
        <v>1901</v>
      </c>
      <c r="F84" s="7" t="s">
        <v>19</v>
      </c>
      <c r="G84" s="7">
        <v>1</v>
      </c>
      <c r="H84" s="7" t="s">
        <v>17</v>
      </c>
      <c r="I84" s="7" t="s">
        <v>17</v>
      </c>
      <c r="J84" s="7" t="s">
        <v>1902</v>
      </c>
    </row>
    <row r="85" spans="1:10" x14ac:dyDescent="0.25" outlineLevel="2" collapsed="1">
      <c r="A85" s="7" t="s">
        <v>15</v>
      </c>
      <c r="B85" s="7" t="s">
        <v>63</v>
      </c>
      <c r="C85" s="7" t="s">
        <v>17</v>
      </c>
      <c r="D85" s="7"/>
      <c r="E85" s="7" t="s">
        <v>1903</v>
      </c>
      <c r="F85" s="7" t="s">
        <v>19</v>
      </c>
      <c r="G85" s="7">
        <v>1</v>
      </c>
      <c r="H85" s="7" t="s">
        <v>17</v>
      </c>
      <c r="I85" s="7" t="s">
        <v>17</v>
      </c>
      <c r="J85" s="7" t="s">
        <v>1904</v>
      </c>
    </row>
    <row r="86" spans="1:10" x14ac:dyDescent="0.25" outlineLevel="2" collapsed="1">
      <c r="A86" s="7" t="s">
        <v>15</v>
      </c>
      <c r="B86" s="7" t="s">
        <v>63</v>
      </c>
      <c r="C86" s="7" t="s">
        <v>17</v>
      </c>
      <c r="D86" s="7"/>
      <c r="E86" s="7" t="s">
        <v>1905</v>
      </c>
      <c r="F86" s="7" t="s">
        <v>19</v>
      </c>
      <c r="G86" s="7">
        <v>1</v>
      </c>
      <c r="H86" s="7" t="s">
        <v>17</v>
      </c>
      <c r="I86" s="7" t="s">
        <v>17</v>
      </c>
      <c r="J86" s="7" t="s">
        <v>1906</v>
      </c>
    </row>
    <row r="87" spans="1:10" x14ac:dyDescent="0.25" outlineLevel="2" collapsed="1">
      <c r="A87" s="7" t="s">
        <v>15</v>
      </c>
      <c r="B87" s="7" t="s">
        <v>284</v>
      </c>
      <c r="C87" s="11" t="s">
        <v>1907</v>
      </c>
      <c r="D87" s="7"/>
      <c r="E87" s="7" t="s">
        <v>1908</v>
      </c>
      <c r="F87" s="7" t="s">
        <v>19</v>
      </c>
      <c r="G87" s="7" t="s">
        <v>1909</v>
      </c>
      <c r="H87" s="7" t="s">
        <v>17</v>
      </c>
      <c r="I87" s="7" t="s">
        <v>17</v>
      </c>
      <c r="J87" s="7" t="s">
        <v>1910</v>
      </c>
    </row>
    <row r="88" spans="1:10" x14ac:dyDescent="0.25" outlineLevel="2" collapsed="1">
      <c r="A88" s="8" t="s">
        <v>19</v>
      </c>
      <c r="B88" s="9" t="s">
        <v>952</v>
      </c>
      <c r="C88" s="8" t="s">
        <v>17</v>
      </c>
      <c r="D88" s="8"/>
      <c r="E88" s="8" t="s">
        <v>953</v>
      </c>
      <c r="F88" s="8" t="s">
        <v>15</v>
      </c>
      <c r="G88" s="8" t="s">
        <v>17</v>
      </c>
      <c r="H88" s="8" t="s">
        <v>17</v>
      </c>
      <c r="I88" s="8" t="s">
        <v>17</v>
      </c>
      <c r="J88" s="8" t="s">
        <v>954</v>
      </c>
    </row>
    <row r="89" spans="1:10" x14ac:dyDescent="0.25" outlineLevel="3" collapsed="1">
      <c r="A89" s="7" t="s">
        <v>15</v>
      </c>
      <c r="B89" s="7" t="s">
        <v>16</v>
      </c>
      <c r="C89" s="7" t="s">
        <v>17</v>
      </c>
      <c r="D89" s="7"/>
      <c r="E89" s="7" t="s">
        <v>955</v>
      </c>
      <c r="F89" s="7" t="s">
        <v>19</v>
      </c>
      <c r="G89" s="7" t="s">
        <v>956</v>
      </c>
      <c r="H89" s="7" t="s">
        <v>17</v>
      </c>
      <c r="I89" s="7" t="s">
        <v>17</v>
      </c>
      <c r="J89" s="7" t="s">
        <v>957</v>
      </c>
    </row>
    <row r="90" spans="1:10" x14ac:dyDescent="0.25" outlineLevel="3" collapsed="1">
      <c r="A90" s="7" t="s">
        <v>15</v>
      </c>
      <c r="B90" s="7" t="s">
        <v>284</v>
      </c>
      <c r="C90" s="11" t="s">
        <v>958</v>
      </c>
      <c r="D90" s="7"/>
      <c r="E90" s="7" t="s">
        <v>959</v>
      </c>
      <c r="F90" s="7" t="s">
        <v>19</v>
      </c>
      <c r="G90" s="7" t="s">
        <v>960</v>
      </c>
      <c r="H90" s="7" t="s">
        <v>17</v>
      </c>
      <c r="I90" s="7" t="s">
        <v>17</v>
      </c>
      <c r="J90" s="7" t="s">
        <v>961</v>
      </c>
    </row>
    <row r="91" spans="1:10" x14ac:dyDescent="0.25" outlineLevel="3" collapsed="1">
      <c r="A91" s="7" t="s">
        <v>15</v>
      </c>
      <c r="B91" s="7" t="s">
        <v>16</v>
      </c>
      <c r="C91" s="7" t="s">
        <v>17</v>
      </c>
      <c r="D91" s="7"/>
      <c r="E91" s="7" t="s">
        <v>962</v>
      </c>
      <c r="F91" s="7" t="s">
        <v>19</v>
      </c>
      <c r="G91" s="7" t="s">
        <v>963</v>
      </c>
      <c r="H91" s="7" t="s">
        <v>17</v>
      </c>
      <c r="I91" s="7" t="s">
        <v>17</v>
      </c>
      <c r="J91" s="7" t="s">
        <v>964</v>
      </c>
    </row>
    <row r="92" spans="1:10" x14ac:dyDescent="0.25" outlineLevel="3" collapsed="1">
      <c r="A92" s="7" t="s">
        <v>19</v>
      </c>
      <c r="B92" s="7" t="s">
        <v>291</v>
      </c>
      <c r="C92" s="7" t="s">
        <v>17</v>
      </c>
      <c r="D92" s="7"/>
      <c r="E92" s="7" t="s">
        <v>965</v>
      </c>
      <c r="F92" s="7" t="s">
        <v>19</v>
      </c>
      <c r="G92" s="7" t="s">
        <v>293</v>
      </c>
      <c r="H92" s="7" t="s">
        <v>17</v>
      </c>
      <c r="I92" s="7" t="s">
        <v>17</v>
      </c>
      <c r="J92" s="7" t="s">
        <v>966</v>
      </c>
    </row>
    <row r="93" spans="1:10" x14ac:dyDescent="0.25" outlineLevel="3" collapsed="1">
      <c r="A93" s="7" t="s">
        <v>19</v>
      </c>
      <c r="B93" s="7" t="s">
        <v>16</v>
      </c>
      <c r="C93" s="7" t="s">
        <v>17</v>
      </c>
      <c r="D93" s="7"/>
      <c r="E93" s="7" t="s">
        <v>967</v>
      </c>
      <c r="F93" s="7" t="s">
        <v>19</v>
      </c>
      <c r="G93" s="7" t="s">
        <v>968</v>
      </c>
      <c r="H93" s="7" t="s">
        <v>17</v>
      </c>
      <c r="I93" s="7" t="s">
        <v>17</v>
      </c>
      <c r="J93" s="7" t="s">
        <v>843</v>
      </c>
    </row>
    <row r="94" spans="1:10" x14ac:dyDescent="0.25" outlineLevel="2" collapsed="1">
      <c r="A94" s="7" t="s">
        <v>19</v>
      </c>
      <c r="B94" s="7" t="s">
        <v>63</v>
      </c>
      <c r="C94" s="7" t="s">
        <v>17</v>
      </c>
      <c r="D94" s="7"/>
      <c r="E94" s="7" t="s">
        <v>1911</v>
      </c>
      <c r="F94" s="7" t="s">
        <v>19</v>
      </c>
      <c r="G94" s="7">
        <v>0.8</v>
      </c>
      <c r="H94" s="7" t="s">
        <v>17</v>
      </c>
      <c r="I94" s="7" t="s">
        <v>17</v>
      </c>
      <c r="J94" s="7" t="s">
        <v>1912</v>
      </c>
    </row>
    <row r="95" spans="1:10" x14ac:dyDescent="0.25" outlineLevel="1" collapsed="1">
      <c r="A95" s="7" t="s">
        <v>19</v>
      </c>
      <c r="B95" s="7" t="s">
        <v>291</v>
      </c>
      <c r="C95" s="7" t="s">
        <v>17</v>
      </c>
      <c r="D95" s="7"/>
      <c r="E95" s="7" t="s">
        <v>1913</v>
      </c>
      <c r="F95" s="7" t="s">
        <v>19</v>
      </c>
      <c r="G95" s="7" t="s">
        <v>293</v>
      </c>
      <c r="H95" s="7" t="s">
        <v>17</v>
      </c>
      <c r="I95" s="7" t="s">
        <v>17</v>
      </c>
      <c r="J95" s="7" t="s">
        <v>1914</v>
      </c>
    </row>
    <row r="96" spans="1:10" x14ac:dyDescent="0.25" outlineLevel="1" collapsed="1">
      <c r="A96" s="7" t="s">
        <v>19</v>
      </c>
      <c r="B96" s="7" t="s">
        <v>159</v>
      </c>
      <c r="C96" s="7" t="s">
        <v>17</v>
      </c>
      <c r="D96" s="7"/>
      <c r="E96" s="7" t="s">
        <v>1915</v>
      </c>
      <c r="F96" s="7" t="s">
        <v>19</v>
      </c>
      <c r="G96" s="7" t="b">
        <v>1</v>
      </c>
      <c r="H96" s="7" t="s">
        <v>17</v>
      </c>
      <c r="I96" s="7" t="s">
        <v>17</v>
      </c>
      <c r="J96" s="7" t="s">
        <v>1916</v>
      </c>
    </row>
    <row r="97" spans="1:10" x14ac:dyDescent="0.25" outlineLevel="1" collapsed="1">
      <c r="A97" s="7" t="s">
        <v>19</v>
      </c>
      <c r="B97" s="7" t="s">
        <v>63</v>
      </c>
      <c r="C97" s="7" t="s">
        <v>17</v>
      </c>
      <c r="D97" s="7"/>
      <c r="E97" s="7" t="s">
        <v>1917</v>
      </c>
      <c r="F97" s="7" t="s">
        <v>19</v>
      </c>
      <c r="G97" s="7">
        <v>1</v>
      </c>
      <c r="H97" s="7" t="s">
        <v>17</v>
      </c>
      <c r="I97" s="7" t="s">
        <v>17</v>
      </c>
      <c r="J97" s="7" t="s">
        <v>1918</v>
      </c>
    </row>
    <row r="98" spans="1:10" x14ac:dyDescent="0.25" outlineLevel="1" collapsed="1">
      <c r="A98" s="7" t="s">
        <v>19</v>
      </c>
      <c r="B98" s="7" t="s">
        <v>63</v>
      </c>
      <c r="C98" s="7" t="s">
        <v>17</v>
      </c>
      <c r="D98" s="7"/>
      <c r="E98" s="7" t="s">
        <v>1919</v>
      </c>
      <c r="F98" s="7" t="s">
        <v>19</v>
      </c>
      <c r="G98" s="7">
        <v>1</v>
      </c>
      <c r="H98" s="7" t="s">
        <v>17</v>
      </c>
      <c r="I98" s="7" t="s">
        <v>17</v>
      </c>
      <c r="J98" s="7" t="s">
        <v>1920</v>
      </c>
    </row>
    <row r="99" spans="1:10" x14ac:dyDescent="0.25">
      <c r="A99" s="5" t="s">
        <v>15</v>
      </c>
      <c r="B99" s="6" t="s">
        <v>1921</v>
      </c>
      <c r="C99" s="5" t="s">
        <v>17</v>
      </c>
      <c r="D99" s="5"/>
      <c r="E99" s="5" t="s">
        <v>1922</v>
      </c>
      <c r="F99" s="5" t="s">
        <v>15</v>
      </c>
      <c r="G99" s="5" t="s">
        <v>17</v>
      </c>
      <c r="H99" s="5" t="s">
        <v>17</v>
      </c>
      <c r="I99" s="5" t="s">
        <v>17</v>
      </c>
      <c r="J99" s="5" t="s">
        <v>1923</v>
      </c>
    </row>
    <row r="100" spans="1:10" x14ac:dyDescent="0.25" outlineLevel="1" collapsed="1">
      <c r="A100" s="7" t="s">
        <v>15</v>
      </c>
      <c r="B100" s="7" t="s">
        <v>16</v>
      </c>
      <c r="C100" s="7" t="s">
        <v>17</v>
      </c>
      <c r="D100" s="7"/>
      <c r="E100" s="7" t="s">
        <v>1924</v>
      </c>
      <c r="F100" s="7" t="s">
        <v>19</v>
      </c>
      <c r="G100" s="7" t="s">
        <v>1925</v>
      </c>
      <c r="H100" s="7" t="s">
        <v>17</v>
      </c>
      <c r="I100" s="7" t="s">
        <v>17</v>
      </c>
      <c r="J100" s="7" t="s">
        <v>1926</v>
      </c>
    </row>
    <row r="101" spans="1:10" x14ac:dyDescent="0.25" outlineLevel="1" collapsed="1">
      <c r="A101" s="7" t="s">
        <v>15</v>
      </c>
      <c r="B101" s="7" t="s">
        <v>284</v>
      </c>
      <c r="C101" s="11" t="s">
        <v>1927</v>
      </c>
      <c r="D101" s="7"/>
      <c r="E101" s="7" t="s">
        <v>1928</v>
      </c>
      <c r="F101" s="7" t="s">
        <v>19</v>
      </c>
      <c r="G101" s="7" t="s">
        <v>1929</v>
      </c>
      <c r="H101" s="7" t="s">
        <v>17</v>
      </c>
      <c r="I101" s="7" t="s">
        <v>17</v>
      </c>
      <c r="J101" s="7" t="s">
        <v>1725</v>
      </c>
    </row>
    <row r="102" spans="1:10" x14ac:dyDescent="0.25" outlineLevel="1" collapsed="1">
      <c r="A102" s="7" t="s">
        <v>15</v>
      </c>
      <c r="B102" s="7" t="s">
        <v>284</v>
      </c>
      <c r="C102" s="11" t="s">
        <v>1930</v>
      </c>
      <c r="D102" s="7"/>
      <c r="E102" s="7" t="s">
        <v>1931</v>
      </c>
      <c r="F102" s="7" t="s">
        <v>19</v>
      </c>
      <c r="G102" s="7" t="s">
        <v>1932</v>
      </c>
      <c r="H102" s="7" t="s">
        <v>17</v>
      </c>
      <c r="I102" s="7" t="s">
        <v>17</v>
      </c>
      <c r="J102" s="7" t="s">
        <v>1933</v>
      </c>
    </row>
    <row r="103" spans="1:10" x14ac:dyDescent="0.25" outlineLevel="1" collapsed="1">
      <c r="A103" s="7" t="s">
        <v>19</v>
      </c>
      <c r="B103" s="7" t="s">
        <v>63</v>
      </c>
      <c r="C103" s="7" t="s">
        <v>17</v>
      </c>
      <c r="D103" s="7">
        <f>EXACT(G102,"Option 1 - latest UNFCCC national default")</f>
      </c>
      <c r="E103" s="7" t="s">
        <v>1934</v>
      </c>
      <c r="F103" s="7" t="s">
        <v>19</v>
      </c>
      <c r="G103" s="7">
        <v>1</v>
      </c>
      <c r="H103" s="7" t="s">
        <v>17</v>
      </c>
      <c r="I103" s="7" t="s">
        <v>17</v>
      </c>
      <c r="J103" s="7" t="s">
        <v>1935</v>
      </c>
    </row>
    <row r="104" spans="1:10" x14ac:dyDescent="0.25" outlineLevel="1" collapsed="1">
      <c r="A104" s="7" t="s">
        <v>19</v>
      </c>
      <c r="B104" s="7" t="s">
        <v>16</v>
      </c>
      <c r="C104" s="7" t="s">
        <v>17</v>
      </c>
      <c r="D104" s="7">
        <f>EXACT(G102,"Option 1 - latest UNFCCC national default")</f>
      </c>
      <c r="E104" s="7" t="s">
        <v>1936</v>
      </c>
      <c r="F104" s="7" t="s">
        <v>19</v>
      </c>
      <c r="G104" s="7" t="s">
        <v>31</v>
      </c>
      <c r="H104" s="7" t="s">
        <v>17</v>
      </c>
      <c r="I104" s="7" t="s">
        <v>17</v>
      </c>
      <c r="J104" s="7" t="s">
        <v>1937</v>
      </c>
    </row>
    <row r="105" spans="1:10" x14ac:dyDescent="0.25" outlineLevel="1" collapsed="1">
      <c r="A105" s="7" t="s">
        <v>19</v>
      </c>
      <c r="B105" s="7" t="s">
        <v>284</v>
      </c>
      <c r="C105" s="11" t="s">
        <v>1938</v>
      </c>
      <c r="D105" s="7">
        <f>EXACT(G102,"Option 1 - latest UNFCCC national default")</f>
      </c>
      <c r="E105" s="7" t="s">
        <v>1939</v>
      </c>
      <c r="F105" s="7" t="s">
        <v>19</v>
      </c>
      <c r="G105" s="7" t="s">
        <v>1940</v>
      </c>
      <c r="H105" s="7" t="s">
        <v>17</v>
      </c>
      <c r="I105" s="7" t="s">
        <v>17</v>
      </c>
      <c r="J105" s="7" t="s">
        <v>1941</v>
      </c>
    </row>
    <row r="106" spans="1:10" x14ac:dyDescent="0.25" outlineLevel="1" collapsed="1">
      <c r="A106" s="7" t="s">
        <v>19</v>
      </c>
      <c r="B106" s="7" t="s">
        <v>63</v>
      </c>
      <c r="C106" s="7" t="s">
        <v>17</v>
      </c>
      <c r="D106" s="7">
        <f>EXACT(G102,"Option 1 - latest UNFCCC national default")</f>
      </c>
      <c r="E106" s="7" t="s">
        <v>1942</v>
      </c>
      <c r="F106" s="7" t="s">
        <v>19</v>
      </c>
      <c r="G106" s="7">
        <v>1</v>
      </c>
      <c r="H106" s="7" t="s">
        <v>17</v>
      </c>
      <c r="I106" s="7" t="s">
        <v>17</v>
      </c>
      <c r="J106" s="7" t="s">
        <v>1943</v>
      </c>
    </row>
    <row r="107" spans="1:10" x14ac:dyDescent="0.25" outlineLevel="1" collapsed="1">
      <c r="A107" s="7" t="s">
        <v>19</v>
      </c>
      <c r="B107" s="7" t="s">
        <v>63</v>
      </c>
      <c r="C107" s="7" t="s">
        <v>17</v>
      </c>
      <c r="D107" s="7">
        <f>EXACT(G102,"Option 2 - TOOL30 calculated value x (1 - 0.26)")</f>
      </c>
      <c r="E107" s="7" t="s">
        <v>1944</v>
      </c>
      <c r="F107" s="7" t="s">
        <v>19</v>
      </c>
      <c r="G107" s="7">
        <v>1</v>
      </c>
      <c r="H107" s="7" t="s">
        <v>17</v>
      </c>
      <c r="I107" s="7" t="s">
        <v>17</v>
      </c>
      <c r="J107" s="7" t="s">
        <v>1945</v>
      </c>
    </row>
    <row r="108" spans="1:10" x14ac:dyDescent="0.25" outlineLevel="1" collapsed="1">
      <c r="A108" s="7" t="s">
        <v>19</v>
      </c>
      <c r="B108" s="7" t="s">
        <v>159</v>
      </c>
      <c r="C108" s="7" t="s">
        <v>17</v>
      </c>
      <c r="D108" s="7">
        <f>EXACT(G102,"Option 2 - TOOL30 calculated value x (1 - 0.26)")</f>
      </c>
      <c r="E108" s="7" t="s">
        <v>1946</v>
      </c>
      <c r="F108" s="7" t="s">
        <v>19</v>
      </c>
      <c r="G108" s="7" t="b">
        <v>1</v>
      </c>
      <c r="H108" s="7" t="s">
        <v>17</v>
      </c>
      <c r="I108" s="7" t="s">
        <v>17</v>
      </c>
      <c r="J108" s="7" t="s">
        <v>1947</v>
      </c>
    </row>
    <row r="109" spans="1:10" x14ac:dyDescent="0.25" outlineLevel="1" collapsed="1">
      <c r="A109" s="7" t="s">
        <v>19</v>
      </c>
      <c r="B109" s="7" t="s">
        <v>63</v>
      </c>
      <c r="C109" s="7" t="s">
        <v>17</v>
      </c>
      <c r="D109" s="7">
        <f>EXACT(G102,"Option 3 - latest TOOL33 default (national Table 3 / regional Table 2)")</f>
      </c>
      <c r="E109" s="7" t="s">
        <v>1948</v>
      </c>
      <c r="F109" s="7" t="s">
        <v>19</v>
      </c>
      <c r="G109" s="7">
        <v>1</v>
      </c>
      <c r="H109" s="7" t="s">
        <v>17</v>
      </c>
      <c r="I109" s="7" t="s">
        <v>17</v>
      </c>
      <c r="J109" s="7" t="s">
        <v>1949</v>
      </c>
    </row>
    <row r="110" spans="1:10" x14ac:dyDescent="0.25" outlineLevel="1" collapsed="1">
      <c r="A110" s="7" t="s">
        <v>19</v>
      </c>
      <c r="B110" s="7" t="s">
        <v>284</v>
      </c>
      <c r="C110" s="11" t="s">
        <v>1950</v>
      </c>
      <c r="D110" s="7">
        <f>EXACT(G102,"Option 3 - latest TOOL33 default (national Table 3 / regional Table 2)")</f>
      </c>
      <c r="E110" s="7" t="s">
        <v>1951</v>
      </c>
      <c r="F110" s="7" t="s">
        <v>19</v>
      </c>
      <c r="G110" s="7" t="s">
        <v>1952</v>
      </c>
      <c r="H110" s="7" t="s">
        <v>17</v>
      </c>
      <c r="I110" s="7" t="s">
        <v>17</v>
      </c>
      <c r="J110" s="7" t="s">
        <v>1953</v>
      </c>
    </row>
    <row r="111" spans="1:10" x14ac:dyDescent="0.25" outlineLevel="1" collapsed="1">
      <c r="A111" s="7" t="s">
        <v>19</v>
      </c>
      <c r="B111" s="7" t="s">
        <v>16</v>
      </c>
      <c r="C111" s="7" t="s">
        <v>17</v>
      </c>
      <c r="D111" s="7">
        <f>EXACT(G102,"Option 3 - latest TOOL33 default (national Table 3 / regional Table 2)")</f>
      </c>
      <c r="E111" s="7" t="s">
        <v>1954</v>
      </c>
      <c r="F111" s="7" t="s">
        <v>19</v>
      </c>
      <c r="G111" s="7" t="s">
        <v>31</v>
      </c>
      <c r="H111" s="7" t="s">
        <v>17</v>
      </c>
      <c r="I111" s="7" t="s">
        <v>17</v>
      </c>
      <c r="J111" s="7" t="s">
        <v>1955</v>
      </c>
    </row>
    <row r="112" spans="1:10" x14ac:dyDescent="0.25" outlineLevel="1" collapsed="1">
      <c r="A112" s="7" t="s">
        <v>15</v>
      </c>
      <c r="B112" s="7" t="s">
        <v>63</v>
      </c>
      <c r="C112" s="7" t="s">
        <v>17</v>
      </c>
      <c r="D112" s="7"/>
      <c r="E112" s="7" t="s">
        <v>1956</v>
      </c>
      <c r="F112" s="7" t="s">
        <v>19</v>
      </c>
      <c r="G112" s="7">
        <v>1</v>
      </c>
      <c r="H112" s="7" t="s">
        <v>17</v>
      </c>
      <c r="I112" s="7" t="s">
        <v>17</v>
      </c>
      <c r="J112" s="7" t="s">
        <v>1957</v>
      </c>
    </row>
    <row r="113" spans="1:10" x14ac:dyDescent="0.25" outlineLevel="1" collapsed="1">
      <c r="A113" s="7" t="s">
        <v>15</v>
      </c>
      <c r="B113" s="7" t="s">
        <v>291</v>
      </c>
      <c r="C113" s="7" t="s">
        <v>17</v>
      </c>
      <c r="D113" s="7"/>
      <c r="E113" s="7" t="s">
        <v>1958</v>
      </c>
      <c r="F113" s="7" t="s">
        <v>19</v>
      </c>
      <c r="G113" s="7" t="s">
        <v>950</v>
      </c>
      <c r="H113" s="7" t="s">
        <v>17</v>
      </c>
      <c r="I113" s="7" t="s">
        <v>17</v>
      </c>
      <c r="J113" s="7" t="s">
        <v>1959</v>
      </c>
    </row>
    <row r="114" spans="1:10" x14ac:dyDescent="0.25" outlineLevel="1" collapsed="1">
      <c r="A114" s="7" t="s">
        <v>19</v>
      </c>
      <c r="B114" s="7" t="s">
        <v>291</v>
      </c>
      <c r="C114" s="7" t="s">
        <v>17</v>
      </c>
      <c r="D114" s="7"/>
      <c r="E114" s="7" t="s">
        <v>1960</v>
      </c>
      <c r="F114" s="7" t="s">
        <v>19</v>
      </c>
      <c r="G114" s="7" t="s">
        <v>950</v>
      </c>
      <c r="H114" s="7" t="s">
        <v>17</v>
      </c>
      <c r="I114" s="7" t="s">
        <v>17</v>
      </c>
      <c r="J114" s="7" t="s">
        <v>1961</v>
      </c>
    </row>
    <row r="115" spans="1:10" x14ac:dyDescent="0.25" outlineLevel="1" collapsed="1">
      <c r="A115" s="7" t="s">
        <v>19</v>
      </c>
      <c r="B115" s="7" t="s">
        <v>63</v>
      </c>
      <c r="C115" s="7" t="s">
        <v>17</v>
      </c>
      <c r="D115" s="7"/>
      <c r="E115" s="7" t="s">
        <v>1962</v>
      </c>
      <c r="F115" s="7" t="s">
        <v>19</v>
      </c>
      <c r="G115" s="7">
        <v>1</v>
      </c>
      <c r="H115" s="7" t="s">
        <v>17</v>
      </c>
      <c r="I115" s="7" t="s">
        <v>17</v>
      </c>
      <c r="J115" s="7" t="s">
        <v>1963</v>
      </c>
    </row>
    <row r="116" spans="1:10" x14ac:dyDescent="0.25" outlineLevel="1" collapsed="1">
      <c r="A116" s="7" t="s">
        <v>19</v>
      </c>
      <c r="B116" s="7" t="s">
        <v>63</v>
      </c>
      <c r="C116" s="7" t="s">
        <v>17</v>
      </c>
      <c r="D116" s="7"/>
      <c r="E116" s="7" t="s">
        <v>1964</v>
      </c>
      <c r="F116" s="7" t="s">
        <v>19</v>
      </c>
      <c r="G116" s="7">
        <v>1</v>
      </c>
      <c r="H116" s="7" t="s">
        <v>17</v>
      </c>
      <c r="I116" s="7" t="s">
        <v>17</v>
      </c>
      <c r="J116" s="7" t="s">
        <v>1965</v>
      </c>
    </row>
    <row r="117" spans="1:10" x14ac:dyDescent="0.25" outlineLevel="1" collapsed="1">
      <c r="A117" s="8" t="s">
        <v>19</v>
      </c>
      <c r="B117" s="9" t="s">
        <v>952</v>
      </c>
      <c r="C117" s="8" t="s">
        <v>17</v>
      </c>
      <c r="D117" s="8"/>
      <c r="E117" s="8" t="s">
        <v>953</v>
      </c>
      <c r="F117" s="8" t="s">
        <v>15</v>
      </c>
      <c r="G117" s="8" t="s">
        <v>17</v>
      </c>
      <c r="H117" s="8" t="s">
        <v>17</v>
      </c>
      <c r="I117" s="8" t="s">
        <v>17</v>
      </c>
      <c r="J117" s="8" t="s">
        <v>954</v>
      </c>
    </row>
    <row r="118" spans="1:10" x14ac:dyDescent="0.25" outlineLevel="2" collapsed="1">
      <c r="A118" s="7" t="s">
        <v>15</v>
      </c>
      <c r="B118" s="7" t="s">
        <v>16</v>
      </c>
      <c r="C118" s="7" t="s">
        <v>17</v>
      </c>
      <c r="D118" s="7"/>
      <c r="E118" s="7" t="s">
        <v>955</v>
      </c>
      <c r="F118" s="7" t="s">
        <v>19</v>
      </c>
      <c r="G118" s="7" t="s">
        <v>956</v>
      </c>
      <c r="H118" s="7" t="s">
        <v>17</v>
      </c>
      <c r="I118" s="7" t="s">
        <v>17</v>
      </c>
      <c r="J118" s="7" t="s">
        <v>957</v>
      </c>
    </row>
    <row r="119" spans="1:10" x14ac:dyDescent="0.25" outlineLevel="2" collapsed="1">
      <c r="A119" s="7" t="s">
        <v>15</v>
      </c>
      <c r="B119" s="7" t="s">
        <v>284</v>
      </c>
      <c r="C119" s="11" t="s">
        <v>958</v>
      </c>
      <c r="D119" s="7"/>
      <c r="E119" s="7" t="s">
        <v>959</v>
      </c>
      <c r="F119" s="7" t="s">
        <v>19</v>
      </c>
      <c r="G119" s="7" t="s">
        <v>960</v>
      </c>
      <c r="H119" s="7" t="s">
        <v>17</v>
      </c>
      <c r="I119" s="7" t="s">
        <v>17</v>
      </c>
      <c r="J119" s="7" t="s">
        <v>961</v>
      </c>
    </row>
    <row r="120" spans="1:10" x14ac:dyDescent="0.25" outlineLevel="2" collapsed="1">
      <c r="A120" s="7" t="s">
        <v>15</v>
      </c>
      <c r="B120" s="7" t="s">
        <v>16</v>
      </c>
      <c r="C120" s="7" t="s">
        <v>17</v>
      </c>
      <c r="D120" s="7"/>
      <c r="E120" s="7" t="s">
        <v>962</v>
      </c>
      <c r="F120" s="7" t="s">
        <v>19</v>
      </c>
      <c r="G120" s="7" t="s">
        <v>963</v>
      </c>
      <c r="H120" s="7" t="s">
        <v>17</v>
      </c>
      <c r="I120" s="7" t="s">
        <v>17</v>
      </c>
      <c r="J120" s="7" t="s">
        <v>964</v>
      </c>
    </row>
    <row r="121" spans="1:10" x14ac:dyDescent="0.25" outlineLevel="2" collapsed="1">
      <c r="A121" s="7" t="s">
        <v>19</v>
      </c>
      <c r="B121" s="7" t="s">
        <v>291</v>
      </c>
      <c r="C121" s="7" t="s">
        <v>17</v>
      </c>
      <c r="D121" s="7"/>
      <c r="E121" s="7" t="s">
        <v>965</v>
      </c>
      <c r="F121" s="7" t="s">
        <v>19</v>
      </c>
      <c r="G121" s="7" t="s">
        <v>293</v>
      </c>
      <c r="H121" s="7" t="s">
        <v>17</v>
      </c>
      <c r="I121" s="7" t="s">
        <v>17</v>
      </c>
      <c r="J121" s="7" t="s">
        <v>966</v>
      </c>
    </row>
    <row r="122" spans="1:10" x14ac:dyDescent="0.25" outlineLevel="2" collapsed="1">
      <c r="A122" s="7" t="s">
        <v>19</v>
      </c>
      <c r="B122" s="7" t="s">
        <v>16</v>
      </c>
      <c r="C122" s="7" t="s">
        <v>17</v>
      </c>
      <c r="D122" s="7"/>
      <c r="E122" s="7" t="s">
        <v>967</v>
      </c>
      <c r="F122" s="7" t="s">
        <v>19</v>
      </c>
      <c r="G122" s="7" t="s">
        <v>968</v>
      </c>
      <c r="H122" s="7" t="s">
        <v>17</v>
      </c>
      <c r="I122" s="7" t="s">
        <v>17</v>
      </c>
      <c r="J122" s="7" t="s">
        <v>843</v>
      </c>
    </row>
    <row r="123" spans="1:10" x14ac:dyDescent="0.25">
      <c r="A123" s="5" t="s">
        <v>19</v>
      </c>
      <c r="B123" s="6" t="s">
        <v>1966</v>
      </c>
      <c r="C123" s="5" t="s">
        <v>17</v>
      </c>
      <c r="D123" s="5"/>
      <c r="E123" s="5" t="s">
        <v>1967</v>
      </c>
      <c r="F123" s="5" t="s">
        <v>15</v>
      </c>
      <c r="G123" s="5" t="s">
        <v>17</v>
      </c>
      <c r="H123" s="5" t="s">
        <v>17</v>
      </c>
      <c r="I123" s="5" t="s">
        <v>17</v>
      </c>
      <c r="J123" s="5" t="s">
        <v>1968</v>
      </c>
    </row>
    <row r="124" spans="1:10" x14ac:dyDescent="0.25" outlineLevel="1" collapsed="1">
      <c r="A124" s="7" t="s">
        <v>15</v>
      </c>
      <c r="B124" s="7" t="s">
        <v>16</v>
      </c>
      <c r="C124" s="7" t="s">
        <v>17</v>
      </c>
      <c r="D124" s="7"/>
      <c r="E124" s="7" t="s">
        <v>1969</v>
      </c>
      <c r="F124" s="7" t="s">
        <v>19</v>
      </c>
      <c r="G124" s="7" t="s">
        <v>1970</v>
      </c>
      <c r="H124" s="7" t="s">
        <v>17</v>
      </c>
      <c r="I124" s="7" t="s">
        <v>17</v>
      </c>
      <c r="J124" s="7" t="s">
        <v>1971</v>
      </c>
    </row>
    <row r="125" spans="1:10" x14ac:dyDescent="0.25" outlineLevel="1" collapsed="1">
      <c r="A125" s="7" t="s">
        <v>15</v>
      </c>
      <c r="B125" s="7" t="s">
        <v>291</v>
      </c>
      <c r="C125" s="7" t="s">
        <v>17</v>
      </c>
      <c r="D125" s="7"/>
      <c r="E125" s="7" t="s">
        <v>1972</v>
      </c>
      <c r="F125" s="7" t="s">
        <v>19</v>
      </c>
      <c r="G125" s="7" t="s">
        <v>293</v>
      </c>
      <c r="H125" s="7" t="s">
        <v>17</v>
      </c>
      <c r="I125" s="7" t="s">
        <v>17</v>
      </c>
      <c r="J125" s="7" t="s">
        <v>1973</v>
      </c>
    </row>
    <row r="126" spans="1:10" x14ac:dyDescent="0.25" outlineLevel="1" collapsed="1">
      <c r="A126" s="7" t="s">
        <v>15</v>
      </c>
      <c r="B126" s="7" t="s">
        <v>16</v>
      </c>
      <c r="C126" s="7" t="s">
        <v>17</v>
      </c>
      <c r="D126" s="7"/>
      <c r="E126" s="7" t="s">
        <v>1974</v>
      </c>
      <c r="F126" s="7" t="s">
        <v>19</v>
      </c>
      <c r="G126" s="7" t="s">
        <v>1975</v>
      </c>
      <c r="H126" s="7" t="s">
        <v>17</v>
      </c>
      <c r="I126" s="7" t="s">
        <v>17</v>
      </c>
      <c r="J126" s="7" t="s">
        <v>1976</v>
      </c>
    </row>
    <row r="127" spans="1:10" x14ac:dyDescent="0.25" outlineLevel="1" collapsed="1">
      <c r="A127" s="7" t="s">
        <v>15</v>
      </c>
      <c r="B127" s="7" t="s">
        <v>16</v>
      </c>
      <c r="C127" s="7" t="s">
        <v>17</v>
      </c>
      <c r="D127" s="7"/>
      <c r="E127" s="7" t="s">
        <v>1977</v>
      </c>
      <c r="F127" s="7" t="s">
        <v>19</v>
      </c>
      <c r="G127" s="7" t="s">
        <v>1978</v>
      </c>
      <c r="H127" s="7" t="s">
        <v>17</v>
      </c>
      <c r="I127" s="7" t="s">
        <v>17</v>
      </c>
      <c r="J127" s="7" t="s">
        <v>1979</v>
      </c>
    </row>
    <row r="128" spans="1:10" x14ac:dyDescent="0.25" outlineLevel="1" collapsed="1">
      <c r="A128" s="7" t="s">
        <v>15</v>
      </c>
      <c r="B128" s="7" t="s">
        <v>16</v>
      </c>
      <c r="C128" s="7" t="s">
        <v>17</v>
      </c>
      <c r="D128" s="7"/>
      <c r="E128" s="7" t="s">
        <v>1980</v>
      </c>
      <c r="F128" s="7" t="s">
        <v>19</v>
      </c>
      <c r="G128" s="7" t="s">
        <v>1981</v>
      </c>
      <c r="H128" s="7" t="s">
        <v>17</v>
      </c>
      <c r="I128" s="7" t="s">
        <v>17</v>
      </c>
      <c r="J128" s="7" t="s">
        <v>1982</v>
      </c>
    </row>
    <row r="129" spans="1:10" x14ac:dyDescent="0.25" outlineLevel="1" collapsed="1">
      <c r="A129" s="7" t="s">
        <v>19</v>
      </c>
      <c r="B129" s="7" t="s">
        <v>16</v>
      </c>
      <c r="C129" s="7" t="s">
        <v>17</v>
      </c>
      <c r="D129" s="7"/>
      <c r="E129" s="7" t="s">
        <v>1983</v>
      </c>
      <c r="F129" s="7" t="s">
        <v>19</v>
      </c>
      <c r="G129" s="7" t="s">
        <v>31</v>
      </c>
      <c r="H129" s="7" t="s">
        <v>17</v>
      </c>
      <c r="I129" s="7" t="s">
        <v>17</v>
      </c>
      <c r="J129" s="7" t="s">
        <v>1984</v>
      </c>
    </row>
    <row r="130" spans="1:10" x14ac:dyDescent="0.25" outlineLevel="1" collapsed="1">
      <c r="A130" s="7" t="s">
        <v>15</v>
      </c>
      <c r="B130" s="7" t="s">
        <v>16</v>
      </c>
      <c r="C130" s="7" t="s">
        <v>17</v>
      </c>
      <c r="D130" s="7"/>
      <c r="E130" s="7" t="s">
        <v>1985</v>
      </c>
      <c r="F130" s="7" t="s">
        <v>19</v>
      </c>
      <c r="G130" s="7" t="s">
        <v>1986</v>
      </c>
      <c r="H130" s="7" t="s">
        <v>17</v>
      </c>
      <c r="I130" s="7" t="s">
        <v>17</v>
      </c>
      <c r="J130" s="7" t="s">
        <v>1987</v>
      </c>
    </row>
    <row r="131" spans="1:10" x14ac:dyDescent="0.25" outlineLevel="1" collapsed="1">
      <c r="A131" s="7" t="s">
        <v>15</v>
      </c>
      <c r="B131" s="7" t="s">
        <v>16</v>
      </c>
      <c r="C131" s="7" t="s">
        <v>17</v>
      </c>
      <c r="D131" s="7"/>
      <c r="E131" s="7" t="s">
        <v>1988</v>
      </c>
      <c r="F131" s="7" t="s">
        <v>19</v>
      </c>
      <c r="G131" s="7" t="s">
        <v>1989</v>
      </c>
      <c r="H131" s="7" t="s">
        <v>17</v>
      </c>
      <c r="I131" s="7" t="s">
        <v>17</v>
      </c>
      <c r="J131" s="7" t="s">
        <v>1990</v>
      </c>
    </row>
    <row r="132" spans="1:10" x14ac:dyDescent="0.25">
      <c r="A132" s="5" t="s">
        <v>19</v>
      </c>
      <c r="B132" s="6" t="s">
        <v>1991</v>
      </c>
      <c r="C132" s="5" t="s">
        <v>17</v>
      </c>
      <c r="D132" s="5"/>
      <c r="E132" s="5" t="s">
        <v>1992</v>
      </c>
      <c r="F132" s="5" t="s">
        <v>15</v>
      </c>
      <c r="G132" s="5" t="s">
        <v>17</v>
      </c>
      <c r="H132" s="5" t="s">
        <v>17</v>
      </c>
      <c r="I132" s="5" t="s">
        <v>17</v>
      </c>
      <c r="J132" s="5" t="s">
        <v>1993</v>
      </c>
    </row>
    <row r="133" spans="1:10" x14ac:dyDescent="0.25" outlineLevel="1" collapsed="1">
      <c r="A133" s="7" t="s">
        <v>15</v>
      </c>
      <c r="B133" s="7" t="s">
        <v>284</v>
      </c>
      <c r="C133" s="11" t="s">
        <v>1994</v>
      </c>
      <c r="D133" s="7"/>
      <c r="E133" s="7" t="s">
        <v>1995</v>
      </c>
      <c r="F133" s="7" t="s">
        <v>19</v>
      </c>
      <c r="G133" s="7" t="s">
        <v>1996</v>
      </c>
      <c r="H133" s="7" t="s">
        <v>17</v>
      </c>
      <c r="I133" s="7" t="s">
        <v>17</v>
      </c>
      <c r="J133" s="7" t="s">
        <v>1997</v>
      </c>
    </row>
    <row r="134" spans="1:10" x14ac:dyDescent="0.25" outlineLevel="1" collapsed="1">
      <c r="A134" s="7" t="s">
        <v>15</v>
      </c>
      <c r="B134" s="7" t="s">
        <v>16</v>
      </c>
      <c r="C134" s="7" t="s">
        <v>17</v>
      </c>
      <c r="D134" s="7"/>
      <c r="E134" s="7" t="s">
        <v>1998</v>
      </c>
      <c r="F134" s="7" t="s">
        <v>19</v>
      </c>
      <c r="G134" s="7" t="s">
        <v>1999</v>
      </c>
      <c r="H134" s="7" t="s">
        <v>17</v>
      </c>
      <c r="I134" s="7" t="s">
        <v>17</v>
      </c>
      <c r="J134" s="7" t="s">
        <v>1844</v>
      </c>
    </row>
    <row r="135" spans="1:10" x14ac:dyDescent="0.25" outlineLevel="1" collapsed="1">
      <c r="A135" s="7" t="s">
        <v>15</v>
      </c>
      <c r="B135" s="7" t="s">
        <v>159</v>
      </c>
      <c r="C135" s="7" t="s">
        <v>17</v>
      </c>
      <c r="D135" s="7"/>
      <c r="E135" s="7" t="s">
        <v>2000</v>
      </c>
      <c r="F135" s="7" t="s">
        <v>19</v>
      </c>
      <c r="G135" s="7" t="b">
        <v>1</v>
      </c>
      <c r="H135" s="7" t="s">
        <v>17</v>
      </c>
      <c r="I135" s="7" t="s">
        <v>17</v>
      </c>
      <c r="J135" s="7" t="s">
        <v>2001</v>
      </c>
    </row>
    <row r="136" spans="1:10" x14ac:dyDescent="0.25" outlineLevel="1" collapsed="1">
      <c r="A136" s="7" t="s">
        <v>15</v>
      </c>
      <c r="B136" s="7" t="s">
        <v>63</v>
      </c>
      <c r="C136" s="7" t="s">
        <v>17</v>
      </c>
      <c r="D136" s="7"/>
      <c r="E136" s="7" t="s">
        <v>2002</v>
      </c>
      <c r="F136" s="7" t="s">
        <v>19</v>
      </c>
      <c r="G136" s="7">
        <v>100</v>
      </c>
      <c r="H136" s="7" t="s">
        <v>17</v>
      </c>
      <c r="I136" s="7" t="s">
        <v>17</v>
      </c>
      <c r="J136" s="7" t="s">
        <v>2003</v>
      </c>
    </row>
    <row r="137" spans="1:10" x14ac:dyDescent="0.25" outlineLevel="1" collapsed="1">
      <c r="A137" s="7" t="s">
        <v>15</v>
      </c>
      <c r="B137" s="7" t="s">
        <v>63</v>
      </c>
      <c r="C137" s="7" t="s">
        <v>17</v>
      </c>
      <c r="D137" s="7"/>
      <c r="E137" s="7" t="s">
        <v>2004</v>
      </c>
      <c r="F137" s="7" t="s">
        <v>19</v>
      </c>
      <c r="G137" s="7">
        <v>0</v>
      </c>
      <c r="H137" s="7" t="s">
        <v>17</v>
      </c>
      <c r="I137" s="7" t="s">
        <v>17</v>
      </c>
      <c r="J137" s="7" t="s">
        <v>2005</v>
      </c>
    </row>
    <row r="138" spans="1:10" x14ac:dyDescent="0.25" outlineLevel="1" collapsed="1">
      <c r="A138" s="7" t="s">
        <v>19</v>
      </c>
      <c r="B138" s="7" t="s">
        <v>63</v>
      </c>
      <c r="C138" s="7" t="s">
        <v>17</v>
      </c>
      <c r="D138" s="7"/>
      <c r="E138" s="7" t="s">
        <v>2006</v>
      </c>
      <c r="F138" s="7" t="s">
        <v>19</v>
      </c>
      <c r="G138" s="7">
        <v>0</v>
      </c>
      <c r="H138" s="7" t="s">
        <v>17</v>
      </c>
      <c r="I138" s="7" t="s">
        <v>17</v>
      </c>
      <c r="J138" s="7" t="s">
        <v>2007</v>
      </c>
    </row>
    <row r="139" spans="1:10" x14ac:dyDescent="0.25" outlineLevel="1" collapsed="1">
      <c r="A139" s="7" t="s">
        <v>19</v>
      </c>
      <c r="B139" s="7" t="s">
        <v>16</v>
      </c>
      <c r="C139" s="7" t="s">
        <v>17</v>
      </c>
      <c r="D139" s="7"/>
      <c r="E139" s="7" t="s">
        <v>2008</v>
      </c>
      <c r="F139" s="7" t="s">
        <v>19</v>
      </c>
      <c r="G139" s="7" t="s">
        <v>2009</v>
      </c>
      <c r="H139" s="7" t="s">
        <v>17</v>
      </c>
      <c r="I139" s="7" t="s">
        <v>17</v>
      </c>
      <c r="J139" s="7" t="s">
        <v>2010</v>
      </c>
    </row>
  </sheetData>
  <mergeCells count="3">
    <mergeCell ref="A1:J1"/>
    <mergeCell ref="B2:J2"/>
    <mergeCell ref="B3:J3"/>
  </mergeCells>
  <dataValidations count="16">
    <dataValidation type="list" allowBlank="1" sqref="G10:I10">
      <formula1>'Enums'!C723:C725</formula1>
    </dataValidation>
    <dataValidation type="list" allowBlank="1" sqref="G101:I101">
      <formula1>'Enums'!C753:C755</formula1>
    </dataValidation>
    <dataValidation type="list" allowBlank="1" sqref="G102:I102">
      <formula1>'Enums'!C756:C758</formula1>
    </dataValidation>
    <dataValidation type="list" allowBlank="1" sqref="G105:I105">
      <formula1>'Enums'!C759:C760</formula1>
    </dataValidation>
    <dataValidation type="list" allowBlank="1" sqref="G110:I110">
      <formula1>'Enums'!C761:C762</formula1>
    </dataValidation>
    <dataValidation type="list" allowBlank="1" sqref="G119:I119">
      <formula1>'Enums'!C802:C810</formula1>
    </dataValidation>
    <dataValidation type="list" allowBlank="1" sqref="G13:I13">
      <formula1>'Enums'!C726:C728</formula1>
    </dataValidation>
    <dataValidation type="list" allowBlank="1" sqref="G133:I133">
      <formula1>'Enums'!C811:C812</formula1>
    </dataValidation>
    <dataValidation type="list" allowBlank="1" sqref="G19:I19">
      <formula1>'Enums'!C802:C810</formula1>
    </dataValidation>
    <dataValidation type="list" allowBlank="1" sqref="G23:I23">
      <formula1>'Enums'!C738:C741</formula1>
    </dataValidation>
    <dataValidation type="list" allowBlank="1" sqref="G44:I44">
      <formula1>'Enums'!C802:C810</formula1>
    </dataValidation>
    <dataValidation type="list" allowBlank="1" sqref="G59:I59">
      <formula1>'Enums'!C802:C810</formula1>
    </dataValidation>
    <dataValidation type="list" allowBlank="1" sqref="G75:I75">
      <formula1>'Enums'!C802:C810</formula1>
    </dataValidation>
    <dataValidation type="list" allowBlank="1" sqref="G80:I80">
      <formula1>'Enums'!C742:C749</formula1>
    </dataValidation>
    <dataValidation type="list" allowBlank="1" sqref="G87:I87">
      <formula1>'Enums'!C750:C752</formula1>
    </dataValidation>
    <dataValidation type="list" allowBlank="1" sqref="G90:I90">
      <formula1>'Enums'!C802:C810</formula1>
    </dataValidation>
  </dataValidations>
  <hyperlinks>
    <hyperlink ref="B6" r:id="rId1" location="#'VMR0015 Project Section - MR ('!A1"/>
    <hyperlink ref="B11" r:id="rId2" location="#'VMR0015 Water Quantity Record'!A1"/>
    <hyperlink ref="B17" r:id="rId3" location="#'Evidence item'!A1"/>
    <hyperlink ref="B25" r:id="rId4" location="#'VMR0015 Water Quantity Reco 2'!A1"/>
    <hyperlink ref="B29" r:id="rId5" location="#'VMR0015 Water Quantity Reco 3'!A1"/>
    <hyperlink ref="B34" r:id="rId6" location="#'VMR0015 Appliance Functionalit'!A1"/>
    <hyperlink ref="B42" r:id="rId7" location="#'Evidence item'!A1"/>
    <hyperlink ref="B48" r:id="rId8" location="#'SDW Public Distribution Networ'!A1"/>
    <hyperlink ref="B57" r:id="rId9" location="#'Evidence item'!A1"/>
    <hyperlink ref="B63" r:id="rId10" location="#'Biennial Water Quality Check ('!A1"/>
    <hyperlink ref="B73" r:id="rId11" location="#'Evidence item'!A1"/>
    <hyperlink ref="B79" r:id="rId12" location="#'VMR0015 Sampling Plan and Resu'!A1"/>
    <hyperlink ref="B88" r:id="rId13" location="#'Evidence item'!A1"/>
    <hyperlink ref="B99" r:id="rId14" location="#'VMR0015 fNRB Determination'!A1"/>
    <hyperlink ref="B117" r:id="rId15" location="#'Evidence item'!A1"/>
    <hyperlink ref="B123" r:id="rId16" location="#'Project device record (VMR0015'!A1"/>
    <hyperlink ref="B132" r:id="rId17" location="#'Interactive effects survey res'!A1"/>
  </hyperlinks>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3454</v>
      </c>
      <c r="B1" s="1"/>
      <c r="C1" s="1"/>
      <c r="D1" s="1"/>
      <c r="E1" s="1"/>
      <c r="F1" s="1"/>
      <c r="G1" s="1"/>
      <c r="H1" s="1"/>
      <c r="I1" s="1"/>
      <c r="J1" s="1"/>
    </row>
    <row r="2" spans="1:10" x14ac:dyDescent="0.25">
      <c r="A2" s="2" t="s">
        <v>1</v>
      </c>
      <c r="B2" s="3" t="s">
        <v>3455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3456</v>
      </c>
      <c r="F5" s="5" t="s">
        <v>19</v>
      </c>
      <c r="G5" s="5" t="s">
        <v>31</v>
      </c>
      <c r="H5" s="5" t="s">
        <v>17</v>
      </c>
      <c r="I5" s="5" t="s">
        <v>17</v>
      </c>
      <c r="J5" s="5" t="s">
        <v>944</v>
      </c>
    </row>
    <row r="6" spans="1:10" x14ac:dyDescent="0.25">
      <c r="A6" s="5" t="s">
        <v>15</v>
      </c>
      <c r="B6" s="5" t="s">
        <v>291</v>
      </c>
      <c r="C6" s="5" t="s">
        <v>17</v>
      </c>
      <c r="D6" s="5"/>
      <c r="E6" s="5" t="s">
        <v>30</v>
      </c>
      <c r="F6" s="5" t="s">
        <v>19</v>
      </c>
      <c r="G6" s="5" t="s">
        <v>950</v>
      </c>
      <c r="H6" s="5" t="s">
        <v>17</v>
      </c>
      <c r="I6" s="5" t="s">
        <v>17</v>
      </c>
      <c r="J6" s="5" t="s">
        <v>734</v>
      </c>
    </row>
    <row r="7" spans="1:10" x14ac:dyDescent="0.25">
      <c r="A7" s="5" t="s">
        <v>15</v>
      </c>
      <c r="B7" s="5" t="s">
        <v>291</v>
      </c>
      <c r="C7" s="5" t="s">
        <v>17</v>
      </c>
      <c r="D7" s="5"/>
      <c r="E7" s="5" t="s">
        <v>33</v>
      </c>
      <c r="F7" s="5" t="s">
        <v>19</v>
      </c>
      <c r="G7" s="5" t="s">
        <v>950</v>
      </c>
      <c r="H7" s="5" t="s">
        <v>17</v>
      </c>
      <c r="I7" s="5" t="s">
        <v>17</v>
      </c>
      <c r="J7" s="5" t="s">
        <v>735</v>
      </c>
    </row>
    <row r="8" spans="1:10" x14ac:dyDescent="0.25">
      <c r="A8" s="5" t="s">
        <v>15</v>
      </c>
      <c r="B8" s="5" t="s">
        <v>63</v>
      </c>
      <c r="C8" s="5" t="s">
        <v>17</v>
      </c>
      <c r="D8" s="5"/>
      <c r="E8" s="5" t="s">
        <v>3457</v>
      </c>
      <c r="F8" s="5" t="s">
        <v>19</v>
      </c>
      <c r="G8" s="5">
        <v>1</v>
      </c>
      <c r="H8" s="5" t="s">
        <v>17</v>
      </c>
      <c r="I8" s="5" t="s">
        <v>17</v>
      </c>
      <c r="J8" s="5" t="s">
        <v>3458</v>
      </c>
    </row>
    <row r="9" spans="1:10" x14ac:dyDescent="0.25">
      <c r="A9" s="5" t="s">
        <v>19</v>
      </c>
      <c r="B9" s="5" t="s">
        <v>63</v>
      </c>
      <c r="C9" s="5" t="s">
        <v>17</v>
      </c>
      <c r="D9" s="5"/>
      <c r="E9" s="5" t="s">
        <v>3459</v>
      </c>
      <c r="F9" s="5" t="s">
        <v>19</v>
      </c>
      <c r="G9" s="5">
        <v>1</v>
      </c>
      <c r="H9" s="5" t="s">
        <v>17</v>
      </c>
      <c r="I9" s="5" t="s">
        <v>17</v>
      </c>
      <c r="J9" s="5" t="s">
        <v>3460</v>
      </c>
    </row>
    <row r="10" spans="1:10" x14ac:dyDescent="0.25">
      <c r="A10" s="5" t="s">
        <v>19</v>
      </c>
      <c r="B10" s="5" t="s">
        <v>63</v>
      </c>
      <c r="C10" s="5" t="s">
        <v>17</v>
      </c>
      <c r="D10" s="5"/>
      <c r="E10" s="5" t="s">
        <v>3461</v>
      </c>
      <c r="F10" s="5" t="s">
        <v>19</v>
      </c>
      <c r="G10" s="5">
        <v>1</v>
      </c>
      <c r="H10" s="5" t="s">
        <v>17</v>
      </c>
      <c r="I10" s="5" t="s">
        <v>17</v>
      </c>
      <c r="J10" s="5" t="s">
        <v>3462</v>
      </c>
    </row>
    <row r="11" spans="1:10" x14ac:dyDescent="0.25">
      <c r="A11" s="5" t="s">
        <v>15</v>
      </c>
      <c r="B11" s="5" t="s">
        <v>63</v>
      </c>
      <c r="C11" s="5" t="s">
        <v>17</v>
      </c>
      <c r="D11" s="5"/>
      <c r="E11" s="5" t="s">
        <v>3463</v>
      </c>
      <c r="F11" s="5" t="s">
        <v>19</v>
      </c>
      <c r="G11" s="5">
        <v>1</v>
      </c>
      <c r="H11" s="5" t="s">
        <v>17</v>
      </c>
      <c r="I11" s="5" t="s">
        <v>17</v>
      </c>
      <c r="J11" s="5" t="s">
        <v>3464</v>
      </c>
    </row>
    <row r="12" spans="1:10" x14ac:dyDescent="0.25">
      <c r="A12" s="5" t="s">
        <v>15</v>
      </c>
      <c r="B12" s="5" t="s">
        <v>63</v>
      </c>
      <c r="C12" s="5" t="s">
        <v>17</v>
      </c>
      <c r="D12" s="5"/>
      <c r="E12" s="5" t="s">
        <v>3465</v>
      </c>
      <c r="F12" s="5" t="s">
        <v>19</v>
      </c>
      <c r="G12" s="5">
        <v>1</v>
      </c>
      <c r="H12" s="5" t="s">
        <v>17</v>
      </c>
      <c r="I12" s="5" t="s">
        <v>17</v>
      </c>
      <c r="J12" s="5" t="s">
        <v>3466</v>
      </c>
    </row>
    <row r="13" spans="1:10" x14ac:dyDescent="0.25">
      <c r="A13" s="5" t="s">
        <v>15</v>
      </c>
      <c r="B13" s="5" t="s">
        <v>63</v>
      </c>
      <c r="C13" s="5" t="s">
        <v>17</v>
      </c>
      <c r="D13" s="5"/>
      <c r="E13" s="5" t="s">
        <v>3467</v>
      </c>
      <c r="F13" s="5" t="s">
        <v>19</v>
      </c>
      <c r="G13" s="5">
        <v>1</v>
      </c>
      <c r="H13" s="5" t="s">
        <v>17</v>
      </c>
      <c r="I13" s="5" t="s">
        <v>17</v>
      </c>
      <c r="J13" s="5" t="s">
        <v>3468</v>
      </c>
    </row>
    <row r="14" spans="1:10" x14ac:dyDescent="0.25">
      <c r="A14" s="5" t="s">
        <v>15</v>
      </c>
      <c r="B14" s="5" t="s">
        <v>63</v>
      </c>
      <c r="C14" s="5" t="s">
        <v>17</v>
      </c>
      <c r="D14" s="5"/>
      <c r="E14" s="5" t="s">
        <v>3469</v>
      </c>
      <c r="F14" s="5" t="s">
        <v>19</v>
      </c>
      <c r="G14" s="5">
        <v>1</v>
      </c>
      <c r="H14" s="5" t="s">
        <v>17</v>
      </c>
      <c r="I14" s="5" t="s">
        <v>17</v>
      </c>
      <c r="J14" s="5" t="s">
        <v>3470</v>
      </c>
    </row>
    <row r="15" spans="1:10" x14ac:dyDescent="0.25">
      <c r="A15" s="5" t="s">
        <v>15</v>
      </c>
      <c r="B15" s="5" t="s">
        <v>63</v>
      </c>
      <c r="C15" s="5" t="s">
        <v>17</v>
      </c>
      <c r="D15" s="5"/>
      <c r="E15" s="5" t="s">
        <v>3471</v>
      </c>
      <c r="F15" s="5" t="s">
        <v>19</v>
      </c>
      <c r="G15" s="5">
        <v>1</v>
      </c>
      <c r="H15" s="5" t="s">
        <v>17</v>
      </c>
      <c r="I15" s="5" t="s">
        <v>17</v>
      </c>
      <c r="J15" s="5" t="s">
        <v>3472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3473</v>
      </c>
      <c r="B1" s="1"/>
      <c r="C1" s="1"/>
      <c r="D1" s="1"/>
      <c r="E1" s="1"/>
      <c r="F1" s="1"/>
      <c r="G1" s="1"/>
      <c r="H1" s="1"/>
      <c r="I1" s="1"/>
      <c r="J1" s="1"/>
    </row>
    <row r="2" spans="1:10" x14ac:dyDescent="0.25">
      <c r="A2" s="2" t="s">
        <v>1</v>
      </c>
      <c r="B2" s="3" t="s">
        <v>3474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943</v>
      </c>
      <c r="F5" s="5" t="s">
        <v>19</v>
      </c>
      <c r="G5" s="5" t="s">
        <v>31</v>
      </c>
      <c r="H5" s="5" t="s">
        <v>17</v>
      </c>
      <c r="I5" s="5" t="s">
        <v>17</v>
      </c>
      <c r="J5" s="5" t="s">
        <v>944</v>
      </c>
    </row>
    <row r="6" spans="1:10" x14ac:dyDescent="0.25">
      <c r="A6" s="5" t="s">
        <v>15</v>
      </c>
      <c r="B6" s="5" t="s">
        <v>63</v>
      </c>
      <c r="C6" s="5" t="s">
        <v>17</v>
      </c>
      <c r="D6" s="5"/>
      <c r="E6" s="5" t="s">
        <v>3475</v>
      </c>
      <c r="F6" s="5" t="s">
        <v>19</v>
      </c>
      <c r="G6" s="5">
        <v>1</v>
      </c>
      <c r="H6" s="5" t="s">
        <v>17</v>
      </c>
      <c r="I6" s="5" t="s">
        <v>17</v>
      </c>
      <c r="J6" s="5" t="s">
        <v>636</v>
      </c>
    </row>
    <row r="7" spans="1:10" x14ac:dyDescent="0.25">
      <c r="A7" s="5" t="s">
        <v>19</v>
      </c>
      <c r="B7" s="5" t="s">
        <v>63</v>
      </c>
      <c r="C7" s="5" t="s">
        <v>17</v>
      </c>
      <c r="D7" s="5"/>
      <c r="E7" s="5" t="s">
        <v>3476</v>
      </c>
      <c r="F7" s="5" t="s">
        <v>19</v>
      </c>
      <c r="G7" s="5">
        <v>1</v>
      </c>
      <c r="H7" s="5" t="s">
        <v>17</v>
      </c>
      <c r="I7" s="5" t="s">
        <v>17</v>
      </c>
      <c r="J7" s="5" t="s">
        <v>1684</v>
      </c>
    </row>
    <row r="8" spans="1:10" x14ac:dyDescent="0.25">
      <c r="A8" s="5" t="s">
        <v>19</v>
      </c>
      <c r="B8" s="5" t="s">
        <v>63</v>
      </c>
      <c r="C8" s="5" t="s">
        <v>17</v>
      </c>
      <c r="D8" s="5"/>
      <c r="E8" s="5" t="s">
        <v>3477</v>
      </c>
      <c r="F8" s="5" t="s">
        <v>19</v>
      </c>
      <c r="G8" s="5">
        <v>1</v>
      </c>
      <c r="H8" s="5" t="s">
        <v>17</v>
      </c>
      <c r="I8" s="5" t="s">
        <v>17</v>
      </c>
      <c r="J8" s="5" t="s">
        <v>3478</v>
      </c>
    </row>
    <row r="9" spans="1:10" x14ac:dyDescent="0.25">
      <c r="A9" s="5" t="s">
        <v>19</v>
      </c>
      <c r="B9" s="5" t="s">
        <v>63</v>
      </c>
      <c r="C9" s="5" t="s">
        <v>17</v>
      </c>
      <c r="D9" s="5"/>
      <c r="E9" s="5" t="s">
        <v>3479</v>
      </c>
      <c r="F9" s="5" t="s">
        <v>19</v>
      </c>
      <c r="G9" s="5">
        <v>1</v>
      </c>
      <c r="H9" s="5" t="s">
        <v>17</v>
      </c>
      <c r="I9" s="5" t="s">
        <v>17</v>
      </c>
      <c r="J9" s="5" t="s">
        <v>3480</v>
      </c>
    </row>
    <row r="10" spans="1:10" x14ac:dyDescent="0.25">
      <c r="A10" s="5" t="s">
        <v>19</v>
      </c>
      <c r="B10" s="5" t="s">
        <v>63</v>
      </c>
      <c r="C10" s="5" t="s">
        <v>17</v>
      </c>
      <c r="D10" s="5"/>
      <c r="E10" s="5" t="s">
        <v>3481</v>
      </c>
      <c r="F10" s="5" t="s">
        <v>19</v>
      </c>
      <c r="G10" s="5">
        <v>1</v>
      </c>
      <c r="H10" s="5" t="s">
        <v>17</v>
      </c>
      <c r="I10" s="5" t="s">
        <v>17</v>
      </c>
      <c r="J10" s="5" t="s">
        <v>3482</v>
      </c>
    </row>
    <row r="11" spans="1:10" x14ac:dyDescent="0.25">
      <c r="A11" s="5" t="s">
        <v>15</v>
      </c>
      <c r="B11" s="5" t="s">
        <v>63</v>
      </c>
      <c r="C11" s="5" t="s">
        <v>17</v>
      </c>
      <c r="D11" s="5"/>
      <c r="E11" s="5" t="s">
        <v>3483</v>
      </c>
      <c r="F11" s="5" t="s">
        <v>19</v>
      </c>
      <c r="G11" s="5">
        <v>1</v>
      </c>
      <c r="H11" s="5" t="s">
        <v>17</v>
      </c>
      <c r="I11" s="5" t="s">
        <v>17</v>
      </c>
      <c r="J11" s="5" t="s">
        <v>3484</v>
      </c>
    </row>
    <row r="12" spans="1:10" x14ac:dyDescent="0.25">
      <c r="A12" s="5" t="s">
        <v>15</v>
      </c>
      <c r="B12" s="5" t="s">
        <v>63</v>
      </c>
      <c r="C12" s="5" t="s">
        <v>17</v>
      </c>
      <c r="D12" s="5"/>
      <c r="E12" s="5" t="s">
        <v>3485</v>
      </c>
      <c r="F12" s="5" t="s">
        <v>19</v>
      </c>
      <c r="G12" s="5">
        <v>1</v>
      </c>
      <c r="H12" s="5" t="s">
        <v>17</v>
      </c>
      <c r="I12" s="5" t="s">
        <v>17</v>
      </c>
      <c r="J12" s="5" t="s">
        <v>1669</v>
      </c>
    </row>
    <row r="13" spans="1:10" x14ac:dyDescent="0.25">
      <c r="A13" s="5" t="s">
        <v>19</v>
      </c>
      <c r="B13" s="5" t="s">
        <v>63</v>
      </c>
      <c r="C13" s="5" t="s">
        <v>17</v>
      </c>
      <c r="D13" s="5"/>
      <c r="E13" s="5" t="s">
        <v>3486</v>
      </c>
      <c r="F13" s="5" t="s">
        <v>19</v>
      </c>
      <c r="G13" s="5">
        <v>1</v>
      </c>
      <c r="H13" s="5" t="s">
        <v>17</v>
      </c>
      <c r="I13" s="5" t="s">
        <v>17</v>
      </c>
      <c r="J13" s="5" t="s">
        <v>1693</v>
      </c>
    </row>
    <row r="14" spans="1:10" x14ac:dyDescent="0.25">
      <c r="A14" s="5" t="s">
        <v>15</v>
      </c>
      <c r="B14" s="5" t="s">
        <v>63</v>
      </c>
      <c r="C14" s="5" t="s">
        <v>17</v>
      </c>
      <c r="D14" s="5"/>
      <c r="E14" s="5" t="s">
        <v>3487</v>
      </c>
      <c r="F14" s="5" t="s">
        <v>19</v>
      </c>
      <c r="G14" s="5">
        <v>1</v>
      </c>
      <c r="H14" s="5" t="s">
        <v>17</v>
      </c>
      <c r="I14" s="5" t="s">
        <v>17</v>
      </c>
      <c r="J14" s="5" t="s">
        <v>3488</v>
      </c>
    </row>
    <row r="15" spans="1:10" x14ac:dyDescent="0.25">
      <c r="A15" s="5" t="s">
        <v>15</v>
      </c>
      <c r="B15" s="5" t="s">
        <v>63</v>
      </c>
      <c r="C15" s="5" t="s">
        <v>17</v>
      </c>
      <c r="D15" s="5"/>
      <c r="E15" s="5" t="s">
        <v>3489</v>
      </c>
      <c r="F15" s="5" t="s">
        <v>19</v>
      </c>
      <c r="G15" s="5">
        <v>1</v>
      </c>
      <c r="H15" s="5" t="s">
        <v>17</v>
      </c>
      <c r="I15" s="5" t="s">
        <v>17</v>
      </c>
      <c r="J15" s="5" t="s">
        <v>3490</v>
      </c>
    </row>
    <row r="16" spans="1:10" x14ac:dyDescent="0.25">
      <c r="A16" s="5" t="s">
        <v>19</v>
      </c>
      <c r="B16" s="5" t="s">
        <v>63</v>
      </c>
      <c r="C16" s="5" t="s">
        <v>17</v>
      </c>
      <c r="D16" s="5"/>
      <c r="E16" s="5" t="s">
        <v>3491</v>
      </c>
      <c r="F16" s="5" t="s">
        <v>19</v>
      </c>
      <c r="G16" s="5">
        <v>1</v>
      </c>
      <c r="H16" s="5" t="s">
        <v>17</v>
      </c>
      <c r="I16" s="5" t="s">
        <v>17</v>
      </c>
      <c r="J16" s="5" t="s">
        <v>1632</v>
      </c>
    </row>
    <row r="17" spans="1:10" x14ac:dyDescent="0.25">
      <c r="A17" s="5" t="s">
        <v>19</v>
      </c>
      <c r="B17" s="5" t="s">
        <v>63</v>
      </c>
      <c r="C17" s="5" t="s">
        <v>17</v>
      </c>
      <c r="D17" s="5"/>
      <c r="E17" s="5" t="s">
        <v>3492</v>
      </c>
      <c r="F17" s="5" t="s">
        <v>19</v>
      </c>
      <c r="G17" s="5">
        <v>1</v>
      </c>
      <c r="H17" s="5" t="s">
        <v>17</v>
      </c>
      <c r="I17" s="5" t="s">
        <v>17</v>
      </c>
      <c r="J17" s="5" t="s">
        <v>1624</v>
      </c>
    </row>
    <row r="18" spans="1:10" x14ac:dyDescent="0.25">
      <c r="A18" s="5" t="s">
        <v>15</v>
      </c>
      <c r="B18" s="5" t="s">
        <v>63</v>
      </c>
      <c r="C18" s="5" t="s">
        <v>17</v>
      </c>
      <c r="D18" s="5"/>
      <c r="E18" s="5" t="s">
        <v>3493</v>
      </c>
      <c r="F18" s="5" t="s">
        <v>19</v>
      </c>
      <c r="G18" s="5">
        <v>1</v>
      </c>
      <c r="H18" s="5" t="s">
        <v>17</v>
      </c>
      <c r="I18" s="5" t="s">
        <v>17</v>
      </c>
      <c r="J18" s="5" t="s">
        <v>3494</v>
      </c>
    </row>
    <row r="19" spans="1:10" x14ac:dyDescent="0.25">
      <c r="A19" s="5" t="s">
        <v>19</v>
      </c>
      <c r="B19" s="5" t="s">
        <v>63</v>
      </c>
      <c r="C19" s="5" t="s">
        <v>17</v>
      </c>
      <c r="D19" s="5"/>
      <c r="E19" s="5" t="s">
        <v>3495</v>
      </c>
      <c r="F19" s="5" t="s">
        <v>19</v>
      </c>
      <c r="G19" s="5">
        <v>1</v>
      </c>
      <c r="H19" s="5" t="s">
        <v>17</v>
      </c>
      <c r="I19" s="5" t="s">
        <v>17</v>
      </c>
      <c r="J19" s="5" t="s">
        <v>3460</v>
      </c>
    </row>
    <row r="20" spans="1:10" x14ac:dyDescent="0.25">
      <c r="A20" s="5" t="s">
        <v>19</v>
      </c>
      <c r="B20" s="5" t="s">
        <v>63</v>
      </c>
      <c r="C20" s="5" t="s">
        <v>17</v>
      </c>
      <c r="D20" s="5"/>
      <c r="E20" s="5" t="s">
        <v>3496</v>
      </c>
      <c r="F20" s="5" t="s">
        <v>19</v>
      </c>
      <c r="G20" s="5">
        <v>1</v>
      </c>
      <c r="H20" s="5" t="s">
        <v>17</v>
      </c>
      <c r="I20" s="5" t="s">
        <v>17</v>
      </c>
      <c r="J20" s="5" t="s">
        <v>3462</v>
      </c>
    </row>
    <row r="21" spans="1:10" x14ac:dyDescent="0.25">
      <c r="A21" s="5" t="s">
        <v>15</v>
      </c>
      <c r="B21" s="5" t="s">
        <v>63</v>
      </c>
      <c r="C21" s="5" t="s">
        <v>17</v>
      </c>
      <c r="D21" s="5"/>
      <c r="E21" s="5" t="s">
        <v>3497</v>
      </c>
      <c r="F21" s="5" t="s">
        <v>19</v>
      </c>
      <c r="G21" s="5">
        <v>1</v>
      </c>
      <c r="H21" s="5" t="s">
        <v>17</v>
      </c>
      <c r="I21" s="5" t="s">
        <v>17</v>
      </c>
      <c r="J21" s="5" t="s">
        <v>3498</v>
      </c>
    </row>
    <row r="22" spans="1:10" x14ac:dyDescent="0.25">
      <c r="A22" s="5" t="s">
        <v>15</v>
      </c>
      <c r="B22" s="5" t="s">
        <v>63</v>
      </c>
      <c r="C22" s="5" t="s">
        <v>17</v>
      </c>
      <c r="D22" s="5"/>
      <c r="E22" s="5" t="s">
        <v>3499</v>
      </c>
      <c r="F22" s="5" t="s">
        <v>19</v>
      </c>
      <c r="G22" s="5">
        <v>1</v>
      </c>
      <c r="H22" s="5" t="s">
        <v>17</v>
      </c>
      <c r="I22" s="5" t="s">
        <v>17</v>
      </c>
      <c r="J22" s="5" t="s">
        <v>3500</v>
      </c>
    </row>
    <row r="23" spans="1:10" x14ac:dyDescent="0.25">
      <c r="A23" s="5" t="s">
        <v>15</v>
      </c>
      <c r="B23" s="5" t="s">
        <v>63</v>
      </c>
      <c r="C23" s="5" t="s">
        <v>17</v>
      </c>
      <c r="D23" s="5"/>
      <c r="E23" s="5" t="s">
        <v>3501</v>
      </c>
      <c r="F23" s="5" t="s">
        <v>19</v>
      </c>
      <c r="G23" s="5">
        <v>1</v>
      </c>
      <c r="H23" s="5" t="s">
        <v>17</v>
      </c>
      <c r="I23" s="5" t="s">
        <v>17</v>
      </c>
      <c r="J23" s="5" t="s">
        <v>3502</v>
      </c>
    </row>
    <row r="24" spans="1:10" x14ac:dyDescent="0.25">
      <c r="A24" s="5" t="s">
        <v>15</v>
      </c>
      <c r="B24" s="5" t="s">
        <v>63</v>
      </c>
      <c r="C24" s="5" t="s">
        <v>17</v>
      </c>
      <c r="D24" s="5"/>
      <c r="E24" s="5" t="s">
        <v>3503</v>
      </c>
      <c r="F24" s="5" t="s">
        <v>19</v>
      </c>
      <c r="G24" s="5">
        <v>1</v>
      </c>
      <c r="H24" s="5" t="s">
        <v>17</v>
      </c>
      <c r="I24" s="5" t="s">
        <v>17</v>
      </c>
      <c r="J24" s="5" t="s">
        <v>3504</v>
      </c>
    </row>
    <row r="25" spans="1:10" x14ac:dyDescent="0.25">
      <c r="A25" s="5" t="s">
        <v>15</v>
      </c>
      <c r="B25" s="5" t="s">
        <v>63</v>
      </c>
      <c r="C25" s="5" t="s">
        <v>17</v>
      </c>
      <c r="D25" s="5"/>
      <c r="E25" s="5" t="s">
        <v>3505</v>
      </c>
      <c r="F25" s="5" t="s">
        <v>19</v>
      </c>
      <c r="G25" s="5">
        <v>1</v>
      </c>
      <c r="H25" s="5" t="s">
        <v>17</v>
      </c>
      <c r="I25" s="5" t="s">
        <v>17</v>
      </c>
      <c r="J25" s="5" t="s">
        <v>3506</v>
      </c>
    </row>
    <row r="26" spans="1:10" x14ac:dyDescent="0.25">
      <c r="A26" s="5" t="s">
        <v>19</v>
      </c>
      <c r="B26" s="6" t="s">
        <v>3507</v>
      </c>
      <c r="C26" s="5" t="s">
        <v>17</v>
      </c>
      <c r="D26" s="5"/>
      <c r="E26" s="5" t="s">
        <v>3508</v>
      </c>
      <c r="F26" s="5" t="s">
        <v>15</v>
      </c>
      <c r="G26" s="5" t="s">
        <v>17</v>
      </c>
      <c r="H26" s="5" t="s">
        <v>17</v>
      </c>
      <c r="I26" s="5" t="s">
        <v>17</v>
      </c>
      <c r="J26" s="5" t="s">
        <v>3509</v>
      </c>
    </row>
    <row r="27" spans="1:10" x14ac:dyDescent="0.25" outlineLevel="1" collapsed="1">
      <c r="A27" s="7" t="s">
        <v>19</v>
      </c>
      <c r="B27" s="7" t="s">
        <v>16</v>
      </c>
      <c r="C27" s="7" t="s">
        <v>17</v>
      </c>
      <c r="D27" s="7"/>
      <c r="E27" s="7" t="s">
        <v>3510</v>
      </c>
      <c r="F27" s="7" t="s">
        <v>19</v>
      </c>
      <c r="G27" s="7" t="s">
        <v>1669</v>
      </c>
      <c r="H27" s="7" t="s">
        <v>17</v>
      </c>
      <c r="I27" s="7" t="s">
        <v>17</v>
      </c>
      <c r="J27" s="7" t="s">
        <v>1894</v>
      </c>
    </row>
    <row r="28" spans="1:10" x14ac:dyDescent="0.25" outlineLevel="1" collapsed="1">
      <c r="A28" s="7" t="s">
        <v>19</v>
      </c>
      <c r="B28" s="7" t="s">
        <v>63</v>
      </c>
      <c r="C28" s="7" t="s">
        <v>17</v>
      </c>
      <c r="D28" s="7"/>
      <c r="E28" s="7" t="s">
        <v>3511</v>
      </c>
      <c r="F28" s="7" t="s">
        <v>19</v>
      </c>
      <c r="G28" s="7">
        <v>90</v>
      </c>
      <c r="H28" s="7" t="s">
        <v>17</v>
      </c>
      <c r="I28" s="7" t="s">
        <v>17</v>
      </c>
      <c r="J28" s="7" t="s">
        <v>3512</v>
      </c>
    </row>
    <row r="29" spans="1:10" x14ac:dyDescent="0.25" outlineLevel="1" collapsed="1">
      <c r="A29" s="7" t="s">
        <v>19</v>
      </c>
      <c r="B29" s="7" t="s">
        <v>63</v>
      </c>
      <c r="C29" s="7" t="s">
        <v>17</v>
      </c>
      <c r="D29" s="7"/>
      <c r="E29" s="7" t="s">
        <v>3513</v>
      </c>
      <c r="F29" s="7" t="s">
        <v>19</v>
      </c>
      <c r="G29" s="7">
        <v>10</v>
      </c>
      <c r="H29" s="7" t="s">
        <v>17</v>
      </c>
      <c r="I29" s="7" t="s">
        <v>17</v>
      </c>
      <c r="J29" s="7" t="s">
        <v>3514</v>
      </c>
    </row>
    <row r="30" spans="1:10" x14ac:dyDescent="0.25" outlineLevel="1" collapsed="1">
      <c r="A30" s="7" t="s">
        <v>19</v>
      </c>
      <c r="B30" s="7" t="s">
        <v>63</v>
      </c>
      <c r="C30" s="7" t="s">
        <v>17</v>
      </c>
      <c r="D30" s="7"/>
      <c r="E30" s="7" t="s">
        <v>3515</v>
      </c>
      <c r="F30" s="7" t="s">
        <v>19</v>
      </c>
      <c r="G30" s="7">
        <v>500</v>
      </c>
      <c r="H30" s="7" t="s">
        <v>17</v>
      </c>
      <c r="I30" s="7" t="s">
        <v>17</v>
      </c>
      <c r="J30" s="7" t="s">
        <v>3516</v>
      </c>
    </row>
    <row r="31" spans="1:10" x14ac:dyDescent="0.25" outlineLevel="1" collapsed="1">
      <c r="A31" s="7" t="s">
        <v>19</v>
      </c>
      <c r="B31" s="7" t="s">
        <v>63</v>
      </c>
      <c r="C31" s="7" t="s">
        <v>17</v>
      </c>
      <c r="D31" s="7"/>
      <c r="E31" s="7" t="s">
        <v>3517</v>
      </c>
      <c r="F31" s="7" t="s">
        <v>19</v>
      </c>
      <c r="G31" s="7">
        <v>0.8</v>
      </c>
      <c r="H31" s="7" t="s">
        <v>17</v>
      </c>
      <c r="I31" s="7" t="s">
        <v>17</v>
      </c>
      <c r="J31" s="7" t="s">
        <v>3518</v>
      </c>
    </row>
    <row r="32" spans="1:10" x14ac:dyDescent="0.25" outlineLevel="1" collapsed="1">
      <c r="A32" s="7" t="s">
        <v>19</v>
      </c>
      <c r="B32" s="7" t="s">
        <v>63</v>
      </c>
      <c r="C32" s="7" t="s">
        <v>17</v>
      </c>
      <c r="D32" s="7"/>
      <c r="E32" s="7" t="s">
        <v>3519</v>
      </c>
      <c r="F32" s="7" t="s">
        <v>19</v>
      </c>
      <c r="G32" s="7">
        <v>100</v>
      </c>
      <c r="H32" s="7" t="s">
        <v>17</v>
      </c>
      <c r="I32" s="7" t="s">
        <v>17</v>
      </c>
      <c r="J32" s="7" t="s">
        <v>1900</v>
      </c>
    </row>
    <row r="33" spans="1:10" x14ac:dyDescent="0.25" outlineLevel="1" collapsed="1">
      <c r="A33" s="7" t="s">
        <v>19</v>
      </c>
      <c r="B33" s="7" t="s">
        <v>63</v>
      </c>
      <c r="C33" s="7" t="s">
        <v>17</v>
      </c>
      <c r="D33" s="7"/>
      <c r="E33" s="7" t="s">
        <v>3520</v>
      </c>
      <c r="F33" s="7" t="s">
        <v>19</v>
      </c>
      <c r="G33" s="7">
        <v>0</v>
      </c>
      <c r="H33" s="7" t="s">
        <v>17</v>
      </c>
      <c r="I33" s="7" t="s">
        <v>17</v>
      </c>
      <c r="J33" s="7" t="s">
        <v>3521</v>
      </c>
    </row>
    <row r="34" spans="1:10" x14ac:dyDescent="0.25" outlineLevel="1" collapsed="1">
      <c r="A34" s="7" t="s">
        <v>19</v>
      </c>
      <c r="B34" s="7" t="s">
        <v>63</v>
      </c>
      <c r="C34" s="7" t="s">
        <v>17</v>
      </c>
      <c r="D34" s="7"/>
      <c r="E34" s="7" t="s">
        <v>3522</v>
      </c>
      <c r="F34" s="7" t="s">
        <v>19</v>
      </c>
      <c r="G34" s="7">
        <v>30</v>
      </c>
      <c r="H34" s="7" t="s">
        <v>17</v>
      </c>
      <c r="I34" s="7" t="s">
        <v>17</v>
      </c>
      <c r="J34" s="7" t="s">
        <v>3523</v>
      </c>
    </row>
    <row r="35" spans="1:10" x14ac:dyDescent="0.25" outlineLevel="1" collapsed="1">
      <c r="A35" s="7" t="s">
        <v>19</v>
      </c>
      <c r="B35" s="7" t="s">
        <v>159</v>
      </c>
      <c r="C35" s="7" t="s">
        <v>17</v>
      </c>
      <c r="D35" s="7"/>
      <c r="E35" s="7" t="s">
        <v>3524</v>
      </c>
      <c r="F35" s="7" t="s">
        <v>19</v>
      </c>
      <c r="G35" s="7" t="b">
        <v>1</v>
      </c>
      <c r="H35" s="7" t="s">
        <v>17</v>
      </c>
      <c r="I35" s="7" t="s">
        <v>17</v>
      </c>
      <c r="J35" s="7" t="s">
        <v>3525</v>
      </c>
    </row>
    <row r="36" spans="1:10" x14ac:dyDescent="0.25" outlineLevel="1" collapsed="1">
      <c r="A36" s="7" t="s">
        <v>19</v>
      </c>
      <c r="B36" s="7" t="s">
        <v>159</v>
      </c>
      <c r="C36" s="7" t="s">
        <v>17</v>
      </c>
      <c r="D36" s="7"/>
      <c r="E36" s="7" t="s">
        <v>3526</v>
      </c>
      <c r="F36" s="7" t="s">
        <v>19</v>
      </c>
      <c r="G36" s="7" t="b">
        <v>1</v>
      </c>
      <c r="H36" s="7" t="s">
        <v>17</v>
      </c>
      <c r="I36" s="7" t="s">
        <v>17</v>
      </c>
      <c r="J36" s="7" t="s">
        <v>3527</v>
      </c>
    </row>
    <row r="37" spans="1:10" x14ac:dyDescent="0.25" outlineLevel="1" collapsed="1">
      <c r="A37" s="7" t="s">
        <v>19</v>
      </c>
      <c r="B37" s="7" t="s">
        <v>16</v>
      </c>
      <c r="C37" s="7" t="s">
        <v>17</v>
      </c>
      <c r="D37" s="7"/>
      <c r="E37" s="7" t="s">
        <v>3528</v>
      </c>
      <c r="F37" s="7" t="s">
        <v>19</v>
      </c>
      <c r="G37" s="7" t="s">
        <v>31</v>
      </c>
      <c r="H37" s="7" t="s">
        <v>17</v>
      </c>
      <c r="I37" s="7" t="s">
        <v>17</v>
      </c>
      <c r="J37" s="7" t="s">
        <v>3529</v>
      </c>
    </row>
  </sheetData>
  <mergeCells count="3">
    <mergeCell ref="A1:J1"/>
    <mergeCell ref="B2:J2"/>
    <mergeCell ref="B3:J3"/>
  </mergeCells>
  <hyperlinks>
    <hyperlink ref="B26" r:id="rId1" location="#'Sampling check row (ERR)'!A1"/>
  </hyperlinks>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3530</v>
      </c>
      <c r="B1" s="1"/>
      <c r="C1" s="1"/>
      <c r="D1" s="1"/>
      <c r="E1" s="1"/>
      <c r="F1" s="1"/>
      <c r="G1" s="1"/>
      <c r="H1" s="1"/>
      <c r="I1" s="1"/>
      <c r="J1" s="1"/>
    </row>
    <row r="2" spans="1:10" x14ac:dyDescent="0.25">
      <c r="A2" s="2" t="s">
        <v>1</v>
      </c>
      <c r="B2" s="3" t="s">
        <v>3531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3532</v>
      </c>
      <c r="C5" s="5" t="s">
        <v>17</v>
      </c>
      <c r="D5" s="5"/>
      <c r="E5" s="5" t="s">
        <v>3533</v>
      </c>
      <c r="F5" s="5" t="s">
        <v>15</v>
      </c>
      <c r="G5" s="5" t="s">
        <v>17</v>
      </c>
      <c r="H5" s="5" t="s">
        <v>17</v>
      </c>
      <c r="I5" s="5" t="s">
        <v>17</v>
      </c>
      <c r="J5" s="5" t="s">
        <v>3534</v>
      </c>
    </row>
    <row r="6" spans="1:10" x14ac:dyDescent="0.25" outlineLevel="1" collapsed="1">
      <c r="A6" s="7" t="s">
        <v>19</v>
      </c>
      <c r="B6" s="7" t="s">
        <v>16</v>
      </c>
      <c r="C6" s="7" t="s">
        <v>17</v>
      </c>
      <c r="D6" s="7"/>
      <c r="E6" s="7" t="s">
        <v>3456</v>
      </c>
      <c r="F6" s="7" t="s">
        <v>19</v>
      </c>
      <c r="G6" s="7" t="s">
        <v>31</v>
      </c>
      <c r="H6" s="7" t="s">
        <v>17</v>
      </c>
      <c r="I6" s="7" t="s">
        <v>17</v>
      </c>
      <c r="J6" s="7" t="s">
        <v>944</v>
      </c>
    </row>
    <row r="7" spans="1:10" x14ac:dyDescent="0.25" outlineLevel="1" collapsed="1">
      <c r="A7" s="7" t="s">
        <v>15</v>
      </c>
      <c r="B7" s="7" t="s">
        <v>291</v>
      </c>
      <c r="C7" s="7" t="s">
        <v>17</v>
      </c>
      <c r="D7" s="7"/>
      <c r="E7" s="7" t="s">
        <v>30</v>
      </c>
      <c r="F7" s="7" t="s">
        <v>19</v>
      </c>
      <c r="G7" s="7" t="s">
        <v>950</v>
      </c>
      <c r="H7" s="7" t="s">
        <v>17</v>
      </c>
      <c r="I7" s="7" t="s">
        <v>17</v>
      </c>
      <c r="J7" s="7" t="s">
        <v>734</v>
      </c>
    </row>
    <row r="8" spans="1:10" x14ac:dyDescent="0.25" outlineLevel="1" collapsed="1">
      <c r="A8" s="7" t="s">
        <v>15</v>
      </c>
      <c r="B8" s="7" t="s">
        <v>291</v>
      </c>
      <c r="C8" s="7" t="s">
        <v>17</v>
      </c>
      <c r="D8" s="7"/>
      <c r="E8" s="7" t="s">
        <v>33</v>
      </c>
      <c r="F8" s="7" t="s">
        <v>19</v>
      </c>
      <c r="G8" s="7" t="s">
        <v>950</v>
      </c>
      <c r="H8" s="7" t="s">
        <v>17</v>
      </c>
      <c r="I8" s="7" t="s">
        <v>17</v>
      </c>
      <c r="J8" s="7" t="s">
        <v>735</v>
      </c>
    </row>
    <row r="9" spans="1:10" x14ac:dyDescent="0.25" outlineLevel="1" collapsed="1">
      <c r="A9" s="7" t="s">
        <v>15</v>
      </c>
      <c r="B9" s="7" t="s">
        <v>63</v>
      </c>
      <c r="C9" s="7" t="s">
        <v>17</v>
      </c>
      <c r="D9" s="7"/>
      <c r="E9" s="7" t="s">
        <v>3457</v>
      </c>
      <c r="F9" s="7" t="s">
        <v>19</v>
      </c>
      <c r="G9" s="7">
        <v>1</v>
      </c>
      <c r="H9" s="7" t="s">
        <v>17</v>
      </c>
      <c r="I9" s="7" t="s">
        <v>17</v>
      </c>
      <c r="J9" s="7" t="s">
        <v>3458</v>
      </c>
    </row>
    <row r="10" spans="1:10" x14ac:dyDescent="0.25" outlineLevel="1" collapsed="1">
      <c r="A10" s="7" t="s">
        <v>19</v>
      </c>
      <c r="B10" s="7" t="s">
        <v>63</v>
      </c>
      <c r="C10" s="7" t="s">
        <v>17</v>
      </c>
      <c r="D10" s="7"/>
      <c r="E10" s="7" t="s">
        <v>3459</v>
      </c>
      <c r="F10" s="7" t="s">
        <v>19</v>
      </c>
      <c r="G10" s="7">
        <v>1</v>
      </c>
      <c r="H10" s="7" t="s">
        <v>17</v>
      </c>
      <c r="I10" s="7" t="s">
        <v>17</v>
      </c>
      <c r="J10" s="7" t="s">
        <v>3460</v>
      </c>
    </row>
    <row r="11" spans="1:10" x14ac:dyDescent="0.25" outlineLevel="1" collapsed="1">
      <c r="A11" s="7" t="s">
        <v>19</v>
      </c>
      <c r="B11" s="7" t="s">
        <v>63</v>
      </c>
      <c r="C11" s="7" t="s">
        <v>17</v>
      </c>
      <c r="D11" s="7"/>
      <c r="E11" s="7" t="s">
        <v>3461</v>
      </c>
      <c r="F11" s="7" t="s">
        <v>19</v>
      </c>
      <c r="G11" s="7">
        <v>1</v>
      </c>
      <c r="H11" s="7" t="s">
        <v>17</v>
      </c>
      <c r="I11" s="7" t="s">
        <v>17</v>
      </c>
      <c r="J11" s="7" t="s">
        <v>3462</v>
      </c>
    </row>
    <row r="12" spans="1:10" x14ac:dyDescent="0.25" outlineLevel="1" collapsed="1">
      <c r="A12" s="7" t="s">
        <v>15</v>
      </c>
      <c r="B12" s="7" t="s">
        <v>63</v>
      </c>
      <c r="C12" s="7" t="s">
        <v>17</v>
      </c>
      <c r="D12" s="7"/>
      <c r="E12" s="7" t="s">
        <v>3463</v>
      </c>
      <c r="F12" s="7" t="s">
        <v>19</v>
      </c>
      <c r="G12" s="7">
        <v>1</v>
      </c>
      <c r="H12" s="7" t="s">
        <v>17</v>
      </c>
      <c r="I12" s="7" t="s">
        <v>17</v>
      </c>
      <c r="J12" s="7" t="s">
        <v>3464</v>
      </c>
    </row>
    <row r="13" spans="1:10" x14ac:dyDescent="0.25" outlineLevel="1" collapsed="1">
      <c r="A13" s="7" t="s">
        <v>15</v>
      </c>
      <c r="B13" s="7" t="s">
        <v>63</v>
      </c>
      <c r="C13" s="7" t="s">
        <v>17</v>
      </c>
      <c r="D13" s="7"/>
      <c r="E13" s="7" t="s">
        <v>3465</v>
      </c>
      <c r="F13" s="7" t="s">
        <v>19</v>
      </c>
      <c r="G13" s="7">
        <v>1</v>
      </c>
      <c r="H13" s="7" t="s">
        <v>17</v>
      </c>
      <c r="I13" s="7" t="s">
        <v>17</v>
      </c>
      <c r="J13" s="7" t="s">
        <v>3466</v>
      </c>
    </row>
    <row r="14" spans="1:10" x14ac:dyDescent="0.25" outlineLevel="1" collapsed="1">
      <c r="A14" s="7" t="s">
        <v>15</v>
      </c>
      <c r="B14" s="7" t="s">
        <v>63</v>
      </c>
      <c r="C14" s="7" t="s">
        <v>17</v>
      </c>
      <c r="D14" s="7"/>
      <c r="E14" s="7" t="s">
        <v>3467</v>
      </c>
      <c r="F14" s="7" t="s">
        <v>19</v>
      </c>
      <c r="G14" s="7">
        <v>1</v>
      </c>
      <c r="H14" s="7" t="s">
        <v>17</v>
      </c>
      <c r="I14" s="7" t="s">
        <v>17</v>
      </c>
      <c r="J14" s="7" t="s">
        <v>3468</v>
      </c>
    </row>
    <row r="15" spans="1:10" x14ac:dyDescent="0.25" outlineLevel="1" collapsed="1">
      <c r="A15" s="7" t="s">
        <v>15</v>
      </c>
      <c r="B15" s="7" t="s">
        <v>63</v>
      </c>
      <c r="C15" s="7" t="s">
        <v>17</v>
      </c>
      <c r="D15" s="7"/>
      <c r="E15" s="7" t="s">
        <v>3469</v>
      </c>
      <c r="F15" s="7" t="s">
        <v>19</v>
      </c>
      <c r="G15" s="7">
        <v>1</v>
      </c>
      <c r="H15" s="7" t="s">
        <v>17</v>
      </c>
      <c r="I15" s="7" t="s">
        <v>17</v>
      </c>
      <c r="J15" s="7" t="s">
        <v>3470</v>
      </c>
    </row>
    <row r="16" spans="1:10" x14ac:dyDescent="0.25" outlineLevel="1" collapsed="1">
      <c r="A16" s="7" t="s">
        <v>15</v>
      </c>
      <c r="B16" s="7" t="s">
        <v>63</v>
      </c>
      <c r="C16" s="7" t="s">
        <v>17</v>
      </c>
      <c r="D16" s="7"/>
      <c r="E16" s="7" t="s">
        <v>3471</v>
      </c>
      <c r="F16" s="7" t="s">
        <v>19</v>
      </c>
      <c r="G16" s="7">
        <v>1</v>
      </c>
      <c r="H16" s="7" t="s">
        <v>17</v>
      </c>
      <c r="I16" s="7" t="s">
        <v>17</v>
      </c>
      <c r="J16" s="7" t="s">
        <v>3472</v>
      </c>
    </row>
    <row r="17" spans="1:10" x14ac:dyDescent="0.25">
      <c r="A17" s="5" t="s">
        <v>15</v>
      </c>
      <c r="B17" s="5" t="s">
        <v>63</v>
      </c>
      <c r="C17" s="5" t="s">
        <v>17</v>
      </c>
      <c r="D17" s="5"/>
      <c r="E17" s="5" t="s">
        <v>3535</v>
      </c>
      <c r="F17" s="5" t="s">
        <v>19</v>
      </c>
      <c r="G17" s="5">
        <v>1</v>
      </c>
      <c r="H17" s="5" t="s">
        <v>17</v>
      </c>
      <c r="I17" s="5" t="s">
        <v>17</v>
      </c>
      <c r="J17" s="5" t="s">
        <v>3536</v>
      </c>
    </row>
    <row r="18" spans="1:10" x14ac:dyDescent="0.25">
      <c r="A18" s="5" t="s">
        <v>15</v>
      </c>
      <c r="B18" s="5" t="s">
        <v>63</v>
      </c>
      <c r="C18" s="5" t="s">
        <v>17</v>
      </c>
      <c r="D18" s="5"/>
      <c r="E18" s="5" t="s">
        <v>3537</v>
      </c>
      <c r="F18" s="5" t="s">
        <v>19</v>
      </c>
      <c r="G18" s="5">
        <v>1</v>
      </c>
      <c r="H18" s="5" t="s">
        <v>17</v>
      </c>
      <c r="I18" s="5" t="s">
        <v>17</v>
      </c>
      <c r="J18" s="5" t="s">
        <v>3538</v>
      </c>
    </row>
    <row r="19" spans="1:10" x14ac:dyDescent="0.25">
      <c r="A19" s="5" t="s">
        <v>15</v>
      </c>
      <c r="B19" s="5" t="s">
        <v>63</v>
      </c>
      <c r="C19" s="5" t="s">
        <v>17</v>
      </c>
      <c r="D19" s="5"/>
      <c r="E19" s="5" t="s">
        <v>3539</v>
      </c>
      <c r="F19" s="5" t="s">
        <v>19</v>
      </c>
      <c r="G19" s="5">
        <v>1</v>
      </c>
      <c r="H19" s="5" t="s">
        <v>17</v>
      </c>
      <c r="I19" s="5" t="s">
        <v>17</v>
      </c>
      <c r="J19" s="5" t="s">
        <v>3540</v>
      </c>
    </row>
    <row r="20" spans="1:10" x14ac:dyDescent="0.25">
      <c r="A20" s="5" t="s">
        <v>15</v>
      </c>
      <c r="B20" s="5" t="s">
        <v>63</v>
      </c>
      <c r="C20" s="5" t="s">
        <v>17</v>
      </c>
      <c r="D20" s="5"/>
      <c r="E20" s="5" t="s">
        <v>3541</v>
      </c>
      <c r="F20" s="5" t="s">
        <v>19</v>
      </c>
      <c r="G20" s="5">
        <v>1</v>
      </c>
      <c r="H20" s="5" t="s">
        <v>17</v>
      </c>
      <c r="I20" s="5" t="s">
        <v>17</v>
      </c>
      <c r="J20" s="5" t="s">
        <v>3542</v>
      </c>
    </row>
    <row r="21" spans="1:10" x14ac:dyDescent="0.25">
      <c r="A21" s="5" t="s">
        <v>15</v>
      </c>
      <c r="B21" s="5" t="s">
        <v>63</v>
      </c>
      <c r="C21" s="5" t="s">
        <v>17</v>
      </c>
      <c r="D21" s="5"/>
      <c r="E21" s="5" t="s">
        <v>3543</v>
      </c>
      <c r="F21" s="5" t="s">
        <v>19</v>
      </c>
      <c r="G21" s="5">
        <v>1</v>
      </c>
      <c r="H21" s="5" t="s">
        <v>17</v>
      </c>
      <c r="I21" s="5" t="s">
        <v>17</v>
      </c>
      <c r="J21" s="5" t="s">
        <v>3544</v>
      </c>
    </row>
    <row r="22" spans="1:10" x14ac:dyDescent="0.25">
      <c r="A22" s="5" t="s">
        <v>19</v>
      </c>
      <c r="B22" s="5" t="s">
        <v>63</v>
      </c>
      <c r="C22" s="5" t="s">
        <v>17</v>
      </c>
      <c r="D22" s="5"/>
      <c r="E22" s="5" t="s">
        <v>3545</v>
      </c>
      <c r="F22" s="5" t="s">
        <v>19</v>
      </c>
      <c r="G22" s="5">
        <v>1</v>
      </c>
      <c r="H22" s="5" t="s">
        <v>17</v>
      </c>
      <c r="I22" s="5" t="s">
        <v>17</v>
      </c>
      <c r="J22" s="5" t="s">
        <v>3546</v>
      </c>
    </row>
    <row r="23" spans="1:10" x14ac:dyDescent="0.25">
      <c r="A23" s="5" t="s">
        <v>19</v>
      </c>
      <c r="B23" s="5" t="s">
        <v>284</v>
      </c>
      <c r="C23" s="10" t="s">
        <v>3547</v>
      </c>
      <c r="D23" s="5"/>
      <c r="E23" s="5" t="s">
        <v>3548</v>
      </c>
      <c r="F23" s="5" t="s">
        <v>19</v>
      </c>
      <c r="G23" s="5" t="s">
        <v>3549</v>
      </c>
      <c r="H23" s="5" t="s">
        <v>17</v>
      </c>
      <c r="I23" s="5" t="s">
        <v>17</v>
      </c>
      <c r="J23" s="5" t="s">
        <v>3550</v>
      </c>
    </row>
    <row r="24" spans="1:10" x14ac:dyDescent="0.25">
      <c r="A24" s="5" t="s">
        <v>19</v>
      </c>
      <c r="B24" s="5" t="s">
        <v>16</v>
      </c>
      <c r="C24" s="5" t="s">
        <v>17</v>
      </c>
      <c r="D24" s="5"/>
      <c r="E24" s="5" t="s">
        <v>3551</v>
      </c>
      <c r="F24" s="5" t="s">
        <v>19</v>
      </c>
      <c r="G24" s="5" t="s">
        <v>31</v>
      </c>
      <c r="H24" s="5" t="s">
        <v>17</v>
      </c>
      <c r="I24" s="5" t="s">
        <v>17</v>
      </c>
      <c r="J24" s="5" t="s">
        <v>3552</v>
      </c>
    </row>
  </sheetData>
  <mergeCells count="3">
    <mergeCell ref="A1:J1"/>
    <mergeCell ref="B2:J2"/>
    <mergeCell ref="B3:J3"/>
  </mergeCells>
  <dataValidations count="1">
    <dataValidation type="list" allowBlank="1" sqref="G23:I23">
      <formula1>'Enums'!C772:C773</formula1>
    </dataValidation>
  </dataValidations>
  <hyperlinks>
    <hyperlink ref="B5" r:id="rId1" location="#'VMR0015 ERR Vintage Row (PD 4.'!A1"/>
  </hyperlinks>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3553</v>
      </c>
      <c r="B1" s="1"/>
      <c r="C1" s="1"/>
      <c r="D1" s="1"/>
      <c r="E1" s="1"/>
      <c r="F1" s="1"/>
      <c r="G1" s="1"/>
      <c r="H1" s="1"/>
      <c r="I1" s="1"/>
      <c r="J1" s="1"/>
    </row>
    <row r="2" spans="1:10" x14ac:dyDescent="0.25">
      <c r="A2" s="2" t="s">
        <v>1</v>
      </c>
      <c r="B2" s="3" t="s">
        <v>3554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264</v>
      </c>
      <c r="F5" s="5" t="s">
        <v>19</v>
      </c>
      <c r="G5" s="5" t="s">
        <v>950</v>
      </c>
      <c r="H5" s="5" t="s">
        <v>17</v>
      </c>
      <c r="I5" s="5" t="s">
        <v>17</v>
      </c>
      <c r="J5" s="5" t="s">
        <v>3555</v>
      </c>
    </row>
    <row r="6" spans="1:10" x14ac:dyDescent="0.25">
      <c r="A6" s="5" t="s">
        <v>15</v>
      </c>
      <c r="B6" s="5" t="s">
        <v>291</v>
      </c>
      <c r="C6" s="5" t="s">
        <v>17</v>
      </c>
      <c r="D6" s="5"/>
      <c r="E6" s="5" t="s">
        <v>266</v>
      </c>
      <c r="F6" s="5" t="s">
        <v>19</v>
      </c>
      <c r="G6" s="5" t="s">
        <v>950</v>
      </c>
      <c r="H6" s="5" t="s">
        <v>17</v>
      </c>
      <c r="I6" s="5" t="s">
        <v>17</v>
      </c>
      <c r="J6" s="5" t="s">
        <v>3556</v>
      </c>
    </row>
    <row r="7" spans="1:10" x14ac:dyDescent="0.25">
      <c r="A7" s="5" t="s">
        <v>19</v>
      </c>
      <c r="B7" s="5" t="s">
        <v>63</v>
      </c>
      <c r="C7" s="5" t="s">
        <v>17</v>
      </c>
      <c r="D7" s="5"/>
      <c r="E7" s="5" t="s">
        <v>3557</v>
      </c>
      <c r="F7" s="5" t="s">
        <v>19</v>
      </c>
      <c r="G7" s="5">
        <v>1</v>
      </c>
      <c r="H7" s="5" t="s">
        <v>17</v>
      </c>
      <c r="I7" s="5" t="s">
        <v>17</v>
      </c>
      <c r="J7" s="5" t="s">
        <v>1800</v>
      </c>
    </row>
    <row r="8" spans="1:10" x14ac:dyDescent="0.25">
      <c r="A8" s="5" t="s">
        <v>15</v>
      </c>
      <c r="B8" s="6" t="s">
        <v>3558</v>
      </c>
      <c r="C8" s="5" t="s">
        <v>17</v>
      </c>
      <c r="D8" s="5"/>
      <c r="E8" s="5" t="s">
        <v>3559</v>
      </c>
      <c r="F8" s="5" t="s">
        <v>15</v>
      </c>
      <c r="G8" s="5" t="s">
        <v>17</v>
      </c>
      <c r="H8" s="5" t="s">
        <v>17</v>
      </c>
      <c r="I8" s="5" t="s">
        <v>17</v>
      </c>
      <c r="J8" s="5" t="s">
        <v>1803</v>
      </c>
    </row>
    <row r="9" spans="1:10" x14ac:dyDescent="0.25" outlineLevel="1" collapsed="1">
      <c r="A9" s="7" t="s">
        <v>15</v>
      </c>
      <c r="B9" s="7" t="s">
        <v>16</v>
      </c>
      <c r="C9" s="7" t="s">
        <v>17</v>
      </c>
      <c r="D9" s="7"/>
      <c r="E9" s="7" t="s">
        <v>943</v>
      </c>
      <c r="F9" s="7" t="s">
        <v>19</v>
      </c>
      <c r="G9" s="7" t="s">
        <v>31</v>
      </c>
      <c r="H9" s="7" t="s">
        <v>17</v>
      </c>
      <c r="I9" s="7" t="s">
        <v>17</v>
      </c>
      <c r="J9" s="7" t="s">
        <v>944</v>
      </c>
    </row>
    <row r="10" spans="1:10" x14ac:dyDescent="0.25" outlineLevel="1" collapsed="1">
      <c r="A10" s="7" t="s">
        <v>15</v>
      </c>
      <c r="B10" s="7" t="s">
        <v>63</v>
      </c>
      <c r="C10" s="7" t="s">
        <v>17</v>
      </c>
      <c r="D10" s="7"/>
      <c r="E10" s="7" t="s">
        <v>3475</v>
      </c>
      <c r="F10" s="7" t="s">
        <v>19</v>
      </c>
      <c r="G10" s="7">
        <v>1</v>
      </c>
      <c r="H10" s="7" t="s">
        <v>17</v>
      </c>
      <c r="I10" s="7" t="s">
        <v>17</v>
      </c>
      <c r="J10" s="7" t="s">
        <v>636</v>
      </c>
    </row>
    <row r="11" spans="1:10" x14ac:dyDescent="0.25" outlineLevel="1" collapsed="1">
      <c r="A11" s="7" t="s">
        <v>19</v>
      </c>
      <c r="B11" s="7" t="s">
        <v>63</v>
      </c>
      <c r="C11" s="7" t="s">
        <v>17</v>
      </c>
      <c r="D11" s="7"/>
      <c r="E11" s="7" t="s">
        <v>3476</v>
      </c>
      <c r="F11" s="7" t="s">
        <v>19</v>
      </c>
      <c r="G11" s="7">
        <v>1</v>
      </c>
      <c r="H11" s="7" t="s">
        <v>17</v>
      </c>
      <c r="I11" s="7" t="s">
        <v>17</v>
      </c>
      <c r="J11" s="7" t="s">
        <v>1684</v>
      </c>
    </row>
    <row r="12" spans="1:10" x14ac:dyDescent="0.25" outlineLevel="1" collapsed="1">
      <c r="A12" s="7" t="s">
        <v>19</v>
      </c>
      <c r="B12" s="7" t="s">
        <v>63</v>
      </c>
      <c r="C12" s="7" t="s">
        <v>17</v>
      </c>
      <c r="D12" s="7"/>
      <c r="E12" s="7" t="s">
        <v>3477</v>
      </c>
      <c r="F12" s="7" t="s">
        <v>19</v>
      </c>
      <c r="G12" s="7">
        <v>1</v>
      </c>
      <c r="H12" s="7" t="s">
        <v>17</v>
      </c>
      <c r="I12" s="7" t="s">
        <v>17</v>
      </c>
      <c r="J12" s="7" t="s">
        <v>3478</v>
      </c>
    </row>
    <row r="13" spans="1:10" x14ac:dyDescent="0.25" outlineLevel="1" collapsed="1">
      <c r="A13" s="7" t="s">
        <v>19</v>
      </c>
      <c r="B13" s="7" t="s">
        <v>63</v>
      </c>
      <c r="C13" s="7" t="s">
        <v>17</v>
      </c>
      <c r="D13" s="7"/>
      <c r="E13" s="7" t="s">
        <v>3479</v>
      </c>
      <c r="F13" s="7" t="s">
        <v>19</v>
      </c>
      <c r="G13" s="7">
        <v>1</v>
      </c>
      <c r="H13" s="7" t="s">
        <v>17</v>
      </c>
      <c r="I13" s="7" t="s">
        <v>17</v>
      </c>
      <c r="J13" s="7" t="s">
        <v>3480</v>
      </c>
    </row>
    <row r="14" spans="1:10" x14ac:dyDescent="0.25" outlineLevel="1" collapsed="1">
      <c r="A14" s="7" t="s">
        <v>19</v>
      </c>
      <c r="B14" s="7" t="s">
        <v>63</v>
      </c>
      <c r="C14" s="7" t="s">
        <v>17</v>
      </c>
      <c r="D14" s="7"/>
      <c r="E14" s="7" t="s">
        <v>3481</v>
      </c>
      <c r="F14" s="7" t="s">
        <v>19</v>
      </c>
      <c r="G14" s="7">
        <v>1</v>
      </c>
      <c r="H14" s="7" t="s">
        <v>17</v>
      </c>
      <c r="I14" s="7" t="s">
        <v>17</v>
      </c>
      <c r="J14" s="7" t="s">
        <v>3482</v>
      </c>
    </row>
    <row r="15" spans="1:10" x14ac:dyDescent="0.25" outlineLevel="1" collapsed="1">
      <c r="A15" s="7" t="s">
        <v>15</v>
      </c>
      <c r="B15" s="7" t="s">
        <v>63</v>
      </c>
      <c r="C15" s="7" t="s">
        <v>17</v>
      </c>
      <c r="D15" s="7"/>
      <c r="E15" s="7" t="s">
        <v>3483</v>
      </c>
      <c r="F15" s="7" t="s">
        <v>19</v>
      </c>
      <c r="G15" s="7">
        <v>1</v>
      </c>
      <c r="H15" s="7" t="s">
        <v>17</v>
      </c>
      <c r="I15" s="7" t="s">
        <v>17</v>
      </c>
      <c r="J15" s="7" t="s">
        <v>3484</v>
      </c>
    </row>
    <row r="16" spans="1:10" x14ac:dyDescent="0.25" outlineLevel="1" collapsed="1">
      <c r="A16" s="7" t="s">
        <v>15</v>
      </c>
      <c r="B16" s="7" t="s">
        <v>63</v>
      </c>
      <c r="C16" s="7" t="s">
        <v>17</v>
      </c>
      <c r="D16" s="7"/>
      <c r="E16" s="7" t="s">
        <v>3485</v>
      </c>
      <c r="F16" s="7" t="s">
        <v>19</v>
      </c>
      <c r="G16" s="7">
        <v>1</v>
      </c>
      <c r="H16" s="7" t="s">
        <v>17</v>
      </c>
      <c r="I16" s="7" t="s">
        <v>17</v>
      </c>
      <c r="J16" s="7" t="s">
        <v>1669</v>
      </c>
    </row>
    <row r="17" spans="1:10" x14ac:dyDescent="0.25" outlineLevel="1" collapsed="1">
      <c r="A17" s="7" t="s">
        <v>19</v>
      </c>
      <c r="B17" s="7" t="s">
        <v>63</v>
      </c>
      <c r="C17" s="7" t="s">
        <v>17</v>
      </c>
      <c r="D17" s="7"/>
      <c r="E17" s="7" t="s">
        <v>3486</v>
      </c>
      <c r="F17" s="7" t="s">
        <v>19</v>
      </c>
      <c r="G17" s="7">
        <v>1</v>
      </c>
      <c r="H17" s="7" t="s">
        <v>17</v>
      </c>
      <c r="I17" s="7" t="s">
        <v>17</v>
      </c>
      <c r="J17" s="7" t="s">
        <v>1693</v>
      </c>
    </row>
    <row r="18" spans="1:10" x14ac:dyDescent="0.25" outlineLevel="1" collapsed="1">
      <c r="A18" s="7" t="s">
        <v>15</v>
      </c>
      <c r="B18" s="7" t="s">
        <v>63</v>
      </c>
      <c r="C18" s="7" t="s">
        <v>17</v>
      </c>
      <c r="D18" s="7"/>
      <c r="E18" s="7" t="s">
        <v>3487</v>
      </c>
      <c r="F18" s="7" t="s">
        <v>19</v>
      </c>
      <c r="G18" s="7">
        <v>1</v>
      </c>
      <c r="H18" s="7" t="s">
        <v>17</v>
      </c>
      <c r="I18" s="7" t="s">
        <v>17</v>
      </c>
      <c r="J18" s="7" t="s">
        <v>3488</v>
      </c>
    </row>
    <row r="19" spans="1:10" x14ac:dyDescent="0.25" outlineLevel="1" collapsed="1">
      <c r="A19" s="7" t="s">
        <v>15</v>
      </c>
      <c r="B19" s="7" t="s">
        <v>63</v>
      </c>
      <c r="C19" s="7" t="s">
        <v>17</v>
      </c>
      <c r="D19" s="7"/>
      <c r="E19" s="7" t="s">
        <v>3489</v>
      </c>
      <c r="F19" s="7" t="s">
        <v>19</v>
      </c>
      <c r="G19" s="7">
        <v>1</v>
      </c>
      <c r="H19" s="7" t="s">
        <v>17</v>
      </c>
      <c r="I19" s="7" t="s">
        <v>17</v>
      </c>
      <c r="J19" s="7" t="s">
        <v>3490</v>
      </c>
    </row>
    <row r="20" spans="1:10" x14ac:dyDescent="0.25" outlineLevel="1" collapsed="1">
      <c r="A20" s="7" t="s">
        <v>19</v>
      </c>
      <c r="B20" s="7" t="s">
        <v>63</v>
      </c>
      <c r="C20" s="7" t="s">
        <v>17</v>
      </c>
      <c r="D20" s="7"/>
      <c r="E20" s="7" t="s">
        <v>3491</v>
      </c>
      <c r="F20" s="7" t="s">
        <v>19</v>
      </c>
      <c r="G20" s="7">
        <v>1</v>
      </c>
      <c r="H20" s="7" t="s">
        <v>17</v>
      </c>
      <c r="I20" s="7" t="s">
        <v>17</v>
      </c>
      <c r="J20" s="7" t="s">
        <v>1632</v>
      </c>
    </row>
    <row r="21" spans="1:10" x14ac:dyDescent="0.25" outlineLevel="1" collapsed="1">
      <c r="A21" s="7" t="s">
        <v>19</v>
      </c>
      <c r="B21" s="7" t="s">
        <v>63</v>
      </c>
      <c r="C21" s="7" t="s">
        <v>17</v>
      </c>
      <c r="D21" s="7"/>
      <c r="E21" s="7" t="s">
        <v>3492</v>
      </c>
      <c r="F21" s="7" t="s">
        <v>19</v>
      </c>
      <c r="G21" s="7">
        <v>1</v>
      </c>
      <c r="H21" s="7" t="s">
        <v>17</v>
      </c>
      <c r="I21" s="7" t="s">
        <v>17</v>
      </c>
      <c r="J21" s="7" t="s">
        <v>1624</v>
      </c>
    </row>
    <row r="22" spans="1:10" x14ac:dyDescent="0.25" outlineLevel="1" collapsed="1">
      <c r="A22" s="7" t="s">
        <v>15</v>
      </c>
      <c r="B22" s="7" t="s">
        <v>63</v>
      </c>
      <c r="C22" s="7" t="s">
        <v>17</v>
      </c>
      <c r="D22" s="7"/>
      <c r="E22" s="7" t="s">
        <v>3493</v>
      </c>
      <c r="F22" s="7" t="s">
        <v>19</v>
      </c>
      <c r="G22" s="7">
        <v>1</v>
      </c>
      <c r="H22" s="7" t="s">
        <v>17</v>
      </c>
      <c r="I22" s="7" t="s">
        <v>17</v>
      </c>
      <c r="J22" s="7" t="s">
        <v>3494</v>
      </c>
    </row>
    <row r="23" spans="1:10" x14ac:dyDescent="0.25" outlineLevel="1" collapsed="1">
      <c r="A23" s="7" t="s">
        <v>19</v>
      </c>
      <c r="B23" s="7" t="s">
        <v>63</v>
      </c>
      <c r="C23" s="7" t="s">
        <v>17</v>
      </c>
      <c r="D23" s="7"/>
      <c r="E23" s="7" t="s">
        <v>3495</v>
      </c>
      <c r="F23" s="7" t="s">
        <v>19</v>
      </c>
      <c r="G23" s="7">
        <v>1</v>
      </c>
      <c r="H23" s="7" t="s">
        <v>17</v>
      </c>
      <c r="I23" s="7" t="s">
        <v>17</v>
      </c>
      <c r="J23" s="7" t="s">
        <v>3460</v>
      </c>
    </row>
    <row r="24" spans="1:10" x14ac:dyDescent="0.25" outlineLevel="1" collapsed="1">
      <c r="A24" s="7" t="s">
        <v>19</v>
      </c>
      <c r="B24" s="7" t="s">
        <v>63</v>
      </c>
      <c r="C24" s="7" t="s">
        <v>17</v>
      </c>
      <c r="D24" s="7"/>
      <c r="E24" s="7" t="s">
        <v>3496</v>
      </c>
      <c r="F24" s="7" t="s">
        <v>19</v>
      </c>
      <c r="G24" s="7">
        <v>1</v>
      </c>
      <c r="H24" s="7" t="s">
        <v>17</v>
      </c>
      <c r="I24" s="7" t="s">
        <v>17</v>
      </c>
      <c r="J24" s="7" t="s">
        <v>3462</v>
      </c>
    </row>
    <row r="25" spans="1:10" x14ac:dyDescent="0.25" outlineLevel="1" collapsed="1">
      <c r="A25" s="7" t="s">
        <v>15</v>
      </c>
      <c r="B25" s="7" t="s">
        <v>63</v>
      </c>
      <c r="C25" s="7" t="s">
        <v>17</v>
      </c>
      <c r="D25" s="7"/>
      <c r="E25" s="7" t="s">
        <v>3497</v>
      </c>
      <c r="F25" s="7" t="s">
        <v>19</v>
      </c>
      <c r="G25" s="7">
        <v>1</v>
      </c>
      <c r="H25" s="7" t="s">
        <v>17</v>
      </c>
      <c r="I25" s="7" t="s">
        <v>17</v>
      </c>
      <c r="J25" s="7" t="s">
        <v>3498</v>
      </c>
    </row>
    <row r="26" spans="1:10" x14ac:dyDescent="0.25" outlineLevel="1" collapsed="1">
      <c r="A26" s="7" t="s">
        <v>15</v>
      </c>
      <c r="B26" s="7" t="s">
        <v>63</v>
      </c>
      <c r="C26" s="7" t="s">
        <v>17</v>
      </c>
      <c r="D26" s="7"/>
      <c r="E26" s="7" t="s">
        <v>3499</v>
      </c>
      <c r="F26" s="7" t="s">
        <v>19</v>
      </c>
      <c r="G26" s="7">
        <v>1</v>
      </c>
      <c r="H26" s="7" t="s">
        <v>17</v>
      </c>
      <c r="I26" s="7" t="s">
        <v>17</v>
      </c>
      <c r="J26" s="7" t="s">
        <v>3500</v>
      </c>
    </row>
    <row r="27" spans="1:10" x14ac:dyDescent="0.25" outlineLevel="1" collapsed="1">
      <c r="A27" s="7" t="s">
        <v>15</v>
      </c>
      <c r="B27" s="7" t="s">
        <v>63</v>
      </c>
      <c r="C27" s="7" t="s">
        <v>17</v>
      </c>
      <c r="D27" s="7"/>
      <c r="E27" s="7" t="s">
        <v>3501</v>
      </c>
      <c r="F27" s="7" t="s">
        <v>19</v>
      </c>
      <c r="G27" s="7">
        <v>1</v>
      </c>
      <c r="H27" s="7" t="s">
        <v>17</v>
      </c>
      <c r="I27" s="7" t="s">
        <v>17</v>
      </c>
      <c r="J27" s="7" t="s">
        <v>3502</v>
      </c>
    </row>
    <row r="28" spans="1:10" x14ac:dyDescent="0.25" outlineLevel="1" collapsed="1">
      <c r="A28" s="7" t="s">
        <v>15</v>
      </c>
      <c r="B28" s="7" t="s">
        <v>63</v>
      </c>
      <c r="C28" s="7" t="s">
        <v>17</v>
      </c>
      <c r="D28" s="7"/>
      <c r="E28" s="7" t="s">
        <v>3503</v>
      </c>
      <c r="F28" s="7" t="s">
        <v>19</v>
      </c>
      <c r="G28" s="7">
        <v>1</v>
      </c>
      <c r="H28" s="7" t="s">
        <v>17</v>
      </c>
      <c r="I28" s="7" t="s">
        <v>17</v>
      </c>
      <c r="J28" s="7" t="s">
        <v>3504</v>
      </c>
    </row>
    <row r="29" spans="1:10" x14ac:dyDescent="0.25" outlineLevel="1" collapsed="1">
      <c r="A29" s="7" t="s">
        <v>15</v>
      </c>
      <c r="B29" s="7" t="s">
        <v>63</v>
      </c>
      <c r="C29" s="7" t="s">
        <v>17</v>
      </c>
      <c r="D29" s="7"/>
      <c r="E29" s="7" t="s">
        <v>3505</v>
      </c>
      <c r="F29" s="7" t="s">
        <v>19</v>
      </c>
      <c r="G29" s="7">
        <v>1</v>
      </c>
      <c r="H29" s="7" t="s">
        <v>17</v>
      </c>
      <c r="I29" s="7" t="s">
        <v>17</v>
      </c>
      <c r="J29" s="7" t="s">
        <v>3506</v>
      </c>
    </row>
    <row r="30" spans="1:10" x14ac:dyDescent="0.25" outlineLevel="1" collapsed="1">
      <c r="A30" s="8" t="s">
        <v>19</v>
      </c>
      <c r="B30" s="9" t="s">
        <v>3507</v>
      </c>
      <c r="C30" s="8" t="s">
        <v>17</v>
      </c>
      <c r="D30" s="8"/>
      <c r="E30" s="8" t="s">
        <v>3508</v>
      </c>
      <c r="F30" s="8" t="s">
        <v>15</v>
      </c>
      <c r="G30" s="8" t="s">
        <v>17</v>
      </c>
      <c r="H30" s="8" t="s">
        <v>17</v>
      </c>
      <c r="I30" s="8" t="s">
        <v>17</v>
      </c>
      <c r="J30" s="8" t="s">
        <v>3509</v>
      </c>
    </row>
    <row r="31" spans="1:10" x14ac:dyDescent="0.25" outlineLevel="2" collapsed="1">
      <c r="A31" s="7" t="s">
        <v>19</v>
      </c>
      <c r="B31" s="7" t="s">
        <v>16</v>
      </c>
      <c r="C31" s="7" t="s">
        <v>17</v>
      </c>
      <c r="D31" s="7"/>
      <c r="E31" s="7" t="s">
        <v>3510</v>
      </c>
      <c r="F31" s="7" t="s">
        <v>19</v>
      </c>
      <c r="G31" s="7" t="s">
        <v>1669</v>
      </c>
      <c r="H31" s="7" t="s">
        <v>17</v>
      </c>
      <c r="I31" s="7" t="s">
        <v>17</v>
      </c>
      <c r="J31" s="7" t="s">
        <v>1894</v>
      </c>
    </row>
    <row r="32" spans="1:10" x14ac:dyDescent="0.25" outlineLevel="2" collapsed="1">
      <c r="A32" s="7" t="s">
        <v>19</v>
      </c>
      <c r="B32" s="7" t="s">
        <v>63</v>
      </c>
      <c r="C32" s="7" t="s">
        <v>17</v>
      </c>
      <c r="D32" s="7"/>
      <c r="E32" s="7" t="s">
        <v>3511</v>
      </c>
      <c r="F32" s="7" t="s">
        <v>19</v>
      </c>
      <c r="G32" s="7">
        <v>90</v>
      </c>
      <c r="H32" s="7" t="s">
        <v>17</v>
      </c>
      <c r="I32" s="7" t="s">
        <v>17</v>
      </c>
      <c r="J32" s="7" t="s">
        <v>3512</v>
      </c>
    </row>
    <row r="33" spans="1:10" x14ac:dyDescent="0.25" outlineLevel="2" collapsed="1">
      <c r="A33" s="7" t="s">
        <v>19</v>
      </c>
      <c r="B33" s="7" t="s">
        <v>63</v>
      </c>
      <c r="C33" s="7" t="s">
        <v>17</v>
      </c>
      <c r="D33" s="7"/>
      <c r="E33" s="7" t="s">
        <v>3513</v>
      </c>
      <c r="F33" s="7" t="s">
        <v>19</v>
      </c>
      <c r="G33" s="7">
        <v>10</v>
      </c>
      <c r="H33" s="7" t="s">
        <v>17</v>
      </c>
      <c r="I33" s="7" t="s">
        <v>17</v>
      </c>
      <c r="J33" s="7" t="s">
        <v>3514</v>
      </c>
    </row>
    <row r="34" spans="1:10" x14ac:dyDescent="0.25" outlineLevel="2" collapsed="1">
      <c r="A34" s="7" t="s">
        <v>19</v>
      </c>
      <c r="B34" s="7" t="s">
        <v>63</v>
      </c>
      <c r="C34" s="7" t="s">
        <v>17</v>
      </c>
      <c r="D34" s="7"/>
      <c r="E34" s="7" t="s">
        <v>3515</v>
      </c>
      <c r="F34" s="7" t="s">
        <v>19</v>
      </c>
      <c r="G34" s="7">
        <v>500</v>
      </c>
      <c r="H34" s="7" t="s">
        <v>17</v>
      </c>
      <c r="I34" s="7" t="s">
        <v>17</v>
      </c>
      <c r="J34" s="7" t="s">
        <v>3516</v>
      </c>
    </row>
    <row r="35" spans="1:10" x14ac:dyDescent="0.25" outlineLevel="2" collapsed="1">
      <c r="A35" s="7" t="s">
        <v>19</v>
      </c>
      <c r="B35" s="7" t="s">
        <v>63</v>
      </c>
      <c r="C35" s="7" t="s">
        <v>17</v>
      </c>
      <c r="D35" s="7"/>
      <c r="E35" s="7" t="s">
        <v>3517</v>
      </c>
      <c r="F35" s="7" t="s">
        <v>19</v>
      </c>
      <c r="G35" s="7">
        <v>0.8</v>
      </c>
      <c r="H35" s="7" t="s">
        <v>17</v>
      </c>
      <c r="I35" s="7" t="s">
        <v>17</v>
      </c>
      <c r="J35" s="7" t="s">
        <v>3518</v>
      </c>
    </row>
    <row r="36" spans="1:10" x14ac:dyDescent="0.25" outlineLevel="2" collapsed="1">
      <c r="A36" s="7" t="s">
        <v>19</v>
      </c>
      <c r="B36" s="7" t="s">
        <v>63</v>
      </c>
      <c r="C36" s="7" t="s">
        <v>17</v>
      </c>
      <c r="D36" s="7"/>
      <c r="E36" s="7" t="s">
        <v>3519</v>
      </c>
      <c r="F36" s="7" t="s">
        <v>19</v>
      </c>
      <c r="G36" s="7">
        <v>100</v>
      </c>
      <c r="H36" s="7" t="s">
        <v>17</v>
      </c>
      <c r="I36" s="7" t="s">
        <v>17</v>
      </c>
      <c r="J36" s="7" t="s">
        <v>1900</v>
      </c>
    </row>
    <row r="37" spans="1:10" x14ac:dyDescent="0.25" outlineLevel="2" collapsed="1">
      <c r="A37" s="7" t="s">
        <v>19</v>
      </c>
      <c r="B37" s="7" t="s">
        <v>63</v>
      </c>
      <c r="C37" s="7" t="s">
        <v>17</v>
      </c>
      <c r="D37" s="7"/>
      <c r="E37" s="7" t="s">
        <v>3520</v>
      </c>
      <c r="F37" s="7" t="s">
        <v>19</v>
      </c>
      <c r="G37" s="7">
        <v>0</v>
      </c>
      <c r="H37" s="7" t="s">
        <v>17</v>
      </c>
      <c r="I37" s="7" t="s">
        <v>17</v>
      </c>
      <c r="J37" s="7" t="s">
        <v>3521</v>
      </c>
    </row>
    <row r="38" spans="1:10" x14ac:dyDescent="0.25" outlineLevel="2" collapsed="1">
      <c r="A38" s="7" t="s">
        <v>19</v>
      </c>
      <c r="B38" s="7" t="s">
        <v>63</v>
      </c>
      <c r="C38" s="7" t="s">
        <v>17</v>
      </c>
      <c r="D38" s="7"/>
      <c r="E38" s="7" t="s">
        <v>3522</v>
      </c>
      <c r="F38" s="7" t="s">
        <v>19</v>
      </c>
      <c r="G38" s="7">
        <v>30</v>
      </c>
      <c r="H38" s="7" t="s">
        <v>17</v>
      </c>
      <c r="I38" s="7" t="s">
        <v>17</v>
      </c>
      <c r="J38" s="7" t="s">
        <v>3523</v>
      </c>
    </row>
    <row r="39" spans="1:10" x14ac:dyDescent="0.25" outlineLevel="2" collapsed="1">
      <c r="A39" s="7" t="s">
        <v>19</v>
      </c>
      <c r="B39" s="7" t="s">
        <v>159</v>
      </c>
      <c r="C39" s="7" t="s">
        <v>17</v>
      </c>
      <c r="D39" s="7"/>
      <c r="E39" s="7" t="s">
        <v>3524</v>
      </c>
      <c r="F39" s="7" t="s">
        <v>19</v>
      </c>
      <c r="G39" s="7" t="b">
        <v>1</v>
      </c>
      <c r="H39" s="7" t="s">
        <v>17</v>
      </c>
      <c r="I39" s="7" t="s">
        <v>17</v>
      </c>
      <c r="J39" s="7" t="s">
        <v>3525</v>
      </c>
    </row>
    <row r="40" spans="1:10" x14ac:dyDescent="0.25" outlineLevel="2" collapsed="1">
      <c r="A40" s="7" t="s">
        <v>19</v>
      </c>
      <c r="B40" s="7" t="s">
        <v>159</v>
      </c>
      <c r="C40" s="7" t="s">
        <v>17</v>
      </c>
      <c r="D40" s="7"/>
      <c r="E40" s="7" t="s">
        <v>3526</v>
      </c>
      <c r="F40" s="7" t="s">
        <v>19</v>
      </c>
      <c r="G40" s="7" t="b">
        <v>1</v>
      </c>
      <c r="H40" s="7" t="s">
        <v>17</v>
      </c>
      <c r="I40" s="7" t="s">
        <v>17</v>
      </c>
      <c r="J40" s="7" t="s">
        <v>3527</v>
      </c>
    </row>
    <row r="41" spans="1:10" x14ac:dyDescent="0.25" outlineLevel="2" collapsed="1">
      <c r="A41" s="7" t="s">
        <v>19</v>
      </c>
      <c r="B41" s="7" t="s">
        <v>16</v>
      </c>
      <c r="C41" s="7" t="s">
        <v>17</v>
      </c>
      <c r="D41" s="7"/>
      <c r="E41" s="7" t="s">
        <v>3528</v>
      </c>
      <c r="F41" s="7" t="s">
        <v>19</v>
      </c>
      <c r="G41" s="7" t="s">
        <v>31</v>
      </c>
      <c r="H41" s="7" t="s">
        <v>17</v>
      </c>
      <c r="I41" s="7" t="s">
        <v>17</v>
      </c>
      <c r="J41" s="7" t="s">
        <v>3529</v>
      </c>
    </row>
    <row r="42" spans="1:10" x14ac:dyDescent="0.25">
      <c r="A42" s="5" t="s">
        <v>15</v>
      </c>
      <c r="B42" s="6" t="s">
        <v>3532</v>
      </c>
      <c r="C42" s="5" t="s">
        <v>17</v>
      </c>
      <c r="D42" s="5"/>
      <c r="E42" s="5" t="s">
        <v>3560</v>
      </c>
      <c r="F42" s="5" t="s">
        <v>15</v>
      </c>
      <c r="G42" s="5" t="s">
        <v>17</v>
      </c>
      <c r="H42" s="5" t="s">
        <v>17</v>
      </c>
      <c r="I42" s="5" t="s">
        <v>17</v>
      </c>
      <c r="J42" s="5" t="s">
        <v>3534</v>
      </c>
    </row>
    <row r="43" spans="1:10" x14ac:dyDescent="0.25" outlineLevel="1" collapsed="1">
      <c r="A43" s="7" t="s">
        <v>19</v>
      </c>
      <c r="B43" s="7" t="s">
        <v>16</v>
      </c>
      <c r="C43" s="7" t="s">
        <v>17</v>
      </c>
      <c r="D43" s="7"/>
      <c r="E43" s="7" t="s">
        <v>3456</v>
      </c>
      <c r="F43" s="7" t="s">
        <v>19</v>
      </c>
      <c r="G43" s="7" t="s">
        <v>31</v>
      </c>
      <c r="H43" s="7" t="s">
        <v>17</v>
      </c>
      <c r="I43" s="7" t="s">
        <v>17</v>
      </c>
      <c r="J43" s="7" t="s">
        <v>944</v>
      </c>
    </row>
    <row r="44" spans="1:10" x14ac:dyDescent="0.25" outlineLevel="1" collapsed="1">
      <c r="A44" s="7" t="s">
        <v>15</v>
      </c>
      <c r="B44" s="7" t="s">
        <v>291</v>
      </c>
      <c r="C44" s="7" t="s">
        <v>17</v>
      </c>
      <c r="D44" s="7"/>
      <c r="E44" s="7" t="s">
        <v>30</v>
      </c>
      <c r="F44" s="7" t="s">
        <v>19</v>
      </c>
      <c r="G44" s="7" t="s">
        <v>950</v>
      </c>
      <c r="H44" s="7" t="s">
        <v>17</v>
      </c>
      <c r="I44" s="7" t="s">
        <v>17</v>
      </c>
      <c r="J44" s="7" t="s">
        <v>734</v>
      </c>
    </row>
    <row r="45" spans="1:10" x14ac:dyDescent="0.25" outlineLevel="1" collapsed="1">
      <c r="A45" s="7" t="s">
        <v>15</v>
      </c>
      <c r="B45" s="7" t="s">
        <v>291</v>
      </c>
      <c r="C45" s="7" t="s">
        <v>17</v>
      </c>
      <c r="D45" s="7"/>
      <c r="E45" s="7" t="s">
        <v>33</v>
      </c>
      <c r="F45" s="7" t="s">
        <v>19</v>
      </c>
      <c r="G45" s="7" t="s">
        <v>950</v>
      </c>
      <c r="H45" s="7" t="s">
        <v>17</v>
      </c>
      <c r="I45" s="7" t="s">
        <v>17</v>
      </c>
      <c r="J45" s="7" t="s">
        <v>735</v>
      </c>
    </row>
    <row r="46" spans="1:10" x14ac:dyDescent="0.25" outlineLevel="1" collapsed="1">
      <c r="A46" s="7" t="s">
        <v>15</v>
      </c>
      <c r="B46" s="7" t="s">
        <v>63</v>
      </c>
      <c r="C46" s="7" t="s">
        <v>17</v>
      </c>
      <c r="D46" s="7"/>
      <c r="E46" s="7" t="s">
        <v>3457</v>
      </c>
      <c r="F46" s="7" t="s">
        <v>19</v>
      </c>
      <c r="G46" s="7">
        <v>1</v>
      </c>
      <c r="H46" s="7" t="s">
        <v>17</v>
      </c>
      <c r="I46" s="7" t="s">
        <v>17</v>
      </c>
      <c r="J46" s="7" t="s">
        <v>3458</v>
      </c>
    </row>
    <row r="47" spans="1:10" x14ac:dyDescent="0.25" outlineLevel="1" collapsed="1">
      <c r="A47" s="7" t="s">
        <v>19</v>
      </c>
      <c r="B47" s="7" t="s">
        <v>63</v>
      </c>
      <c r="C47" s="7" t="s">
        <v>17</v>
      </c>
      <c r="D47" s="7"/>
      <c r="E47" s="7" t="s">
        <v>3459</v>
      </c>
      <c r="F47" s="7" t="s">
        <v>19</v>
      </c>
      <c r="G47" s="7">
        <v>1</v>
      </c>
      <c r="H47" s="7" t="s">
        <v>17</v>
      </c>
      <c r="I47" s="7" t="s">
        <v>17</v>
      </c>
      <c r="J47" s="7" t="s">
        <v>3460</v>
      </c>
    </row>
    <row r="48" spans="1:10" x14ac:dyDescent="0.25" outlineLevel="1" collapsed="1">
      <c r="A48" s="7" t="s">
        <v>19</v>
      </c>
      <c r="B48" s="7" t="s">
        <v>63</v>
      </c>
      <c r="C48" s="7" t="s">
        <v>17</v>
      </c>
      <c r="D48" s="7"/>
      <c r="E48" s="7" t="s">
        <v>3461</v>
      </c>
      <c r="F48" s="7" t="s">
        <v>19</v>
      </c>
      <c r="G48" s="7">
        <v>1</v>
      </c>
      <c r="H48" s="7" t="s">
        <v>17</v>
      </c>
      <c r="I48" s="7" t="s">
        <v>17</v>
      </c>
      <c r="J48" s="7" t="s">
        <v>3462</v>
      </c>
    </row>
    <row r="49" spans="1:10" x14ac:dyDescent="0.25" outlineLevel="1" collapsed="1">
      <c r="A49" s="7" t="s">
        <v>15</v>
      </c>
      <c r="B49" s="7" t="s">
        <v>63</v>
      </c>
      <c r="C49" s="7" t="s">
        <v>17</v>
      </c>
      <c r="D49" s="7"/>
      <c r="E49" s="7" t="s">
        <v>3463</v>
      </c>
      <c r="F49" s="7" t="s">
        <v>19</v>
      </c>
      <c r="G49" s="7">
        <v>1</v>
      </c>
      <c r="H49" s="7" t="s">
        <v>17</v>
      </c>
      <c r="I49" s="7" t="s">
        <v>17</v>
      </c>
      <c r="J49" s="7" t="s">
        <v>3464</v>
      </c>
    </row>
    <row r="50" spans="1:10" x14ac:dyDescent="0.25" outlineLevel="1" collapsed="1">
      <c r="A50" s="7" t="s">
        <v>15</v>
      </c>
      <c r="B50" s="7" t="s">
        <v>63</v>
      </c>
      <c r="C50" s="7" t="s">
        <v>17</v>
      </c>
      <c r="D50" s="7"/>
      <c r="E50" s="7" t="s">
        <v>3465</v>
      </c>
      <c r="F50" s="7" t="s">
        <v>19</v>
      </c>
      <c r="G50" s="7">
        <v>1</v>
      </c>
      <c r="H50" s="7" t="s">
        <v>17</v>
      </c>
      <c r="I50" s="7" t="s">
        <v>17</v>
      </c>
      <c r="J50" s="7" t="s">
        <v>3466</v>
      </c>
    </row>
    <row r="51" spans="1:10" x14ac:dyDescent="0.25" outlineLevel="1" collapsed="1">
      <c r="A51" s="7" t="s">
        <v>15</v>
      </c>
      <c r="B51" s="7" t="s">
        <v>63</v>
      </c>
      <c r="C51" s="7" t="s">
        <v>17</v>
      </c>
      <c r="D51" s="7"/>
      <c r="E51" s="7" t="s">
        <v>3467</v>
      </c>
      <c r="F51" s="7" t="s">
        <v>19</v>
      </c>
      <c r="G51" s="7">
        <v>1</v>
      </c>
      <c r="H51" s="7" t="s">
        <v>17</v>
      </c>
      <c r="I51" s="7" t="s">
        <v>17</v>
      </c>
      <c r="J51" s="7" t="s">
        <v>3468</v>
      </c>
    </row>
    <row r="52" spans="1:10" x14ac:dyDescent="0.25" outlineLevel="1" collapsed="1">
      <c r="A52" s="7" t="s">
        <v>15</v>
      </c>
      <c r="B52" s="7" t="s">
        <v>63</v>
      </c>
      <c r="C52" s="7" t="s">
        <v>17</v>
      </c>
      <c r="D52" s="7"/>
      <c r="E52" s="7" t="s">
        <v>3469</v>
      </c>
      <c r="F52" s="7" t="s">
        <v>19</v>
      </c>
      <c r="G52" s="7">
        <v>1</v>
      </c>
      <c r="H52" s="7" t="s">
        <v>17</v>
      </c>
      <c r="I52" s="7" t="s">
        <v>17</v>
      </c>
      <c r="J52" s="7" t="s">
        <v>3470</v>
      </c>
    </row>
    <row r="53" spans="1:10" x14ac:dyDescent="0.25" outlineLevel="1" collapsed="1">
      <c r="A53" s="7" t="s">
        <v>15</v>
      </c>
      <c r="B53" s="7" t="s">
        <v>63</v>
      </c>
      <c r="C53" s="7" t="s">
        <v>17</v>
      </c>
      <c r="D53" s="7"/>
      <c r="E53" s="7" t="s">
        <v>3471</v>
      </c>
      <c r="F53" s="7" t="s">
        <v>19</v>
      </c>
      <c r="G53" s="7">
        <v>1</v>
      </c>
      <c r="H53" s="7" t="s">
        <v>17</v>
      </c>
      <c r="I53" s="7" t="s">
        <v>17</v>
      </c>
      <c r="J53" s="7" t="s">
        <v>3472</v>
      </c>
    </row>
    <row r="54" spans="1:10" x14ac:dyDescent="0.25">
      <c r="A54" s="5" t="s">
        <v>19</v>
      </c>
      <c r="B54" s="5" t="s">
        <v>63</v>
      </c>
      <c r="C54" s="5" t="s">
        <v>17</v>
      </c>
      <c r="D54" s="5"/>
      <c r="E54" s="5" t="s">
        <v>3561</v>
      </c>
      <c r="F54" s="5" t="s">
        <v>19</v>
      </c>
      <c r="G54" s="5">
        <v>1</v>
      </c>
      <c r="H54" s="5" t="s">
        <v>17</v>
      </c>
      <c r="I54" s="5" t="s">
        <v>17</v>
      </c>
      <c r="J54" s="5" t="s">
        <v>3536</v>
      </c>
    </row>
    <row r="55" spans="1:10" x14ac:dyDescent="0.25">
      <c r="A55" s="5" t="s">
        <v>19</v>
      </c>
      <c r="B55" s="5" t="s">
        <v>63</v>
      </c>
      <c r="C55" s="5" t="s">
        <v>17</v>
      </c>
      <c r="D55" s="5"/>
      <c r="E55" s="5" t="s">
        <v>3562</v>
      </c>
      <c r="F55" s="5" t="s">
        <v>19</v>
      </c>
      <c r="G55" s="5">
        <v>1</v>
      </c>
      <c r="H55" s="5" t="s">
        <v>17</v>
      </c>
      <c r="I55" s="5" t="s">
        <v>17</v>
      </c>
      <c r="J55" s="5" t="s">
        <v>3538</v>
      </c>
    </row>
    <row r="56" spans="1:10" x14ac:dyDescent="0.25">
      <c r="A56" s="5" t="s">
        <v>19</v>
      </c>
      <c r="B56" s="5" t="s">
        <v>63</v>
      </c>
      <c r="C56" s="5" t="s">
        <v>17</v>
      </c>
      <c r="D56" s="5"/>
      <c r="E56" s="5" t="s">
        <v>3563</v>
      </c>
      <c r="F56" s="5" t="s">
        <v>19</v>
      </c>
      <c r="G56" s="5">
        <v>1</v>
      </c>
      <c r="H56" s="5" t="s">
        <v>17</v>
      </c>
      <c r="I56" s="5" t="s">
        <v>17</v>
      </c>
      <c r="J56" s="5" t="s">
        <v>3540</v>
      </c>
    </row>
    <row r="57" spans="1:10" x14ac:dyDescent="0.25">
      <c r="A57" s="5" t="s">
        <v>15</v>
      </c>
      <c r="B57" s="5" t="s">
        <v>63</v>
      </c>
      <c r="C57" s="5" t="s">
        <v>17</v>
      </c>
      <c r="D57" s="5"/>
      <c r="E57" s="5" t="s">
        <v>3564</v>
      </c>
      <c r="F57" s="5" t="s">
        <v>19</v>
      </c>
      <c r="G57" s="5">
        <v>1</v>
      </c>
      <c r="H57" s="5" t="s">
        <v>17</v>
      </c>
      <c r="I57" s="5" t="s">
        <v>17</v>
      </c>
      <c r="J57" s="5" t="s">
        <v>3565</v>
      </c>
    </row>
    <row r="58" spans="1:10" x14ac:dyDescent="0.25">
      <c r="A58" s="5" t="s">
        <v>19</v>
      </c>
      <c r="B58" s="5" t="s">
        <v>63</v>
      </c>
      <c r="C58" s="5" t="s">
        <v>17</v>
      </c>
      <c r="D58" s="5"/>
      <c r="E58" s="5" t="s">
        <v>3566</v>
      </c>
      <c r="F58" s="5" t="s">
        <v>19</v>
      </c>
      <c r="G58" s="5">
        <v>1</v>
      </c>
      <c r="H58" s="5" t="s">
        <v>17</v>
      </c>
      <c r="I58" s="5" t="s">
        <v>17</v>
      </c>
      <c r="J58" s="5" t="s">
        <v>3567</v>
      </c>
    </row>
    <row r="59" spans="1:10" x14ac:dyDescent="0.25">
      <c r="A59" s="5" t="s">
        <v>19</v>
      </c>
      <c r="B59" s="5" t="s">
        <v>63</v>
      </c>
      <c r="C59" s="5" t="s">
        <v>17</v>
      </c>
      <c r="D59" s="5"/>
      <c r="E59" s="5" t="s">
        <v>3568</v>
      </c>
      <c r="F59" s="5" t="s">
        <v>19</v>
      </c>
      <c r="G59" s="5">
        <v>1</v>
      </c>
      <c r="H59" s="5" t="s">
        <v>17</v>
      </c>
      <c r="I59" s="5" t="s">
        <v>17</v>
      </c>
      <c r="J59" s="5" t="s">
        <v>3569</v>
      </c>
    </row>
  </sheetData>
  <mergeCells count="3">
    <mergeCell ref="A1:J1"/>
    <mergeCell ref="B2:J2"/>
    <mergeCell ref="B3:J3"/>
  </mergeCells>
  <hyperlinks>
    <hyperlink ref="B8" r:id="rId1" location="#'VMR0015 ERR Ex-Post Section Re'!A1"/>
    <hyperlink ref="B30" r:id="rId2" location="#'Sampling check row (ERR)'!A1"/>
    <hyperlink ref="B42" r:id="rId3" location="#'VMR0015 ERR Vintage Row (PD 4.'!A1"/>
  </hyperlinks>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3570</v>
      </c>
      <c r="B1" s="1"/>
      <c r="C1" s="1"/>
      <c r="D1" s="1"/>
      <c r="E1" s="1"/>
      <c r="F1" s="1"/>
      <c r="G1" s="1"/>
      <c r="H1" s="1"/>
      <c r="I1" s="1"/>
      <c r="J1" s="1"/>
    </row>
    <row r="2" spans="1:10" x14ac:dyDescent="0.25">
      <c r="A2" s="2" t="s">
        <v>1</v>
      </c>
      <c r="B2" s="3" t="s">
        <v>3571</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v>
      </c>
      <c r="F5" s="5" t="s">
        <v>19</v>
      </c>
      <c r="G5" s="5" t="s">
        <v>31</v>
      </c>
      <c r="H5" s="5" t="s">
        <v>17</v>
      </c>
      <c r="I5" s="5" t="s">
        <v>17</v>
      </c>
      <c r="J5" s="5" t="s">
        <v>2256</v>
      </c>
    </row>
    <row r="6" spans="1:10" x14ac:dyDescent="0.25">
      <c r="A6" s="5" t="s">
        <v>15</v>
      </c>
      <c r="B6" s="5" t="s">
        <v>284</v>
      </c>
      <c r="C6" s="10" t="s">
        <v>3572</v>
      </c>
      <c r="D6" s="5"/>
      <c r="E6" s="5" t="s">
        <v>3572</v>
      </c>
      <c r="F6" s="5" t="s">
        <v>19</v>
      </c>
      <c r="G6" s="5" t="s">
        <v>3573</v>
      </c>
      <c r="H6" s="5" t="s">
        <v>17</v>
      </c>
      <c r="I6" s="5" t="s">
        <v>17</v>
      </c>
      <c r="J6" s="5" t="s">
        <v>287</v>
      </c>
    </row>
    <row r="7" spans="1:10" x14ac:dyDescent="0.25">
      <c r="A7" s="5" t="s">
        <v>15</v>
      </c>
      <c r="B7" s="5" t="s">
        <v>284</v>
      </c>
      <c r="C7" s="10" t="s">
        <v>3574</v>
      </c>
      <c r="D7" s="5"/>
      <c r="E7" s="5" t="s">
        <v>3574</v>
      </c>
      <c r="F7" s="5" t="s">
        <v>19</v>
      </c>
      <c r="G7" s="5" t="s">
        <v>2252</v>
      </c>
      <c r="H7" s="5" t="s">
        <v>17</v>
      </c>
      <c r="I7" s="5" t="s">
        <v>17</v>
      </c>
      <c r="J7" s="5" t="s">
        <v>1036</v>
      </c>
    </row>
    <row r="8" spans="1:10" x14ac:dyDescent="0.25">
      <c r="A8" s="5" t="s">
        <v>15</v>
      </c>
      <c r="B8" s="5" t="s">
        <v>284</v>
      </c>
      <c r="C8" s="10" t="s">
        <v>731</v>
      </c>
      <c r="D8" s="5"/>
      <c r="E8" s="5" t="s">
        <v>731</v>
      </c>
      <c r="F8" s="5" t="s">
        <v>19</v>
      </c>
      <c r="G8" s="5" t="s">
        <v>3575</v>
      </c>
      <c r="H8" s="5" t="s">
        <v>17</v>
      </c>
      <c r="I8" s="5" t="s">
        <v>17</v>
      </c>
      <c r="J8" s="5" t="s">
        <v>733</v>
      </c>
    </row>
    <row r="9" spans="1:10" x14ac:dyDescent="0.25">
      <c r="A9" s="5" t="s">
        <v>19</v>
      </c>
      <c r="B9" s="6" t="s">
        <v>3576</v>
      </c>
      <c r="C9" s="5" t="s">
        <v>17</v>
      </c>
      <c r="D9" s="5">
        <f>EXACT(G7,"Ex Ante")</f>
      </c>
      <c r="E9" s="5" t="s">
        <v>3577</v>
      </c>
      <c r="F9" s="5" t="s">
        <v>19</v>
      </c>
      <c r="G9" s="5" t="s">
        <v>17</v>
      </c>
      <c r="H9" s="5" t="s">
        <v>17</v>
      </c>
      <c r="I9" s="5" t="s">
        <v>17</v>
      </c>
      <c r="J9" s="5" t="s">
        <v>3578</v>
      </c>
    </row>
    <row r="10" spans="1:10" x14ac:dyDescent="0.25" outlineLevel="1" collapsed="1">
      <c r="A10" s="8" t="s">
        <v>15</v>
      </c>
      <c r="B10" s="9" t="s">
        <v>3532</v>
      </c>
      <c r="C10" s="8" t="s">
        <v>17</v>
      </c>
      <c r="D10" s="8"/>
      <c r="E10" s="8" t="s">
        <v>3533</v>
      </c>
      <c r="F10" s="8" t="s">
        <v>15</v>
      </c>
      <c r="G10" s="8" t="s">
        <v>17</v>
      </c>
      <c r="H10" s="8" t="s">
        <v>17</v>
      </c>
      <c r="I10" s="8" t="s">
        <v>17</v>
      </c>
      <c r="J10" s="8" t="s">
        <v>3534</v>
      </c>
    </row>
    <row r="11" spans="1:10" x14ac:dyDescent="0.25" outlineLevel="2" collapsed="1">
      <c r="A11" s="7" t="s">
        <v>19</v>
      </c>
      <c r="B11" s="7" t="s">
        <v>16</v>
      </c>
      <c r="C11" s="7" t="s">
        <v>17</v>
      </c>
      <c r="D11" s="7"/>
      <c r="E11" s="7" t="s">
        <v>3456</v>
      </c>
      <c r="F11" s="7" t="s">
        <v>19</v>
      </c>
      <c r="G11" s="7" t="s">
        <v>31</v>
      </c>
      <c r="H11" s="7" t="s">
        <v>17</v>
      </c>
      <c r="I11" s="7" t="s">
        <v>17</v>
      </c>
      <c r="J11" s="7" t="s">
        <v>944</v>
      </c>
    </row>
    <row r="12" spans="1:10" x14ac:dyDescent="0.25" outlineLevel="2" collapsed="1">
      <c r="A12" s="7" t="s">
        <v>15</v>
      </c>
      <c r="B12" s="7" t="s">
        <v>291</v>
      </c>
      <c r="C12" s="7" t="s">
        <v>17</v>
      </c>
      <c r="D12" s="7"/>
      <c r="E12" s="7" t="s">
        <v>30</v>
      </c>
      <c r="F12" s="7" t="s">
        <v>19</v>
      </c>
      <c r="G12" s="7" t="s">
        <v>950</v>
      </c>
      <c r="H12" s="7" t="s">
        <v>17</v>
      </c>
      <c r="I12" s="7" t="s">
        <v>17</v>
      </c>
      <c r="J12" s="7" t="s">
        <v>734</v>
      </c>
    </row>
    <row r="13" spans="1:10" x14ac:dyDescent="0.25" outlineLevel="2" collapsed="1">
      <c r="A13" s="7" t="s">
        <v>15</v>
      </c>
      <c r="B13" s="7" t="s">
        <v>291</v>
      </c>
      <c r="C13" s="7" t="s">
        <v>17</v>
      </c>
      <c r="D13" s="7"/>
      <c r="E13" s="7" t="s">
        <v>33</v>
      </c>
      <c r="F13" s="7" t="s">
        <v>19</v>
      </c>
      <c r="G13" s="7" t="s">
        <v>950</v>
      </c>
      <c r="H13" s="7" t="s">
        <v>17</v>
      </c>
      <c r="I13" s="7" t="s">
        <v>17</v>
      </c>
      <c r="J13" s="7" t="s">
        <v>735</v>
      </c>
    </row>
    <row r="14" spans="1:10" x14ac:dyDescent="0.25" outlineLevel="2" collapsed="1">
      <c r="A14" s="7" t="s">
        <v>15</v>
      </c>
      <c r="B14" s="7" t="s">
        <v>63</v>
      </c>
      <c r="C14" s="7" t="s">
        <v>17</v>
      </c>
      <c r="D14" s="7"/>
      <c r="E14" s="7" t="s">
        <v>3457</v>
      </c>
      <c r="F14" s="7" t="s">
        <v>19</v>
      </c>
      <c r="G14" s="7">
        <v>1</v>
      </c>
      <c r="H14" s="7" t="s">
        <v>17</v>
      </c>
      <c r="I14" s="7" t="s">
        <v>17</v>
      </c>
      <c r="J14" s="7" t="s">
        <v>3458</v>
      </c>
    </row>
    <row r="15" spans="1:10" x14ac:dyDescent="0.25" outlineLevel="2" collapsed="1">
      <c r="A15" s="7" t="s">
        <v>19</v>
      </c>
      <c r="B15" s="7" t="s">
        <v>63</v>
      </c>
      <c r="C15" s="7" t="s">
        <v>17</v>
      </c>
      <c r="D15" s="7"/>
      <c r="E15" s="7" t="s">
        <v>3459</v>
      </c>
      <c r="F15" s="7" t="s">
        <v>19</v>
      </c>
      <c r="G15" s="7">
        <v>1</v>
      </c>
      <c r="H15" s="7" t="s">
        <v>17</v>
      </c>
      <c r="I15" s="7" t="s">
        <v>17</v>
      </c>
      <c r="J15" s="7" t="s">
        <v>3460</v>
      </c>
    </row>
    <row r="16" spans="1:10" x14ac:dyDescent="0.25" outlineLevel="2" collapsed="1">
      <c r="A16" s="7" t="s">
        <v>19</v>
      </c>
      <c r="B16" s="7" t="s">
        <v>63</v>
      </c>
      <c r="C16" s="7" t="s">
        <v>17</v>
      </c>
      <c r="D16" s="7"/>
      <c r="E16" s="7" t="s">
        <v>3461</v>
      </c>
      <c r="F16" s="7" t="s">
        <v>19</v>
      </c>
      <c r="G16" s="7">
        <v>1</v>
      </c>
      <c r="H16" s="7" t="s">
        <v>17</v>
      </c>
      <c r="I16" s="7" t="s">
        <v>17</v>
      </c>
      <c r="J16" s="7" t="s">
        <v>3462</v>
      </c>
    </row>
    <row r="17" spans="1:10" x14ac:dyDescent="0.25" outlineLevel="2" collapsed="1">
      <c r="A17" s="7" t="s">
        <v>15</v>
      </c>
      <c r="B17" s="7" t="s">
        <v>63</v>
      </c>
      <c r="C17" s="7" t="s">
        <v>17</v>
      </c>
      <c r="D17" s="7"/>
      <c r="E17" s="7" t="s">
        <v>3463</v>
      </c>
      <c r="F17" s="7" t="s">
        <v>19</v>
      </c>
      <c r="G17" s="7">
        <v>1</v>
      </c>
      <c r="H17" s="7" t="s">
        <v>17</v>
      </c>
      <c r="I17" s="7" t="s">
        <v>17</v>
      </c>
      <c r="J17" s="7" t="s">
        <v>3464</v>
      </c>
    </row>
    <row r="18" spans="1:10" x14ac:dyDescent="0.25" outlineLevel="2" collapsed="1">
      <c r="A18" s="7" t="s">
        <v>15</v>
      </c>
      <c r="B18" s="7" t="s">
        <v>63</v>
      </c>
      <c r="C18" s="7" t="s">
        <v>17</v>
      </c>
      <c r="D18" s="7"/>
      <c r="E18" s="7" t="s">
        <v>3465</v>
      </c>
      <c r="F18" s="7" t="s">
        <v>19</v>
      </c>
      <c r="G18" s="7">
        <v>1</v>
      </c>
      <c r="H18" s="7" t="s">
        <v>17</v>
      </c>
      <c r="I18" s="7" t="s">
        <v>17</v>
      </c>
      <c r="J18" s="7" t="s">
        <v>3466</v>
      </c>
    </row>
    <row r="19" spans="1:10" x14ac:dyDescent="0.25" outlineLevel="2" collapsed="1">
      <c r="A19" s="7" t="s">
        <v>15</v>
      </c>
      <c r="B19" s="7" t="s">
        <v>63</v>
      </c>
      <c r="C19" s="7" t="s">
        <v>17</v>
      </c>
      <c r="D19" s="7"/>
      <c r="E19" s="7" t="s">
        <v>3467</v>
      </c>
      <c r="F19" s="7" t="s">
        <v>19</v>
      </c>
      <c r="G19" s="7">
        <v>1</v>
      </c>
      <c r="H19" s="7" t="s">
        <v>17</v>
      </c>
      <c r="I19" s="7" t="s">
        <v>17</v>
      </c>
      <c r="J19" s="7" t="s">
        <v>3468</v>
      </c>
    </row>
    <row r="20" spans="1:10" x14ac:dyDescent="0.25" outlineLevel="2" collapsed="1">
      <c r="A20" s="7" t="s">
        <v>15</v>
      </c>
      <c r="B20" s="7" t="s">
        <v>63</v>
      </c>
      <c r="C20" s="7" t="s">
        <v>17</v>
      </c>
      <c r="D20" s="7"/>
      <c r="E20" s="7" t="s">
        <v>3469</v>
      </c>
      <c r="F20" s="7" t="s">
        <v>19</v>
      </c>
      <c r="G20" s="7">
        <v>1</v>
      </c>
      <c r="H20" s="7" t="s">
        <v>17</v>
      </c>
      <c r="I20" s="7" t="s">
        <v>17</v>
      </c>
      <c r="J20" s="7" t="s">
        <v>3470</v>
      </c>
    </row>
    <row r="21" spans="1:10" x14ac:dyDescent="0.25" outlineLevel="2" collapsed="1">
      <c r="A21" s="7" t="s">
        <v>15</v>
      </c>
      <c r="B21" s="7" t="s">
        <v>63</v>
      </c>
      <c r="C21" s="7" t="s">
        <v>17</v>
      </c>
      <c r="D21" s="7"/>
      <c r="E21" s="7" t="s">
        <v>3471</v>
      </c>
      <c r="F21" s="7" t="s">
        <v>19</v>
      </c>
      <c r="G21" s="7">
        <v>1</v>
      </c>
      <c r="H21" s="7" t="s">
        <v>17</v>
      </c>
      <c r="I21" s="7" t="s">
        <v>17</v>
      </c>
      <c r="J21" s="7" t="s">
        <v>3472</v>
      </c>
    </row>
    <row r="22" spans="1:10" x14ac:dyDescent="0.25" outlineLevel="1" collapsed="1">
      <c r="A22" s="7" t="s">
        <v>15</v>
      </c>
      <c r="B22" s="7" t="s">
        <v>63</v>
      </c>
      <c r="C22" s="7" t="s">
        <v>17</v>
      </c>
      <c r="D22" s="7"/>
      <c r="E22" s="7" t="s">
        <v>3535</v>
      </c>
      <c r="F22" s="7" t="s">
        <v>19</v>
      </c>
      <c r="G22" s="7">
        <v>1</v>
      </c>
      <c r="H22" s="7" t="s">
        <v>17</v>
      </c>
      <c r="I22" s="7" t="s">
        <v>17</v>
      </c>
      <c r="J22" s="7" t="s">
        <v>3536</v>
      </c>
    </row>
    <row r="23" spans="1:10" x14ac:dyDescent="0.25" outlineLevel="1" collapsed="1">
      <c r="A23" s="7" t="s">
        <v>15</v>
      </c>
      <c r="B23" s="7" t="s">
        <v>63</v>
      </c>
      <c r="C23" s="7" t="s">
        <v>17</v>
      </c>
      <c r="D23" s="7"/>
      <c r="E23" s="7" t="s">
        <v>3537</v>
      </c>
      <c r="F23" s="7" t="s">
        <v>19</v>
      </c>
      <c r="G23" s="7">
        <v>1</v>
      </c>
      <c r="H23" s="7" t="s">
        <v>17</v>
      </c>
      <c r="I23" s="7" t="s">
        <v>17</v>
      </c>
      <c r="J23" s="7" t="s">
        <v>3538</v>
      </c>
    </row>
    <row r="24" spans="1:10" x14ac:dyDescent="0.25" outlineLevel="1" collapsed="1">
      <c r="A24" s="7" t="s">
        <v>15</v>
      </c>
      <c r="B24" s="7" t="s">
        <v>63</v>
      </c>
      <c r="C24" s="7" t="s">
        <v>17</v>
      </c>
      <c r="D24" s="7"/>
      <c r="E24" s="7" t="s">
        <v>3539</v>
      </c>
      <c r="F24" s="7" t="s">
        <v>19</v>
      </c>
      <c r="G24" s="7">
        <v>1</v>
      </c>
      <c r="H24" s="7" t="s">
        <v>17</v>
      </c>
      <c r="I24" s="7" t="s">
        <v>17</v>
      </c>
      <c r="J24" s="7" t="s">
        <v>3540</v>
      </c>
    </row>
    <row r="25" spans="1:10" x14ac:dyDescent="0.25" outlineLevel="1" collapsed="1">
      <c r="A25" s="7" t="s">
        <v>15</v>
      </c>
      <c r="B25" s="7" t="s">
        <v>63</v>
      </c>
      <c r="C25" s="7" t="s">
        <v>17</v>
      </c>
      <c r="D25" s="7"/>
      <c r="E25" s="7" t="s">
        <v>3541</v>
      </c>
      <c r="F25" s="7" t="s">
        <v>19</v>
      </c>
      <c r="G25" s="7">
        <v>1</v>
      </c>
      <c r="H25" s="7" t="s">
        <v>17</v>
      </c>
      <c r="I25" s="7" t="s">
        <v>17</v>
      </c>
      <c r="J25" s="7" t="s">
        <v>3542</v>
      </c>
    </row>
    <row r="26" spans="1:10" x14ac:dyDescent="0.25" outlineLevel="1" collapsed="1">
      <c r="A26" s="7" t="s">
        <v>15</v>
      </c>
      <c r="B26" s="7" t="s">
        <v>63</v>
      </c>
      <c r="C26" s="7" t="s">
        <v>17</v>
      </c>
      <c r="D26" s="7"/>
      <c r="E26" s="7" t="s">
        <v>3543</v>
      </c>
      <c r="F26" s="7" t="s">
        <v>19</v>
      </c>
      <c r="G26" s="7">
        <v>1</v>
      </c>
      <c r="H26" s="7" t="s">
        <v>17</v>
      </c>
      <c r="I26" s="7" t="s">
        <v>17</v>
      </c>
      <c r="J26" s="7" t="s">
        <v>3544</v>
      </c>
    </row>
    <row r="27" spans="1:10" x14ac:dyDescent="0.25" outlineLevel="1" collapsed="1">
      <c r="A27" s="7" t="s">
        <v>19</v>
      </c>
      <c r="B27" s="7" t="s">
        <v>63</v>
      </c>
      <c r="C27" s="7" t="s">
        <v>17</v>
      </c>
      <c r="D27" s="7"/>
      <c r="E27" s="7" t="s">
        <v>3545</v>
      </c>
      <c r="F27" s="7" t="s">
        <v>19</v>
      </c>
      <c r="G27" s="7">
        <v>1</v>
      </c>
      <c r="H27" s="7" t="s">
        <v>17</v>
      </c>
      <c r="I27" s="7" t="s">
        <v>17</v>
      </c>
      <c r="J27" s="7" t="s">
        <v>3546</v>
      </c>
    </row>
    <row r="28" spans="1:10" x14ac:dyDescent="0.25" outlineLevel="1" collapsed="1">
      <c r="A28" s="7" t="s">
        <v>19</v>
      </c>
      <c r="B28" s="7" t="s">
        <v>284</v>
      </c>
      <c r="C28" s="11" t="s">
        <v>3547</v>
      </c>
      <c r="D28" s="7"/>
      <c r="E28" s="7" t="s">
        <v>3548</v>
      </c>
      <c r="F28" s="7" t="s">
        <v>19</v>
      </c>
      <c r="G28" s="7" t="s">
        <v>3549</v>
      </c>
      <c r="H28" s="7" t="s">
        <v>17</v>
      </c>
      <c r="I28" s="7" t="s">
        <v>17</v>
      </c>
      <c r="J28" s="7" t="s">
        <v>3550</v>
      </c>
    </row>
    <row r="29" spans="1:10" x14ac:dyDescent="0.25" outlineLevel="1" collapsed="1">
      <c r="A29" s="7" t="s">
        <v>19</v>
      </c>
      <c r="B29" s="7" t="s">
        <v>16</v>
      </c>
      <c r="C29" s="7" t="s">
        <v>17</v>
      </c>
      <c r="D29" s="7"/>
      <c r="E29" s="7" t="s">
        <v>3551</v>
      </c>
      <c r="F29" s="7" t="s">
        <v>19</v>
      </c>
      <c r="G29" s="7" t="s">
        <v>31</v>
      </c>
      <c r="H29" s="7" t="s">
        <v>17</v>
      </c>
      <c r="I29" s="7" t="s">
        <v>17</v>
      </c>
      <c r="J29" s="7" t="s">
        <v>3552</v>
      </c>
    </row>
    <row r="30" spans="1:10" x14ac:dyDescent="0.25">
      <c r="A30" s="5" t="s">
        <v>19</v>
      </c>
      <c r="B30" s="6" t="s">
        <v>3579</v>
      </c>
      <c r="C30" s="5" t="s">
        <v>17</v>
      </c>
      <c r="D30" s="5">
        <f>EXACT(G7,"Ex Post")</f>
      </c>
      <c r="E30" s="5" t="s">
        <v>3580</v>
      </c>
      <c r="F30" s="5" t="s">
        <v>19</v>
      </c>
      <c r="G30" s="5" t="s">
        <v>17</v>
      </c>
      <c r="H30" s="5" t="s">
        <v>17</v>
      </c>
      <c r="I30" s="5" t="s">
        <v>17</v>
      </c>
      <c r="J30" s="5" t="s">
        <v>3581</v>
      </c>
    </row>
    <row r="31" spans="1:10" x14ac:dyDescent="0.25" outlineLevel="1" collapsed="1">
      <c r="A31" s="7" t="s">
        <v>15</v>
      </c>
      <c r="B31" s="7" t="s">
        <v>291</v>
      </c>
      <c r="C31" s="7" t="s">
        <v>17</v>
      </c>
      <c r="D31" s="7"/>
      <c r="E31" s="7" t="s">
        <v>264</v>
      </c>
      <c r="F31" s="7" t="s">
        <v>19</v>
      </c>
      <c r="G31" s="7" t="s">
        <v>950</v>
      </c>
      <c r="H31" s="7" t="s">
        <v>17</v>
      </c>
      <c r="I31" s="7" t="s">
        <v>17</v>
      </c>
      <c r="J31" s="7" t="s">
        <v>3555</v>
      </c>
    </row>
    <row r="32" spans="1:10" x14ac:dyDescent="0.25" outlineLevel="1" collapsed="1">
      <c r="A32" s="7" t="s">
        <v>15</v>
      </c>
      <c r="B32" s="7" t="s">
        <v>291</v>
      </c>
      <c r="C32" s="7" t="s">
        <v>17</v>
      </c>
      <c r="D32" s="7"/>
      <c r="E32" s="7" t="s">
        <v>266</v>
      </c>
      <c r="F32" s="7" t="s">
        <v>19</v>
      </c>
      <c r="G32" s="7" t="s">
        <v>950</v>
      </c>
      <c r="H32" s="7" t="s">
        <v>17</v>
      </c>
      <c r="I32" s="7" t="s">
        <v>17</v>
      </c>
      <c r="J32" s="7" t="s">
        <v>3556</v>
      </c>
    </row>
    <row r="33" spans="1:10" x14ac:dyDescent="0.25" outlineLevel="1" collapsed="1">
      <c r="A33" s="7" t="s">
        <v>19</v>
      </c>
      <c r="B33" s="7" t="s">
        <v>63</v>
      </c>
      <c r="C33" s="7" t="s">
        <v>17</v>
      </c>
      <c r="D33" s="7"/>
      <c r="E33" s="7" t="s">
        <v>3557</v>
      </c>
      <c r="F33" s="7" t="s">
        <v>19</v>
      </c>
      <c r="G33" s="7">
        <v>1</v>
      </c>
      <c r="H33" s="7" t="s">
        <v>17</v>
      </c>
      <c r="I33" s="7" t="s">
        <v>17</v>
      </c>
      <c r="J33" s="7" t="s">
        <v>1800</v>
      </c>
    </row>
    <row r="34" spans="1:10" x14ac:dyDescent="0.25" outlineLevel="1" collapsed="1">
      <c r="A34" s="8" t="s">
        <v>15</v>
      </c>
      <c r="B34" s="9" t="s">
        <v>3558</v>
      </c>
      <c r="C34" s="8" t="s">
        <v>17</v>
      </c>
      <c r="D34" s="8"/>
      <c r="E34" s="8" t="s">
        <v>3559</v>
      </c>
      <c r="F34" s="8" t="s">
        <v>15</v>
      </c>
      <c r="G34" s="8" t="s">
        <v>17</v>
      </c>
      <c r="H34" s="8" t="s">
        <v>17</v>
      </c>
      <c r="I34" s="8" t="s">
        <v>17</v>
      </c>
      <c r="J34" s="8" t="s">
        <v>1803</v>
      </c>
    </row>
    <row r="35" spans="1:10" x14ac:dyDescent="0.25" outlineLevel="2" collapsed="1">
      <c r="A35" s="7" t="s">
        <v>15</v>
      </c>
      <c r="B35" s="7" t="s">
        <v>16</v>
      </c>
      <c r="C35" s="7" t="s">
        <v>17</v>
      </c>
      <c r="D35" s="7"/>
      <c r="E35" s="7" t="s">
        <v>943</v>
      </c>
      <c r="F35" s="7" t="s">
        <v>19</v>
      </c>
      <c r="G35" s="7" t="s">
        <v>31</v>
      </c>
      <c r="H35" s="7" t="s">
        <v>17</v>
      </c>
      <c r="I35" s="7" t="s">
        <v>17</v>
      </c>
      <c r="J35" s="7" t="s">
        <v>944</v>
      </c>
    </row>
    <row r="36" spans="1:10" x14ac:dyDescent="0.25" outlineLevel="2" collapsed="1">
      <c r="A36" s="7" t="s">
        <v>15</v>
      </c>
      <c r="B36" s="7" t="s">
        <v>63</v>
      </c>
      <c r="C36" s="7" t="s">
        <v>17</v>
      </c>
      <c r="D36" s="7"/>
      <c r="E36" s="7" t="s">
        <v>3475</v>
      </c>
      <c r="F36" s="7" t="s">
        <v>19</v>
      </c>
      <c r="G36" s="7">
        <v>1</v>
      </c>
      <c r="H36" s="7" t="s">
        <v>17</v>
      </c>
      <c r="I36" s="7" t="s">
        <v>17</v>
      </c>
      <c r="J36" s="7" t="s">
        <v>636</v>
      </c>
    </row>
    <row r="37" spans="1:10" x14ac:dyDescent="0.25" outlineLevel="2" collapsed="1">
      <c r="A37" s="7" t="s">
        <v>19</v>
      </c>
      <c r="B37" s="7" t="s">
        <v>63</v>
      </c>
      <c r="C37" s="7" t="s">
        <v>17</v>
      </c>
      <c r="D37" s="7"/>
      <c r="E37" s="7" t="s">
        <v>3476</v>
      </c>
      <c r="F37" s="7" t="s">
        <v>19</v>
      </c>
      <c r="G37" s="7">
        <v>1</v>
      </c>
      <c r="H37" s="7" t="s">
        <v>17</v>
      </c>
      <c r="I37" s="7" t="s">
        <v>17</v>
      </c>
      <c r="J37" s="7" t="s">
        <v>1684</v>
      </c>
    </row>
    <row r="38" spans="1:10" x14ac:dyDescent="0.25" outlineLevel="2" collapsed="1">
      <c r="A38" s="7" t="s">
        <v>19</v>
      </c>
      <c r="B38" s="7" t="s">
        <v>63</v>
      </c>
      <c r="C38" s="7" t="s">
        <v>17</v>
      </c>
      <c r="D38" s="7"/>
      <c r="E38" s="7" t="s">
        <v>3477</v>
      </c>
      <c r="F38" s="7" t="s">
        <v>19</v>
      </c>
      <c r="G38" s="7">
        <v>1</v>
      </c>
      <c r="H38" s="7" t="s">
        <v>17</v>
      </c>
      <c r="I38" s="7" t="s">
        <v>17</v>
      </c>
      <c r="J38" s="7" t="s">
        <v>3478</v>
      </c>
    </row>
    <row r="39" spans="1:10" x14ac:dyDescent="0.25" outlineLevel="2" collapsed="1">
      <c r="A39" s="7" t="s">
        <v>19</v>
      </c>
      <c r="B39" s="7" t="s">
        <v>63</v>
      </c>
      <c r="C39" s="7" t="s">
        <v>17</v>
      </c>
      <c r="D39" s="7"/>
      <c r="E39" s="7" t="s">
        <v>3479</v>
      </c>
      <c r="F39" s="7" t="s">
        <v>19</v>
      </c>
      <c r="G39" s="7">
        <v>1</v>
      </c>
      <c r="H39" s="7" t="s">
        <v>17</v>
      </c>
      <c r="I39" s="7" t="s">
        <v>17</v>
      </c>
      <c r="J39" s="7" t="s">
        <v>3480</v>
      </c>
    </row>
    <row r="40" spans="1:10" x14ac:dyDescent="0.25" outlineLevel="2" collapsed="1">
      <c r="A40" s="7" t="s">
        <v>19</v>
      </c>
      <c r="B40" s="7" t="s">
        <v>63</v>
      </c>
      <c r="C40" s="7" t="s">
        <v>17</v>
      </c>
      <c r="D40" s="7"/>
      <c r="E40" s="7" t="s">
        <v>3481</v>
      </c>
      <c r="F40" s="7" t="s">
        <v>19</v>
      </c>
      <c r="G40" s="7">
        <v>1</v>
      </c>
      <c r="H40" s="7" t="s">
        <v>17</v>
      </c>
      <c r="I40" s="7" t="s">
        <v>17</v>
      </c>
      <c r="J40" s="7" t="s">
        <v>3482</v>
      </c>
    </row>
    <row r="41" spans="1:10" x14ac:dyDescent="0.25" outlineLevel="2" collapsed="1">
      <c r="A41" s="7" t="s">
        <v>15</v>
      </c>
      <c r="B41" s="7" t="s">
        <v>63</v>
      </c>
      <c r="C41" s="7" t="s">
        <v>17</v>
      </c>
      <c r="D41" s="7"/>
      <c r="E41" s="7" t="s">
        <v>3483</v>
      </c>
      <c r="F41" s="7" t="s">
        <v>19</v>
      </c>
      <c r="G41" s="7">
        <v>1</v>
      </c>
      <c r="H41" s="7" t="s">
        <v>17</v>
      </c>
      <c r="I41" s="7" t="s">
        <v>17</v>
      </c>
      <c r="J41" s="7" t="s">
        <v>3484</v>
      </c>
    </row>
    <row r="42" spans="1:10" x14ac:dyDescent="0.25" outlineLevel="2" collapsed="1">
      <c r="A42" s="7" t="s">
        <v>15</v>
      </c>
      <c r="B42" s="7" t="s">
        <v>63</v>
      </c>
      <c r="C42" s="7" t="s">
        <v>17</v>
      </c>
      <c r="D42" s="7"/>
      <c r="E42" s="7" t="s">
        <v>3485</v>
      </c>
      <c r="F42" s="7" t="s">
        <v>19</v>
      </c>
      <c r="G42" s="7">
        <v>1</v>
      </c>
      <c r="H42" s="7" t="s">
        <v>17</v>
      </c>
      <c r="I42" s="7" t="s">
        <v>17</v>
      </c>
      <c r="J42" s="7" t="s">
        <v>1669</v>
      </c>
    </row>
    <row r="43" spans="1:10" x14ac:dyDescent="0.25" outlineLevel="2" collapsed="1">
      <c r="A43" s="7" t="s">
        <v>19</v>
      </c>
      <c r="B43" s="7" t="s">
        <v>63</v>
      </c>
      <c r="C43" s="7" t="s">
        <v>17</v>
      </c>
      <c r="D43" s="7"/>
      <c r="E43" s="7" t="s">
        <v>3486</v>
      </c>
      <c r="F43" s="7" t="s">
        <v>19</v>
      </c>
      <c r="G43" s="7">
        <v>1</v>
      </c>
      <c r="H43" s="7" t="s">
        <v>17</v>
      </c>
      <c r="I43" s="7" t="s">
        <v>17</v>
      </c>
      <c r="J43" s="7" t="s">
        <v>1693</v>
      </c>
    </row>
    <row r="44" spans="1:10" x14ac:dyDescent="0.25" outlineLevel="2" collapsed="1">
      <c r="A44" s="7" t="s">
        <v>15</v>
      </c>
      <c r="B44" s="7" t="s">
        <v>63</v>
      </c>
      <c r="C44" s="7" t="s">
        <v>17</v>
      </c>
      <c r="D44" s="7"/>
      <c r="E44" s="7" t="s">
        <v>3487</v>
      </c>
      <c r="F44" s="7" t="s">
        <v>19</v>
      </c>
      <c r="G44" s="7">
        <v>1</v>
      </c>
      <c r="H44" s="7" t="s">
        <v>17</v>
      </c>
      <c r="I44" s="7" t="s">
        <v>17</v>
      </c>
      <c r="J44" s="7" t="s">
        <v>3488</v>
      </c>
    </row>
    <row r="45" spans="1:10" x14ac:dyDescent="0.25" outlineLevel="2" collapsed="1">
      <c r="A45" s="7" t="s">
        <v>15</v>
      </c>
      <c r="B45" s="7" t="s">
        <v>63</v>
      </c>
      <c r="C45" s="7" t="s">
        <v>17</v>
      </c>
      <c r="D45" s="7"/>
      <c r="E45" s="7" t="s">
        <v>3489</v>
      </c>
      <c r="F45" s="7" t="s">
        <v>19</v>
      </c>
      <c r="G45" s="7">
        <v>1</v>
      </c>
      <c r="H45" s="7" t="s">
        <v>17</v>
      </c>
      <c r="I45" s="7" t="s">
        <v>17</v>
      </c>
      <c r="J45" s="7" t="s">
        <v>3490</v>
      </c>
    </row>
    <row r="46" spans="1:10" x14ac:dyDescent="0.25" outlineLevel="2" collapsed="1">
      <c r="A46" s="7" t="s">
        <v>19</v>
      </c>
      <c r="B46" s="7" t="s">
        <v>63</v>
      </c>
      <c r="C46" s="7" t="s">
        <v>17</v>
      </c>
      <c r="D46" s="7"/>
      <c r="E46" s="7" t="s">
        <v>3491</v>
      </c>
      <c r="F46" s="7" t="s">
        <v>19</v>
      </c>
      <c r="G46" s="7">
        <v>1</v>
      </c>
      <c r="H46" s="7" t="s">
        <v>17</v>
      </c>
      <c r="I46" s="7" t="s">
        <v>17</v>
      </c>
      <c r="J46" s="7" t="s">
        <v>1632</v>
      </c>
    </row>
    <row r="47" spans="1:10" x14ac:dyDescent="0.25" outlineLevel="2" collapsed="1">
      <c r="A47" s="7" t="s">
        <v>19</v>
      </c>
      <c r="B47" s="7" t="s">
        <v>63</v>
      </c>
      <c r="C47" s="7" t="s">
        <v>17</v>
      </c>
      <c r="D47" s="7"/>
      <c r="E47" s="7" t="s">
        <v>3492</v>
      </c>
      <c r="F47" s="7" t="s">
        <v>19</v>
      </c>
      <c r="G47" s="7">
        <v>1</v>
      </c>
      <c r="H47" s="7" t="s">
        <v>17</v>
      </c>
      <c r="I47" s="7" t="s">
        <v>17</v>
      </c>
      <c r="J47" s="7" t="s">
        <v>1624</v>
      </c>
    </row>
    <row r="48" spans="1:10" x14ac:dyDescent="0.25" outlineLevel="2" collapsed="1">
      <c r="A48" s="7" t="s">
        <v>15</v>
      </c>
      <c r="B48" s="7" t="s">
        <v>63</v>
      </c>
      <c r="C48" s="7" t="s">
        <v>17</v>
      </c>
      <c r="D48" s="7"/>
      <c r="E48" s="7" t="s">
        <v>3493</v>
      </c>
      <c r="F48" s="7" t="s">
        <v>19</v>
      </c>
      <c r="G48" s="7">
        <v>1</v>
      </c>
      <c r="H48" s="7" t="s">
        <v>17</v>
      </c>
      <c r="I48" s="7" t="s">
        <v>17</v>
      </c>
      <c r="J48" s="7" t="s">
        <v>3494</v>
      </c>
    </row>
    <row r="49" spans="1:10" x14ac:dyDescent="0.25" outlineLevel="2" collapsed="1">
      <c r="A49" s="7" t="s">
        <v>19</v>
      </c>
      <c r="B49" s="7" t="s">
        <v>63</v>
      </c>
      <c r="C49" s="7" t="s">
        <v>17</v>
      </c>
      <c r="D49" s="7"/>
      <c r="E49" s="7" t="s">
        <v>3495</v>
      </c>
      <c r="F49" s="7" t="s">
        <v>19</v>
      </c>
      <c r="G49" s="7">
        <v>1</v>
      </c>
      <c r="H49" s="7" t="s">
        <v>17</v>
      </c>
      <c r="I49" s="7" t="s">
        <v>17</v>
      </c>
      <c r="J49" s="7" t="s">
        <v>3460</v>
      </c>
    </row>
    <row r="50" spans="1:10" x14ac:dyDescent="0.25" outlineLevel="2" collapsed="1">
      <c r="A50" s="7" t="s">
        <v>19</v>
      </c>
      <c r="B50" s="7" t="s">
        <v>63</v>
      </c>
      <c r="C50" s="7" t="s">
        <v>17</v>
      </c>
      <c r="D50" s="7"/>
      <c r="E50" s="7" t="s">
        <v>3496</v>
      </c>
      <c r="F50" s="7" t="s">
        <v>19</v>
      </c>
      <c r="G50" s="7">
        <v>1</v>
      </c>
      <c r="H50" s="7" t="s">
        <v>17</v>
      </c>
      <c r="I50" s="7" t="s">
        <v>17</v>
      </c>
      <c r="J50" s="7" t="s">
        <v>3462</v>
      </c>
    </row>
    <row r="51" spans="1:10" x14ac:dyDescent="0.25" outlineLevel="2" collapsed="1">
      <c r="A51" s="7" t="s">
        <v>15</v>
      </c>
      <c r="B51" s="7" t="s">
        <v>63</v>
      </c>
      <c r="C51" s="7" t="s">
        <v>17</v>
      </c>
      <c r="D51" s="7"/>
      <c r="E51" s="7" t="s">
        <v>3497</v>
      </c>
      <c r="F51" s="7" t="s">
        <v>19</v>
      </c>
      <c r="G51" s="7">
        <v>1</v>
      </c>
      <c r="H51" s="7" t="s">
        <v>17</v>
      </c>
      <c r="I51" s="7" t="s">
        <v>17</v>
      </c>
      <c r="J51" s="7" t="s">
        <v>3498</v>
      </c>
    </row>
    <row r="52" spans="1:10" x14ac:dyDescent="0.25" outlineLevel="2" collapsed="1">
      <c r="A52" s="7" t="s">
        <v>15</v>
      </c>
      <c r="B52" s="7" t="s">
        <v>63</v>
      </c>
      <c r="C52" s="7" t="s">
        <v>17</v>
      </c>
      <c r="D52" s="7"/>
      <c r="E52" s="7" t="s">
        <v>3499</v>
      </c>
      <c r="F52" s="7" t="s">
        <v>19</v>
      </c>
      <c r="G52" s="7">
        <v>1</v>
      </c>
      <c r="H52" s="7" t="s">
        <v>17</v>
      </c>
      <c r="I52" s="7" t="s">
        <v>17</v>
      </c>
      <c r="J52" s="7" t="s">
        <v>3500</v>
      </c>
    </row>
    <row r="53" spans="1:10" x14ac:dyDescent="0.25" outlineLevel="2" collapsed="1">
      <c r="A53" s="7" t="s">
        <v>15</v>
      </c>
      <c r="B53" s="7" t="s">
        <v>63</v>
      </c>
      <c r="C53" s="7" t="s">
        <v>17</v>
      </c>
      <c r="D53" s="7"/>
      <c r="E53" s="7" t="s">
        <v>3501</v>
      </c>
      <c r="F53" s="7" t="s">
        <v>19</v>
      </c>
      <c r="G53" s="7">
        <v>1</v>
      </c>
      <c r="H53" s="7" t="s">
        <v>17</v>
      </c>
      <c r="I53" s="7" t="s">
        <v>17</v>
      </c>
      <c r="J53" s="7" t="s">
        <v>3502</v>
      </c>
    </row>
    <row r="54" spans="1:10" x14ac:dyDescent="0.25" outlineLevel="2" collapsed="1">
      <c r="A54" s="7" t="s">
        <v>15</v>
      </c>
      <c r="B54" s="7" t="s">
        <v>63</v>
      </c>
      <c r="C54" s="7" t="s">
        <v>17</v>
      </c>
      <c r="D54" s="7"/>
      <c r="E54" s="7" t="s">
        <v>3503</v>
      </c>
      <c r="F54" s="7" t="s">
        <v>19</v>
      </c>
      <c r="G54" s="7">
        <v>1</v>
      </c>
      <c r="H54" s="7" t="s">
        <v>17</v>
      </c>
      <c r="I54" s="7" t="s">
        <v>17</v>
      </c>
      <c r="J54" s="7" t="s">
        <v>3504</v>
      </c>
    </row>
    <row r="55" spans="1:10" x14ac:dyDescent="0.25" outlineLevel="2" collapsed="1">
      <c r="A55" s="7" t="s">
        <v>15</v>
      </c>
      <c r="B55" s="7" t="s">
        <v>63</v>
      </c>
      <c r="C55" s="7" t="s">
        <v>17</v>
      </c>
      <c r="D55" s="7"/>
      <c r="E55" s="7" t="s">
        <v>3505</v>
      </c>
      <c r="F55" s="7" t="s">
        <v>19</v>
      </c>
      <c r="G55" s="7">
        <v>1</v>
      </c>
      <c r="H55" s="7" t="s">
        <v>17</v>
      </c>
      <c r="I55" s="7" t="s">
        <v>17</v>
      </c>
      <c r="J55" s="7" t="s">
        <v>3506</v>
      </c>
    </row>
    <row r="56" spans="1:10" x14ac:dyDescent="0.25" outlineLevel="2" collapsed="1">
      <c r="A56" s="8" t="s">
        <v>19</v>
      </c>
      <c r="B56" s="9" t="s">
        <v>3507</v>
      </c>
      <c r="C56" s="8" t="s">
        <v>17</v>
      </c>
      <c r="D56" s="8"/>
      <c r="E56" s="8" t="s">
        <v>3508</v>
      </c>
      <c r="F56" s="8" t="s">
        <v>15</v>
      </c>
      <c r="G56" s="8" t="s">
        <v>17</v>
      </c>
      <c r="H56" s="8" t="s">
        <v>17</v>
      </c>
      <c r="I56" s="8" t="s">
        <v>17</v>
      </c>
      <c r="J56" s="8" t="s">
        <v>3509</v>
      </c>
    </row>
    <row r="57" spans="1:10" x14ac:dyDescent="0.25" outlineLevel="3" collapsed="1">
      <c r="A57" s="7" t="s">
        <v>19</v>
      </c>
      <c r="B57" s="7" t="s">
        <v>16</v>
      </c>
      <c r="C57" s="7" t="s">
        <v>17</v>
      </c>
      <c r="D57" s="7"/>
      <c r="E57" s="7" t="s">
        <v>3510</v>
      </c>
      <c r="F57" s="7" t="s">
        <v>19</v>
      </c>
      <c r="G57" s="7" t="s">
        <v>1669</v>
      </c>
      <c r="H57" s="7" t="s">
        <v>17</v>
      </c>
      <c r="I57" s="7" t="s">
        <v>17</v>
      </c>
      <c r="J57" s="7" t="s">
        <v>1894</v>
      </c>
    </row>
    <row r="58" spans="1:10" x14ac:dyDescent="0.25" outlineLevel="3" collapsed="1">
      <c r="A58" s="7" t="s">
        <v>19</v>
      </c>
      <c r="B58" s="7" t="s">
        <v>63</v>
      </c>
      <c r="C58" s="7" t="s">
        <v>17</v>
      </c>
      <c r="D58" s="7"/>
      <c r="E58" s="7" t="s">
        <v>3511</v>
      </c>
      <c r="F58" s="7" t="s">
        <v>19</v>
      </c>
      <c r="G58" s="7">
        <v>90</v>
      </c>
      <c r="H58" s="7" t="s">
        <v>17</v>
      </c>
      <c r="I58" s="7" t="s">
        <v>17</v>
      </c>
      <c r="J58" s="7" t="s">
        <v>3512</v>
      </c>
    </row>
    <row r="59" spans="1:10" x14ac:dyDescent="0.25" outlineLevel="3" collapsed="1">
      <c r="A59" s="7" t="s">
        <v>19</v>
      </c>
      <c r="B59" s="7" t="s">
        <v>63</v>
      </c>
      <c r="C59" s="7" t="s">
        <v>17</v>
      </c>
      <c r="D59" s="7"/>
      <c r="E59" s="7" t="s">
        <v>3513</v>
      </c>
      <c r="F59" s="7" t="s">
        <v>19</v>
      </c>
      <c r="G59" s="7">
        <v>10</v>
      </c>
      <c r="H59" s="7" t="s">
        <v>17</v>
      </c>
      <c r="I59" s="7" t="s">
        <v>17</v>
      </c>
      <c r="J59" s="7" t="s">
        <v>3514</v>
      </c>
    </row>
    <row r="60" spans="1:10" x14ac:dyDescent="0.25" outlineLevel="3" collapsed="1">
      <c r="A60" s="7" t="s">
        <v>19</v>
      </c>
      <c r="B60" s="7" t="s">
        <v>63</v>
      </c>
      <c r="C60" s="7" t="s">
        <v>17</v>
      </c>
      <c r="D60" s="7"/>
      <c r="E60" s="7" t="s">
        <v>3515</v>
      </c>
      <c r="F60" s="7" t="s">
        <v>19</v>
      </c>
      <c r="G60" s="7">
        <v>500</v>
      </c>
      <c r="H60" s="7" t="s">
        <v>17</v>
      </c>
      <c r="I60" s="7" t="s">
        <v>17</v>
      </c>
      <c r="J60" s="7" t="s">
        <v>3516</v>
      </c>
    </row>
    <row r="61" spans="1:10" x14ac:dyDescent="0.25" outlineLevel="3" collapsed="1">
      <c r="A61" s="7" t="s">
        <v>19</v>
      </c>
      <c r="B61" s="7" t="s">
        <v>63</v>
      </c>
      <c r="C61" s="7" t="s">
        <v>17</v>
      </c>
      <c r="D61" s="7"/>
      <c r="E61" s="7" t="s">
        <v>3517</v>
      </c>
      <c r="F61" s="7" t="s">
        <v>19</v>
      </c>
      <c r="G61" s="7">
        <v>0.8</v>
      </c>
      <c r="H61" s="7" t="s">
        <v>17</v>
      </c>
      <c r="I61" s="7" t="s">
        <v>17</v>
      </c>
      <c r="J61" s="7" t="s">
        <v>3518</v>
      </c>
    </row>
    <row r="62" spans="1:10" x14ac:dyDescent="0.25" outlineLevel="3" collapsed="1">
      <c r="A62" s="7" t="s">
        <v>19</v>
      </c>
      <c r="B62" s="7" t="s">
        <v>63</v>
      </c>
      <c r="C62" s="7" t="s">
        <v>17</v>
      </c>
      <c r="D62" s="7"/>
      <c r="E62" s="7" t="s">
        <v>3519</v>
      </c>
      <c r="F62" s="7" t="s">
        <v>19</v>
      </c>
      <c r="G62" s="7">
        <v>100</v>
      </c>
      <c r="H62" s="7" t="s">
        <v>17</v>
      </c>
      <c r="I62" s="7" t="s">
        <v>17</v>
      </c>
      <c r="J62" s="7" t="s">
        <v>1900</v>
      </c>
    </row>
    <row r="63" spans="1:10" x14ac:dyDescent="0.25" outlineLevel="3" collapsed="1">
      <c r="A63" s="7" t="s">
        <v>19</v>
      </c>
      <c r="B63" s="7" t="s">
        <v>63</v>
      </c>
      <c r="C63" s="7" t="s">
        <v>17</v>
      </c>
      <c r="D63" s="7"/>
      <c r="E63" s="7" t="s">
        <v>3520</v>
      </c>
      <c r="F63" s="7" t="s">
        <v>19</v>
      </c>
      <c r="G63" s="7">
        <v>0</v>
      </c>
      <c r="H63" s="7" t="s">
        <v>17</v>
      </c>
      <c r="I63" s="7" t="s">
        <v>17</v>
      </c>
      <c r="J63" s="7" t="s">
        <v>3521</v>
      </c>
    </row>
    <row r="64" spans="1:10" x14ac:dyDescent="0.25" outlineLevel="3" collapsed="1">
      <c r="A64" s="7" t="s">
        <v>19</v>
      </c>
      <c r="B64" s="7" t="s">
        <v>63</v>
      </c>
      <c r="C64" s="7" t="s">
        <v>17</v>
      </c>
      <c r="D64" s="7"/>
      <c r="E64" s="7" t="s">
        <v>3522</v>
      </c>
      <c r="F64" s="7" t="s">
        <v>19</v>
      </c>
      <c r="G64" s="7">
        <v>30</v>
      </c>
      <c r="H64" s="7" t="s">
        <v>17</v>
      </c>
      <c r="I64" s="7" t="s">
        <v>17</v>
      </c>
      <c r="J64" s="7" t="s">
        <v>3523</v>
      </c>
    </row>
    <row r="65" spans="1:10" x14ac:dyDescent="0.25" outlineLevel="3" collapsed="1">
      <c r="A65" s="7" t="s">
        <v>19</v>
      </c>
      <c r="B65" s="7" t="s">
        <v>159</v>
      </c>
      <c r="C65" s="7" t="s">
        <v>17</v>
      </c>
      <c r="D65" s="7"/>
      <c r="E65" s="7" t="s">
        <v>3524</v>
      </c>
      <c r="F65" s="7" t="s">
        <v>19</v>
      </c>
      <c r="G65" s="7" t="b">
        <v>1</v>
      </c>
      <c r="H65" s="7" t="s">
        <v>17</v>
      </c>
      <c r="I65" s="7" t="s">
        <v>17</v>
      </c>
      <c r="J65" s="7" t="s">
        <v>3525</v>
      </c>
    </row>
    <row r="66" spans="1:10" x14ac:dyDescent="0.25" outlineLevel="3" collapsed="1">
      <c r="A66" s="7" t="s">
        <v>19</v>
      </c>
      <c r="B66" s="7" t="s">
        <v>159</v>
      </c>
      <c r="C66" s="7" t="s">
        <v>17</v>
      </c>
      <c r="D66" s="7"/>
      <c r="E66" s="7" t="s">
        <v>3526</v>
      </c>
      <c r="F66" s="7" t="s">
        <v>19</v>
      </c>
      <c r="G66" s="7" t="b">
        <v>1</v>
      </c>
      <c r="H66" s="7" t="s">
        <v>17</v>
      </c>
      <c r="I66" s="7" t="s">
        <v>17</v>
      </c>
      <c r="J66" s="7" t="s">
        <v>3527</v>
      </c>
    </row>
    <row r="67" spans="1:10" x14ac:dyDescent="0.25" outlineLevel="3" collapsed="1">
      <c r="A67" s="7" t="s">
        <v>19</v>
      </c>
      <c r="B67" s="7" t="s">
        <v>16</v>
      </c>
      <c r="C67" s="7" t="s">
        <v>17</v>
      </c>
      <c r="D67" s="7"/>
      <c r="E67" s="7" t="s">
        <v>3528</v>
      </c>
      <c r="F67" s="7" t="s">
        <v>19</v>
      </c>
      <c r="G67" s="7" t="s">
        <v>31</v>
      </c>
      <c r="H67" s="7" t="s">
        <v>17</v>
      </c>
      <c r="I67" s="7" t="s">
        <v>17</v>
      </c>
      <c r="J67" s="7" t="s">
        <v>3529</v>
      </c>
    </row>
    <row r="68" spans="1:10" x14ac:dyDescent="0.25" outlineLevel="1" collapsed="1">
      <c r="A68" s="8" t="s">
        <v>15</v>
      </c>
      <c r="B68" s="9" t="s">
        <v>3532</v>
      </c>
      <c r="C68" s="8" t="s">
        <v>17</v>
      </c>
      <c r="D68" s="8"/>
      <c r="E68" s="8" t="s">
        <v>3560</v>
      </c>
      <c r="F68" s="8" t="s">
        <v>15</v>
      </c>
      <c r="G68" s="8" t="s">
        <v>17</v>
      </c>
      <c r="H68" s="8" t="s">
        <v>17</v>
      </c>
      <c r="I68" s="8" t="s">
        <v>17</v>
      </c>
      <c r="J68" s="8" t="s">
        <v>3534</v>
      </c>
    </row>
    <row r="69" spans="1:10" x14ac:dyDescent="0.25" outlineLevel="2" collapsed="1">
      <c r="A69" s="7" t="s">
        <v>19</v>
      </c>
      <c r="B69" s="7" t="s">
        <v>16</v>
      </c>
      <c r="C69" s="7" t="s">
        <v>17</v>
      </c>
      <c r="D69" s="7"/>
      <c r="E69" s="7" t="s">
        <v>3456</v>
      </c>
      <c r="F69" s="7" t="s">
        <v>19</v>
      </c>
      <c r="G69" s="7" t="s">
        <v>31</v>
      </c>
      <c r="H69" s="7" t="s">
        <v>17</v>
      </c>
      <c r="I69" s="7" t="s">
        <v>17</v>
      </c>
      <c r="J69" s="7" t="s">
        <v>944</v>
      </c>
    </row>
    <row r="70" spans="1:10" x14ac:dyDescent="0.25" outlineLevel="2" collapsed="1">
      <c r="A70" s="7" t="s">
        <v>15</v>
      </c>
      <c r="B70" s="7" t="s">
        <v>291</v>
      </c>
      <c r="C70" s="7" t="s">
        <v>17</v>
      </c>
      <c r="D70" s="7"/>
      <c r="E70" s="7" t="s">
        <v>30</v>
      </c>
      <c r="F70" s="7" t="s">
        <v>19</v>
      </c>
      <c r="G70" s="7" t="s">
        <v>950</v>
      </c>
      <c r="H70" s="7" t="s">
        <v>17</v>
      </c>
      <c r="I70" s="7" t="s">
        <v>17</v>
      </c>
      <c r="J70" s="7" t="s">
        <v>734</v>
      </c>
    </row>
    <row r="71" spans="1:10" x14ac:dyDescent="0.25" outlineLevel="2" collapsed="1">
      <c r="A71" s="7" t="s">
        <v>15</v>
      </c>
      <c r="B71" s="7" t="s">
        <v>291</v>
      </c>
      <c r="C71" s="7" t="s">
        <v>17</v>
      </c>
      <c r="D71" s="7"/>
      <c r="E71" s="7" t="s">
        <v>33</v>
      </c>
      <c r="F71" s="7" t="s">
        <v>19</v>
      </c>
      <c r="G71" s="7" t="s">
        <v>950</v>
      </c>
      <c r="H71" s="7" t="s">
        <v>17</v>
      </c>
      <c r="I71" s="7" t="s">
        <v>17</v>
      </c>
      <c r="J71" s="7" t="s">
        <v>735</v>
      </c>
    </row>
    <row r="72" spans="1:10" x14ac:dyDescent="0.25" outlineLevel="2" collapsed="1">
      <c r="A72" s="7" t="s">
        <v>15</v>
      </c>
      <c r="B72" s="7" t="s">
        <v>63</v>
      </c>
      <c r="C72" s="7" t="s">
        <v>17</v>
      </c>
      <c r="D72" s="7"/>
      <c r="E72" s="7" t="s">
        <v>3457</v>
      </c>
      <c r="F72" s="7" t="s">
        <v>19</v>
      </c>
      <c r="G72" s="7">
        <v>1</v>
      </c>
      <c r="H72" s="7" t="s">
        <v>17</v>
      </c>
      <c r="I72" s="7" t="s">
        <v>17</v>
      </c>
      <c r="J72" s="7" t="s">
        <v>3458</v>
      </c>
    </row>
    <row r="73" spans="1:10" x14ac:dyDescent="0.25" outlineLevel="2" collapsed="1">
      <c r="A73" s="7" t="s">
        <v>19</v>
      </c>
      <c r="B73" s="7" t="s">
        <v>63</v>
      </c>
      <c r="C73" s="7" t="s">
        <v>17</v>
      </c>
      <c r="D73" s="7"/>
      <c r="E73" s="7" t="s">
        <v>3459</v>
      </c>
      <c r="F73" s="7" t="s">
        <v>19</v>
      </c>
      <c r="G73" s="7">
        <v>1</v>
      </c>
      <c r="H73" s="7" t="s">
        <v>17</v>
      </c>
      <c r="I73" s="7" t="s">
        <v>17</v>
      </c>
      <c r="J73" s="7" t="s">
        <v>3460</v>
      </c>
    </row>
    <row r="74" spans="1:10" x14ac:dyDescent="0.25" outlineLevel="2" collapsed="1">
      <c r="A74" s="7" t="s">
        <v>19</v>
      </c>
      <c r="B74" s="7" t="s">
        <v>63</v>
      </c>
      <c r="C74" s="7" t="s">
        <v>17</v>
      </c>
      <c r="D74" s="7"/>
      <c r="E74" s="7" t="s">
        <v>3461</v>
      </c>
      <c r="F74" s="7" t="s">
        <v>19</v>
      </c>
      <c r="G74" s="7">
        <v>1</v>
      </c>
      <c r="H74" s="7" t="s">
        <v>17</v>
      </c>
      <c r="I74" s="7" t="s">
        <v>17</v>
      </c>
      <c r="J74" s="7" t="s">
        <v>3462</v>
      </c>
    </row>
    <row r="75" spans="1:10" x14ac:dyDescent="0.25" outlineLevel="2" collapsed="1">
      <c r="A75" s="7" t="s">
        <v>15</v>
      </c>
      <c r="B75" s="7" t="s">
        <v>63</v>
      </c>
      <c r="C75" s="7" t="s">
        <v>17</v>
      </c>
      <c r="D75" s="7"/>
      <c r="E75" s="7" t="s">
        <v>3463</v>
      </c>
      <c r="F75" s="7" t="s">
        <v>19</v>
      </c>
      <c r="G75" s="7">
        <v>1</v>
      </c>
      <c r="H75" s="7" t="s">
        <v>17</v>
      </c>
      <c r="I75" s="7" t="s">
        <v>17</v>
      </c>
      <c r="J75" s="7" t="s">
        <v>3464</v>
      </c>
    </row>
    <row r="76" spans="1:10" x14ac:dyDescent="0.25" outlineLevel="2" collapsed="1">
      <c r="A76" s="7" t="s">
        <v>15</v>
      </c>
      <c r="B76" s="7" t="s">
        <v>63</v>
      </c>
      <c r="C76" s="7" t="s">
        <v>17</v>
      </c>
      <c r="D76" s="7"/>
      <c r="E76" s="7" t="s">
        <v>3465</v>
      </c>
      <c r="F76" s="7" t="s">
        <v>19</v>
      </c>
      <c r="G76" s="7">
        <v>1</v>
      </c>
      <c r="H76" s="7" t="s">
        <v>17</v>
      </c>
      <c r="I76" s="7" t="s">
        <v>17</v>
      </c>
      <c r="J76" s="7" t="s">
        <v>3466</v>
      </c>
    </row>
    <row r="77" spans="1:10" x14ac:dyDescent="0.25" outlineLevel="2" collapsed="1">
      <c r="A77" s="7" t="s">
        <v>15</v>
      </c>
      <c r="B77" s="7" t="s">
        <v>63</v>
      </c>
      <c r="C77" s="7" t="s">
        <v>17</v>
      </c>
      <c r="D77" s="7"/>
      <c r="E77" s="7" t="s">
        <v>3467</v>
      </c>
      <c r="F77" s="7" t="s">
        <v>19</v>
      </c>
      <c r="G77" s="7">
        <v>1</v>
      </c>
      <c r="H77" s="7" t="s">
        <v>17</v>
      </c>
      <c r="I77" s="7" t="s">
        <v>17</v>
      </c>
      <c r="J77" s="7" t="s">
        <v>3468</v>
      </c>
    </row>
    <row r="78" spans="1:10" x14ac:dyDescent="0.25" outlineLevel="2" collapsed="1">
      <c r="A78" s="7" t="s">
        <v>15</v>
      </c>
      <c r="B78" s="7" t="s">
        <v>63</v>
      </c>
      <c r="C78" s="7" t="s">
        <v>17</v>
      </c>
      <c r="D78" s="7"/>
      <c r="E78" s="7" t="s">
        <v>3469</v>
      </c>
      <c r="F78" s="7" t="s">
        <v>19</v>
      </c>
      <c r="G78" s="7">
        <v>1</v>
      </c>
      <c r="H78" s="7" t="s">
        <v>17</v>
      </c>
      <c r="I78" s="7" t="s">
        <v>17</v>
      </c>
      <c r="J78" s="7" t="s">
        <v>3470</v>
      </c>
    </row>
    <row r="79" spans="1:10" x14ac:dyDescent="0.25" outlineLevel="2" collapsed="1">
      <c r="A79" s="7" t="s">
        <v>15</v>
      </c>
      <c r="B79" s="7" t="s">
        <v>63</v>
      </c>
      <c r="C79" s="7" t="s">
        <v>17</v>
      </c>
      <c r="D79" s="7"/>
      <c r="E79" s="7" t="s">
        <v>3471</v>
      </c>
      <c r="F79" s="7" t="s">
        <v>19</v>
      </c>
      <c r="G79" s="7">
        <v>1</v>
      </c>
      <c r="H79" s="7" t="s">
        <v>17</v>
      </c>
      <c r="I79" s="7" t="s">
        <v>17</v>
      </c>
      <c r="J79" s="7" t="s">
        <v>3472</v>
      </c>
    </row>
    <row r="80" spans="1:10" x14ac:dyDescent="0.25" outlineLevel="1" collapsed="1">
      <c r="A80" s="7" t="s">
        <v>19</v>
      </c>
      <c r="B80" s="7" t="s">
        <v>63</v>
      </c>
      <c r="C80" s="7" t="s">
        <v>17</v>
      </c>
      <c r="D80" s="7"/>
      <c r="E80" s="7" t="s">
        <v>3561</v>
      </c>
      <c r="F80" s="7" t="s">
        <v>19</v>
      </c>
      <c r="G80" s="7">
        <v>1</v>
      </c>
      <c r="H80" s="7" t="s">
        <v>17</v>
      </c>
      <c r="I80" s="7" t="s">
        <v>17</v>
      </c>
      <c r="J80" s="7" t="s">
        <v>3536</v>
      </c>
    </row>
    <row r="81" spans="1:10" x14ac:dyDescent="0.25" outlineLevel="1" collapsed="1">
      <c r="A81" s="7" t="s">
        <v>19</v>
      </c>
      <c r="B81" s="7" t="s">
        <v>63</v>
      </c>
      <c r="C81" s="7" t="s">
        <v>17</v>
      </c>
      <c r="D81" s="7"/>
      <c r="E81" s="7" t="s">
        <v>3562</v>
      </c>
      <c r="F81" s="7" t="s">
        <v>19</v>
      </c>
      <c r="G81" s="7">
        <v>1</v>
      </c>
      <c r="H81" s="7" t="s">
        <v>17</v>
      </c>
      <c r="I81" s="7" t="s">
        <v>17</v>
      </c>
      <c r="J81" s="7" t="s">
        <v>3538</v>
      </c>
    </row>
    <row r="82" spans="1:10" x14ac:dyDescent="0.25" outlineLevel="1" collapsed="1">
      <c r="A82" s="7" t="s">
        <v>19</v>
      </c>
      <c r="B82" s="7" t="s">
        <v>63</v>
      </c>
      <c r="C82" s="7" t="s">
        <v>17</v>
      </c>
      <c r="D82" s="7"/>
      <c r="E82" s="7" t="s">
        <v>3563</v>
      </c>
      <c r="F82" s="7" t="s">
        <v>19</v>
      </c>
      <c r="G82" s="7">
        <v>1</v>
      </c>
      <c r="H82" s="7" t="s">
        <v>17</v>
      </c>
      <c r="I82" s="7" t="s">
        <v>17</v>
      </c>
      <c r="J82" s="7" t="s">
        <v>3540</v>
      </c>
    </row>
    <row r="83" spans="1:10" x14ac:dyDescent="0.25" outlineLevel="1" collapsed="1">
      <c r="A83" s="7" t="s">
        <v>15</v>
      </c>
      <c r="B83" s="7" t="s">
        <v>63</v>
      </c>
      <c r="C83" s="7" t="s">
        <v>17</v>
      </c>
      <c r="D83" s="7"/>
      <c r="E83" s="7" t="s">
        <v>3564</v>
      </c>
      <c r="F83" s="7" t="s">
        <v>19</v>
      </c>
      <c r="G83" s="7">
        <v>1</v>
      </c>
      <c r="H83" s="7" t="s">
        <v>17</v>
      </c>
      <c r="I83" s="7" t="s">
        <v>17</v>
      </c>
      <c r="J83" s="7" t="s">
        <v>3565</v>
      </c>
    </row>
    <row r="84" spans="1:10" x14ac:dyDescent="0.25" outlineLevel="1" collapsed="1">
      <c r="A84" s="7" t="s">
        <v>19</v>
      </c>
      <c r="B84" s="7" t="s">
        <v>63</v>
      </c>
      <c r="C84" s="7" t="s">
        <v>17</v>
      </c>
      <c r="D84" s="7"/>
      <c r="E84" s="7" t="s">
        <v>3566</v>
      </c>
      <c r="F84" s="7" t="s">
        <v>19</v>
      </c>
      <c r="G84" s="7">
        <v>1</v>
      </c>
      <c r="H84" s="7" t="s">
        <v>17</v>
      </c>
      <c r="I84" s="7" t="s">
        <v>17</v>
      </c>
      <c r="J84" s="7" t="s">
        <v>3567</v>
      </c>
    </row>
    <row r="85" spans="1:10" x14ac:dyDescent="0.25" outlineLevel="1" collapsed="1">
      <c r="A85" s="7" t="s">
        <v>19</v>
      </c>
      <c r="B85" s="7" t="s">
        <v>63</v>
      </c>
      <c r="C85" s="7" t="s">
        <v>17</v>
      </c>
      <c r="D85" s="7"/>
      <c r="E85" s="7" t="s">
        <v>3568</v>
      </c>
      <c r="F85" s="7" t="s">
        <v>19</v>
      </c>
      <c r="G85" s="7">
        <v>1</v>
      </c>
      <c r="H85" s="7" t="s">
        <v>17</v>
      </c>
      <c r="I85" s="7" t="s">
        <v>17</v>
      </c>
      <c r="J85" s="7" t="s">
        <v>3569</v>
      </c>
    </row>
    <row r="86" spans="1:10" x14ac:dyDescent="0.25">
      <c r="A86" s="5" t="s">
        <v>19</v>
      </c>
      <c r="B86" s="5" t="s">
        <v>16</v>
      </c>
      <c r="C86" s="5" t="s">
        <v>17</v>
      </c>
      <c r="D86" s="5"/>
      <c r="E86" s="5" t="s">
        <v>3582</v>
      </c>
      <c r="F86" s="5" t="s">
        <v>19</v>
      </c>
      <c r="G86" s="5" t="s">
        <v>31</v>
      </c>
      <c r="H86" s="5" t="s">
        <v>17</v>
      </c>
      <c r="I86" s="5" t="s">
        <v>17</v>
      </c>
      <c r="J86" s="5" t="s">
        <v>1028</v>
      </c>
    </row>
    <row r="87" spans="1:10" x14ac:dyDescent="0.25">
      <c r="A87" s="5" t="s">
        <v>19</v>
      </c>
      <c r="B87" s="5" t="s">
        <v>63</v>
      </c>
      <c r="C87" s="5" t="s">
        <v>17</v>
      </c>
      <c r="D87" s="5"/>
      <c r="E87" s="5" t="s">
        <v>3583</v>
      </c>
      <c r="F87" s="5" t="s">
        <v>19</v>
      </c>
      <c r="G87" s="5">
        <v>1</v>
      </c>
      <c r="H87" s="5" t="s">
        <v>17</v>
      </c>
      <c r="I87" s="5" t="s">
        <v>17</v>
      </c>
      <c r="J87" s="5" t="s">
        <v>3565</v>
      </c>
    </row>
    <row r="88" spans="1:10" x14ac:dyDescent="0.25">
      <c r="A88" s="5" t="s">
        <v>19</v>
      </c>
      <c r="B88" s="5" t="s">
        <v>16</v>
      </c>
      <c r="C88" s="5" t="s">
        <v>17</v>
      </c>
      <c r="D88" s="5"/>
      <c r="E88" s="5" t="s">
        <v>3584</v>
      </c>
      <c r="F88" s="5" t="s">
        <v>19</v>
      </c>
      <c r="G88" s="5" t="s">
        <v>31</v>
      </c>
      <c r="H88" s="5" t="s">
        <v>17</v>
      </c>
      <c r="I88" s="5" t="s">
        <v>17</v>
      </c>
      <c r="J88" s="5" t="s">
        <v>3585</v>
      </c>
    </row>
  </sheetData>
  <mergeCells count="3">
    <mergeCell ref="A1:J1"/>
    <mergeCell ref="B2:J2"/>
    <mergeCell ref="B3:J3"/>
  </mergeCells>
  <dataValidations count="4">
    <dataValidation type="list" allowBlank="1" sqref="G28:I28">
      <formula1>'Enums'!C772:C773</formula1>
    </dataValidation>
    <dataValidation type="list" allowBlank="1" sqref="G6:I6">
      <formula1>'Enums'!C767:C768</formula1>
    </dataValidation>
    <dataValidation type="list" allowBlank="1" sqref="G7:I7">
      <formula1>'Enums'!C769:C770</formula1>
    </dataValidation>
    <dataValidation type="list" allowBlank="1" sqref="G8:I8">
      <formula1>'Enums'!C771:C771</formula1>
    </dataValidation>
  </dataValidations>
  <hyperlinks>
    <hyperlink ref="B9" r:id="rId1" location="#'VMR0015 ERR Ex-Ante Result (PD'!A1"/>
    <hyperlink ref="B10" r:id="rId2" location="#'VMR0015 ERR Vintage Row (PD 4.'!A1"/>
    <hyperlink ref="B30" r:id="rId3" location="#'VMR0015 ERR Ex-Post Result (MR'!A1"/>
    <hyperlink ref="B34" r:id="rId4" location="#'VMR0015 ERR Ex-Post Section Re'!A1"/>
    <hyperlink ref="B56" r:id="rId5" location="#'Sampling check row (ERR)'!A1"/>
    <hyperlink ref="B68" r:id="rId6" location="#'VMR0015 ERR Vintage Row (PD 4.'!A1"/>
  </hyperlinks>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3586</v>
      </c>
      <c r="B1" s="1"/>
      <c r="C1" s="1"/>
      <c r="D1" s="1"/>
      <c r="E1" s="1"/>
      <c r="F1" s="1"/>
      <c r="G1" s="1"/>
      <c r="H1" s="1"/>
      <c r="I1" s="1"/>
      <c r="J1" s="1"/>
    </row>
    <row r="2" spans="1:10" x14ac:dyDescent="0.25">
      <c r="A2" s="2" t="s">
        <v>1</v>
      </c>
      <c r="B2" s="3" t="s">
        <v>3587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v>
      </c>
      <c r="F5" s="5" t="s">
        <v>19</v>
      </c>
      <c r="G5" s="5" t="s">
        <v>31</v>
      </c>
      <c r="H5" s="5" t="s">
        <v>17</v>
      </c>
      <c r="I5" s="5" t="s">
        <v>17</v>
      </c>
      <c r="J5" s="5" t="s">
        <v>843</v>
      </c>
    </row>
    <row r="6" spans="1:10" x14ac:dyDescent="0.25">
      <c r="A6" s="5" t="s">
        <v>15</v>
      </c>
      <c r="B6" s="5" t="s">
        <v>16</v>
      </c>
      <c r="C6" s="5" t="s">
        <v>17</v>
      </c>
      <c r="D6" s="5"/>
      <c r="E6" s="5" t="s">
        <v>1421</v>
      </c>
      <c r="F6" s="5" t="s">
        <v>19</v>
      </c>
      <c r="G6" s="5" t="s">
        <v>31</v>
      </c>
      <c r="H6" s="5" t="s">
        <v>17</v>
      </c>
      <c r="I6" s="5" t="s">
        <v>17</v>
      </c>
      <c r="J6" s="5" t="s">
        <v>1422</v>
      </c>
    </row>
    <row r="7" spans="1:10" x14ac:dyDescent="0.25">
      <c r="A7" s="5" t="s">
        <v>15</v>
      </c>
      <c r="B7" s="5" t="s">
        <v>16</v>
      </c>
      <c r="C7" s="5" t="s">
        <v>17</v>
      </c>
      <c r="D7" s="5"/>
      <c r="E7" s="5" t="s">
        <v>1423</v>
      </c>
      <c r="F7" s="5" t="s">
        <v>19</v>
      </c>
      <c r="G7" s="5" t="s">
        <v>31</v>
      </c>
      <c r="H7" s="5" t="s">
        <v>17</v>
      </c>
      <c r="I7" s="5" t="s">
        <v>17</v>
      </c>
      <c r="J7" s="5" t="s">
        <v>1424</v>
      </c>
    </row>
    <row r="8" spans="1:10" x14ac:dyDescent="0.25">
      <c r="A8" s="5" t="s">
        <v>15</v>
      </c>
      <c r="B8" s="5" t="s">
        <v>16</v>
      </c>
      <c r="C8" s="5" t="s">
        <v>17</v>
      </c>
      <c r="D8" s="5"/>
      <c r="E8" s="5" t="s">
        <v>1425</v>
      </c>
      <c r="F8" s="5" t="s">
        <v>19</v>
      </c>
      <c r="G8" s="5" t="s">
        <v>31</v>
      </c>
      <c r="H8" s="5" t="s">
        <v>17</v>
      </c>
      <c r="I8" s="5" t="s">
        <v>17</v>
      </c>
      <c r="J8" s="5" t="s">
        <v>1426</v>
      </c>
    </row>
    <row r="9" spans="1:10" x14ac:dyDescent="0.25">
      <c r="A9" s="5" t="s">
        <v>15</v>
      </c>
      <c r="B9" s="5" t="s">
        <v>284</v>
      </c>
      <c r="C9" s="10" t="s">
        <v>1427</v>
      </c>
      <c r="D9" s="5"/>
      <c r="E9" s="5" t="s">
        <v>1428</v>
      </c>
      <c r="F9" s="5" t="s">
        <v>19</v>
      </c>
      <c r="G9" s="5" t="s">
        <v>1429</v>
      </c>
      <c r="H9" s="5" t="s">
        <v>17</v>
      </c>
      <c r="I9" s="5" t="s">
        <v>17</v>
      </c>
      <c r="J9" s="5" t="s">
        <v>1430</v>
      </c>
    </row>
    <row r="10" spans="1:10" x14ac:dyDescent="0.25">
      <c r="A10" s="5" t="s">
        <v>19</v>
      </c>
      <c r="B10" s="5" t="s">
        <v>16</v>
      </c>
      <c r="C10" s="5" t="s">
        <v>17</v>
      </c>
      <c r="D10" s="5"/>
      <c r="E10" s="5" t="s">
        <v>1431</v>
      </c>
      <c r="F10" s="5" t="s">
        <v>19</v>
      </c>
      <c r="G10" s="5" t="s">
        <v>31</v>
      </c>
      <c r="H10" s="5" t="s">
        <v>17</v>
      </c>
      <c r="I10" s="5" t="s">
        <v>17</v>
      </c>
      <c r="J10" s="5" t="s">
        <v>1432</v>
      </c>
    </row>
    <row r="11" spans="1:10" x14ac:dyDescent="0.25">
      <c r="A11" s="5" t="s">
        <v>19</v>
      </c>
      <c r="B11" s="5" t="s">
        <v>16</v>
      </c>
      <c r="C11" s="5" t="s">
        <v>17</v>
      </c>
      <c r="D11" s="5"/>
      <c r="E11" s="5" t="s">
        <v>638</v>
      </c>
      <c r="F11" s="5" t="s">
        <v>19</v>
      </c>
      <c r="G11" s="5" t="s">
        <v>31</v>
      </c>
      <c r="H11" s="5" t="s">
        <v>17</v>
      </c>
      <c r="I11" s="5" t="s">
        <v>17</v>
      </c>
      <c r="J11" s="5" t="s">
        <v>640</v>
      </c>
    </row>
  </sheetData>
  <mergeCells count="3">
    <mergeCell ref="A1:J1"/>
    <mergeCell ref="B2:J2"/>
    <mergeCell ref="B3:J3"/>
  </mergeCells>
  <dataValidations count="1">
    <dataValidation type="list" allowBlank="1" sqref="G9:I9">
      <formula1>'Enums'!C774:C781</formula1>
    </dataValidation>
  </dataValidations>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3588</v>
      </c>
      <c r="B1" s="1"/>
      <c r="C1" s="1"/>
      <c r="D1" s="1"/>
      <c r="E1" s="1"/>
      <c r="F1" s="1"/>
      <c r="G1" s="1"/>
      <c r="H1" s="1"/>
      <c r="I1" s="1"/>
      <c r="J1" s="1"/>
    </row>
    <row r="2" spans="1:10" x14ac:dyDescent="0.25">
      <c r="A2" s="2" t="s">
        <v>1</v>
      </c>
      <c r="B2" s="3" t="s">
        <v>3589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2341</v>
      </c>
      <c r="C5" s="5" t="s">
        <v>17</v>
      </c>
      <c r="D5" s="5"/>
      <c r="E5" s="5" t="s">
        <v>2342</v>
      </c>
      <c r="F5" s="5" t="s">
        <v>19</v>
      </c>
      <c r="G5" s="5" t="s">
        <v>17</v>
      </c>
      <c r="H5" s="5" t="s">
        <v>17</v>
      </c>
      <c r="I5" s="5" t="s">
        <v>17</v>
      </c>
      <c r="J5" s="5" t="s">
        <v>2343</v>
      </c>
    </row>
    <row r="6" spans="1:10" x14ac:dyDescent="0.25" outlineLevel="1" collapsed="1">
      <c r="A6" s="7" t="s">
        <v>15</v>
      </c>
      <c r="B6" s="7" t="s">
        <v>16</v>
      </c>
      <c r="C6" s="7" t="s">
        <v>17</v>
      </c>
      <c r="D6" s="7"/>
      <c r="E6" s="7" t="s">
        <v>2344</v>
      </c>
      <c r="F6" s="7" t="s">
        <v>19</v>
      </c>
      <c r="G6" s="7" t="s">
        <v>2345</v>
      </c>
      <c r="H6" s="7" t="s">
        <v>17</v>
      </c>
      <c r="I6" s="7" t="s">
        <v>17</v>
      </c>
      <c r="J6" s="7" t="s">
        <v>2343</v>
      </c>
    </row>
    <row r="7" spans="1:10" x14ac:dyDescent="0.25">
      <c r="A7" s="5" t="s">
        <v>15</v>
      </c>
      <c r="B7" s="6" t="s">
        <v>2346</v>
      </c>
      <c r="C7" s="5" t="s">
        <v>17</v>
      </c>
      <c r="D7" s="5"/>
      <c r="E7" s="5" t="s">
        <v>2347</v>
      </c>
      <c r="F7" s="5" t="s">
        <v>15</v>
      </c>
      <c r="G7" s="5" t="s">
        <v>17</v>
      </c>
      <c r="H7" s="5" t="s">
        <v>17</v>
      </c>
      <c r="I7" s="5" t="s">
        <v>17</v>
      </c>
      <c r="J7" s="5" t="s">
        <v>659</v>
      </c>
    </row>
    <row r="8" spans="1:10" x14ac:dyDescent="0.25" outlineLevel="1" collapsed="1">
      <c r="A8" s="7" t="s">
        <v>19</v>
      </c>
      <c r="B8" s="7" t="s">
        <v>16</v>
      </c>
      <c r="C8" s="7" t="s">
        <v>17</v>
      </c>
      <c r="D8" s="7"/>
      <c r="E8" s="7" t="s">
        <v>1250</v>
      </c>
      <c r="F8" s="7" t="s">
        <v>19</v>
      </c>
      <c r="G8" s="7" t="s">
        <v>31</v>
      </c>
      <c r="H8" s="7" t="s">
        <v>17</v>
      </c>
      <c r="I8" s="7" t="s">
        <v>17</v>
      </c>
      <c r="J8" s="7" t="s">
        <v>1251</v>
      </c>
    </row>
    <row r="9" spans="1:10" x14ac:dyDescent="0.25" outlineLevel="1" collapsed="1">
      <c r="A9" s="7" t="s">
        <v>19</v>
      </c>
      <c r="B9" s="7" t="s">
        <v>16</v>
      </c>
      <c r="C9" s="7" t="s">
        <v>17</v>
      </c>
      <c r="D9" s="7"/>
      <c r="E9" s="7" t="s">
        <v>1252</v>
      </c>
      <c r="F9" s="7" t="s">
        <v>19</v>
      </c>
      <c r="G9" s="7" t="s">
        <v>31</v>
      </c>
      <c r="H9" s="7" t="s">
        <v>17</v>
      </c>
      <c r="I9" s="7" t="s">
        <v>17</v>
      </c>
      <c r="J9" s="7" t="s">
        <v>1253</v>
      </c>
    </row>
    <row r="10" spans="1:10" x14ac:dyDescent="0.25" outlineLevel="1" collapsed="1">
      <c r="A10" s="7" t="s">
        <v>19</v>
      </c>
      <c r="B10" s="7" t="s">
        <v>16</v>
      </c>
      <c r="C10" s="7" t="s">
        <v>17</v>
      </c>
      <c r="D10" s="7"/>
      <c r="E10" s="7" t="s">
        <v>1254</v>
      </c>
      <c r="F10" s="7" t="s">
        <v>19</v>
      </c>
      <c r="G10" s="7" t="s">
        <v>31</v>
      </c>
      <c r="H10" s="7" t="s">
        <v>17</v>
      </c>
      <c r="I10" s="7" t="s">
        <v>17</v>
      </c>
      <c r="J10" s="7" t="s">
        <v>1255</v>
      </c>
    </row>
    <row r="11" spans="1:10" x14ac:dyDescent="0.25" outlineLevel="1" collapsed="1">
      <c r="A11" s="7" t="s">
        <v>19</v>
      </c>
      <c r="B11" s="7" t="s">
        <v>16</v>
      </c>
      <c r="C11" s="7" t="s">
        <v>17</v>
      </c>
      <c r="D11" s="7"/>
      <c r="E11" s="7" t="s">
        <v>1256</v>
      </c>
      <c r="F11" s="7" t="s">
        <v>19</v>
      </c>
      <c r="G11" s="7" t="s">
        <v>31</v>
      </c>
      <c r="H11" s="7" t="s">
        <v>17</v>
      </c>
      <c r="I11" s="7" t="s">
        <v>17</v>
      </c>
      <c r="J11" s="7" t="s">
        <v>1257</v>
      </c>
    </row>
    <row r="12" spans="1:10" x14ac:dyDescent="0.25" outlineLevel="1" collapsed="1">
      <c r="A12" s="7" t="s">
        <v>19</v>
      </c>
      <c r="B12" s="7" t="s">
        <v>16</v>
      </c>
      <c r="C12" s="7" t="s">
        <v>17</v>
      </c>
      <c r="D12" s="7"/>
      <c r="E12" s="7" t="s">
        <v>1258</v>
      </c>
      <c r="F12" s="7" t="s">
        <v>19</v>
      </c>
      <c r="G12" s="7" t="s">
        <v>31</v>
      </c>
      <c r="H12" s="7" t="s">
        <v>17</v>
      </c>
      <c r="I12" s="7" t="s">
        <v>17</v>
      </c>
      <c r="J12" s="7" t="s">
        <v>1259</v>
      </c>
    </row>
    <row r="13" spans="1:10" x14ac:dyDescent="0.25" outlineLevel="1" collapsed="1">
      <c r="A13" s="7" t="s">
        <v>19</v>
      </c>
      <c r="B13" s="7" t="s">
        <v>16</v>
      </c>
      <c r="C13" s="7" t="s">
        <v>17</v>
      </c>
      <c r="D13" s="7"/>
      <c r="E13" s="7" t="s">
        <v>1260</v>
      </c>
      <c r="F13" s="7" t="s">
        <v>19</v>
      </c>
      <c r="G13" s="7" t="s">
        <v>31</v>
      </c>
      <c r="H13" s="7" t="s">
        <v>17</v>
      </c>
      <c r="I13" s="7" t="s">
        <v>17</v>
      </c>
      <c r="J13" s="7" t="s">
        <v>1261</v>
      </c>
    </row>
    <row r="14" spans="1:10" x14ac:dyDescent="0.25" outlineLevel="1" collapsed="1">
      <c r="A14" s="7" t="s">
        <v>19</v>
      </c>
      <c r="B14" s="7" t="s">
        <v>16</v>
      </c>
      <c r="C14" s="7" t="s">
        <v>17</v>
      </c>
      <c r="D14" s="7"/>
      <c r="E14" s="7" t="s">
        <v>1262</v>
      </c>
      <c r="F14" s="7" t="s">
        <v>19</v>
      </c>
      <c r="G14" s="7" t="s">
        <v>31</v>
      </c>
      <c r="H14" s="7" t="s">
        <v>17</v>
      </c>
      <c r="I14" s="7" t="s">
        <v>17</v>
      </c>
      <c r="J14" s="7" t="s">
        <v>1263</v>
      </c>
    </row>
    <row r="15" spans="1:10" x14ac:dyDescent="0.25" outlineLevel="1" collapsed="1">
      <c r="A15" s="7" t="s">
        <v>19</v>
      </c>
      <c r="B15" s="7" t="s">
        <v>16</v>
      </c>
      <c r="C15" s="7" t="s">
        <v>17</v>
      </c>
      <c r="D15" s="7"/>
      <c r="E15" s="7" t="s">
        <v>1264</v>
      </c>
      <c r="F15" s="7" t="s">
        <v>19</v>
      </c>
      <c r="G15" s="7" t="s">
        <v>31</v>
      </c>
      <c r="H15" s="7" t="s">
        <v>17</v>
      </c>
      <c r="I15" s="7" t="s">
        <v>17</v>
      </c>
      <c r="J15" s="7" t="s">
        <v>1265</v>
      </c>
    </row>
    <row r="16" spans="1:10" x14ac:dyDescent="0.25">
      <c r="A16" s="5" t="s">
        <v>19</v>
      </c>
      <c r="B16" s="6" t="s">
        <v>2348</v>
      </c>
      <c r="C16" s="5" t="s">
        <v>17</v>
      </c>
      <c r="D16" s="5"/>
      <c r="E16" s="5" t="s">
        <v>1240</v>
      </c>
      <c r="F16" s="5" t="s">
        <v>15</v>
      </c>
      <c r="G16" s="5" t="s">
        <v>17</v>
      </c>
      <c r="H16" s="5" t="s">
        <v>17</v>
      </c>
      <c r="I16" s="5" t="s">
        <v>17</v>
      </c>
      <c r="J16" s="5" t="s">
        <v>1241</v>
      </c>
    </row>
    <row r="17" spans="1:10" x14ac:dyDescent="0.25" outlineLevel="1" collapsed="1">
      <c r="A17" s="7" t="s">
        <v>19</v>
      </c>
      <c r="B17" s="7" t="s">
        <v>16</v>
      </c>
      <c r="C17" s="7" t="s">
        <v>17</v>
      </c>
      <c r="D17" s="7"/>
      <c r="E17" s="7" t="s">
        <v>1242</v>
      </c>
      <c r="F17" s="7" t="s">
        <v>19</v>
      </c>
      <c r="G17" s="7" t="s">
        <v>31</v>
      </c>
      <c r="H17" s="7" t="s">
        <v>17</v>
      </c>
      <c r="I17" s="7" t="s">
        <v>17</v>
      </c>
      <c r="J17" s="7" t="s">
        <v>1243</v>
      </c>
    </row>
    <row r="18" spans="1:10" x14ac:dyDescent="0.25" outlineLevel="1" collapsed="1">
      <c r="A18" s="7" t="s">
        <v>19</v>
      </c>
      <c r="B18" s="7" t="s">
        <v>16</v>
      </c>
      <c r="C18" s="7" t="s">
        <v>17</v>
      </c>
      <c r="D18" s="7"/>
      <c r="E18" s="7" t="s">
        <v>1244</v>
      </c>
      <c r="F18" s="7" t="s">
        <v>19</v>
      </c>
      <c r="G18" s="7" t="s">
        <v>31</v>
      </c>
      <c r="H18" s="7" t="s">
        <v>17</v>
      </c>
      <c r="I18" s="7" t="s">
        <v>17</v>
      </c>
      <c r="J18" s="7" t="s">
        <v>1245</v>
      </c>
    </row>
    <row r="19" spans="1:10" x14ac:dyDescent="0.25" outlineLevel="1" collapsed="1">
      <c r="A19" s="7" t="s">
        <v>19</v>
      </c>
      <c r="B19" s="7" t="s">
        <v>16</v>
      </c>
      <c r="C19" s="7" t="s">
        <v>17</v>
      </c>
      <c r="D19" s="7"/>
      <c r="E19" s="7" t="s">
        <v>2349</v>
      </c>
      <c r="F19" s="7" t="s">
        <v>19</v>
      </c>
      <c r="G19" s="7" t="s">
        <v>31</v>
      </c>
      <c r="H19" s="7" t="s">
        <v>17</v>
      </c>
      <c r="I19" s="7" t="s">
        <v>17</v>
      </c>
      <c r="J19" s="7" t="s">
        <v>2350</v>
      </c>
    </row>
    <row r="20" spans="1:10" x14ac:dyDescent="0.25">
      <c r="A20" s="5" t="s">
        <v>19</v>
      </c>
      <c r="B20" s="5" t="s">
        <v>16</v>
      </c>
      <c r="C20" s="5" t="s">
        <v>17</v>
      </c>
      <c r="D20" s="5"/>
      <c r="E20" s="5" t="s">
        <v>2351</v>
      </c>
      <c r="F20" s="5" t="s">
        <v>19</v>
      </c>
      <c r="G20" s="5" t="s">
        <v>31</v>
      </c>
      <c r="H20" s="5" t="s">
        <v>17</v>
      </c>
      <c r="I20" s="5" t="s">
        <v>17</v>
      </c>
      <c r="J20" s="5" t="s">
        <v>2352</v>
      </c>
    </row>
    <row r="21" spans="1:10" x14ac:dyDescent="0.25">
      <c r="A21" s="5" t="s">
        <v>19</v>
      </c>
      <c r="B21" s="5" t="s">
        <v>16</v>
      </c>
      <c r="C21" s="5" t="s">
        <v>17</v>
      </c>
      <c r="D21" s="5"/>
      <c r="E21" s="5" t="s">
        <v>1256</v>
      </c>
      <c r="F21" s="5" t="s">
        <v>19</v>
      </c>
      <c r="G21" s="5" t="s">
        <v>31</v>
      </c>
      <c r="H21" s="5" t="s">
        <v>17</v>
      </c>
      <c r="I21" s="5" t="s">
        <v>17</v>
      </c>
      <c r="J21" s="5" t="s">
        <v>1257</v>
      </c>
    </row>
  </sheetData>
  <mergeCells count="3">
    <mergeCell ref="A1:J1"/>
    <mergeCell ref="B2:J2"/>
    <mergeCell ref="B3:J3"/>
  </mergeCells>
  <hyperlinks>
    <hyperlink ref="B5" r:id="rId1" location="#'1.7 Right to Operate and Right'!A1"/>
    <hyperlink ref="B7" r:id="rId2" location="#'1.7.2 Land or Resource Rights'!A1"/>
    <hyperlink ref="B16" r:id="rId3" location="#'1.7 Evidence of right to opera'!A1"/>
  </hyperlinks>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3590</v>
      </c>
      <c r="B1" s="1"/>
      <c r="C1" s="1"/>
      <c r="D1" s="1"/>
      <c r="E1" s="1"/>
      <c r="F1" s="1"/>
      <c r="G1" s="1"/>
      <c r="H1" s="1"/>
      <c r="I1" s="1"/>
      <c r="J1" s="1"/>
    </row>
    <row r="2" spans="1:10" x14ac:dyDescent="0.25">
      <c r="A2" s="2" t="s">
        <v>1</v>
      </c>
      <c r="B2" s="3" t="s">
        <v>3591</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3592</v>
      </c>
      <c r="F5" s="5" t="s">
        <v>19</v>
      </c>
      <c r="G5" s="5" t="s">
        <v>31</v>
      </c>
      <c r="H5" s="5" t="s">
        <v>17</v>
      </c>
      <c r="I5" s="5" t="s">
        <v>17</v>
      </c>
      <c r="J5" s="5" t="s">
        <v>277</v>
      </c>
    </row>
    <row r="6" spans="1:10" x14ac:dyDescent="0.25">
      <c r="A6" s="5" t="s">
        <v>15</v>
      </c>
      <c r="B6" s="5" t="s">
        <v>16</v>
      </c>
      <c r="C6" s="5" t="s">
        <v>17</v>
      </c>
      <c r="D6" s="5"/>
      <c r="E6" s="5" t="s">
        <v>3593</v>
      </c>
      <c r="F6" s="5" t="s">
        <v>19</v>
      </c>
      <c r="G6" s="5" t="s">
        <v>31</v>
      </c>
      <c r="H6" s="5" t="s">
        <v>17</v>
      </c>
      <c r="I6" s="5" t="s">
        <v>17</v>
      </c>
      <c r="J6" s="5" t="s">
        <v>280</v>
      </c>
    </row>
    <row r="7" spans="1:10" x14ac:dyDescent="0.25">
      <c r="A7" s="5" t="s">
        <v>15</v>
      </c>
      <c r="B7" s="5" t="s">
        <v>16</v>
      </c>
      <c r="C7" s="5" t="s">
        <v>17</v>
      </c>
      <c r="D7" s="5"/>
      <c r="E7" s="5" t="s">
        <v>3594</v>
      </c>
      <c r="F7" s="5" t="s">
        <v>19</v>
      </c>
      <c r="G7" s="5" t="s">
        <v>31</v>
      </c>
      <c r="H7" s="5" t="s">
        <v>17</v>
      </c>
      <c r="I7" s="5" t="s">
        <v>17</v>
      </c>
      <c r="J7" s="5" t="s">
        <v>283</v>
      </c>
    </row>
    <row r="8" spans="1:10" x14ac:dyDescent="0.25">
      <c r="A8" s="5" t="s">
        <v>15</v>
      </c>
      <c r="B8" s="5" t="s">
        <v>16</v>
      </c>
      <c r="C8" s="5" t="s">
        <v>17</v>
      </c>
      <c r="D8" s="5"/>
      <c r="E8" s="5" t="s">
        <v>3595</v>
      </c>
      <c r="F8" s="5" t="s">
        <v>19</v>
      </c>
      <c r="G8" s="5" t="s">
        <v>31</v>
      </c>
      <c r="H8" s="5" t="s">
        <v>17</v>
      </c>
      <c r="I8" s="5" t="s">
        <v>17</v>
      </c>
      <c r="J8" s="5" t="s">
        <v>786</v>
      </c>
    </row>
    <row r="9" spans="1:10" x14ac:dyDescent="0.25">
      <c r="A9" s="5" t="s">
        <v>15</v>
      </c>
      <c r="B9" s="5" t="s">
        <v>63</v>
      </c>
      <c r="C9" s="5" t="s">
        <v>17</v>
      </c>
      <c r="D9" s="5"/>
      <c r="E9" s="5" t="s">
        <v>3596</v>
      </c>
      <c r="F9" s="5" t="s">
        <v>19</v>
      </c>
      <c r="G9" s="5">
        <v>1</v>
      </c>
      <c r="H9" s="5" t="s">
        <v>17</v>
      </c>
      <c r="I9" s="5" t="s">
        <v>17</v>
      </c>
      <c r="J9" s="5" t="s">
        <v>788</v>
      </c>
    </row>
    <row r="10" spans="1:10" x14ac:dyDescent="0.25">
      <c r="A10" s="5" t="s">
        <v>15</v>
      </c>
      <c r="B10" s="5" t="s">
        <v>63</v>
      </c>
      <c r="C10" s="5" t="s">
        <v>17</v>
      </c>
      <c r="D10" s="5"/>
      <c r="E10" s="5" t="s">
        <v>3597</v>
      </c>
      <c r="F10" s="5" t="s">
        <v>19</v>
      </c>
      <c r="G10" s="5">
        <v>1</v>
      </c>
      <c r="H10" s="5" t="s">
        <v>17</v>
      </c>
      <c r="I10" s="5" t="s">
        <v>17</v>
      </c>
      <c r="J10" s="5" t="s">
        <v>790</v>
      </c>
    </row>
    <row r="11" spans="1:10" x14ac:dyDescent="0.25">
      <c r="A11" s="5" t="s">
        <v>19</v>
      </c>
      <c r="B11" s="5" t="s">
        <v>16</v>
      </c>
      <c r="C11" s="5" t="s">
        <v>17</v>
      </c>
      <c r="D11" s="5"/>
      <c r="E11" s="5" t="s">
        <v>3598</v>
      </c>
      <c r="F11" s="5" t="s">
        <v>19</v>
      </c>
      <c r="G11" s="5" t="s">
        <v>31</v>
      </c>
      <c r="H11" s="5" t="s">
        <v>17</v>
      </c>
      <c r="I11" s="5" t="s">
        <v>17</v>
      </c>
      <c r="J11" s="5" t="s">
        <v>3599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v>
      </c>
      <c r="B1" s="1"/>
      <c r="C1" s="1"/>
      <c r="D1" s="1"/>
      <c r="E1" s="1"/>
      <c r="F1" s="1"/>
      <c r="G1" s="1"/>
      <c r="H1" s="1"/>
      <c r="I1" s="1"/>
      <c r="J1" s="1"/>
    </row>
    <row r="2" spans="1:10" x14ac:dyDescent="0.25">
      <c r="A2" s="2" t="s">
        <v>1</v>
      </c>
      <c r="B2" s="3" t="s">
        <v>3600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328</v>
      </c>
      <c r="F5" s="5" t="s">
        <v>19</v>
      </c>
      <c r="G5" s="5" t="s">
        <v>329</v>
      </c>
      <c r="H5" s="5" t="s">
        <v>17</v>
      </c>
      <c r="I5" s="5" t="s">
        <v>17</v>
      </c>
      <c r="J5" s="5" t="s">
        <v>330</v>
      </c>
    </row>
    <row r="6" spans="1:10" x14ac:dyDescent="0.25">
      <c r="A6" s="5" t="s">
        <v>15</v>
      </c>
      <c r="B6" s="5" t="s">
        <v>16</v>
      </c>
      <c r="C6" s="5" t="s">
        <v>17</v>
      </c>
      <c r="D6" s="5"/>
      <c r="E6" s="5" t="s">
        <v>331</v>
      </c>
      <c r="F6" s="5" t="s">
        <v>19</v>
      </c>
      <c r="G6" s="5" t="s">
        <v>332</v>
      </c>
      <c r="H6" s="5" t="s">
        <v>17</v>
      </c>
      <c r="I6" s="5" t="s">
        <v>17</v>
      </c>
      <c r="J6" s="5" t="s">
        <v>333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3601</v>
      </c>
      <c r="B1" s="1"/>
      <c r="C1" s="1"/>
      <c r="D1" s="1"/>
      <c r="E1" s="1"/>
      <c r="F1" s="1"/>
      <c r="G1" s="1"/>
      <c r="H1" s="1"/>
      <c r="I1" s="1"/>
      <c r="J1" s="1"/>
    </row>
    <row r="2" spans="1:10" x14ac:dyDescent="0.25">
      <c r="A2" s="2" t="s">
        <v>1</v>
      </c>
      <c r="B2" s="3" t="s">
        <v>3602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340</v>
      </c>
      <c r="F5" s="5" t="s">
        <v>19</v>
      </c>
      <c r="G5" s="5" t="s">
        <v>341</v>
      </c>
      <c r="H5" s="5" t="s">
        <v>17</v>
      </c>
      <c r="I5" s="5" t="s">
        <v>17</v>
      </c>
      <c r="J5" s="5" t="s">
        <v>342</v>
      </c>
    </row>
    <row r="6" spans="1:10" x14ac:dyDescent="0.25">
      <c r="A6" s="5" t="s">
        <v>15</v>
      </c>
      <c r="B6" s="5" t="s">
        <v>16</v>
      </c>
      <c r="C6" s="5" t="s">
        <v>17</v>
      </c>
      <c r="D6" s="5"/>
      <c r="E6" s="5" t="s">
        <v>343</v>
      </c>
      <c r="F6" s="5" t="s">
        <v>19</v>
      </c>
      <c r="G6" s="5" t="s">
        <v>344</v>
      </c>
      <c r="H6" s="5" t="s">
        <v>17</v>
      </c>
      <c r="I6" s="5" t="s">
        <v>17</v>
      </c>
      <c r="J6" s="5" t="s">
        <v>345</v>
      </c>
    </row>
    <row r="7" spans="1:10" x14ac:dyDescent="0.25">
      <c r="A7" s="5" t="s">
        <v>15</v>
      </c>
      <c r="B7" s="5" t="s">
        <v>284</v>
      </c>
      <c r="C7" s="10" t="s">
        <v>346</v>
      </c>
      <c r="D7" s="5"/>
      <c r="E7" s="5" t="s">
        <v>347</v>
      </c>
      <c r="F7" s="5" t="s">
        <v>19</v>
      </c>
      <c r="G7" s="5" t="s">
        <v>348</v>
      </c>
      <c r="H7" s="5" t="s">
        <v>17</v>
      </c>
      <c r="I7" s="5" t="s">
        <v>17</v>
      </c>
      <c r="J7" s="5" t="s">
        <v>349</v>
      </c>
    </row>
    <row r="8" spans="1:10" x14ac:dyDescent="0.25">
      <c r="A8" s="5" t="s">
        <v>15</v>
      </c>
      <c r="B8" s="5" t="s">
        <v>16</v>
      </c>
      <c r="C8" s="5" t="s">
        <v>17</v>
      </c>
      <c r="D8" s="5"/>
      <c r="E8" s="5" t="s">
        <v>350</v>
      </c>
      <c r="F8" s="5" t="s">
        <v>19</v>
      </c>
      <c r="G8" s="5" t="s">
        <v>351</v>
      </c>
      <c r="H8" s="5" t="s">
        <v>17</v>
      </c>
      <c r="I8" s="5" t="s">
        <v>17</v>
      </c>
      <c r="J8" s="5" t="s">
        <v>352</v>
      </c>
    </row>
    <row r="9" spans="1:10" x14ac:dyDescent="0.25">
      <c r="A9" s="5" t="s">
        <v>15</v>
      </c>
      <c r="B9" s="5" t="s">
        <v>16</v>
      </c>
      <c r="C9" s="5" t="s">
        <v>17</v>
      </c>
      <c r="D9" s="5"/>
      <c r="E9" s="5" t="s">
        <v>353</v>
      </c>
      <c r="F9" s="5" t="s">
        <v>19</v>
      </c>
      <c r="G9" s="5" t="s">
        <v>354</v>
      </c>
      <c r="H9" s="5" t="s">
        <v>17</v>
      </c>
      <c r="I9" s="5" t="s">
        <v>17</v>
      </c>
      <c r="J9" s="5" t="s">
        <v>355</v>
      </c>
    </row>
  </sheetData>
  <mergeCells count="3">
    <mergeCell ref="A1:J1"/>
    <mergeCell ref="B2:J2"/>
    <mergeCell ref="B3:J3"/>
  </mergeCells>
  <dataValidations count="1">
    <dataValidation type="list" allowBlank="1" sqref="G7:I7">
      <formula1>'Enums'!C782:C783</formula1>
    </dataValidation>
  </dataValidations>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3603</v>
      </c>
      <c r="B1" s="1"/>
      <c r="C1" s="1"/>
      <c r="D1" s="1"/>
      <c r="E1" s="1"/>
      <c r="F1" s="1"/>
      <c r="G1" s="1"/>
      <c r="H1" s="1"/>
      <c r="I1" s="1"/>
      <c r="J1" s="1"/>
    </row>
    <row r="2" spans="1:10" x14ac:dyDescent="0.25">
      <c r="A2" s="2" t="s">
        <v>1</v>
      </c>
      <c r="B2" s="3" t="s">
        <v>3604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362</v>
      </c>
      <c r="F5" s="5" t="s">
        <v>19</v>
      </c>
      <c r="G5" s="5" t="s">
        <v>363</v>
      </c>
      <c r="H5" s="5" t="s">
        <v>17</v>
      </c>
      <c r="I5" s="5" t="s">
        <v>17</v>
      </c>
      <c r="J5" s="5" t="s">
        <v>361</v>
      </c>
    </row>
    <row r="6" spans="1:10" x14ac:dyDescent="0.25">
      <c r="A6" s="5" t="s">
        <v>19</v>
      </c>
      <c r="B6" s="6" t="s">
        <v>364</v>
      </c>
      <c r="C6" s="5" t="s">
        <v>17</v>
      </c>
      <c r="D6" s="5"/>
      <c r="E6" s="5" t="s">
        <v>365</v>
      </c>
      <c r="F6" s="5" t="s">
        <v>15</v>
      </c>
      <c r="G6" s="5" t="s">
        <v>17</v>
      </c>
      <c r="H6" s="5" t="s">
        <v>17</v>
      </c>
      <c r="I6" s="5" t="s">
        <v>17</v>
      </c>
      <c r="J6" s="5" t="s">
        <v>366</v>
      </c>
    </row>
    <row r="7" spans="1:10" x14ac:dyDescent="0.25" outlineLevel="1" collapsed="1">
      <c r="A7" s="7" t="s">
        <v>15</v>
      </c>
      <c r="B7" s="7" t="s">
        <v>16</v>
      </c>
      <c r="C7" s="7" t="s">
        <v>17</v>
      </c>
      <c r="D7" s="7"/>
      <c r="E7" s="7" t="s">
        <v>367</v>
      </c>
      <c r="F7" s="7" t="s">
        <v>19</v>
      </c>
      <c r="G7" s="7" t="s">
        <v>368</v>
      </c>
      <c r="H7" s="7" t="s">
        <v>17</v>
      </c>
      <c r="I7" s="7" t="s">
        <v>17</v>
      </c>
      <c r="J7" s="7" t="s">
        <v>369</v>
      </c>
    </row>
    <row r="8" spans="1:10" x14ac:dyDescent="0.25" outlineLevel="1" collapsed="1">
      <c r="A8" s="7" t="s">
        <v>15</v>
      </c>
      <c r="B8" s="7" t="s">
        <v>291</v>
      </c>
      <c r="C8" s="7" t="s">
        <v>17</v>
      </c>
      <c r="D8" s="7"/>
      <c r="E8" s="7" t="s">
        <v>370</v>
      </c>
      <c r="F8" s="7" t="s">
        <v>19</v>
      </c>
      <c r="G8" s="7" t="s">
        <v>293</v>
      </c>
      <c r="H8" s="7" t="s">
        <v>17</v>
      </c>
      <c r="I8" s="7" t="s">
        <v>17</v>
      </c>
      <c r="J8" s="7" t="s">
        <v>371</v>
      </c>
    </row>
  </sheetData>
  <mergeCells count="3">
    <mergeCell ref="A1:J1"/>
    <mergeCell ref="B2:J2"/>
    <mergeCell ref="B3:J3"/>
  </mergeCells>
  <hyperlinks>
    <hyperlink ref="B6" r:id="rId1" location="#'Schedule milestone (Validation'!A1"/>
  </hyperlinks>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3605</v>
      </c>
      <c r="B1" s="1"/>
      <c r="C1" s="1"/>
      <c r="D1" s="1"/>
      <c r="E1" s="1"/>
      <c r="F1" s="1"/>
      <c r="G1" s="1"/>
      <c r="H1" s="1"/>
      <c r="I1" s="1"/>
      <c r="J1" s="1"/>
    </row>
    <row r="2" spans="1:10" x14ac:dyDescent="0.25">
      <c r="A2" s="2" t="s">
        <v>1</v>
      </c>
      <c r="B2" s="3" t="s">
        <v>3606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375</v>
      </c>
      <c r="C5" s="5" t="s">
        <v>17</v>
      </c>
      <c r="D5" s="5"/>
      <c r="E5" s="5" t="s">
        <v>376</v>
      </c>
      <c r="F5" s="5" t="s">
        <v>19</v>
      </c>
      <c r="G5" s="5" t="s">
        <v>17</v>
      </c>
      <c r="H5" s="5" t="s">
        <v>17</v>
      </c>
      <c r="I5" s="5" t="s">
        <v>17</v>
      </c>
      <c r="J5" s="5" t="s">
        <v>377</v>
      </c>
    </row>
    <row r="6" spans="1:10" x14ac:dyDescent="0.25" outlineLevel="1" collapsed="1">
      <c r="A6" s="7" t="s">
        <v>15</v>
      </c>
      <c r="B6" s="7" t="s">
        <v>291</v>
      </c>
      <c r="C6" s="7" t="s">
        <v>17</v>
      </c>
      <c r="D6" s="7"/>
      <c r="E6" s="7" t="s">
        <v>378</v>
      </c>
      <c r="F6" s="7" t="s">
        <v>19</v>
      </c>
      <c r="G6" s="7" t="s">
        <v>293</v>
      </c>
      <c r="H6" s="7" t="s">
        <v>17</v>
      </c>
      <c r="I6" s="7" t="s">
        <v>17</v>
      </c>
      <c r="J6" s="7" t="s">
        <v>379</v>
      </c>
    </row>
    <row r="7" spans="1:10" x14ac:dyDescent="0.25" outlineLevel="1" collapsed="1">
      <c r="A7" s="7" t="s">
        <v>15</v>
      </c>
      <c r="B7" s="7" t="s">
        <v>291</v>
      </c>
      <c r="C7" s="7" t="s">
        <v>17</v>
      </c>
      <c r="D7" s="7"/>
      <c r="E7" s="7" t="s">
        <v>380</v>
      </c>
      <c r="F7" s="7" t="s">
        <v>19</v>
      </c>
      <c r="G7" s="7" t="s">
        <v>293</v>
      </c>
      <c r="H7" s="7" t="s">
        <v>17</v>
      </c>
      <c r="I7" s="7" t="s">
        <v>17</v>
      </c>
      <c r="J7" s="7" t="s">
        <v>381</v>
      </c>
    </row>
    <row r="8" spans="1:10" x14ac:dyDescent="0.25" outlineLevel="1" collapsed="1">
      <c r="A8" s="7" t="s">
        <v>15</v>
      </c>
      <c r="B8" s="7" t="s">
        <v>63</v>
      </c>
      <c r="C8" s="7" t="s">
        <v>17</v>
      </c>
      <c r="D8" s="7"/>
      <c r="E8" s="7" t="s">
        <v>382</v>
      </c>
      <c r="F8" s="7" t="s">
        <v>19</v>
      </c>
      <c r="G8" s="7">
        <v>5</v>
      </c>
      <c r="H8" s="7" t="s">
        <v>17</v>
      </c>
      <c r="I8" s="7" t="s">
        <v>17</v>
      </c>
      <c r="J8" s="7" t="s">
        <v>383</v>
      </c>
    </row>
    <row r="9" spans="1:10" x14ac:dyDescent="0.25" outlineLevel="1" collapsed="1">
      <c r="A9" s="7" t="s">
        <v>15</v>
      </c>
      <c r="B9" s="7" t="s">
        <v>16</v>
      </c>
      <c r="C9" s="7" t="s">
        <v>17</v>
      </c>
      <c r="D9" s="7"/>
      <c r="E9" s="7" t="s">
        <v>384</v>
      </c>
      <c r="F9" s="7" t="s">
        <v>19</v>
      </c>
      <c r="G9" s="7" t="s">
        <v>385</v>
      </c>
      <c r="H9" s="7" t="s">
        <v>17</v>
      </c>
      <c r="I9" s="7" t="s">
        <v>17</v>
      </c>
      <c r="J9" s="7" t="s">
        <v>386</v>
      </c>
    </row>
    <row r="10" spans="1:10" x14ac:dyDescent="0.25" outlineLevel="1" collapsed="1">
      <c r="A10" s="7" t="s">
        <v>15</v>
      </c>
      <c r="B10" s="7" t="s">
        <v>16</v>
      </c>
      <c r="C10" s="7" t="s">
        <v>17</v>
      </c>
      <c r="D10" s="7"/>
      <c r="E10" s="7" t="s">
        <v>387</v>
      </c>
      <c r="F10" s="7" t="s">
        <v>19</v>
      </c>
      <c r="G10" s="7" t="s">
        <v>388</v>
      </c>
      <c r="H10" s="7" t="s">
        <v>17</v>
      </c>
      <c r="I10" s="7" t="s">
        <v>17</v>
      </c>
      <c r="J10" s="7" t="s">
        <v>389</v>
      </c>
    </row>
    <row r="11" spans="1:10" x14ac:dyDescent="0.25">
      <c r="A11" s="5" t="s">
        <v>19</v>
      </c>
      <c r="B11" s="6" t="s">
        <v>390</v>
      </c>
      <c r="C11" s="5" t="s">
        <v>17</v>
      </c>
      <c r="D11" s="5"/>
      <c r="E11" s="5" t="s">
        <v>391</v>
      </c>
      <c r="F11" s="5" t="s">
        <v>15</v>
      </c>
      <c r="G11" s="5" t="s">
        <v>17</v>
      </c>
      <c r="H11" s="5" t="s">
        <v>17</v>
      </c>
      <c r="I11" s="5" t="s">
        <v>17</v>
      </c>
      <c r="J11" s="5" t="s">
        <v>392</v>
      </c>
    </row>
    <row r="12" spans="1:10" x14ac:dyDescent="0.25" outlineLevel="1" collapsed="1">
      <c r="A12" s="7" t="s">
        <v>15</v>
      </c>
      <c r="B12" s="7" t="s">
        <v>16</v>
      </c>
      <c r="C12" s="7" t="s">
        <v>17</v>
      </c>
      <c r="D12" s="7"/>
      <c r="E12" s="7" t="s">
        <v>393</v>
      </c>
      <c r="F12" s="7" t="s">
        <v>19</v>
      </c>
      <c r="G12" s="7" t="s">
        <v>394</v>
      </c>
      <c r="H12" s="7" t="s">
        <v>17</v>
      </c>
      <c r="I12" s="7" t="s">
        <v>17</v>
      </c>
      <c r="J12" s="7" t="s">
        <v>395</v>
      </c>
    </row>
    <row r="13" spans="1:10" x14ac:dyDescent="0.25" outlineLevel="1" collapsed="1">
      <c r="A13" s="7" t="s">
        <v>15</v>
      </c>
      <c r="B13" s="7" t="s">
        <v>16</v>
      </c>
      <c r="C13" s="7" t="s">
        <v>17</v>
      </c>
      <c r="D13" s="7"/>
      <c r="E13" s="7" t="s">
        <v>396</v>
      </c>
      <c r="F13" s="7" t="s">
        <v>19</v>
      </c>
      <c r="G13" s="7" t="s">
        <v>397</v>
      </c>
      <c r="H13" s="7" t="s">
        <v>17</v>
      </c>
      <c r="I13" s="7" t="s">
        <v>17</v>
      </c>
      <c r="J13" s="7" t="s">
        <v>398</v>
      </c>
    </row>
    <row r="14" spans="1:10" x14ac:dyDescent="0.25" outlineLevel="1" collapsed="1">
      <c r="A14" s="7" t="s">
        <v>19</v>
      </c>
      <c r="B14" s="7" t="s">
        <v>16</v>
      </c>
      <c r="C14" s="7" t="s">
        <v>17</v>
      </c>
      <c r="D14" s="7"/>
      <c r="E14" s="7" t="s">
        <v>399</v>
      </c>
      <c r="F14" s="7" t="s">
        <v>19</v>
      </c>
      <c r="G14" s="7" t="s">
        <v>400</v>
      </c>
      <c r="H14" s="7" t="s">
        <v>17</v>
      </c>
      <c r="I14" s="7" t="s">
        <v>17</v>
      </c>
      <c r="J14" s="7" t="s">
        <v>401</v>
      </c>
    </row>
    <row r="15" spans="1:10" x14ac:dyDescent="0.25" outlineLevel="1" collapsed="1">
      <c r="A15" s="7" t="s">
        <v>19</v>
      </c>
      <c r="B15" s="7" t="s">
        <v>291</v>
      </c>
      <c r="C15" s="7" t="s">
        <v>17</v>
      </c>
      <c r="D15" s="7"/>
      <c r="E15" s="7" t="s">
        <v>402</v>
      </c>
      <c r="F15" s="7" t="s">
        <v>19</v>
      </c>
      <c r="G15" s="7" t="s">
        <v>293</v>
      </c>
      <c r="H15" s="7" t="s">
        <v>17</v>
      </c>
      <c r="I15" s="7" t="s">
        <v>17</v>
      </c>
      <c r="J15" s="7" t="s">
        <v>403</v>
      </c>
    </row>
    <row r="16" spans="1:10" x14ac:dyDescent="0.25">
      <c r="A16" s="5" t="s">
        <v>19</v>
      </c>
      <c r="B16" s="6" t="s">
        <v>404</v>
      </c>
      <c r="C16" s="5" t="s">
        <v>17</v>
      </c>
      <c r="D16" s="5"/>
      <c r="E16" s="5" t="s">
        <v>405</v>
      </c>
      <c r="F16" s="5" t="s">
        <v>15</v>
      </c>
      <c r="G16" s="5" t="s">
        <v>17</v>
      </c>
      <c r="H16" s="5" t="s">
        <v>17</v>
      </c>
      <c r="I16" s="5" t="s">
        <v>17</v>
      </c>
      <c r="J16" s="5" t="s">
        <v>406</v>
      </c>
    </row>
    <row r="17" spans="1:10" x14ac:dyDescent="0.25" outlineLevel="1" collapsed="1">
      <c r="A17" s="7" t="s">
        <v>19</v>
      </c>
      <c r="B17" s="7" t="s">
        <v>16</v>
      </c>
      <c r="C17" s="7" t="s">
        <v>17</v>
      </c>
      <c r="D17" s="7"/>
      <c r="E17" s="7" t="s">
        <v>378</v>
      </c>
      <c r="F17" s="7" t="s">
        <v>19</v>
      </c>
      <c r="G17" s="7" t="s">
        <v>31</v>
      </c>
      <c r="H17" s="7" t="s">
        <v>17</v>
      </c>
      <c r="I17" s="7" t="s">
        <v>17</v>
      </c>
      <c r="J17" s="7" t="s">
        <v>379</v>
      </c>
    </row>
    <row r="18" spans="1:10" x14ac:dyDescent="0.25" outlineLevel="1" collapsed="1">
      <c r="A18" s="7" t="s">
        <v>19</v>
      </c>
      <c r="B18" s="7" t="s">
        <v>16</v>
      </c>
      <c r="C18" s="7" t="s">
        <v>17</v>
      </c>
      <c r="D18" s="7"/>
      <c r="E18" s="7" t="s">
        <v>380</v>
      </c>
      <c r="F18" s="7" t="s">
        <v>19</v>
      </c>
      <c r="G18" s="7" t="s">
        <v>31</v>
      </c>
      <c r="H18" s="7" t="s">
        <v>17</v>
      </c>
      <c r="I18" s="7" t="s">
        <v>17</v>
      </c>
      <c r="J18" s="7" t="s">
        <v>381</v>
      </c>
    </row>
    <row r="19" spans="1:10" x14ac:dyDescent="0.25" outlineLevel="1" collapsed="1">
      <c r="A19" s="7" t="s">
        <v>19</v>
      </c>
      <c r="B19" s="7" t="s">
        <v>63</v>
      </c>
      <c r="C19" s="7" t="s">
        <v>17</v>
      </c>
      <c r="D19" s="7"/>
      <c r="E19" s="7" t="s">
        <v>407</v>
      </c>
      <c r="F19" s="7" t="s">
        <v>19</v>
      </c>
      <c r="G19" s="7">
        <v>1</v>
      </c>
      <c r="H19" s="7" t="s">
        <v>17</v>
      </c>
      <c r="I19" s="7" t="s">
        <v>17</v>
      </c>
      <c r="J19" s="7" t="s">
        <v>408</v>
      </c>
    </row>
    <row r="20" spans="1:10" x14ac:dyDescent="0.25" outlineLevel="1" collapsed="1">
      <c r="A20" s="7" t="s">
        <v>19</v>
      </c>
      <c r="B20" s="7" t="s">
        <v>16</v>
      </c>
      <c r="C20" s="7" t="s">
        <v>17</v>
      </c>
      <c r="D20" s="7"/>
      <c r="E20" s="7" t="s">
        <v>409</v>
      </c>
      <c r="F20" s="7" t="s">
        <v>19</v>
      </c>
      <c r="G20" s="7" t="s">
        <v>31</v>
      </c>
      <c r="H20" s="7" t="s">
        <v>17</v>
      </c>
      <c r="I20" s="7" t="s">
        <v>17</v>
      </c>
      <c r="J20" s="7" t="s">
        <v>386</v>
      </c>
    </row>
    <row r="21" spans="1:10" x14ac:dyDescent="0.25" outlineLevel="1" collapsed="1">
      <c r="A21" s="7" t="s">
        <v>19</v>
      </c>
      <c r="B21" s="7" t="s">
        <v>16</v>
      </c>
      <c r="C21" s="7" t="s">
        <v>17</v>
      </c>
      <c r="D21" s="7"/>
      <c r="E21" s="7" t="s">
        <v>410</v>
      </c>
      <c r="F21" s="7" t="s">
        <v>19</v>
      </c>
      <c r="G21" s="7" t="s">
        <v>31</v>
      </c>
      <c r="H21" s="7" t="s">
        <v>17</v>
      </c>
      <c r="I21" s="7" t="s">
        <v>17</v>
      </c>
      <c r="J21" s="7" t="s">
        <v>411</v>
      </c>
    </row>
  </sheetData>
  <mergeCells count="3">
    <mergeCell ref="A1:J1"/>
    <mergeCell ref="B2:J2"/>
    <mergeCell ref="B3:J3"/>
  </mergeCells>
  <hyperlinks>
    <hyperlink ref="B5" r:id="rId1" location="#'Document review summary (Valid'!A1"/>
    <hyperlink ref="B11" r:id="rId2" location="#'Document list row (Validation'!A1"/>
    <hyperlink ref="B16" r:id="rId3" location="#'Document review details row (V'!A1"/>
  </hyperlinks>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412</v>
      </c>
      <c r="B1" s="1"/>
      <c r="C1" s="1"/>
      <c r="D1" s="1"/>
      <c r="E1" s="1"/>
      <c r="F1" s="1"/>
      <c r="G1" s="1"/>
      <c r="H1" s="1"/>
      <c r="I1" s="1"/>
      <c r="J1" s="1"/>
    </row>
    <row r="2" spans="1:10" x14ac:dyDescent="0.25">
      <c r="A2" s="2" t="s">
        <v>1</v>
      </c>
      <c r="B2" s="3" t="s">
        <v>3607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415</v>
      </c>
      <c r="F5" s="5" t="s">
        <v>19</v>
      </c>
      <c r="G5" s="5" t="s">
        <v>416</v>
      </c>
      <c r="H5" s="5" t="s">
        <v>17</v>
      </c>
      <c r="I5" s="5" t="s">
        <v>17</v>
      </c>
      <c r="J5" s="5" t="s">
        <v>417</v>
      </c>
    </row>
    <row r="6" spans="1:10" x14ac:dyDescent="0.25">
      <c r="A6" s="5" t="s">
        <v>15</v>
      </c>
      <c r="B6" s="5" t="s">
        <v>16</v>
      </c>
      <c r="C6" s="5" t="s">
        <v>17</v>
      </c>
      <c r="D6" s="5"/>
      <c r="E6" s="5" t="s">
        <v>418</v>
      </c>
      <c r="F6" s="5" t="s">
        <v>19</v>
      </c>
      <c r="G6" s="5" t="s">
        <v>419</v>
      </c>
      <c r="H6" s="5" t="s">
        <v>17</v>
      </c>
      <c r="I6" s="5" t="s">
        <v>17</v>
      </c>
      <c r="J6" s="5" t="s">
        <v>420</v>
      </c>
    </row>
    <row r="7" spans="1:10" x14ac:dyDescent="0.25">
      <c r="A7" s="5" t="s">
        <v>19</v>
      </c>
      <c r="B7" s="5" t="s">
        <v>16</v>
      </c>
      <c r="C7" s="5" t="s">
        <v>17</v>
      </c>
      <c r="D7" s="5"/>
      <c r="E7" s="5" t="s">
        <v>421</v>
      </c>
      <c r="F7" s="5" t="s">
        <v>19</v>
      </c>
      <c r="G7" s="5" t="s">
        <v>422</v>
      </c>
      <c r="H7" s="5" t="s">
        <v>17</v>
      </c>
      <c r="I7" s="5" t="s">
        <v>17</v>
      </c>
      <c r="J7" s="5" t="s">
        <v>423</v>
      </c>
    </row>
    <row r="8" spans="1:10" x14ac:dyDescent="0.25">
      <c r="A8" s="5" t="s">
        <v>19</v>
      </c>
      <c r="B8" s="6" t="s">
        <v>424</v>
      </c>
      <c r="C8" s="5" t="s">
        <v>17</v>
      </c>
      <c r="D8" s="5"/>
      <c r="E8" s="5" t="s">
        <v>425</v>
      </c>
      <c r="F8" s="5" t="s">
        <v>15</v>
      </c>
      <c r="G8" s="5" t="s">
        <v>17</v>
      </c>
      <c r="H8" s="5" t="s">
        <v>17</v>
      </c>
      <c r="I8" s="5" t="s">
        <v>17</v>
      </c>
      <c r="J8" s="5" t="s">
        <v>426</v>
      </c>
    </row>
    <row r="9" spans="1:10" x14ac:dyDescent="0.25" outlineLevel="1" collapsed="1">
      <c r="A9" s="7" t="s">
        <v>15</v>
      </c>
      <c r="B9" s="7" t="s">
        <v>16</v>
      </c>
      <c r="C9" s="7" t="s">
        <v>17</v>
      </c>
      <c r="D9" s="7"/>
      <c r="E9" s="7" t="s">
        <v>427</v>
      </c>
      <c r="F9" s="7" t="s">
        <v>19</v>
      </c>
      <c r="G9" s="7" t="s">
        <v>428</v>
      </c>
      <c r="H9" s="7" t="s">
        <v>17</v>
      </c>
      <c r="I9" s="7" t="s">
        <v>17</v>
      </c>
      <c r="J9" s="7" t="s">
        <v>429</v>
      </c>
    </row>
    <row r="10" spans="1:10" x14ac:dyDescent="0.25" outlineLevel="1" collapsed="1">
      <c r="A10" s="7" t="s">
        <v>15</v>
      </c>
      <c r="B10" s="7" t="s">
        <v>16</v>
      </c>
      <c r="C10" s="7" t="s">
        <v>17</v>
      </c>
      <c r="D10" s="7"/>
      <c r="E10" s="7" t="s">
        <v>430</v>
      </c>
      <c r="F10" s="7" t="s">
        <v>19</v>
      </c>
      <c r="G10" s="7" t="s">
        <v>431</v>
      </c>
      <c r="H10" s="7" t="s">
        <v>17</v>
      </c>
      <c r="I10" s="7" t="s">
        <v>17</v>
      </c>
      <c r="J10" s="7" t="s">
        <v>432</v>
      </c>
    </row>
    <row r="11" spans="1:10" x14ac:dyDescent="0.25" outlineLevel="1" collapsed="1">
      <c r="A11" s="7" t="s">
        <v>15</v>
      </c>
      <c r="B11" s="7" t="s">
        <v>16</v>
      </c>
      <c r="C11" s="7" t="s">
        <v>17</v>
      </c>
      <c r="D11" s="7"/>
      <c r="E11" s="7" t="s">
        <v>433</v>
      </c>
      <c r="F11" s="7" t="s">
        <v>19</v>
      </c>
      <c r="G11" s="7" t="s">
        <v>434</v>
      </c>
      <c r="H11" s="7" t="s">
        <v>17</v>
      </c>
      <c r="I11" s="7" t="s">
        <v>17</v>
      </c>
      <c r="J11" s="7" t="s">
        <v>435</v>
      </c>
    </row>
  </sheetData>
  <mergeCells count="3">
    <mergeCell ref="A1:J1"/>
    <mergeCell ref="B2:J2"/>
    <mergeCell ref="B3:J3"/>
  </mergeCells>
  <hyperlinks>
    <hyperlink ref="B8" r:id="rId1" location="#'Interviewee row (Validation an'!A1"/>
  </hyperlinks>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3608</v>
      </c>
      <c r="B1" s="1"/>
      <c r="C1" s="1"/>
      <c r="D1" s="1"/>
      <c r="E1" s="1"/>
      <c r="F1" s="1"/>
      <c r="G1" s="1"/>
      <c r="H1" s="1"/>
      <c r="I1" s="1"/>
      <c r="J1" s="1"/>
    </row>
    <row r="2" spans="1:10" x14ac:dyDescent="0.25">
      <c r="A2" s="2" t="s">
        <v>1</v>
      </c>
      <c r="B2" s="3" t="s">
        <v>3609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460</v>
      </c>
      <c r="F5" s="5" t="s">
        <v>19</v>
      </c>
      <c r="G5" s="5" t="s">
        <v>461</v>
      </c>
      <c r="H5" s="5" t="s">
        <v>17</v>
      </c>
      <c r="I5" s="5" t="s">
        <v>17</v>
      </c>
      <c r="J5" s="5" t="s">
        <v>462</v>
      </c>
    </row>
    <row r="6" spans="1:10" x14ac:dyDescent="0.25">
      <c r="A6" s="5" t="s">
        <v>15</v>
      </c>
      <c r="B6" s="5" t="s">
        <v>63</v>
      </c>
      <c r="C6" s="5" t="s">
        <v>17</v>
      </c>
      <c r="D6" s="5"/>
      <c r="E6" s="5" t="s">
        <v>463</v>
      </c>
      <c r="F6" s="5" t="s">
        <v>19</v>
      </c>
      <c r="G6" s="5">
        <v>0</v>
      </c>
      <c r="H6" s="5" t="s">
        <v>17</v>
      </c>
      <c r="I6" s="5" t="s">
        <v>17</v>
      </c>
      <c r="J6" s="5" t="s">
        <v>464</v>
      </c>
    </row>
    <row r="7" spans="1:10" x14ac:dyDescent="0.25">
      <c r="A7" s="5" t="s">
        <v>15</v>
      </c>
      <c r="B7" s="5" t="s">
        <v>63</v>
      </c>
      <c r="C7" s="5" t="s">
        <v>17</v>
      </c>
      <c r="D7" s="5"/>
      <c r="E7" s="5" t="s">
        <v>465</v>
      </c>
      <c r="F7" s="5" t="s">
        <v>19</v>
      </c>
      <c r="G7" s="5">
        <v>0</v>
      </c>
      <c r="H7" s="5" t="s">
        <v>17</v>
      </c>
      <c r="I7" s="5" t="s">
        <v>17</v>
      </c>
      <c r="J7" s="5" t="s">
        <v>466</v>
      </c>
    </row>
    <row r="8" spans="1:10" x14ac:dyDescent="0.25">
      <c r="A8" s="5" t="s">
        <v>15</v>
      </c>
      <c r="B8" s="5" t="s">
        <v>63</v>
      </c>
      <c r="C8" s="5" t="s">
        <v>17</v>
      </c>
      <c r="D8" s="5"/>
      <c r="E8" s="5" t="s">
        <v>467</v>
      </c>
      <c r="F8" s="5" t="s">
        <v>19</v>
      </c>
      <c r="G8" s="5">
        <v>0</v>
      </c>
      <c r="H8" s="5" t="s">
        <v>17</v>
      </c>
      <c r="I8" s="5" t="s">
        <v>17</v>
      </c>
      <c r="J8" s="5" t="s">
        <v>468</v>
      </c>
    </row>
    <row r="9" spans="1:10" x14ac:dyDescent="0.25">
      <c r="A9" s="5" t="s">
        <v>15</v>
      </c>
      <c r="B9" s="5" t="s">
        <v>63</v>
      </c>
      <c r="C9" s="5" t="s">
        <v>17</v>
      </c>
      <c r="D9" s="5"/>
      <c r="E9" s="5" t="s">
        <v>469</v>
      </c>
      <c r="F9" s="5" t="s">
        <v>19</v>
      </c>
      <c r="G9" s="5">
        <v>0</v>
      </c>
      <c r="H9" s="5" t="s">
        <v>17</v>
      </c>
      <c r="I9" s="5" t="s">
        <v>17</v>
      </c>
      <c r="J9" s="5" t="s">
        <v>470</v>
      </c>
    </row>
    <row r="10" spans="1:10" x14ac:dyDescent="0.25">
      <c r="A10" s="5" t="s">
        <v>19</v>
      </c>
      <c r="B10" s="6" t="s">
        <v>471</v>
      </c>
      <c r="C10" s="5" t="s">
        <v>17</v>
      </c>
      <c r="D10" s="5"/>
      <c r="E10" s="5" t="s">
        <v>472</v>
      </c>
      <c r="F10" s="5" t="s">
        <v>15</v>
      </c>
      <c r="G10" s="5" t="s">
        <v>17</v>
      </c>
      <c r="H10" s="5" t="s">
        <v>17</v>
      </c>
      <c r="I10" s="5" t="s">
        <v>17</v>
      </c>
      <c r="J10" s="5" t="s">
        <v>473</v>
      </c>
    </row>
    <row r="11" spans="1:10" x14ac:dyDescent="0.25" outlineLevel="1" collapsed="1">
      <c r="A11" s="7" t="s">
        <v>15</v>
      </c>
      <c r="B11" s="7" t="s">
        <v>16</v>
      </c>
      <c r="C11" s="7" t="s">
        <v>17</v>
      </c>
      <c r="D11" s="7"/>
      <c r="E11" s="7" t="s">
        <v>474</v>
      </c>
      <c r="F11" s="7" t="s">
        <v>19</v>
      </c>
      <c r="G11" s="7" t="s">
        <v>475</v>
      </c>
      <c r="H11" s="7" t="s">
        <v>17</v>
      </c>
      <c r="I11" s="7" t="s">
        <v>17</v>
      </c>
      <c r="J11" s="7" t="s">
        <v>476</v>
      </c>
    </row>
    <row r="12" spans="1:10" x14ac:dyDescent="0.25" outlineLevel="1" collapsed="1">
      <c r="A12" s="7" t="s">
        <v>15</v>
      </c>
      <c r="B12" s="7" t="s">
        <v>284</v>
      </c>
      <c r="C12" s="11" t="s">
        <v>477</v>
      </c>
      <c r="D12" s="7"/>
      <c r="E12" s="7" t="s">
        <v>478</v>
      </c>
      <c r="F12" s="7" t="s">
        <v>19</v>
      </c>
      <c r="G12" s="7" t="s">
        <v>479</v>
      </c>
      <c r="H12" s="7" t="s">
        <v>17</v>
      </c>
      <c r="I12" s="7" t="s">
        <v>17</v>
      </c>
      <c r="J12" s="7" t="s">
        <v>480</v>
      </c>
    </row>
    <row r="13" spans="1:10" x14ac:dyDescent="0.25" outlineLevel="1" collapsed="1">
      <c r="A13" s="7" t="s">
        <v>15</v>
      </c>
      <c r="B13" s="7" t="s">
        <v>16</v>
      </c>
      <c r="C13" s="7" t="s">
        <v>17</v>
      </c>
      <c r="D13" s="7"/>
      <c r="E13" s="7" t="s">
        <v>481</v>
      </c>
      <c r="F13" s="7" t="s">
        <v>19</v>
      </c>
      <c r="G13" s="7" t="s">
        <v>482</v>
      </c>
      <c r="H13" s="7" t="s">
        <v>17</v>
      </c>
      <c r="I13" s="7" t="s">
        <v>17</v>
      </c>
      <c r="J13" s="7" t="s">
        <v>483</v>
      </c>
    </row>
  </sheetData>
  <mergeCells count="3">
    <mergeCell ref="A1:J1"/>
    <mergeCell ref="B2:J2"/>
    <mergeCell ref="B3:J3"/>
  </mergeCells>
  <dataValidations count="1">
    <dataValidation type="list" allowBlank="1" sqref="G12:I12">
      <formula1>'Enums'!C799:C801</formula1>
    </dataValidation>
  </dataValidations>
  <hyperlinks>
    <hyperlink ref="B10" r:id="rId1" location="#'CARCLFAR reference row (Valida'!A1"/>
  </hyperlinks>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3610</v>
      </c>
      <c r="B1" s="1"/>
      <c r="C1" s="1"/>
      <c r="D1" s="1"/>
      <c r="E1" s="1"/>
      <c r="F1" s="1"/>
      <c r="G1" s="1"/>
      <c r="H1" s="1"/>
      <c r="I1" s="1"/>
      <c r="J1" s="1"/>
    </row>
    <row r="2" spans="1:10" x14ac:dyDescent="0.25">
      <c r="A2" s="2" t="s">
        <v>1</v>
      </c>
      <c r="B2" s="3" t="s">
        <v>3611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359</v>
      </c>
      <c r="C5" s="5" t="s">
        <v>17</v>
      </c>
      <c r="D5" s="5"/>
      <c r="E5" s="5" t="s">
        <v>360</v>
      </c>
      <c r="F5" s="5" t="s">
        <v>19</v>
      </c>
      <c r="G5" s="5" t="s">
        <v>17</v>
      </c>
      <c r="H5" s="5" t="s">
        <v>17</v>
      </c>
      <c r="I5" s="5" t="s">
        <v>17</v>
      </c>
      <c r="J5" s="5" t="s">
        <v>361</v>
      </c>
    </row>
    <row r="6" spans="1:10" x14ac:dyDescent="0.25" outlineLevel="1" collapsed="1">
      <c r="A6" s="7" t="s">
        <v>15</v>
      </c>
      <c r="B6" s="7" t="s">
        <v>16</v>
      </c>
      <c r="C6" s="7" t="s">
        <v>17</v>
      </c>
      <c r="D6" s="7"/>
      <c r="E6" s="7" t="s">
        <v>362</v>
      </c>
      <c r="F6" s="7" t="s">
        <v>19</v>
      </c>
      <c r="G6" s="7" t="s">
        <v>363</v>
      </c>
      <c r="H6" s="7" t="s">
        <v>17</v>
      </c>
      <c r="I6" s="7" t="s">
        <v>17</v>
      </c>
      <c r="J6" s="7" t="s">
        <v>361</v>
      </c>
    </row>
    <row r="7" spans="1:10" x14ac:dyDescent="0.25" outlineLevel="1" collapsed="1">
      <c r="A7" s="8" t="s">
        <v>19</v>
      </c>
      <c r="B7" s="9" t="s">
        <v>364</v>
      </c>
      <c r="C7" s="8" t="s">
        <v>17</v>
      </c>
      <c r="D7" s="8"/>
      <c r="E7" s="8" t="s">
        <v>365</v>
      </c>
      <c r="F7" s="8" t="s">
        <v>15</v>
      </c>
      <c r="G7" s="8" t="s">
        <v>17</v>
      </c>
      <c r="H7" s="8" t="s">
        <v>17</v>
      </c>
      <c r="I7" s="8" t="s">
        <v>17</v>
      </c>
      <c r="J7" s="8" t="s">
        <v>366</v>
      </c>
    </row>
    <row r="8" spans="1:10" x14ac:dyDescent="0.25" outlineLevel="2" collapsed="1">
      <c r="A8" s="7" t="s">
        <v>15</v>
      </c>
      <c r="B8" s="7" t="s">
        <v>16</v>
      </c>
      <c r="C8" s="7" t="s">
        <v>17</v>
      </c>
      <c r="D8" s="7"/>
      <c r="E8" s="7" t="s">
        <v>367</v>
      </c>
      <c r="F8" s="7" t="s">
        <v>19</v>
      </c>
      <c r="G8" s="7" t="s">
        <v>368</v>
      </c>
      <c r="H8" s="7" t="s">
        <v>17</v>
      </c>
      <c r="I8" s="7" t="s">
        <v>17</v>
      </c>
      <c r="J8" s="7" t="s">
        <v>369</v>
      </c>
    </row>
    <row r="9" spans="1:10" x14ac:dyDescent="0.25" outlineLevel="2" collapsed="1">
      <c r="A9" s="7" t="s">
        <v>15</v>
      </c>
      <c r="B9" s="7" t="s">
        <v>291</v>
      </c>
      <c r="C9" s="7" t="s">
        <v>17</v>
      </c>
      <c r="D9" s="7"/>
      <c r="E9" s="7" t="s">
        <v>370</v>
      </c>
      <c r="F9" s="7" t="s">
        <v>19</v>
      </c>
      <c r="G9" s="7" t="s">
        <v>293</v>
      </c>
      <c r="H9" s="7" t="s">
        <v>17</v>
      </c>
      <c r="I9" s="7" t="s">
        <v>17</v>
      </c>
      <c r="J9" s="7" t="s">
        <v>371</v>
      </c>
    </row>
    <row r="10" spans="1:10" x14ac:dyDescent="0.25">
      <c r="A10" s="5" t="s">
        <v>15</v>
      </c>
      <c r="B10" s="6" t="s">
        <v>372</v>
      </c>
      <c r="C10" s="5" t="s">
        <v>17</v>
      </c>
      <c r="D10" s="5"/>
      <c r="E10" s="5" t="s">
        <v>373</v>
      </c>
      <c r="F10" s="5" t="s">
        <v>19</v>
      </c>
      <c r="G10" s="5" t="s">
        <v>17</v>
      </c>
      <c r="H10" s="5" t="s">
        <v>17</v>
      </c>
      <c r="I10" s="5" t="s">
        <v>17</v>
      </c>
      <c r="J10" s="5" t="s">
        <v>374</v>
      </c>
    </row>
    <row r="11" spans="1:10" x14ac:dyDescent="0.25" outlineLevel="1" collapsed="1">
      <c r="A11" s="8" t="s">
        <v>15</v>
      </c>
      <c r="B11" s="9" t="s">
        <v>375</v>
      </c>
      <c r="C11" s="8" t="s">
        <v>17</v>
      </c>
      <c r="D11" s="8"/>
      <c r="E11" s="8" t="s">
        <v>376</v>
      </c>
      <c r="F11" s="8" t="s">
        <v>19</v>
      </c>
      <c r="G11" s="8" t="s">
        <v>17</v>
      </c>
      <c r="H11" s="8" t="s">
        <v>17</v>
      </c>
      <c r="I11" s="8" t="s">
        <v>17</v>
      </c>
      <c r="J11" s="8" t="s">
        <v>377</v>
      </c>
    </row>
    <row r="12" spans="1:10" x14ac:dyDescent="0.25" outlineLevel="2" collapsed="1">
      <c r="A12" s="7" t="s">
        <v>15</v>
      </c>
      <c r="B12" s="7" t="s">
        <v>291</v>
      </c>
      <c r="C12" s="7" t="s">
        <v>17</v>
      </c>
      <c r="D12" s="7"/>
      <c r="E12" s="7" t="s">
        <v>378</v>
      </c>
      <c r="F12" s="7" t="s">
        <v>19</v>
      </c>
      <c r="G12" s="7" t="s">
        <v>293</v>
      </c>
      <c r="H12" s="7" t="s">
        <v>17</v>
      </c>
      <c r="I12" s="7" t="s">
        <v>17</v>
      </c>
      <c r="J12" s="7" t="s">
        <v>379</v>
      </c>
    </row>
    <row r="13" spans="1:10" x14ac:dyDescent="0.25" outlineLevel="2" collapsed="1">
      <c r="A13" s="7" t="s">
        <v>15</v>
      </c>
      <c r="B13" s="7" t="s">
        <v>291</v>
      </c>
      <c r="C13" s="7" t="s">
        <v>17</v>
      </c>
      <c r="D13" s="7"/>
      <c r="E13" s="7" t="s">
        <v>380</v>
      </c>
      <c r="F13" s="7" t="s">
        <v>19</v>
      </c>
      <c r="G13" s="7" t="s">
        <v>293</v>
      </c>
      <c r="H13" s="7" t="s">
        <v>17</v>
      </c>
      <c r="I13" s="7" t="s">
        <v>17</v>
      </c>
      <c r="J13" s="7" t="s">
        <v>381</v>
      </c>
    </row>
    <row r="14" spans="1:10" x14ac:dyDescent="0.25" outlineLevel="2" collapsed="1">
      <c r="A14" s="7" t="s">
        <v>15</v>
      </c>
      <c r="B14" s="7" t="s">
        <v>63</v>
      </c>
      <c r="C14" s="7" t="s">
        <v>17</v>
      </c>
      <c r="D14" s="7"/>
      <c r="E14" s="7" t="s">
        <v>382</v>
      </c>
      <c r="F14" s="7" t="s">
        <v>19</v>
      </c>
      <c r="G14" s="7">
        <v>5</v>
      </c>
      <c r="H14" s="7" t="s">
        <v>17</v>
      </c>
      <c r="I14" s="7" t="s">
        <v>17</v>
      </c>
      <c r="J14" s="7" t="s">
        <v>383</v>
      </c>
    </row>
    <row r="15" spans="1:10" x14ac:dyDescent="0.25" outlineLevel="2" collapsed="1">
      <c r="A15" s="7" t="s">
        <v>15</v>
      </c>
      <c r="B15" s="7" t="s">
        <v>16</v>
      </c>
      <c r="C15" s="7" t="s">
        <v>17</v>
      </c>
      <c r="D15" s="7"/>
      <c r="E15" s="7" t="s">
        <v>384</v>
      </c>
      <c r="F15" s="7" t="s">
        <v>19</v>
      </c>
      <c r="G15" s="7" t="s">
        <v>385</v>
      </c>
      <c r="H15" s="7" t="s">
        <v>17</v>
      </c>
      <c r="I15" s="7" t="s">
        <v>17</v>
      </c>
      <c r="J15" s="7" t="s">
        <v>386</v>
      </c>
    </row>
    <row r="16" spans="1:10" x14ac:dyDescent="0.25" outlineLevel="2" collapsed="1">
      <c r="A16" s="7" t="s">
        <v>15</v>
      </c>
      <c r="B16" s="7" t="s">
        <v>16</v>
      </c>
      <c r="C16" s="7" t="s">
        <v>17</v>
      </c>
      <c r="D16" s="7"/>
      <c r="E16" s="7" t="s">
        <v>387</v>
      </c>
      <c r="F16" s="7" t="s">
        <v>19</v>
      </c>
      <c r="G16" s="7" t="s">
        <v>388</v>
      </c>
      <c r="H16" s="7" t="s">
        <v>17</v>
      </c>
      <c r="I16" s="7" t="s">
        <v>17</v>
      </c>
      <c r="J16" s="7" t="s">
        <v>389</v>
      </c>
    </row>
    <row r="17" spans="1:10" x14ac:dyDescent="0.25" outlineLevel="1" collapsed="1">
      <c r="A17" s="8" t="s">
        <v>19</v>
      </c>
      <c r="B17" s="9" t="s">
        <v>390</v>
      </c>
      <c r="C17" s="8" t="s">
        <v>17</v>
      </c>
      <c r="D17" s="8"/>
      <c r="E17" s="8" t="s">
        <v>391</v>
      </c>
      <c r="F17" s="8" t="s">
        <v>15</v>
      </c>
      <c r="G17" s="8" t="s">
        <v>17</v>
      </c>
      <c r="H17" s="8" t="s">
        <v>17</v>
      </c>
      <c r="I17" s="8" t="s">
        <v>17</v>
      </c>
      <c r="J17" s="8" t="s">
        <v>392</v>
      </c>
    </row>
    <row r="18" spans="1:10" x14ac:dyDescent="0.25" outlineLevel="2" collapsed="1">
      <c r="A18" s="7" t="s">
        <v>15</v>
      </c>
      <c r="B18" s="7" t="s">
        <v>16</v>
      </c>
      <c r="C18" s="7" t="s">
        <v>17</v>
      </c>
      <c r="D18" s="7"/>
      <c r="E18" s="7" t="s">
        <v>393</v>
      </c>
      <c r="F18" s="7" t="s">
        <v>19</v>
      </c>
      <c r="G18" s="7" t="s">
        <v>394</v>
      </c>
      <c r="H18" s="7" t="s">
        <v>17</v>
      </c>
      <c r="I18" s="7" t="s">
        <v>17</v>
      </c>
      <c r="J18" s="7" t="s">
        <v>395</v>
      </c>
    </row>
    <row r="19" spans="1:10" x14ac:dyDescent="0.25" outlineLevel="2" collapsed="1">
      <c r="A19" s="7" t="s">
        <v>15</v>
      </c>
      <c r="B19" s="7" t="s">
        <v>16</v>
      </c>
      <c r="C19" s="7" t="s">
        <v>17</v>
      </c>
      <c r="D19" s="7"/>
      <c r="E19" s="7" t="s">
        <v>396</v>
      </c>
      <c r="F19" s="7" t="s">
        <v>19</v>
      </c>
      <c r="G19" s="7" t="s">
        <v>397</v>
      </c>
      <c r="H19" s="7" t="s">
        <v>17</v>
      </c>
      <c r="I19" s="7" t="s">
        <v>17</v>
      </c>
      <c r="J19" s="7" t="s">
        <v>398</v>
      </c>
    </row>
    <row r="20" spans="1:10" x14ac:dyDescent="0.25" outlineLevel="2" collapsed="1">
      <c r="A20" s="7" t="s">
        <v>19</v>
      </c>
      <c r="B20" s="7" t="s">
        <v>16</v>
      </c>
      <c r="C20" s="7" t="s">
        <v>17</v>
      </c>
      <c r="D20" s="7"/>
      <c r="E20" s="7" t="s">
        <v>399</v>
      </c>
      <c r="F20" s="7" t="s">
        <v>19</v>
      </c>
      <c r="G20" s="7" t="s">
        <v>400</v>
      </c>
      <c r="H20" s="7" t="s">
        <v>17</v>
      </c>
      <c r="I20" s="7" t="s">
        <v>17</v>
      </c>
      <c r="J20" s="7" t="s">
        <v>401</v>
      </c>
    </row>
    <row r="21" spans="1:10" x14ac:dyDescent="0.25" outlineLevel="2" collapsed="1">
      <c r="A21" s="7" t="s">
        <v>19</v>
      </c>
      <c r="B21" s="7" t="s">
        <v>291</v>
      </c>
      <c r="C21" s="7" t="s">
        <v>17</v>
      </c>
      <c r="D21" s="7"/>
      <c r="E21" s="7" t="s">
        <v>402</v>
      </c>
      <c r="F21" s="7" t="s">
        <v>19</v>
      </c>
      <c r="G21" s="7" t="s">
        <v>293</v>
      </c>
      <c r="H21" s="7" t="s">
        <v>17</v>
      </c>
      <c r="I21" s="7" t="s">
        <v>17</v>
      </c>
      <c r="J21" s="7" t="s">
        <v>403</v>
      </c>
    </row>
    <row r="22" spans="1:10" x14ac:dyDescent="0.25" outlineLevel="1" collapsed="1">
      <c r="A22" s="8" t="s">
        <v>19</v>
      </c>
      <c r="B22" s="9" t="s">
        <v>404</v>
      </c>
      <c r="C22" s="8" t="s">
        <v>17</v>
      </c>
      <c r="D22" s="8"/>
      <c r="E22" s="8" t="s">
        <v>405</v>
      </c>
      <c r="F22" s="8" t="s">
        <v>15</v>
      </c>
      <c r="G22" s="8" t="s">
        <v>17</v>
      </c>
      <c r="H22" s="8" t="s">
        <v>17</v>
      </c>
      <c r="I22" s="8" t="s">
        <v>17</v>
      </c>
      <c r="J22" s="8" t="s">
        <v>406</v>
      </c>
    </row>
    <row r="23" spans="1:10" x14ac:dyDescent="0.25" outlineLevel="2" collapsed="1">
      <c r="A23" s="7" t="s">
        <v>19</v>
      </c>
      <c r="B23" s="7" t="s">
        <v>16</v>
      </c>
      <c r="C23" s="7" t="s">
        <v>17</v>
      </c>
      <c r="D23" s="7"/>
      <c r="E23" s="7" t="s">
        <v>378</v>
      </c>
      <c r="F23" s="7" t="s">
        <v>19</v>
      </c>
      <c r="G23" s="7" t="s">
        <v>31</v>
      </c>
      <c r="H23" s="7" t="s">
        <v>17</v>
      </c>
      <c r="I23" s="7" t="s">
        <v>17</v>
      </c>
      <c r="J23" s="7" t="s">
        <v>379</v>
      </c>
    </row>
    <row r="24" spans="1:10" x14ac:dyDescent="0.25" outlineLevel="2" collapsed="1">
      <c r="A24" s="7" t="s">
        <v>19</v>
      </c>
      <c r="B24" s="7" t="s">
        <v>16</v>
      </c>
      <c r="C24" s="7" t="s">
        <v>17</v>
      </c>
      <c r="D24" s="7"/>
      <c r="E24" s="7" t="s">
        <v>380</v>
      </c>
      <c r="F24" s="7" t="s">
        <v>19</v>
      </c>
      <c r="G24" s="7" t="s">
        <v>31</v>
      </c>
      <c r="H24" s="7" t="s">
        <v>17</v>
      </c>
      <c r="I24" s="7" t="s">
        <v>17</v>
      </c>
      <c r="J24" s="7" t="s">
        <v>381</v>
      </c>
    </row>
    <row r="25" spans="1:10" x14ac:dyDescent="0.25" outlineLevel="2" collapsed="1">
      <c r="A25" s="7" t="s">
        <v>19</v>
      </c>
      <c r="B25" s="7" t="s">
        <v>63</v>
      </c>
      <c r="C25" s="7" t="s">
        <v>17</v>
      </c>
      <c r="D25" s="7"/>
      <c r="E25" s="7" t="s">
        <v>407</v>
      </c>
      <c r="F25" s="7" t="s">
        <v>19</v>
      </c>
      <c r="G25" s="7">
        <v>1</v>
      </c>
      <c r="H25" s="7" t="s">
        <v>17</v>
      </c>
      <c r="I25" s="7" t="s">
        <v>17</v>
      </c>
      <c r="J25" s="7" t="s">
        <v>408</v>
      </c>
    </row>
    <row r="26" spans="1:10" x14ac:dyDescent="0.25" outlineLevel="2" collapsed="1">
      <c r="A26" s="7" t="s">
        <v>19</v>
      </c>
      <c r="B26" s="7" t="s">
        <v>16</v>
      </c>
      <c r="C26" s="7" t="s">
        <v>17</v>
      </c>
      <c r="D26" s="7"/>
      <c r="E26" s="7" t="s">
        <v>409</v>
      </c>
      <c r="F26" s="7" t="s">
        <v>19</v>
      </c>
      <c r="G26" s="7" t="s">
        <v>31</v>
      </c>
      <c r="H26" s="7" t="s">
        <v>17</v>
      </c>
      <c r="I26" s="7" t="s">
        <v>17</v>
      </c>
      <c r="J26" s="7" t="s">
        <v>386</v>
      </c>
    </row>
    <row r="27" spans="1:10" x14ac:dyDescent="0.25" outlineLevel="2" collapsed="1">
      <c r="A27" s="7" t="s">
        <v>19</v>
      </c>
      <c r="B27" s="7" t="s">
        <v>16</v>
      </c>
      <c r="C27" s="7" t="s">
        <v>17</v>
      </c>
      <c r="D27" s="7"/>
      <c r="E27" s="7" t="s">
        <v>410</v>
      </c>
      <c r="F27" s="7" t="s">
        <v>19</v>
      </c>
      <c r="G27" s="7" t="s">
        <v>31</v>
      </c>
      <c r="H27" s="7" t="s">
        <v>17</v>
      </c>
      <c r="I27" s="7" t="s">
        <v>17</v>
      </c>
      <c r="J27" s="7" t="s">
        <v>411</v>
      </c>
    </row>
    <row r="28" spans="1:10" x14ac:dyDescent="0.25">
      <c r="A28" s="5" t="s">
        <v>15</v>
      </c>
      <c r="B28" s="6" t="s">
        <v>412</v>
      </c>
      <c r="C28" s="5" t="s">
        <v>17</v>
      </c>
      <c r="D28" s="5"/>
      <c r="E28" s="5" t="s">
        <v>413</v>
      </c>
      <c r="F28" s="5" t="s">
        <v>19</v>
      </c>
      <c r="G28" s="5" t="s">
        <v>17</v>
      </c>
      <c r="H28" s="5" t="s">
        <v>17</v>
      </c>
      <c r="I28" s="5" t="s">
        <v>17</v>
      </c>
      <c r="J28" s="5" t="s">
        <v>414</v>
      </c>
    </row>
    <row r="29" spans="1:10" x14ac:dyDescent="0.25" outlineLevel="1" collapsed="1">
      <c r="A29" s="7" t="s">
        <v>15</v>
      </c>
      <c r="B29" s="7" t="s">
        <v>16</v>
      </c>
      <c r="C29" s="7" t="s">
        <v>17</v>
      </c>
      <c r="D29" s="7"/>
      <c r="E29" s="7" t="s">
        <v>415</v>
      </c>
      <c r="F29" s="7" t="s">
        <v>19</v>
      </c>
      <c r="G29" s="7" t="s">
        <v>416</v>
      </c>
      <c r="H29" s="7" t="s">
        <v>17</v>
      </c>
      <c r="I29" s="7" t="s">
        <v>17</v>
      </c>
      <c r="J29" s="7" t="s">
        <v>417</v>
      </c>
    </row>
    <row r="30" spans="1:10" x14ac:dyDescent="0.25" outlineLevel="1" collapsed="1">
      <c r="A30" s="7" t="s">
        <v>15</v>
      </c>
      <c r="B30" s="7" t="s">
        <v>16</v>
      </c>
      <c r="C30" s="7" t="s">
        <v>17</v>
      </c>
      <c r="D30" s="7"/>
      <c r="E30" s="7" t="s">
        <v>418</v>
      </c>
      <c r="F30" s="7" t="s">
        <v>19</v>
      </c>
      <c r="G30" s="7" t="s">
        <v>419</v>
      </c>
      <c r="H30" s="7" t="s">
        <v>17</v>
      </c>
      <c r="I30" s="7" t="s">
        <v>17</v>
      </c>
      <c r="J30" s="7" t="s">
        <v>420</v>
      </c>
    </row>
    <row r="31" spans="1:10" x14ac:dyDescent="0.25" outlineLevel="1" collapsed="1">
      <c r="A31" s="7" t="s">
        <v>19</v>
      </c>
      <c r="B31" s="7" t="s">
        <v>16</v>
      </c>
      <c r="C31" s="7" t="s">
        <v>17</v>
      </c>
      <c r="D31" s="7"/>
      <c r="E31" s="7" t="s">
        <v>421</v>
      </c>
      <c r="F31" s="7" t="s">
        <v>19</v>
      </c>
      <c r="G31" s="7" t="s">
        <v>422</v>
      </c>
      <c r="H31" s="7" t="s">
        <v>17</v>
      </c>
      <c r="I31" s="7" t="s">
        <v>17</v>
      </c>
      <c r="J31" s="7" t="s">
        <v>423</v>
      </c>
    </row>
    <row r="32" spans="1:10" x14ac:dyDescent="0.25" outlineLevel="1" collapsed="1">
      <c r="A32" s="8" t="s">
        <v>19</v>
      </c>
      <c r="B32" s="9" t="s">
        <v>424</v>
      </c>
      <c r="C32" s="8" t="s">
        <v>17</v>
      </c>
      <c r="D32" s="8"/>
      <c r="E32" s="8" t="s">
        <v>425</v>
      </c>
      <c r="F32" s="8" t="s">
        <v>15</v>
      </c>
      <c r="G32" s="8" t="s">
        <v>17</v>
      </c>
      <c r="H32" s="8" t="s">
        <v>17</v>
      </c>
      <c r="I32" s="8" t="s">
        <v>17</v>
      </c>
      <c r="J32" s="8" t="s">
        <v>426</v>
      </c>
    </row>
    <row r="33" spans="1:10" x14ac:dyDescent="0.25" outlineLevel="2" collapsed="1">
      <c r="A33" s="7" t="s">
        <v>15</v>
      </c>
      <c r="B33" s="7" t="s">
        <v>16</v>
      </c>
      <c r="C33" s="7" t="s">
        <v>17</v>
      </c>
      <c r="D33" s="7"/>
      <c r="E33" s="7" t="s">
        <v>427</v>
      </c>
      <c r="F33" s="7" t="s">
        <v>19</v>
      </c>
      <c r="G33" s="7" t="s">
        <v>428</v>
      </c>
      <c r="H33" s="7" t="s">
        <v>17</v>
      </c>
      <c r="I33" s="7" t="s">
        <v>17</v>
      </c>
      <c r="J33" s="7" t="s">
        <v>429</v>
      </c>
    </row>
    <row r="34" spans="1:10" x14ac:dyDescent="0.25" outlineLevel="2" collapsed="1">
      <c r="A34" s="7" t="s">
        <v>15</v>
      </c>
      <c r="B34" s="7" t="s">
        <v>16</v>
      </c>
      <c r="C34" s="7" t="s">
        <v>17</v>
      </c>
      <c r="D34" s="7"/>
      <c r="E34" s="7" t="s">
        <v>430</v>
      </c>
      <c r="F34" s="7" t="s">
        <v>19</v>
      </c>
      <c r="G34" s="7" t="s">
        <v>431</v>
      </c>
      <c r="H34" s="7" t="s">
        <v>17</v>
      </c>
      <c r="I34" s="7" t="s">
        <v>17</v>
      </c>
      <c r="J34" s="7" t="s">
        <v>432</v>
      </c>
    </row>
    <row r="35" spans="1:10" x14ac:dyDescent="0.25" outlineLevel="2" collapsed="1">
      <c r="A35" s="7" t="s">
        <v>15</v>
      </c>
      <c r="B35" s="7" t="s">
        <v>16</v>
      </c>
      <c r="C35" s="7" t="s">
        <v>17</v>
      </c>
      <c r="D35" s="7"/>
      <c r="E35" s="7" t="s">
        <v>433</v>
      </c>
      <c r="F35" s="7" t="s">
        <v>19</v>
      </c>
      <c r="G35" s="7" t="s">
        <v>434</v>
      </c>
      <c r="H35" s="7" t="s">
        <v>17</v>
      </c>
      <c r="I35" s="7" t="s">
        <v>17</v>
      </c>
      <c r="J35" s="7" t="s">
        <v>435</v>
      </c>
    </row>
    <row r="36" spans="1:10" x14ac:dyDescent="0.25">
      <c r="A36" s="5" t="s">
        <v>15</v>
      </c>
      <c r="B36" s="6" t="s">
        <v>436</v>
      </c>
      <c r="C36" s="5" t="s">
        <v>17</v>
      </c>
      <c r="D36" s="5"/>
      <c r="E36" s="5" t="s">
        <v>437</v>
      </c>
      <c r="F36" s="5" t="s">
        <v>19</v>
      </c>
      <c r="G36" s="5" t="s">
        <v>17</v>
      </c>
      <c r="H36" s="5" t="s">
        <v>17</v>
      </c>
      <c r="I36" s="5" t="s">
        <v>17</v>
      </c>
      <c r="J36" s="5" t="s">
        <v>438</v>
      </c>
    </row>
    <row r="37" spans="1:10" x14ac:dyDescent="0.25" outlineLevel="1" collapsed="1">
      <c r="A37" s="7" t="s">
        <v>15</v>
      </c>
      <c r="B37" s="7" t="s">
        <v>291</v>
      </c>
      <c r="C37" s="7" t="s">
        <v>17</v>
      </c>
      <c r="D37" s="7"/>
      <c r="E37" s="7" t="s">
        <v>439</v>
      </c>
      <c r="F37" s="7" t="s">
        <v>19</v>
      </c>
      <c r="G37" s="7" t="s">
        <v>293</v>
      </c>
      <c r="H37" s="7" t="s">
        <v>17</v>
      </c>
      <c r="I37" s="7" t="s">
        <v>17</v>
      </c>
      <c r="J37" s="7" t="s">
        <v>440</v>
      </c>
    </row>
    <row r="38" spans="1:10" x14ac:dyDescent="0.25" outlineLevel="1" collapsed="1">
      <c r="A38" s="7" t="s">
        <v>15</v>
      </c>
      <c r="B38" s="7" t="s">
        <v>291</v>
      </c>
      <c r="C38" s="7" t="s">
        <v>17</v>
      </c>
      <c r="D38" s="7"/>
      <c r="E38" s="7" t="s">
        <v>441</v>
      </c>
      <c r="F38" s="7" t="s">
        <v>19</v>
      </c>
      <c r="G38" s="7" t="s">
        <v>293</v>
      </c>
      <c r="H38" s="7" t="s">
        <v>17</v>
      </c>
      <c r="I38" s="7" t="s">
        <v>17</v>
      </c>
      <c r="J38" s="7" t="s">
        <v>442</v>
      </c>
    </row>
    <row r="39" spans="1:10" x14ac:dyDescent="0.25" outlineLevel="1" collapsed="1">
      <c r="A39" s="7" t="s">
        <v>15</v>
      </c>
      <c r="B39" s="7" t="s">
        <v>159</v>
      </c>
      <c r="C39" s="7" t="s">
        <v>17</v>
      </c>
      <c r="D39" s="7"/>
      <c r="E39" s="7" t="s">
        <v>443</v>
      </c>
      <c r="F39" s="7" t="s">
        <v>19</v>
      </c>
      <c r="G39" s="7" t="b">
        <v>1</v>
      </c>
      <c r="H39" s="7" t="s">
        <v>17</v>
      </c>
      <c r="I39" s="7" t="s">
        <v>17</v>
      </c>
      <c r="J39" s="7" t="s">
        <v>444</v>
      </c>
    </row>
    <row r="40" spans="1:10" x14ac:dyDescent="0.25" outlineLevel="1" collapsed="1">
      <c r="A40" s="7" t="s">
        <v>19</v>
      </c>
      <c r="B40" s="7" t="s">
        <v>16</v>
      </c>
      <c r="C40" s="7" t="s">
        <v>17</v>
      </c>
      <c r="D40" s="7"/>
      <c r="E40" s="7" t="s">
        <v>445</v>
      </c>
      <c r="F40" s="7" t="s">
        <v>19</v>
      </c>
      <c r="G40" s="7" t="s">
        <v>31</v>
      </c>
      <c r="H40" s="7" t="s">
        <v>17</v>
      </c>
      <c r="I40" s="7" t="s">
        <v>17</v>
      </c>
      <c r="J40" s="7" t="s">
        <v>446</v>
      </c>
    </row>
    <row r="41" spans="1:10" x14ac:dyDescent="0.25" outlineLevel="1" collapsed="1">
      <c r="A41" s="7" t="s">
        <v>15</v>
      </c>
      <c r="B41" s="7" t="s">
        <v>16</v>
      </c>
      <c r="C41" s="7" t="s">
        <v>17</v>
      </c>
      <c r="D41" s="7"/>
      <c r="E41" s="7" t="s">
        <v>447</v>
      </c>
      <c r="F41" s="7" t="s">
        <v>19</v>
      </c>
      <c r="G41" s="7" t="s">
        <v>448</v>
      </c>
      <c r="H41" s="7" t="s">
        <v>17</v>
      </c>
      <c r="I41" s="7" t="s">
        <v>17</v>
      </c>
      <c r="J41" s="7" t="s">
        <v>449</v>
      </c>
    </row>
    <row r="42" spans="1:10" x14ac:dyDescent="0.25" outlineLevel="1" collapsed="1">
      <c r="A42" s="7" t="s">
        <v>15</v>
      </c>
      <c r="B42" s="7" t="s">
        <v>16</v>
      </c>
      <c r="C42" s="7" t="s">
        <v>17</v>
      </c>
      <c r="D42" s="7"/>
      <c r="E42" s="7" t="s">
        <v>450</v>
      </c>
      <c r="F42" s="7" t="s">
        <v>19</v>
      </c>
      <c r="G42" s="7" t="s">
        <v>451</v>
      </c>
      <c r="H42" s="7" t="s">
        <v>17</v>
      </c>
      <c r="I42" s="7" t="s">
        <v>17</v>
      </c>
      <c r="J42" s="7" t="s">
        <v>452</v>
      </c>
    </row>
    <row r="43" spans="1:10" x14ac:dyDescent="0.25" outlineLevel="1" collapsed="1">
      <c r="A43" s="7" t="s">
        <v>15</v>
      </c>
      <c r="B43" s="7" t="s">
        <v>16</v>
      </c>
      <c r="C43" s="7" t="s">
        <v>17</v>
      </c>
      <c r="D43" s="7"/>
      <c r="E43" s="7" t="s">
        <v>453</v>
      </c>
      <c r="F43" s="7" t="s">
        <v>19</v>
      </c>
      <c r="G43" s="7" t="s">
        <v>454</v>
      </c>
      <c r="H43" s="7" t="s">
        <v>17</v>
      </c>
      <c r="I43" s="7" t="s">
        <v>17</v>
      </c>
      <c r="J43" s="7" t="s">
        <v>324</v>
      </c>
    </row>
    <row r="44" spans="1:10" x14ac:dyDescent="0.25" outlineLevel="1" collapsed="1">
      <c r="A44" s="7" t="s">
        <v>19</v>
      </c>
      <c r="B44" s="7" t="s">
        <v>16</v>
      </c>
      <c r="C44" s="7" t="s">
        <v>17</v>
      </c>
      <c r="D44" s="7"/>
      <c r="E44" s="7" t="s">
        <v>455</v>
      </c>
      <c r="F44" s="7" t="s">
        <v>19</v>
      </c>
      <c r="G44" s="7" t="s">
        <v>31</v>
      </c>
      <c r="H44" s="7" t="s">
        <v>17</v>
      </c>
      <c r="I44" s="7" t="s">
        <v>17</v>
      </c>
      <c r="J44" s="7" t="s">
        <v>456</v>
      </c>
    </row>
    <row r="45" spans="1:10" x14ac:dyDescent="0.25">
      <c r="A45" s="5" t="s">
        <v>15</v>
      </c>
      <c r="B45" s="6" t="s">
        <v>457</v>
      </c>
      <c r="C45" s="5" t="s">
        <v>17</v>
      </c>
      <c r="D45" s="5"/>
      <c r="E45" s="5" t="s">
        <v>458</v>
      </c>
      <c r="F45" s="5" t="s">
        <v>19</v>
      </c>
      <c r="G45" s="5" t="s">
        <v>17</v>
      </c>
      <c r="H45" s="5" t="s">
        <v>17</v>
      </c>
      <c r="I45" s="5" t="s">
        <v>17</v>
      </c>
      <c r="J45" s="5" t="s">
        <v>459</v>
      </c>
    </row>
    <row r="46" spans="1:10" x14ac:dyDescent="0.25" outlineLevel="1" collapsed="1">
      <c r="A46" s="7" t="s">
        <v>15</v>
      </c>
      <c r="B46" s="7" t="s">
        <v>16</v>
      </c>
      <c r="C46" s="7" t="s">
        <v>17</v>
      </c>
      <c r="D46" s="7"/>
      <c r="E46" s="7" t="s">
        <v>460</v>
      </c>
      <c r="F46" s="7" t="s">
        <v>19</v>
      </c>
      <c r="G46" s="7" t="s">
        <v>461</v>
      </c>
      <c r="H46" s="7" t="s">
        <v>17</v>
      </c>
      <c r="I46" s="7" t="s">
        <v>17</v>
      </c>
      <c r="J46" s="7" t="s">
        <v>462</v>
      </c>
    </row>
    <row r="47" spans="1:10" x14ac:dyDescent="0.25" outlineLevel="1" collapsed="1">
      <c r="A47" s="7" t="s">
        <v>15</v>
      </c>
      <c r="B47" s="7" t="s">
        <v>63</v>
      </c>
      <c r="C47" s="7" t="s">
        <v>17</v>
      </c>
      <c r="D47" s="7"/>
      <c r="E47" s="7" t="s">
        <v>463</v>
      </c>
      <c r="F47" s="7" t="s">
        <v>19</v>
      </c>
      <c r="G47" s="7">
        <v>0</v>
      </c>
      <c r="H47" s="7" t="s">
        <v>17</v>
      </c>
      <c r="I47" s="7" t="s">
        <v>17</v>
      </c>
      <c r="J47" s="7" t="s">
        <v>464</v>
      </c>
    </row>
    <row r="48" spans="1:10" x14ac:dyDescent="0.25" outlineLevel="1" collapsed="1">
      <c r="A48" s="7" t="s">
        <v>15</v>
      </c>
      <c r="B48" s="7" t="s">
        <v>63</v>
      </c>
      <c r="C48" s="7" t="s">
        <v>17</v>
      </c>
      <c r="D48" s="7"/>
      <c r="E48" s="7" t="s">
        <v>465</v>
      </c>
      <c r="F48" s="7" t="s">
        <v>19</v>
      </c>
      <c r="G48" s="7">
        <v>0</v>
      </c>
      <c r="H48" s="7" t="s">
        <v>17</v>
      </c>
      <c r="I48" s="7" t="s">
        <v>17</v>
      </c>
      <c r="J48" s="7" t="s">
        <v>466</v>
      </c>
    </row>
    <row r="49" spans="1:10" x14ac:dyDescent="0.25" outlineLevel="1" collapsed="1">
      <c r="A49" s="7" t="s">
        <v>15</v>
      </c>
      <c r="B49" s="7" t="s">
        <v>63</v>
      </c>
      <c r="C49" s="7" t="s">
        <v>17</v>
      </c>
      <c r="D49" s="7"/>
      <c r="E49" s="7" t="s">
        <v>467</v>
      </c>
      <c r="F49" s="7" t="s">
        <v>19</v>
      </c>
      <c r="G49" s="7">
        <v>0</v>
      </c>
      <c r="H49" s="7" t="s">
        <v>17</v>
      </c>
      <c r="I49" s="7" t="s">
        <v>17</v>
      </c>
      <c r="J49" s="7" t="s">
        <v>468</v>
      </c>
    </row>
    <row r="50" spans="1:10" x14ac:dyDescent="0.25" outlineLevel="1" collapsed="1">
      <c r="A50" s="7" t="s">
        <v>15</v>
      </c>
      <c r="B50" s="7" t="s">
        <v>63</v>
      </c>
      <c r="C50" s="7" t="s">
        <v>17</v>
      </c>
      <c r="D50" s="7"/>
      <c r="E50" s="7" t="s">
        <v>469</v>
      </c>
      <c r="F50" s="7" t="s">
        <v>19</v>
      </c>
      <c r="G50" s="7">
        <v>0</v>
      </c>
      <c r="H50" s="7" t="s">
        <v>17</v>
      </c>
      <c r="I50" s="7" t="s">
        <v>17</v>
      </c>
      <c r="J50" s="7" t="s">
        <v>470</v>
      </c>
    </row>
    <row r="51" spans="1:10" x14ac:dyDescent="0.25" outlineLevel="1" collapsed="1">
      <c r="A51" s="8" t="s">
        <v>19</v>
      </c>
      <c r="B51" s="9" t="s">
        <v>471</v>
      </c>
      <c r="C51" s="8" t="s">
        <v>17</v>
      </c>
      <c r="D51" s="8"/>
      <c r="E51" s="8" t="s">
        <v>472</v>
      </c>
      <c r="F51" s="8" t="s">
        <v>15</v>
      </c>
      <c r="G51" s="8" t="s">
        <v>17</v>
      </c>
      <c r="H51" s="8" t="s">
        <v>17</v>
      </c>
      <c r="I51" s="8" t="s">
        <v>17</v>
      </c>
      <c r="J51" s="8" t="s">
        <v>473</v>
      </c>
    </row>
    <row r="52" spans="1:10" x14ac:dyDescent="0.25" outlineLevel="2" collapsed="1">
      <c r="A52" s="7" t="s">
        <v>15</v>
      </c>
      <c r="B52" s="7" t="s">
        <v>16</v>
      </c>
      <c r="C52" s="7" t="s">
        <v>17</v>
      </c>
      <c r="D52" s="7"/>
      <c r="E52" s="7" t="s">
        <v>474</v>
      </c>
      <c r="F52" s="7" t="s">
        <v>19</v>
      </c>
      <c r="G52" s="7" t="s">
        <v>475</v>
      </c>
      <c r="H52" s="7" t="s">
        <v>17</v>
      </c>
      <c r="I52" s="7" t="s">
        <v>17</v>
      </c>
      <c r="J52" s="7" t="s">
        <v>476</v>
      </c>
    </row>
    <row r="53" spans="1:10" x14ac:dyDescent="0.25" outlineLevel="2" collapsed="1">
      <c r="A53" s="7" t="s">
        <v>15</v>
      </c>
      <c r="B53" s="7" t="s">
        <v>284</v>
      </c>
      <c r="C53" s="11" t="s">
        <v>477</v>
      </c>
      <c r="D53" s="7"/>
      <c r="E53" s="7" t="s">
        <v>478</v>
      </c>
      <c r="F53" s="7" t="s">
        <v>19</v>
      </c>
      <c r="G53" s="7" t="s">
        <v>479</v>
      </c>
      <c r="H53" s="7" t="s">
        <v>17</v>
      </c>
      <c r="I53" s="7" t="s">
        <v>17</v>
      </c>
      <c r="J53" s="7" t="s">
        <v>480</v>
      </c>
    </row>
    <row r="54" spans="1:10" x14ac:dyDescent="0.25" outlineLevel="2" collapsed="1">
      <c r="A54" s="7" t="s">
        <v>15</v>
      </c>
      <c r="B54" s="7" t="s">
        <v>16</v>
      </c>
      <c r="C54" s="7" t="s">
        <v>17</v>
      </c>
      <c r="D54" s="7"/>
      <c r="E54" s="7" t="s">
        <v>481</v>
      </c>
      <c r="F54" s="7" t="s">
        <v>19</v>
      </c>
      <c r="G54" s="7" t="s">
        <v>482</v>
      </c>
      <c r="H54" s="7" t="s">
        <v>17</v>
      </c>
      <c r="I54" s="7" t="s">
        <v>17</v>
      </c>
      <c r="J54" s="7" t="s">
        <v>483</v>
      </c>
    </row>
    <row r="55" spans="1:10" x14ac:dyDescent="0.25">
      <c r="A55" s="5" t="s">
        <v>15</v>
      </c>
      <c r="B55" s="5" t="s">
        <v>16</v>
      </c>
      <c r="C55" s="5" t="s">
        <v>17</v>
      </c>
      <c r="D55" s="5"/>
      <c r="E55" s="5" t="s">
        <v>484</v>
      </c>
      <c r="F55" s="5" t="s">
        <v>19</v>
      </c>
      <c r="G55" s="5" t="s">
        <v>485</v>
      </c>
      <c r="H55" s="5" t="s">
        <v>17</v>
      </c>
      <c r="I55" s="5" t="s">
        <v>17</v>
      </c>
      <c r="J55" s="5" t="s">
        <v>486</v>
      </c>
    </row>
  </sheetData>
  <mergeCells count="3">
    <mergeCell ref="A1:J1"/>
    <mergeCell ref="B2:J2"/>
    <mergeCell ref="B3:J3"/>
  </mergeCells>
  <dataValidations count="1">
    <dataValidation type="list" allowBlank="1" sqref="G53:I53">
      <formula1>'Enums'!C799:C801</formula1>
    </dataValidation>
  </dataValidations>
  <hyperlinks>
    <hyperlink ref="B5" r:id="rId1" location="#'2.1 Method and Criteria (VCS V'!A1"/>
    <hyperlink ref="B7" r:id="rId2" location="#'Schedule milestone (Validation'!A1"/>
    <hyperlink ref="B10" r:id="rId3" location="#'2.2 Document Review (VCS Verif'!A1"/>
    <hyperlink ref="B11" r:id="rId4" location="#'Document review summary (Valid'!A1"/>
    <hyperlink ref="B17" r:id="rId5" location="#'Document list row (Validation'!A1"/>
    <hyperlink ref="B22" r:id="rId6" location="#'Document review details row (V'!A1"/>
    <hyperlink ref="B28" r:id="rId7" location="#'Interviews (Verification)'!A1"/>
    <hyperlink ref="B32" r:id="rId8" location="#'Interviewee row (Validation an'!A1"/>
    <hyperlink ref="B36" r:id="rId9" location="#'Site visits (Validation and Ve'!A1"/>
    <hyperlink ref="B45" r:id="rId10" location="#'Resolution of CARs CLs and FAR'!A1"/>
    <hyperlink ref="B51" r:id="rId11" location="#'CARCLFAR reference row (Valida'!A1"/>
  </hyperlinks>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490</v>
      </c>
      <c r="B1" s="1"/>
      <c r="C1" s="1"/>
      <c r="D1" s="1"/>
      <c r="E1" s="1"/>
      <c r="F1" s="1"/>
      <c r="G1" s="1"/>
      <c r="H1" s="1"/>
      <c r="I1" s="1"/>
      <c r="J1" s="1"/>
    </row>
    <row r="2" spans="1:10" x14ac:dyDescent="0.25">
      <c r="A2" s="2" t="s">
        <v>1</v>
      </c>
      <c r="B2" s="3" t="s">
        <v>3612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498</v>
      </c>
      <c r="C7" s="5" t="s">
        <v>17</v>
      </c>
      <c r="D7" s="5"/>
      <c r="E7" s="5" t="s">
        <v>499</v>
      </c>
      <c r="F7" s="5" t="s">
        <v>19</v>
      </c>
      <c r="G7" s="5" t="s">
        <v>17</v>
      </c>
      <c r="H7" s="5" t="s">
        <v>17</v>
      </c>
      <c r="I7" s="5" t="s">
        <v>17</v>
      </c>
      <c r="J7" s="5" t="s">
        <v>491</v>
      </c>
    </row>
    <row r="8" spans="1:10" x14ac:dyDescent="0.25" outlineLevel="1" collapsed="1">
      <c r="A8" s="7" t="s">
        <v>19</v>
      </c>
      <c r="B8" s="7" t="s">
        <v>16</v>
      </c>
      <c r="C8" s="7" t="s">
        <v>17</v>
      </c>
      <c r="D8" s="7"/>
      <c r="E8" s="7" t="s">
        <v>500</v>
      </c>
      <c r="F8" s="7" t="s">
        <v>19</v>
      </c>
      <c r="G8" s="7" t="s">
        <v>31</v>
      </c>
      <c r="H8" s="7" t="s">
        <v>17</v>
      </c>
      <c r="I8" s="7" t="s">
        <v>17</v>
      </c>
      <c r="J8" s="7" t="s">
        <v>494</v>
      </c>
    </row>
    <row r="9" spans="1:10" x14ac:dyDescent="0.25" outlineLevel="1" collapsed="1">
      <c r="A9" s="7" t="s">
        <v>19</v>
      </c>
      <c r="B9" s="7" t="s">
        <v>16</v>
      </c>
      <c r="C9" s="7" t="s">
        <v>17</v>
      </c>
      <c r="D9" s="7"/>
      <c r="E9" s="7" t="s">
        <v>501</v>
      </c>
      <c r="F9" s="7" t="s">
        <v>19</v>
      </c>
      <c r="G9" s="7" t="s">
        <v>31</v>
      </c>
      <c r="H9" s="7" t="s">
        <v>17</v>
      </c>
      <c r="I9" s="7" t="s">
        <v>17</v>
      </c>
      <c r="J9" s="7" t="s">
        <v>497</v>
      </c>
    </row>
    <row r="10" spans="1:10" x14ac:dyDescent="0.25" outlineLevel="1" collapsed="1">
      <c r="A10" s="8" t="s">
        <v>19</v>
      </c>
      <c r="B10" s="9" t="s">
        <v>502</v>
      </c>
      <c r="C10" s="8" t="s">
        <v>17</v>
      </c>
      <c r="D10" s="8"/>
      <c r="E10" s="8" t="s">
        <v>503</v>
      </c>
      <c r="F10" s="8" t="s">
        <v>15</v>
      </c>
      <c r="G10" s="8" t="s">
        <v>17</v>
      </c>
      <c r="H10" s="8" t="s">
        <v>17</v>
      </c>
      <c r="I10" s="8" t="s">
        <v>17</v>
      </c>
      <c r="J10" s="8" t="s">
        <v>504</v>
      </c>
    </row>
    <row r="11" spans="1:10" x14ac:dyDescent="0.25" outlineLevel="2" collapsed="1">
      <c r="A11" s="7" t="s">
        <v>19</v>
      </c>
      <c r="B11" s="7" t="s">
        <v>16</v>
      </c>
      <c r="C11" s="7" t="s">
        <v>17</v>
      </c>
      <c r="D11" s="7"/>
      <c r="E11" s="7" t="s">
        <v>505</v>
      </c>
      <c r="F11" s="7" t="s">
        <v>19</v>
      </c>
      <c r="G11" s="7" t="s">
        <v>31</v>
      </c>
      <c r="H11" s="7" t="s">
        <v>17</v>
      </c>
      <c r="I11" s="7" t="s">
        <v>17</v>
      </c>
      <c r="J11" s="7" t="s">
        <v>506</v>
      </c>
    </row>
    <row r="12" spans="1:10" x14ac:dyDescent="0.25" outlineLevel="2"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Methodology Deviations (VCS Ve'!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508</v>
      </c>
      <c r="B1" s="1"/>
      <c r="C1" s="1"/>
      <c r="D1" s="1"/>
      <c r="E1" s="1"/>
      <c r="F1" s="1"/>
      <c r="G1" s="1"/>
      <c r="H1" s="1"/>
      <c r="I1" s="1"/>
      <c r="J1" s="1"/>
    </row>
    <row r="2" spans="1:10" x14ac:dyDescent="0.25">
      <c r="A2" s="2" t="s">
        <v>1</v>
      </c>
      <c r="B2" s="3" t="s">
        <v>3613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510</v>
      </c>
      <c r="C7" s="5" t="s">
        <v>17</v>
      </c>
      <c r="D7" s="5"/>
      <c r="E7" s="5" t="s">
        <v>510</v>
      </c>
      <c r="F7" s="5" t="s">
        <v>19</v>
      </c>
      <c r="G7" s="5" t="s">
        <v>17</v>
      </c>
      <c r="H7" s="5" t="s">
        <v>17</v>
      </c>
      <c r="I7" s="5" t="s">
        <v>17</v>
      </c>
      <c r="J7" s="5" t="s">
        <v>509</v>
      </c>
    </row>
    <row r="8" spans="1:10" x14ac:dyDescent="0.25" outlineLevel="1" collapsed="1">
      <c r="A8" s="7" t="s">
        <v>19</v>
      </c>
      <c r="B8" s="7" t="s">
        <v>16</v>
      </c>
      <c r="C8" s="7" t="s">
        <v>17</v>
      </c>
      <c r="D8" s="7"/>
      <c r="E8" s="7" t="s">
        <v>500</v>
      </c>
      <c r="F8" s="7" t="s">
        <v>19</v>
      </c>
      <c r="G8" s="7" t="s">
        <v>31</v>
      </c>
      <c r="H8" s="7" t="s">
        <v>17</v>
      </c>
      <c r="I8" s="7" t="s">
        <v>17</v>
      </c>
      <c r="J8" s="7" t="s">
        <v>494</v>
      </c>
    </row>
    <row r="9" spans="1:10" x14ac:dyDescent="0.25" outlineLevel="1" collapsed="1">
      <c r="A9" s="7" t="s">
        <v>19</v>
      </c>
      <c r="B9" s="7" t="s">
        <v>16</v>
      </c>
      <c r="C9" s="7" t="s">
        <v>17</v>
      </c>
      <c r="D9" s="7"/>
      <c r="E9" s="7" t="s">
        <v>501</v>
      </c>
      <c r="F9" s="7" t="s">
        <v>19</v>
      </c>
      <c r="G9" s="7" t="s">
        <v>31</v>
      </c>
      <c r="H9" s="7" t="s">
        <v>17</v>
      </c>
      <c r="I9" s="7" t="s">
        <v>17</v>
      </c>
      <c r="J9" s="7" t="s">
        <v>497</v>
      </c>
    </row>
    <row r="10" spans="1:10" x14ac:dyDescent="0.25" outlineLevel="1" collapsed="1">
      <c r="A10" s="8" t="s">
        <v>19</v>
      </c>
      <c r="B10" s="9" t="s">
        <v>502</v>
      </c>
      <c r="C10" s="8" t="s">
        <v>17</v>
      </c>
      <c r="D10" s="8"/>
      <c r="E10" s="8" t="s">
        <v>503</v>
      </c>
      <c r="F10" s="8" t="s">
        <v>15</v>
      </c>
      <c r="G10" s="8" t="s">
        <v>17</v>
      </c>
      <c r="H10" s="8" t="s">
        <v>17</v>
      </c>
      <c r="I10" s="8" t="s">
        <v>17</v>
      </c>
      <c r="J10" s="8" t="s">
        <v>504</v>
      </c>
    </row>
    <row r="11" spans="1:10" x14ac:dyDescent="0.25" outlineLevel="2" collapsed="1">
      <c r="A11" s="7" t="s">
        <v>19</v>
      </c>
      <c r="B11" s="7" t="s">
        <v>16</v>
      </c>
      <c r="C11" s="7" t="s">
        <v>17</v>
      </c>
      <c r="D11" s="7"/>
      <c r="E11" s="7" t="s">
        <v>505</v>
      </c>
      <c r="F11" s="7" t="s">
        <v>19</v>
      </c>
      <c r="G11" s="7" t="s">
        <v>31</v>
      </c>
      <c r="H11" s="7" t="s">
        <v>17</v>
      </c>
      <c r="I11" s="7" t="s">
        <v>17</v>
      </c>
      <c r="J11" s="7" t="s">
        <v>506</v>
      </c>
    </row>
    <row r="12" spans="1:10" x14ac:dyDescent="0.25" outlineLevel="2"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Project Description Deviation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512</v>
      </c>
      <c r="B1" s="1"/>
      <c r="C1" s="1"/>
      <c r="D1" s="1"/>
      <c r="E1" s="1"/>
      <c r="F1" s="1"/>
      <c r="G1" s="1"/>
      <c r="H1" s="1"/>
      <c r="I1" s="1"/>
      <c r="J1" s="1"/>
    </row>
    <row r="2" spans="1:10" x14ac:dyDescent="0.25">
      <c r="A2" s="2" t="s">
        <v>1</v>
      </c>
      <c r="B2" s="3" t="s">
        <v>3614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514</v>
      </c>
      <c r="C7" s="5" t="s">
        <v>17</v>
      </c>
      <c r="D7" s="5"/>
      <c r="E7" s="5" t="s">
        <v>515</v>
      </c>
      <c r="F7" s="5" t="s">
        <v>19</v>
      </c>
      <c r="G7" s="5" t="s">
        <v>17</v>
      </c>
      <c r="H7" s="5" t="s">
        <v>17</v>
      </c>
      <c r="I7" s="5" t="s">
        <v>17</v>
      </c>
      <c r="J7" s="5" t="s">
        <v>516</v>
      </c>
    </row>
    <row r="8" spans="1:10" x14ac:dyDescent="0.25" outlineLevel="1" collapsed="1">
      <c r="A8" s="7" t="s">
        <v>19</v>
      </c>
      <c r="B8" s="7" t="s">
        <v>16</v>
      </c>
      <c r="C8" s="7" t="s">
        <v>17</v>
      </c>
      <c r="D8" s="7"/>
      <c r="E8" s="7" t="s">
        <v>500</v>
      </c>
      <c r="F8" s="7" t="s">
        <v>19</v>
      </c>
      <c r="G8" s="7" t="s">
        <v>31</v>
      </c>
      <c r="H8" s="7" t="s">
        <v>17</v>
      </c>
      <c r="I8" s="7" t="s">
        <v>17</v>
      </c>
      <c r="J8" s="7" t="s">
        <v>494</v>
      </c>
    </row>
    <row r="9" spans="1:10" x14ac:dyDescent="0.25" outlineLevel="1" collapsed="1">
      <c r="A9" s="7" t="s">
        <v>19</v>
      </c>
      <c r="B9" s="7" t="s">
        <v>16</v>
      </c>
      <c r="C9" s="7" t="s">
        <v>17</v>
      </c>
      <c r="D9" s="7"/>
      <c r="E9" s="7" t="s">
        <v>501</v>
      </c>
      <c r="F9" s="7" t="s">
        <v>19</v>
      </c>
      <c r="G9" s="7" t="s">
        <v>31</v>
      </c>
      <c r="H9" s="7" t="s">
        <v>17</v>
      </c>
      <c r="I9" s="7" t="s">
        <v>17</v>
      </c>
      <c r="J9" s="7" t="s">
        <v>497</v>
      </c>
    </row>
    <row r="10" spans="1:10" x14ac:dyDescent="0.25" outlineLevel="1" collapsed="1">
      <c r="A10" s="8" t="s">
        <v>19</v>
      </c>
      <c r="B10" s="9" t="s">
        <v>502</v>
      </c>
      <c r="C10" s="8" t="s">
        <v>17</v>
      </c>
      <c r="D10" s="8"/>
      <c r="E10" s="8" t="s">
        <v>503</v>
      </c>
      <c r="F10" s="8" t="s">
        <v>15</v>
      </c>
      <c r="G10" s="8" t="s">
        <v>17</v>
      </c>
      <c r="H10" s="8" t="s">
        <v>17</v>
      </c>
      <c r="I10" s="8" t="s">
        <v>17</v>
      </c>
      <c r="J10" s="8" t="s">
        <v>504</v>
      </c>
    </row>
    <row r="11" spans="1:10" x14ac:dyDescent="0.25" outlineLevel="2" collapsed="1">
      <c r="A11" s="7" t="s">
        <v>19</v>
      </c>
      <c r="B11" s="7" t="s">
        <v>16</v>
      </c>
      <c r="C11" s="7" t="s">
        <v>17</v>
      </c>
      <c r="D11" s="7"/>
      <c r="E11" s="7" t="s">
        <v>505</v>
      </c>
      <c r="F11" s="7" t="s">
        <v>19</v>
      </c>
      <c r="G11" s="7" t="s">
        <v>31</v>
      </c>
      <c r="H11" s="7" t="s">
        <v>17</v>
      </c>
      <c r="I11" s="7" t="s">
        <v>17</v>
      </c>
      <c r="J11" s="7" t="s">
        <v>506</v>
      </c>
    </row>
    <row r="12" spans="1:10" x14ac:dyDescent="0.25" outlineLevel="2"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New Project Activity Instance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517</v>
      </c>
      <c r="B1" s="1"/>
      <c r="C1" s="1"/>
      <c r="D1" s="1"/>
      <c r="E1" s="1"/>
      <c r="F1" s="1"/>
      <c r="G1" s="1"/>
      <c r="H1" s="1"/>
      <c r="I1" s="1"/>
      <c r="J1" s="1"/>
    </row>
    <row r="2" spans="1:10" x14ac:dyDescent="0.25">
      <c r="A2" s="2" t="s">
        <v>1</v>
      </c>
      <c r="B2" s="3" t="s">
        <v>3615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519</v>
      </c>
      <c r="C7" s="5" t="s">
        <v>17</v>
      </c>
      <c r="D7" s="5"/>
      <c r="E7" s="5" t="s">
        <v>520</v>
      </c>
      <c r="F7" s="5" t="s">
        <v>19</v>
      </c>
      <c r="G7" s="5" t="s">
        <v>17</v>
      </c>
      <c r="H7" s="5" t="s">
        <v>17</v>
      </c>
      <c r="I7" s="5" t="s">
        <v>17</v>
      </c>
      <c r="J7" s="5" t="s">
        <v>518</v>
      </c>
    </row>
    <row r="8" spans="1:10" x14ac:dyDescent="0.25" outlineLevel="1" collapsed="1">
      <c r="A8" s="7" t="s">
        <v>19</v>
      </c>
      <c r="B8" s="7" t="s">
        <v>16</v>
      </c>
      <c r="C8" s="7" t="s">
        <v>17</v>
      </c>
      <c r="D8" s="7"/>
      <c r="E8" s="7" t="s">
        <v>500</v>
      </c>
      <c r="F8" s="7" t="s">
        <v>19</v>
      </c>
      <c r="G8" s="7" t="s">
        <v>31</v>
      </c>
      <c r="H8" s="7" t="s">
        <v>17</v>
      </c>
      <c r="I8" s="7" t="s">
        <v>17</v>
      </c>
      <c r="J8" s="7" t="s">
        <v>494</v>
      </c>
    </row>
    <row r="9" spans="1:10" x14ac:dyDescent="0.25" outlineLevel="1" collapsed="1">
      <c r="A9" s="7" t="s">
        <v>19</v>
      </c>
      <c r="B9" s="7" t="s">
        <v>16</v>
      </c>
      <c r="C9" s="7" t="s">
        <v>17</v>
      </c>
      <c r="D9" s="7"/>
      <c r="E9" s="7" t="s">
        <v>501</v>
      </c>
      <c r="F9" s="7" t="s">
        <v>19</v>
      </c>
      <c r="G9" s="7" t="s">
        <v>31</v>
      </c>
      <c r="H9" s="7" t="s">
        <v>17</v>
      </c>
      <c r="I9" s="7" t="s">
        <v>17</v>
      </c>
      <c r="J9" s="7" t="s">
        <v>497</v>
      </c>
    </row>
    <row r="10" spans="1:10" x14ac:dyDescent="0.25" outlineLevel="1" collapsed="1">
      <c r="A10" s="8" t="s">
        <v>19</v>
      </c>
      <c r="B10" s="9" t="s">
        <v>502</v>
      </c>
      <c r="C10" s="8" t="s">
        <v>17</v>
      </c>
      <c r="D10" s="8"/>
      <c r="E10" s="8" t="s">
        <v>503</v>
      </c>
      <c r="F10" s="8" t="s">
        <v>15</v>
      </c>
      <c r="G10" s="8" t="s">
        <v>17</v>
      </c>
      <c r="H10" s="8" t="s">
        <v>17</v>
      </c>
      <c r="I10" s="8" t="s">
        <v>17</v>
      </c>
      <c r="J10" s="8" t="s">
        <v>504</v>
      </c>
    </row>
    <row r="11" spans="1:10" x14ac:dyDescent="0.25" outlineLevel="2" collapsed="1">
      <c r="A11" s="7" t="s">
        <v>19</v>
      </c>
      <c r="B11" s="7" t="s">
        <v>16</v>
      </c>
      <c r="C11" s="7" t="s">
        <v>17</v>
      </c>
      <c r="D11" s="7"/>
      <c r="E11" s="7" t="s">
        <v>505</v>
      </c>
      <c r="F11" s="7" t="s">
        <v>19</v>
      </c>
      <c r="G11" s="7" t="s">
        <v>31</v>
      </c>
      <c r="H11" s="7" t="s">
        <v>17</v>
      </c>
      <c r="I11" s="7" t="s">
        <v>17</v>
      </c>
      <c r="J11" s="7" t="s">
        <v>506</v>
      </c>
    </row>
    <row r="12" spans="1:10" x14ac:dyDescent="0.25" outlineLevel="2"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Baseline Reassessment (VCS Ver'!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3616</v>
      </c>
      <c r="B1" s="1"/>
      <c r="C1" s="1"/>
      <c r="D1" s="1"/>
      <c r="E1" s="1"/>
      <c r="F1" s="1"/>
      <c r="G1" s="1"/>
      <c r="H1" s="1"/>
      <c r="I1" s="1"/>
      <c r="J1" s="1"/>
    </row>
    <row r="2" spans="1:10" x14ac:dyDescent="0.25">
      <c r="A2" s="2" t="s">
        <v>1</v>
      </c>
      <c r="B2" s="3" t="s">
        <v>3617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490</v>
      </c>
      <c r="C5" s="5" t="s">
        <v>17</v>
      </c>
      <c r="D5" s="5"/>
      <c r="E5" s="5" t="s">
        <v>490</v>
      </c>
      <c r="F5" s="5" t="s">
        <v>19</v>
      </c>
      <c r="G5" s="5" t="s">
        <v>17</v>
      </c>
      <c r="H5" s="5" t="s">
        <v>17</v>
      </c>
      <c r="I5" s="5" t="s">
        <v>17</v>
      </c>
      <c r="J5" s="5" t="s">
        <v>491</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outlineLevel="1" collapsed="1">
      <c r="A8" s="8" t="s">
        <v>19</v>
      </c>
      <c r="B8" s="9" t="s">
        <v>498</v>
      </c>
      <c r="C8" s="8" t="s">
        <v>17</v>
      </c>
      <c r="D8" s="8"/>
      <c r="E8" s="8" t="s">
        <v>499</v>
      </c>
      <c r="F8" s="8" t="s">
        <v>19</v>
      </c>
      <c r="G8" s="8" t="s">
        <v>17</v>
      </c>
      <c r="H8" s="8" t="s">
        <v>17</v>
      </c>
      <c r="I8" s="8" t="s">
        <v>17</v>
      </c>
      <c r="J8" s="8" t="s">
        <v>491</v>
      </c>
    </row>
    <row r="9" spans="1:10" x14ac:dyDescent="0.25" outlineLevel="2" collapsed="1">
      <c r="A9" s="7" t="s">
        <v>19</v>
      </c>
      <c r="B9" s="7" t="s">
        <v>16</v>
      </c>
      <c r="C9" s="7" t="s">
        <v>17</v>
      </c>
      <c r="D9" s="7"/>
      <c r="E9" s="7" t="s">
        <v>500</v>
      </c>
      <c r="F9" s="7" t="s">
        <v>19</v>
      </c>
      <c r="G9" s="7" t="s">
        <v>31</v>
      </c>
      <c r="H9" s="7" t="s">
        <v>17</v>
      </c>
      <c r="I9" s="7" t="s">
        <v>17</v>
      </c>
      <c r="J9" s="7" t="s">
        <v>494</v>
      </c>
    </row>
    <row r="10" spans="1:10" x14ac:dyDescent="0.25" outlineLevel="2" collapsed="1">
      <c r="A10" s="7" t="s">
        <v>19</v>
      </c>
      <c r="B10" s="7" t="s">
        <v>16</v>
      </c>
      <c r="C10" s="7" t="s">
        <v>17</v>
      </c>
      <c r="D10" s="7"/>
      <c r="E10" s="7" t="s">
        <v>501</v>
      </c>
      <c r="F10" s="7" t="s">
        <v>19</v>
      </c>
      <c r="G10" s="7" t="s">
        <v>31</v>
      </c>
      <c r="H10" s="7" t="s">
        <v>17</v>
      </c>
      <c r="I10" s="7" t="s">
        <v>17</v>
      </c>
      <c r="J10" s="7" t="s">
        <v>497</v>
      </c>
    </row>
    <row r="11" spans="1:10" x14ac:dyDescent="0.25" outlineLevel="2" collapsed="1">
      <c r="A11" s="8" t="s">
        <v>19</v>
      </c>
      <c r="B11" s="9" t="s">
        <v>502</v>
      </c>
      <c r="C11" s="8" t="s">
        <v>17</v>
      </c>
      <c r="D11" s="8"/>
      <c r="E11" s="8" t="s">
        <v>503</v>
      </c>
      <c r="F11" s="8" t="s">
        <v>15</v>
      </c>
      <c r="G11" s="8" t="s">
        <v>17</v>
      </c>
      <c r="H11" s="8" t="s">
        <v>17</v>
      </c>
      <c r="I11" s="8" t="s">
        <v>17</v>
      </c>
      <c r="J11" s="8" t="s">
        <v>504</v>
      </c>
    </row>
    <row r="12" spans="1:10" x14ac:dyDescent="0.25" outlineLevel="3" collapsed="1">
      <c r="A12" s="7" t="s">
        <v>19</v>
      </c>
      <c r="B12" s="7" t="s">
        <v>16</v>
      </c>
      <c r="C12" s="7" t="s">
        <v>17</v>
      </c>
      <c r="D12" s="7"/>
      <c r="E12" s="7" t="s">
        <v>505</v>
      </c>
      <c r="F12" s="7" t="s">
        <v>19</v>
      </c>
      <c r="G12" s="7" t="s">
        <v>31</v>
      </c>
      <c r="H12" s="7" t="s">
        <v>17</v>
      </c>
      <c r="I12" s="7" t="s">
        <v>17</v>
      </c>
      <c r="J12" s="7" t="s">
        <v>506</v>
      </c>
    </row>
    <row r="13" spans="1:10" x14ac:dyDescent="0.25" outlineLevel="3" collapsed="1">
      <c r="A13" s="7" t="s">
        <v>19</v>
      </c>
      <c r="B13" s="7" t="s">
        <v>16</v>
      </c>
      <c r="C13" s="7" t="s">
        <v>17</v>
      </c>
      <c r="D13" s="7"/>
      <c r="E13" s="7" t="s">
        <v>501</v>
      </c>
      <c r="F13" s="7" t="s">
        <v>19</v>
      </c>
      <c r="G13" s="7" t="s">
        <v>31</v>
      </c>
      <c r="H13" s="7" t="s">
        <v>17</v>
      </c>
      <c r="I13" s="7" t="s">
        <v>17</v>
      </c>
      <c r="J13" s="7" t="s">
        <v>497</v>
      </c>
    </row>
    <row r="14" spans="1:10" x14ac:dyDescent="0.25">
      <c r="A14" s="5" t="s">
        <v>15</v>
      </c>
      <c r="B14" s="6" t="s">
        <v>507</v>
      </c>
      <c r="C14" s="5" t="s">
        <v>17</v>
      </c>
      <c r="D14" s="5"/>
      <c r="E14" s="5" t="s">
        <v>508</v>
      </c>
      <c r="F14" s="5" t="s">
        <v>19</v>
      </c>
      <c r="G14" s="5" t="s">
        <v>17</v>
      </c>
      <c r="H14" s="5" t="s">
        <v>17</v>
      </c>
      <c r="I14" s="5" t="s">
        <v>17</v>
      </c>
      <c r="J14" s="5" t="s">
        <v>509</v>
      </c>
    </row>
    <row r="15" spans="1:10" x14ac:dyDescent="0.25" outlineLevel="1" collapsed="1">
      <c r="A15" s="7" t="s">
        <v>15</v>
      </c>
      <c r="B15" s="7" t="s">
        <v>16</v>
      </c>
      <c r="C15" s="7" t="s">
        <v>17</v>
      </c>
      <c r="D15" s="7"/>
      <c r="E15" s="7" t="s">
        <v>492</v>
      </c>
      <c r="F15" s="7" t="s">
        <v>19</v>
      </c>
      <c r="G15" s="7" t="s">
        <v>493</v>
      </c>
      <c r="H15" s="7" t="s">
        <v>17</v>
      </c>
      <c r="I15" s="7" t="s">
        <v>17</v>
      </c>
      <c r="J15" s="7" t="s">
        <v>494</v>
      </c>
    </row>
    <row r="16" spans="1:10" x14ac:dyDescent="0.25" outlineLevel="1" collapsed="1">
      <c r="A16" s="7" t="s">
        <v>15</v>
      </c>
      <c r="B16" s="7" t="s">
        <v>16</v>
      </c>
      <c r="C16" s="7" t="s">
        <v>17</v>
      </c>
      <c r="D16" s="7"/>
      <c r="E16" s="7" t="s">
        <v>495</v>
      </c>
      <c r="F16" s="7" t="s">
        <v>19</v>
      </c>
      <c r="G16" s="7" t="s">
        <v>496</v>
      </c>
      <c r="H16" s="7" t="s">
        <v>17</v>
      </c>
      <c r="I16" s="7" t="s">
        <v>17</v>
      </c>
      <c r="J16" s="7" t="s">
        <v>497</v>
      </c>
    </row>
    <row r="17" spans="1:10" x14ac:dyDescent="0.25" outlineLevel="1" collapsed="1">
      <c r="A17" s="8" t="s">
        <v>19</v>
      </c>
      <c r="B17" s="9" t="s">
        <v>510</v>
      </c>
      <c r="C17" s="8" t="s">
        <v>17</v>
      </c>
      <c r="D17" s="8"/>
      <c r="E17" s="8" t="s">
        <v>510</v>
      </c>
      <c r="F17" s="8" t="s">
        <v>19</v>
      </c>
      <c r="G17" s="8" t="s">
        <v>17</v>
      </c>
      <c r="H17" s="8" t="s">
        <v>17</v>
      </c>
      <c r="I17" s="8" t="s">
        <v>17</v>
      </c>
      <c r="J17" s="8" t="s">
        <v>509</v>
      </c>
    </row>
    <row r="18" spans="1:10" x14ac:dyDescent="0.25" outlineLevel="2" collapsed="1">
      <c r="A18" s="7" t="s">
        <v>19</v>
      </c>
      <c r="B18" s="7" t="s">
        <v>16</v>
      </c>
      <c r="C18" s="7" t="s">
        <v>17</v>
      </c>
      <c r="D18" s="7"/>
      <c r="E18" s="7" t="s">
        <v>500</v>
      </c>
      <c r="F18" s="7" t="s">
        <v>19</v>
      </c>
      <c r="G18" s="7" t="s">
        <v>31</v>
      </c>
      <c r="H18" s="7" t="s">
        <v>17</v>
      </c>
      <c r="I18" s="7" t="s">
        <v>17</v>
      </c>
      <c r="J18" s="7" t="s">
        <v>494</v>
      </c>
    </row>
    <row r="19" spans="1:10" x14ac:dyDescent="0.25" outlineLevel="2" collapsed="1">
      <c r="A19" s="7" t="s">
        <v>19</v>
      </c>
      <c r="B19" s="7" t="s">
        <v>16</v>
      </c>
      <c r="C19" s="7" t="s">
        <v>17</v>
      </c>
      <c r="D19" s="7"/>
      <c r="E19" s="7" t="s">
        <v>501</v>
      </c>
      <c r="F19" s="7" t="s">
        <v>19</v>
      </c>
      <c r="G19" s="7" t="s">
        <v>31</v>
      </c>
      <c r="H19" s="7" t="s">
        <v>17</v>
      </c>
      <c r="I19" s="7" t="s">
        <v>17</v>
      </c>
      <c r="J19" s="7" t="s">
        <v>497</v>
      </c>
    </row>
    <row r="20" spans="1:10" x14ac:dyDescent="0.25" outlineLevel="2" collapsed="1">
      <c r="A20" s="8" t="s">
        <v>19</v>
      </c>
      <c r="B20" s="9" t="s">
        <v>502</v>
      </c>
      <c r="C20" s="8" t="s">
        <v>17</v>
      </c>
      <c r="D20" s="8"/>
      <c r="E20" s="8" t="s">
        <v>503</v>
      </c>
      <c r="F20" s="8" t="s">
        <v>15</v>
      </c>
      <c r="G20" s="8" t="s">
        <v>17</v>
      </c>
      <c r="H20" s="8" t="s">
        <v>17</v>
      </c>
      <c r="I20" s="8" t="s">
        <v>17</v>
      </c>
      <c r="J20" s="8" t="s">
        <v>504</v>
      </c>
    </row>
    <row r="21" spans="1:10" x14ac:dyDescent="0.25" outlineLevel="3" collapsed="1">
      <c r="A21" s="7" t="s">
        <v>19</v>
      </c>
      <c r="B21" s="7" t="s">
        <v>16</v>
      </c>
      <c r="C21" s="7" t="s">
        <v>17</v>
      </c>
      <c r="D21" s="7"/>
      <c r="E21" s="7" t="s">
        <v>505</v>
      </c>
      <c r="F21" s="7" t="s">
        <v>19</v>
      </c>
      <c r="G21" s="7" t="s">
        <v>31</v>
      </c>
      <c r="H21" s="7" t="s">
        <v>17</v>
      </c>
      <c r="I21" s="7" t="s">
        <v>17</v>
      </c>
      <c r="J21" s="7" t="s">
        <v>506</v>
      </c>
    </row>
    <row r="22" spans="1:10" x14ac:dyDescent="0.25" outlineLevel="3" collapsed="1">
      <c r="A22" s="7" t="s">
        <v>19</v>
      </c>
      <c r="B22" s="7" t="s">
        <v>16</v>
      </c>
      <c r="C22" s="7" t="s">
        <v>17</v>
      </c>
      <c r="D22" s="7"/>
      <c r="E22" s="7" t="s">
        <v>501</v>
      </c>
      <c r="F22" s="7" t="s">
        <v>19</v>
      </c>
      <c r="G22" s="7" t="s">
        <v>31</v>
      </c>
      <c r="H22" s="7" t="s">
        <v>17</v>
      </c>
      <c r="I22" s="7" t="s">
        <v>17</v>
      </c>
      <c r="J22" s="7" t="s">
        <v>497</v>
      </c>
    </row>
    <row r="23" spans="1:10" x14ac:dyDescent="0.25">
      <c r="A23" s="5" t="s">
        <v>15</v>
      </c>
      <c r="B23" s="6" t="s">
        <v>511</v>
      </c>
      <c r="C23" s="5" t="s">
        <v>17</v>
      </c>
      <c r="D23" s="5"/>
      <c r="E23" s="5" t="s">
        <v>512</v>
      </c>
      <c r="F23" s="5" t="s">
        <v>19</v>
      </c>
      <c r="G23" s="5" t="s">
        <v>17</v>
      </c>
      <c r="H23" s="5" t="s">
        <v>17</v>
      </c>
      <c r="I23" s="5" t="s">
        <v>17</v>
      </c>
      <c r="J23" s="5" t="s">
        <v>513</v>
      </c>
    </row>
    <row r="24" spans="1:10" x14ac:dyDescent="0.25" outlineLevel="1" collapsed="1">
      <c r="A24" s="7" t="s">
        <v>15</v>
      </c>
      <c r="B24" s="7" t="s">
        <v>16</v>
      </c>
      <c r="C24" s="7" t="s">
        <v>17</v>
      </c>
      <c r="D24" s="7"/>
      <c r="E24" s="7" t="s">
        <v>492</v>
      </c>
      <c r="F24" s="7" t="s">
        <v>19</v>
      </c>
      <c r="G24" s="7" t="s">
        <v>493</v>
      </c>
      <c r="H24" s="7" t="s">
        <v>17</v>
      </c>
      <c r="I24" s="7" t="s">
        <v>17</v>
      </c>
      <c r="J24" s="7" t="s">
        <v>494</v>
      </c>
    </row>
    <row r="25" spans="1:10" x14ac:dyDescent="0.25" outlineLevel="1" collapsed="1">
      <c r="A25" s="7" t="s">
        <v>15</v>
      </c>
      <c r="B25" s="7" t="s">
        <v>16</v>
      </c>
      <c r="C25" s="7" t="s">
        <v>17</v>
      </c>
      <c r="D25" s="7"/>
      <c r="E25" s="7" t="s">
        <v>495</v>
      </c>
      <c r="F25" s="7" t="s">
        <v>19</v>
      </c>
      <c r="G25" s="7" t="s">
        <v>496</v>
      </c>
      <c r="H25" s="7" t="s">
        <v>17</v>
      </c>
      <c r="I25" s="7" t="s">
        <v>17</v>
      </c>
      <c r="J25" s="7" t="s">
        <v>497</v>
      </c>
    </row>
    <row r="26" spans="1:10" x14ac:dyDescent="0.25" outlineLevel="1" collapsed="1">
      <c r="A26" s="8" t="s">
        <v>19</v>
      </c>
      <c r="B26" s="9" t="s">
        <v>514</v>
      </c>
      <c r="C26" s="8" t="s">
        <v>17</v>
      </c>
      <c r="D26" s="8"/>
      <c r="E26" s="8" t="s">
        <v>515</v>
      </c>
      <c r="F26" s="8" t="s">
        <v>19</v>
      </c>
      <c r="G26" s="8" t="s">
        <v>17</v>
      </c>
      <c r="H26" s="8" t="s">
        <v>17</v>
      </c>
      <c r="I26" s="8" t="s">
        <v>17</v>
      </c>
      <c r="J26" s="8" t="s">
        <v>516</v>
      </c>
    </row>
    <row r="27" spans="1:10" x14ac:dyDescent="0.25" outlineLevel="2" collapsed="1">
      <c r="A27" s="7" t="s">
        <v>19</v>
      </c>
      <c r="B27" s="7" t="s">
        <v>16</v>
      </c>
      <c r="C27" s="7" t="s">
        <v>17</v>
      </c>
      <c r="D27" s="7"/>
      <c r="E27" s="7" t="s">
        <v>500</v>
      </c>
      <c r="F27" s="7" t="s">
        <v>19</v>
      </c>
      <c r="G27" s="7" t="s">
        <v>31</v>
      </c>
      <c r="H27" s="7" t="s">
        <v>17</v>
      </c>
      <c r="I27" s="7" t="s">
        <v>17</v>
      </c>
      <c r="J27" s="7" t="s">
        <v>494</v>
      </c>
    </row>
    <row r="28" spans="1:10" x14ac:dyDescent="0.25" outlineLevel="2" collapsed="1">
      <c r="A28" s="7" t="s">
        <v>19</v>
      </c>
      <c r="B28" s="7" t="s">
        <v>16</v>
      </c>
      <c r="C28" s="7" t="s">
        <v>17</v>
      </c>
      <c r="D28" s="7"/>
      <c r="E28" s="7" t="s">
        <v>501</v>
      </c>
      <c r="F28" s="7" t="s">
        <v>19</v>
      </c>
      <c r="G28" s="7" t="s">
        <v>31</v>
      </c>
      <c r="H28" s="7" t="s">
        <v>17</v>
      </c>
      <c r="I28" s="7" t="s">
        <v>17</v>
      </c>
      <c r="J28" s="7" t="s">
        <v>497</v>
      </c>
    </row>
    <row r="29" spans="1:10" x14ac:dyDescent="0.25" outlineLevel="2" collapsed="1">
      <c r="A29" s="8" t="s">
        <v>19</v>
      </c>
      <c r="B29" s="9" t="s">
        <v>502</v>
      </c>
      <c r="C29" s="8" t="s">
        <v>17</v>
      </c>
      <c r="D29" s="8"/>
      <c r="E29" s="8" t="s">
        <v>503</v>
      </c>
      <c r="F29" s="8" t="s">
        <v>15</v>
      </c>
      <c r="G29" s="8" t="s">
        <v>17</v>
      </c>
      <c r="H29" s="8" t="s">
        <v>17</v>
      </c>
      <c r="I29" s="8" t="s">
        <v>17</v>
      </c>
      <c r="J29" s="8" t="s">
        <v>504</v>
      </c>
    </row>
    <row r="30" spans="1:10" x14ac:dyDescent="0.25" outlineLevel="3" collapsed="1">
      <c r="A30" s="7" t="s">
        <v>19</v>
      </c>
      <c r="B30" s="7" t="s">
        <v>16</v>
      </c>
      <c r="C30" s="7" t="s">
        <v>17</v>
      </c>
      <c r="D30" s="7"/>
      <c r="E30" s="7" t="s">
        <v>505</v>
      </c>
      <c r="F30" s="7" t="s">
        <v>19</v>
      </c>
      <c r="G30" s="7" t="s">
        <v>31</v>
      </c>
      <c r="H30" s="7" t="s">
        <v>17</v>
      </c>
      <c r="I30" s="7" t="s">
        <v>17</v>
      </c>
      <c r="J30" s="7" t="s">
        <v>506</v>
      </c>
    </row>
    <row r="31" spans="1:10" x14ac:dyDescent="0.25" outlineLevel="3" collapsed="1">
      <c r="A31" s="7" t="s">
        <v>19</v>
      </c>
      <c r="B31" s="7" t="s">
        <v>16</v>
      </c>
      <c r="C31" s="7" t="s">
        <v>17</v>
      </c>
      <c r="D31" s="7"/>
      <c r="E31" s="7" t="s">
        <v>501</v>
      </c>
      <c r="F31" s="7" t="s">
        <v>19</v>
      </c>
      <c r="G31" s="7" t="s">
        <v>31</v>
      </c>
      <c r="H31" s="7" t="s">
        <v>17</v>
      </c>
      <c r="I31" s="7" t="s">
        <v>17</v>
      </c>
      <c r="J31" s="7" t="s">
        <v>497</v>
      </c>
    </row>
    <row r="32" spans="1:10" x14ac:dyDescent="0.25">
      <c r="A32" s="5" t="s">
        <v>15</v>
      </c>
      <c r="B32" s="6" t="s">
        <v>517</v>
      </c>
      <c r="C32" s="5" t="s">
        <v>17</v>
      </c>
      <c r="D32" s="5"/>
      <c r="E32" s="5" t="s">
        <v>517</v>
      </c>
      <c r="F32" s="5" t="s">
        <v>19</v>
      </c>
      <c r="G32" s="5" t="s">
        <v>17</v>
      </c>
      <c r="H32" s="5" t="s">
        <v>17</v>
      </c>
      <c r="I32" s="5" t="s">
        <v>17</v>
      </c>
      <c r="J32" s="5" t="s">
        <v>518</v>
      </c>
    </row>
    <row r="33" spans="1:10" x14ac:dyDescent="0.25" outlineLevel="1" collapsed="1">
      <c r="A33" s="7" t="s">
        <v>15</v>
      </c>
      <c r="B33" s="7" t="s">
        <v>16</v>
      </c>
      <c r="C33" s="7" t="s">
        <v>17</v>
      </c>
      <c r="D33" s="7"/>
      <c r="E33" s="7" t="s">
        <v>492</v>
      </c>
      <c r="F33" s="7" t="s">
        <v>19</v>
      </c>
      <c r="G33" s="7" t="s">
        <v>493</v>
      </c>
      <c r="H33" s="7" t="s">
        <v>17</v>
      </c>
      <c r="I33" s="7" t="s">
        <v>17</v>
      </c>
      <c r="J33" s="7" t="s">
        <v>494</v>
      </c>
    </row>
    <row r="34" spans="1:10" x14ac:dyDescent="0.25" outlineLevel="1" collapsed="1">
      <c r="A34" s="7" t="s">
        <v>15</v>
      </c>
      <c r="B34" s="7" t="s">
        <v>16</v>
      </c>
      <c r="C34" s="7" t="s">
        <v>17</v>
      </c>
      <c r="D34" s="7"/>
      <c r="E34" s="7" t="s">
        <v>495</v>
      </c>
      <c r="F34" s="7" t="s">
        <v>19</v>
      </c>
      <c r="G34" s="7" t="s">
        <v>496</v>
      </c>
      <c r="H34" s="7" t="s">
        <v>17</v>
      </c>
      <c r="I34" s="7" t="s">
        <v>17</v>
      </c>
      <c r="J34" s="7" t="s">
        <v>497</v>
      </c>
    </row>
    <row r="35" spans="1:10" x14ac:dyDescent="0.25" outlineLevel="1" collapsed="1">
      <c r="A35" s="8" t="s">
        <v>19</v>
      </c>
      <c r="B35" s="9" t="s">
        <v>519</v>
      </c>
      <c r="C35" s="8" t="s">
        <v>17</v>
      </c>
      <c r="D35" s="8"/>
      <c r="E35" s="8" t="s">
        <v>520</v>
      </c>
      <c r="F35" s="8" t="s">
        <v>19</v>
      </c>
      <c r="G35" s="8" t="s">
        <v>17</v>
      </c>
      <c r="H35" s="8" t="s">
        <v>17</v>
      </c>
      <c r="I35" s="8" t="s">
        <v>17</v>
      </c>
      <c r="J35" s="8" t="s">
        <v>518</v>
      </c>
    </row>
    <row r="36" spans="1:10" x14ac:dyDescent="0.25" outlineLevel="2" collapsed="1">
      <c r="A36" s="7" t="s">
        <v>19</v>
      </c>
      <c r="B36" s="7" t="s">
        <v>16</v>
      </c>
      <c r="C36" s="7" t="s">
        <v>17</v>
      </c>
      <c r="D36" s="7"/>
      <c r="E36" s="7" t="s">
        <v>500</v>
      </c>
      <c r="F36" s="7" t="s">
        <v>19</v>
      </c>
      <c r="G36" s="7" t="s">
        <v>31</v>
      </c>
      <c r="H36" s="7" t="s">
        <v>17</v>
      </c>
      <c r="I36" s="7" t="s">
        <v>17</v>
      </c>
      <c r="J36" s="7" t="s">
        <v>494</v>
      </c>
    </row>
    <row r="37" spans="1:10" x14ac:dyDescent="0.25" outlineLevel="2" collapsed="1">
      <c r="A37" s="7" t="s">
        <v>19</v>
      </c>
      <c r="B37" s="7" t="s">
        <v>16</v>
      </c>
      <c r="C37" s="7" t="s">
        <v>17</v>
      </c>
      <c r="D37" s="7"/>
      <c r="E37" s="7" t="s">
        <v>501</v>
      </c>
      <c r="F37" s="7" t="s">
        <v>19</v>
      </c>
      <c r="G37" s="7" t="s">
        <v>31</v>
      </c>
      <c r="H37" s="7" t="s">
        <v>17</v>
      </c>
      <c r="I37" s="7" t="s">
        <v>17</v>
      </c>
      <c r="J37" s="7" t="s">
        <v>497</v>
      </c>
    </row>
    <row r="38" spans="1:10" x14ac:dyDescent="0.25" outlineLevel="2" collapsed="1">
      <c r="A38" s="8" t="s">
        <v>19</v>
      </c>
      <c r="B38" s="9" t="s">
        <v>502</v>
      </c>
      <c r="C38" s="8" t="s">
        <v>17</v>
      </c>
      <c r="D38" s="8"/>
      <c r="E38" s="8" t="s">
        <v>503</v>
      </c>
      <c r="F38" s="8" t="s">
        <v>15</v>
      </c>
      <c r="G38" s="8" t="s">
        <v>17</v>
      </c>
      <c r="H38" s="8" t="s">
        <v>17</v>
      </c>
      <c r="I38" s="8" t="s">
        <v>17</v>
      </c>
      <c r="J38" s="8" t="s">
        <v>504</v>
      </c>
    </row>
    <row r="39" spans="1:10" x14ac:dyDescent="0.25" outlineLevel="3" collapsed="1">
      <c r="A39" s="7" t="s">
        <v>19</v>
      </c>
      <c r="B39" s="7" t="s">
        <v>16</v>
      </c>
      <c r="C39" s="7" t="s">
        <v>17</v>
      </c>
      <c r="D39" s="7"/>
      <c r="E39" s="7" t="s">
        <v>505</v>
      </c>
      <c r="F39" s="7" t="s">
        <v>19</v>
      </c>
      <c r="G39" s="7" t="s">
        <v>31</v>
      </c>
      <c r="H39" s="7" t="s">
        <v>17</v>
      </c>
      <c r="I39" s="7" t="s">
        <v>17</v>
      </c>
      <c r="J39" s="7" t="s">
        <v>506</v>
      </c>
    </row>
    <row r="40" spans="1:10" x14ac:dyDescent="0.25" outlineLevel="3" collapsed="1">
      <c r="A40" s="7" t="s">
        <v>19</v>
      </c>
      <c r="B40" s="7" t="s">
        <v>16</v>
      </c>
      <c r="C40" s="7" t="s">
        <v>17</v>
      </c>
      <c r="D40" s="7"/>
      <c r="E40" s="7" t="s">
        <v>501</v>
      </c>
      <c r="F40" s="7" t="s">
        <v>19</v>
      </c>
      <c r="G40" s="7" t="s">
        <v>31</v>
      </c>
      <c r="H40" s="7" t="s">
        <v>17</v>
      </c>
      <c r="I40" s="7" t="s">
        <v>17</v>
      </c>
      <c r="J40" s="7" t="s">
        <v>497</v>
      </c>
    </row>
  </sheetData>
  <mergeCells count="3">
    <mergeCell ref="A1:J1"/>
    <mergeCell ref="B2:J2"/>
    <mergeCell ref="B3:J3"/>
  </mergeCells>
  <hyperlinks>
    <hyperlink ref="B5" r:id="rId1" location="#'3.1 Methodology Deviations'!A1"/>
    <hyperlink ref="B8" r:id="rId2" location="#'Methodology Deviations (VCS Ve'!A1"/>
    <hyperlink ref="B11" r:id="rId3" location="#'Deadlines for Participation ro'!A1"/>
    <hyperlink ref="B14" r:id="rId4" location="#'3.2 Project Description Deviat'!A1"/>
    <hyperlink ref="B17" r:id="rId5" location="#'Project Description Deviations'!A1"/>
    <hyperlink ref="B20" r:id="rId6" location="#'Deadlines for Participation ro'!A1"/>
    <hyperlink ref="B23" r:id="rId7" location="#'3.3 New Project Activity Insta'!A1"/>
    <hyperlink ref="B26" r:id="rId8" location="#'New Project Activity Instances'!A1"/>
    <hyperlink ref="B29" r:id="rId9" location="#'Deadlines for Participation ro'!A1"/>
    <hyperlink ref="B32" r:id="rId10" location="#'3.4 Baseline Reassessment'!A1"/>
    <hyperlink ref="B35" r:id="rId11" location="#'Baseline Reassessment (VCS Ver'!A1"/>
    <hyperlink ref="B38" r:id="rId12" location="#'Deadlines for Participation ro'!A1"/>
  </hyperlinks>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528</v>
      </c>
      <c r="B1" s="1"/>
      <c r="C1" s="1"/>
      <c r="D1" s="1"/>
      <c r="E1" s="1"/>
      <c r="F1" s="1"/>
      <c r="G1" s="1"/>
      <c r="H1" s="1"/>
      <c r="I1" s="1"/>
      <c r="J1" s="1"/>
    </row>
    <row r="2" spans="1:10" x14ac:dyDescent="0.25">
      <c r="A2" s="2" t="s">
        <v>1</v>
      </c>
      <c r="B2" s="3" t="s">
        <v>3618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530</v>
      </c>
      <c r="B1" s="1"/>
      <c r="C1" s="1"/>
      <c r="D1" s="1"/>
      <c r="E1" s="1"/>
      <c r="F1" s="1"/>
      <c r="G1" s="1"/>
      <c r="H1" s="1"/>
      <c r="I1" s="1"/>
      <c r="J1" s="1"/>
    </row>
    <row r="2" spans="1:10" x14ac:dyDescent="0.25">
      <c r="A2" s="2" t="s">
        <v>1</v>
      </c>
      <c r="B2" s="3" t="s">
        <v>3619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3620</v>
      </c>
      <c r="B1" s="1"/>
      <c r="C1" s="1"/>
      <c r="D1" s="1"/>
      <c r="E1" s="1"/>
      <c r="F1" s="1"/>
      <c r="G1" s="1"/>
      <c r="H1" s="1"/>
      <c r="I1" s="1"/>
      <c r="J1" s="1"/>
    </row>
    <row r="2" spans="1:10" x14ac:dyDescent="0.25">
      <c r="A2" s="2" t="s">
        <v>1</v>
      </c>
      <c r="B2" s="3" t="s">
        <v>3621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527</v>
      </c>
      <c r="C5" s="5" t="s">
        <v>17</v>
      </c>
      <c r="D5" s="5"/>
      <c r="E5" s="5" t="s">
        <v>528</v>
      </c>
      <c r="F5" s="5" t="s">
        <v>19</v>
      </c>
      <c r="G5" s="5" t="s">
        <v>17</v>
      </c>
      <c r="H5" s="5" t="s">
        <v>17</v>
      </c>
      <c r="I5" s="5" t="s">
        <v>17</v>
      </c>
      <c r="J5" s="5" t="s">
        <v>529</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outlineLevel="1" collapsed="1">
      <c r="A8" s="8" t="s">
        <v>19</v>
      </c>
      <c r="B8" s="9" t="s">
        <v>502</v>
      </c>
      <c r="C8" s="8" t="s">
        <v>17</v>
      </c>
      <c r="D8" s="8"/>
      <c r="E8" s="8" t="s">
        <v>503</v>
      </c>
      <c r="F8" s="8" t="s">
        <v>15</v>
      </c>
      <c r="G8" s="8" t="s">
        <v>17</v>
      </c>
      <c r="H8" s="8" t="s">
        <v>17</v>
      </c>
      <c r="I8" s="8" t="s">
        <v>17</v>
      </c>
      <c r="J8" s="8" t="s">
        <v>504</v>
      </c>
    </row>
    <row r="9" spans="1:10" x14ac:dyDescent="0.25" outlineLevel="2" collapsed="1">
      <c r="A9" s="7" t="s">
        <v>19</v>
      </c>
      <c r="B9" s="7" t="s">
        <v>16</v>
      </c>
      <c r="C9" s="7" t="s">
        <v>17</v>
      </c>
      <c r="D9" s="7"/>
      <c r="E9" s="7" t="s">
        <v>505</v>
      </c>
      <c r="F9" s="7" t="s">
        <v>19</v>
      </c>
      <c r="G9" s="7" t="s">
        <v>31</v>
      </c>
      <c r="H9" s="7" t="s">
        <v>17</v>
      </c>
      <c r="I9" s="7" t="s">
        <v>17</v>
      </c>
      <c r="J9" s="7" t="s">
        <v>506</v>
      </c>
    </row>
    <row r="10" spans="1:10" x14ac:dyDescent="0.25" outlineLevel="2" collapsed="1">
      <c r="A10" s="7" t="s">
        <v>19</v>
      </c>
      <c r="B10" s="7" t="s">
        <v>16</v>
      </c>
      <c r="C10" s="7" t="s">
        <v>17</v>
      </c>
      <c r="D10" s="7"/>
      <c r="E10" s="7" t="s">
        <v>501</v>
      </c>
      <c r="F10" s="7" t="s">
        <v>19</v>
      </c>
      <c r="G10" s="7" t="s">
        <v>31</v>
      </c>
      <c r="H10" s="7" t="s">
        <v>17</v>
      </c>
      <c r="I10" s="7" t="s">
        <v>17</v>
      </c>
      <c r="J10" s="7" t="s">
        <v>497</v>
      </c>
    </row>
    <row r="11" spans="1:10" x14ac:dyDescent="0.25">
      <c r="A11" s="5" t="s">
        <v>15</v>
      </c>
      <c r="B11" s="6" t="s">
        <v>530</v>
      </c>
      <c r="C11" s="5" t="s">
        <v>17</v>
      </c>
      <c r="D11" s="5"/>
      <c r="E11" s="5" t="s">
        <v>530</v>
      </c>
      <c r="F11" s="5" t="s">
        <v>19</v>
      </c>
      <c r="G11" s="5" t="s">
        <v>17</v>
      </c>
      <c r="H11" s="5" t="s">
        <v>17</v>
      </c>
      <c r="I11" s="5" t="s">
        <v>17</v>
      </c>
      <c r="J11" s="5" t="s">
        <v>531</v>
      </c>
    </row>
    <row r="12" spans="1:10" x14ac:dyDescent="0.25" outlineLevel="1" collapsed="1">
      <c r="A12" s="7" t="s">
        <v>15</v>
      </c>
      <c r="B12" s="7" t="s">
        <v>16</v>
      </c>
      <c r="C12" s="7" t="s">
        <v>17</v>
      </c>
      <c r="D12" s="7"/>
      <c r="E12" s="7" t="s">
        <v>492</v>
      </c>
      <c r="F12" s="7" t="s">
        <v>19</v>
      </c>
      <c r="G12" s="7" t="s">
        <v>493</v>
      </c>
      <c r="H12" s="7" t="s">
        <v>17</v>
      </c>
      <c r="I12" s="7" t="s">
        <v>17</v>
      </c>
      <c r="J12" s="7" t="s">
        <v>494</v>
      </c>
    </row>
    <row r="13" spans="1:10" x14ac:dyDescent="0.25" outlineLevel="1" collapsed="1">
      <c r="A13" s="7" t="s">
        <v>15</v>
      </c>
      <c r="B13" s="7" t="s">
        <v>16</v>
      </c>
      <c r="C13" s="7" t="s">
        <v>17</v>
      </c>
      <c r="D13" s="7"/>
      <c r="E13" s="7" t="s">
        <v>495</v>
      </c>
      <c r="F13" s="7" t="s">
        <v>19</v>
      </c>
      <c r="G13" s="7" t="s">
        <v>496</v>
      </c>
      <c r="H13" s="7" t="s">
        <v>17</v>
      </c>
      <c r="I13" s="7" t="s">
        <v>17</v>
      </c>
      <c r="J13" s="7" t="s">
        <v>497</v>
      </c>
    </row>
    <row r="14" spans="1:10" x14ac:dyDescent="0.25" outlineLevel="1" collapsed="1">
      <c r="A14" s="8" t="s">
        <v>19</v>
      </c>
      <c r="B14" s="9" t="s">
        <v>502</v>
      </c>
      <c r="C14" s="8" t="s">
        <v>17</v>
      </c>
      <c r="D14" s="8"/>
      <c r="E14" s="8" t="s">
        <v>503</v>
      </c>
      <c r="F14" s="8" t="s">
        <v>15</v>
      </c>
      <c r="G14" s="8" t="s">
        <v>17</v>
      </c>
      <c r="H14" s="8" t="s">
        <v>17</v>
      </c>
      <c r="I14" s="8" t="s">
        <v>17</v>
      </c>
      <c r="J14" s="8" t="s">
        <v>504</v>
      </c>
    </row>
    <row r="15" spans="1:10" x14ac:dyDescent="0.25" outlineLevel="2" collapsed="1">
      <c r="A15" s="7" t="s">
        <v>19</v>
      </c>
      <c r="B15" s="7" t="s">
        <v>16</v>
      </c>
      <c r="C15" s="7" t="s">
        <v>17</v>
      </c>
      <c r="D15" s="7"/>
      <c r="E15" s="7" t="s">
        <v>505</v>
      </c>
      <c r="F15" s="7" t="s">
        <v>19</v>
      </c>
      <c r="G15" s="7" t="s">
        <v>31</v>
      </c>
      <c r="H15" s="7" t="s">
        <v>17</v>
      </c>
      <c r="I15" s="7" t="s">
        <v>17</v>
      </c>
      <c r="J15" s="7" t="s">
        <v>506</v>
      </c>
    </row>
    <row r="16" spans="1:10" x14ac:dyDescent="0.25" outlineLevel="2" collapsed="1">
      <c r="A16" s="7" t="s">
        <v>19</v>
      </c>
      <c r="B16" s="7" t="s">
        <v>16</v>
      </c>
      <c r="C16" s="7" t="s">
        <v>17</v>
      </c>
      <c r="D16" s="7"/>
      <c r="E16" s="7" t="s">
        <v>501</v>
      </c>
      <c r="F16" s="7" t="s">
        <v>19</v>
      </c>
      <c r="G16" s="7" t="s">
        <v>31</v>
      </c>
      <c r="H16" s="7" t="s">
        <v>17</v>
      </c>
      <c r="I16" s="7" t="s">
        <v>17</v>
      </c>
      <c r="J16" s="7" t="s">
        <v>497</v>
      </c>
    </row>
  </sheetData>
  <mergeCells count="3">
    <mergeCell ref="A1:J1"/>
    <mergeCell ref="B2:J2"/>
    <mergeCell ref="B3:J3"/>
  </mergeCells>
  <hyperlinks>
    <hyperlink ref="B5" r:id="rId1" location="#'4.1.1 General Implementation S'!A1"/>
    <hyperlink ref="B8" r:id="rId2" location="#'Deadlines for Participation ro'!A1"/>
    <hyperlink ref="B11" r:id="rId3" location="#'4.1.2 Loss Events'!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535</v>
      </c>
      <c r="B1" s="1"/>
      <c r="C1" s="1"/>
      <c r="D1" s="1"/>
      <c r="E1" s="1"/>
      <c r="F1" s="1"/>
      <c r="G1" s="1"/>
      <c r="H1" s="1"/>
      <c r="I1" s="1"/>
      <c r="J1" s="1"/>
    </row>
    <row r="2" spans="1:10" x14ac:dyDescent="0.25">
      <c r="A2" s="2" t="s">
        <v>1</v>
      </c>
      <c r="B2" s="3" t="s">
        <v>3622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537</v>
      </c>
      <c r="F5" s="5" t="s">
        <v>19</v>
      </c>
      <c r="G5" s="5" t="s">
        <v>538</v>
      </c>
      <c r="H5" s="5" t="s">
        <v>17</v>
      </c>
      <c r="I5" s="5" t="s">
        <v>17</v>
      </c>
      <c r="J5" s="5" t="s">
        <v>494</v>
      </c>
    </row>
    <row r="6" spans="1:10" x14ac:dyDescent="0.25">
      <c r="A6" s="5" t="s">
        <v>19</v>
      </c>
      <c r="B6" s="5" t="s">
        <v>16</v>
      </c>
      <c r="C6" s="5" t="s">
        <v>17</v>
      </c>
      <c r="D6" s="5"/>
      <c r="E6" s="5" t="s">
        <v>539</v>
      </c>
      <c r="F6" s="5" t="s">
        <v>19</v>
      </c>
      <c r="G6" s="5" t="s">
        <v>31</v>
      </c>
      <c r="H6" s="5" t="s">
        <v>17</v>
      </c>
      <c r="I6" s="5" t="s">
        <v>17</v>
      </c>
      <c r="J6" s="5" t="s">
        <v>540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542</v>
      </c>
      <c r="B1" s="1"/>
      <c r="C1" s="1"/>
      <c r="D1" s="1"/>
      <c r="E1" s="1"/>
      <c r="F1" s="1"/>
      <c r="G1" s="1"/>
      <c r="H1" s="1"/>
      <c r="I1" s="1"/>
      <c r="J1" s="1"/>
    </row>
    <row r="2" spans="1:10" x14ac:dyDescent="0.25">
      <c r="A2" s="2" t="s">
        <v>1</v>
      </c>
      <c r="B2" s="3" t="s">
        <v>3623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537</v>
      </c>
      <c r="F5" s="5" t="s">
        <v>19</v>
      </c>
      <c r="G5" s="5" t="s">
        <v>538</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544</v>
      </c>
      <c r="B1" s="1"/>
      <c r="C1" s="1"/>
      <c r="D1" s="1"/>
      <c r="E1" s="1"/>
      <c r="F1" s="1"/>
      <c r="G1" s="1"/>
      <c r="H1" s="1"/>
      <c r="I1" s="1"/>
      <c r="J1" s="1"/>
    </row>
    <row r="2" spans="1:10" x14ac:dyDescent="0.25">
      <c r="A2" s="2" t="s">
        <v>1</v>
      </c>
      <c r="B2" s="3" t="s">
        <v>3624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549</v>
      </c>
      <c r="B1" s="1"/>
      <c r="C1" s="1"/>
      <c r="D1" s="1"/>
      <c r="E1" s="1"/>
      <c r="F1" s="1"/>
      <c r="G1" s="1"/>
      <c r="H1" s="1"/>
      <c r="I1" s="1"/>
      <c r="J1" s="1"/>
    </row>
    <row r="2" spans="1:10" x14ac:dyDescent="0.25">
      <c r="A2" s="2" t="s">
        <v>1</v>
      </c>
      <c r="B2" s="3" t="s">
        <v>3625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552</v>
      </c>
      <c r="B1" s="1"/>
      <c r="C1" s="1"/>
      <c r="D1" s="1"/>
      <c r="E1" s="1"/>
      <c r="F1" s="1"/>
      <c r="G1" s="1"/>
      <c r="H1" s="1"/>
      <c r="I1" s="1"/>
      <c r="J1" s="1"/>
    </row>
    <row r="2" spans="1:10" x14ac:dyDescent="0.25">
      <c r="A2" s="2" t="s">
        <v>1</v>
      </c>
      <c r="B2" s="3" t="s">
        <v>3626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3627</v>
      </c>
      <c r="B1" s="1"/>
      <c r="C1" s="1"/>
      <c r="D1" s="1"/>
      <c r="E1" s="1"/>
      <c r="F1" s="1"/>
      <c r="G1" s="1"/>
      <c r="H1" s="1"/>
      <c r="I1" s="1"/>
      <c r="J1" s="1"/>
    </row>
    <row r="2" spans="1:10" x14ac:dyDescent="0.25">
      <c r="A2" s="2" t="s">
        <v>1</v>
      </c>
      <c r="B2" s="3" t="s">
        <v>3628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549</v>
      </c>
      <c r="C5" s="5" t="s">
        <v>17</v>
      </c>
      <c r="D5" s="5"/>
      <c r="E5" s="5" t="s">
        <v>549</v>
      </c>
      <c r="F5" s="5" t="s">
        <v>19</v>
      </c>
      <c r="G5" s="5" t="s">
        <v>17</v>
      </c>
      <c r="H5" s="5" t="s">
        <v>17</v>
      </c>
      <c r="I5" s="5" t="s">
        <v>17</v>
      </c>
      <c r="J5" s="5" t="s">
        <v>550</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551</v>
      </c>
      <c r="C8" s="5" t="s">
        <v>17</v>
      </c>
      <c r="D8" s="5"/>
      <c r="E8" s="5" t="s">
        <v>552</v>
      </c>
      <c r="F8" s="5" t="s">
        <v>19</v>
      </c>
      <c r="G8" s="5" t="s">
        <v>17</v>
      </c>
      <c r="H8" s="5" t="s">
        <v>17</v>
      </c>
      <c r="I8" s="5" t="s">
        <v>17</v>
      </c>
      <c r="J8" s="5" t="s">
        <v>553</v>
      </c>
    </row>
    <row r="9" spans="1:10" x14ac:dyDescent="0.25" outlineLevel="1" collapsed="1">
      <c r="A9" s="7" t="s">
        <v>15</v>
      </c>
      <c r="B9" s="7" t="s">
        <v>16</v>
      </c>
      <c r="C9" s="7" t="s">
        <v>17</v>
      </c>
      <c r="D9" s="7"/>
      <c r="E9" s="7" t="s">
        <v>492</v>
      </c>
      <c r="F9" s="7" t="s">
        <v>19</v>
      </c>
      <c r="G9" s="7" t="s">
        <v>493</v>
      </c>
      <c r="H9" s="7" t="s">
        <v>17</v>
      </c>
      <c r="I9" s="7" t="s">
        <v>17</v>
      </c>
      <c r="J9" s="7" t="s">
        <v>494</v>
      </c>
    </row>
    <row r="10" spans="1:10" x14ac:dyDescent="0.25" outlineLevel="1" collapsed="1">
      <c r="A10" s="7" t="s">
        <v>15</v>
      </c>
      <c r="B10" s="7" t="s">
        <v>16</v>
      </c>
      <c r="C10" s="7" t="s">
        <v>17</v>
      </c>
      <c r="D10" s="7"/>
      <c r="E10" s="7" t="s">
        <v>495</v>
      </c>
      <c r="F10" s="7" t="s">
        <v>19</v>
      </c>
      <c r="G10" s="7" t="s">
        <v>496</v>
      </c>
      <c r="H10" s="7" t="s">
        <v>17</v>
      </c>
      <c r="I10" s="7" t="s">
        <v>17</v>
      </c>
      <c r="J10" s="7" t="s">
        <v>497</v>
      </c>
    </row>
  </sheetData>
  <mergeCells count="3">
    <mergeCell ref="A1:J1"/>
    <mergeCell ref="B2:J2"/>
    <mergeCell ref="B3:J3"/>
  </mergeCells>
  <hyperlinks>
    <hyperlink ref="B5" r:id="rId1" location="#'4.2.4.1 No Double Issuance'!A1"/>
    <hyperlink ref="B8" r:id="rId2" location="#'4.2.4.2 Registration with Othe'!A1"/>
  </hyperlinks>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558</v>
      </c>
      <c r="B1" s="1"/>
      <c r="C1" s="1"/>
      <c r="D1" s="1"/>
      <c r="E1" s="1"/>
      <c r="F1" s="1"/>
      <c r="G1" s="1"/>
      <c r="H1" s="1"/>
      <c r="I1" s="1"/>
      <c r="J1" s="1"/>
    </row>
    <row r="2" spans="1:10" x14ac:dyDescent="0.25">
      <c r="A2" s="2" t="s">
        <v>1</v>
      </c>
      <c r="B2" s="3" t="s">
        <v>3629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561</v>
      </c>
      <c r="B1" s="1"/>
      <c r="C1" s="1"/>
      <c r="D1" s="1"/>
      <c r="E1" s="1"/>
      <c r="F1" s="1"/>
      <c r="G1" s="1"/>
      <c r="H1" s="1"/>
      <c r="I1" s="1"/>
      <c r="J1" s="1"/>
    </row>
    <row r="2" spans="1:10" x14ac:dyDescent="0.25">
      <c r="A2" s="2" t="s">
        <v>1</v>
      </c>
      <c r="B2" s="3" t="s">
        <v>3630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564</v>
      </c>
      <c r="B1" s="1"/>
      <c r="C1" s="1"/>
      <c r="D1" s="1"/>
      <c r="E1" s="1"/>
      <c r="F1" s="1"/>
      <c r="G1" s="1"/>
      <c r="H1" s="1"/>
      <c r="I1" s="1"/>
      <c r="J1" s="1"/>
    </row>
    <row r="2" spans="1:10" x14ac:dyDescent="0.25">
      <c r="A2" s="2" t="s">
        <v>1</v>
      </c>
      <c r="B2" s="3" t="s">
        <v>3631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3632</v>
      </c>
      <c r="B1" s="1"/>
      <c r="C1" s="1"/>
      <c r="D1" s="1"/>
      <c r="E1" s="1"/>
      <c r="F1" s="1"/>
      <c r="G1" s="1"/>
      <c r="H1" s="1"/>
      <c r="I1" s="1"/>
      <c r="J1" s="1"/>
    </row>
    <row r="2" spans="1:10" x14ac:dyDescent="0.25">
      <c r="A2" s="2" t="s">
        <v>1</v>
      </c>
      <c r="B2" s="3" t="s">
        <v>3633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557</v>
      </c>
      <c r="C5" s="5" t="s">
        <v>17</v>
      </c>
      <c r="D5" s="5"/>
      <c r="E5" s="5" t="s">
        <v>558</v>
      </c>
      <c r="F5" s="5" t="s">
        <v>19</v>
      </c>
      <c r="G5" s="5" t="s">
        <v>17</v>
      </c>
      <c r="H5" s="5" t="s">
        <v>17</v>
      </c>
      <c r="I5" s="5" t="s">
        <v>17</v>
      </c>
      <c r="J5" s="5" t="s">
        <v>559</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560</v>
      </c>
      <c r="C8" s="5" t="s">
        <v>17</v>
      </c>
      <c r="D8" s="5"/>
      <c r="E8" s="5" t="s">
        <v>561</v>
      </c>
      <c r="F8" s="5" t="s">
        <v>19</v>
      </c>
      <c r="G8" s="5" t="s">
        <v>17</v>
      </c>
      <c r="H8" s="5" t="s">
        <v>17</v>
      </c>
      <c r="I8" s="5" t="s">
        <v>17</v>
      </c>
      <c r="J8" s="5" t="s">
        <v>562</v>
      </c>
    </row>
    <row r="9" spans="1:10" x14ac:dyDescent="0.25" outlineLevel="1" collapsed="1">
      <c r="A9" s="7" t="s">
        <v>15</v>
      </c>
      <c r="B9" s="7" t="s">
        <v>16</v>
      </c>
      <c r="C9" s="7" t="s">
        <v>17</v>
      </c>
      <c r="D9" s="7"/>
      <c r="E9" s="7" t="s">
        <v>492</v>
      </c>
      <c r="F9" s="7" t="s">
        <v>19</v>
      </c>
      <c r="G9" s="7" t="s">
        <v>493</v>
      </c>
      <c r="H9" s="7" t="s">
        <v>17</v>
      </c>
      <c r="I9" s="7" t="s">
        <v>17</v>
      </c>
      <c r="J9" s="7" t="s">
        <v>494</v>
      </c>
    </row>
    <row r="10" spans="1:10" x14ac:dyDescent="0.25" outlineLevel="1" collapsed="1">
      <c r="A10" s="7" t="s">
        <v>15</v>
      </c>
      <c r="B10" s="7" t="s">
        <v>16</v>
      </c>
      <c r="C10" s="7" t="s">
        <v>17</v>
      </c>
      <c r="D10" s="7"/>
      <c r="E10" s="7" t="s">
        <v>495</v>
      </c>
      <c r="F10" s="7" t="s">
        <v>19</v>
      </c>
      <c r="G10" s="7" t="s">
        <v>496</v>
      </c>
      <c r="H10" s="7" t="s">
        <v>17</v>
      </c>
      <c r="I10" s="7" t="s">
        <v>17</v>
      </c>
      <c r="J10" s="7" t="s">
        <v>497</v>
      </c>
    </row>
    <row r="11" spans="1:10" x14ac:dyDescent="0.25">
      <c r="A11" s="5" t="s">
        <v>15</v>
      </c>
      <c r="B11" s="6" t="s">
        <v>563</v>
      </c>
      <c r="C11" s="5" t="s">
        <v>17</v>
      </c>
      <c r="D11" s="5"/>
      <c r="E11" s="5" t="s">
        <v>564</v>
      </c>
      <c r="F11" s="5" t="s">
        <v>19</v>
      </c>
      <c r="G11" s="5" t="s">
        <v>17</v>
      </c>
      <c r="H11" s="5" t="s">
        <v>17</v>
      </c>
      <c r="I11" s="5" t="s">
        <v>17</v>
      </c>
      <c r="J11" s="5" t="s">
        <v>565</v>
      </c>
    </row>
    <row r="12" spans="1:10" x14ac:dyDescent="0.25" outlineLevel="1" collapsed="1">
      <c r="A12" s="7" t="s">
        <v>15</v>
      </c>
      <c r="B12" s="7" t="s">
        <v>16</v>
      </c>
      <c r="C12" s="7" t="s">
        <v>17</v>
      </c>
      <c r="D12" s="7"/>
      <c r="E12" s="7" t="s">
        <v>492</v>
      </c>
      <c r="F12" s="7" t="s">
        <v>19</v>
      </c>
      <c r="G12" s="7" t="s">
        <v>493</v>
      </c>
      <c r="H12" s="7" t="s">
        <v>17</v>
      </c>
      <c r="I12" s="7" t="s">
        <v>17</v>
      </c>
      <c r="J12" s="7" t="s">
        <v>494</v>
      </c>
    </row>
    <row r="13" spans="1:10" x14ac:dyDescent="0.25" outlineLevel="1" collapsed="1">
      <c r="A13" s="7" t="s">
        <v>15</v>
      </c>
      <c r="B13" s="7" t="s">
        <v>16</v>
      </c>
      <c r="C13" s="7" t="s">
        <v>17</v>
      </c>
      <c r="D13" s="7"/>
      <c r="E13" s="7" t="s">
        <v>495</v>
      </c>
      <c r="F13" s="7" t="s">
        <v>19</v>
      </c>
      <c r="G13" s="7" t="s">
        <v>496</v>
      </c>
      <c r="H13" s="7" t="s">
        <v>17</v>
      </c>
      <c r="I13" s="7" t="s">
        <v>17</v>
      </c>
      <c r="J13" s="7" t="s">
        <v>497</v>
      </c>
    </row>
    <row r="14" spans="1:10" x14ac:dyDescent="0.25">
      <c r="A14" s="5" t="s">
        <v>19</v>
      </c>
      <c r="B14" s="6" t="s">
        <v>502</v>
      </c>
      <c r="C14" s="5" t="s">
        <v>17</v>
      </c>
      <c r="D14" s="5"/>
      <c r="E14" s="5" t="s">
        <v>503</v>
      </c>
      <c r="F14" s="5" t="s">
        <v>15</v>
      </c>
      <c r="G14" s="5" t="s">
        <v>17</v>
      </c>
      <c r="H14" s="5" t="s">
        <v>17</v>
      </c>
      <c r="I14" s="5" t="s">
        <v>17</v>
      </c>
      <c r="J14" s="5" t="s">
        <v>504</v>
      </c>
    </row>
    <row r="15" spans="1:10" x14ac:dyDescent="0.25" outlineLevel="1" collapsed="1">
      <c r="A15" s="7" t="s">
        <v>19</v>
      </c>
      <c r="B15" s="7" t="s">
        <v>16</v>
      </c>
      <c r="C15" s="7" t="s">
        <v>17</v>
      </c>
      <c r="D15" s="7"/>
      <c r="E15" s="7" t="s">
        <v>505</v>
      </c>
      <c r="F15" s="7" t="s">
        <v>19</v>
      </c>
      <c r="G15" s="7" t="s">
        <v>31</v>
      </c>
      <c r="H15" s="7" t="s">
        <v>17</v>
      </c>
      <c r="I15" s="7" t="s">
        <v>17</v>
      </c>
      <c r="J15" s="7" t="s">
        <v>506</v>
      </c>
    </row>
    <row r="16" spans="1:10" x14ac:dyDescent="0.25" outlineLevel="1" collapsed="1">
      <c r="A16" s="7" t="s">
        <v>19</v>
      </c>
      <c r="B16" s="7" t="s">
        <v>16</v>
      </c>
      <c r="C16" s="7" t="s">
        <v>17</v>
      </c>
      <c r="D16" s="7"/>
      <c r="E16" s="7" t="s">
        <v>501</v>
      </c>
      <c r="F16" s="7" t="s">
        <v>19</v>
      </c>
      <c r="G16" s="7" t="s">
        <v>31</v>
      </c>
      <c r="H16" s="7" t="s">
        <v>17</v>
      </c>
      <c r="I16" s="7" t="s">
        <v>17</v>
      </c>
      <c r="J16" s="7" t="s">
        <v>497</v>
      </c>
    </row>
  </sheetData>
  <mergeCells count="3">
    <mergeCell ref="A1:J1"/>
    <mergeCell ref="B2:J2"/>
    <mergeCell ref="B3:J3"/>
  </mergeCells>
  <hyperlinks>
    <hyperlink ref="B5" r:id="rId1" location="#'4.2.5.1 No Double Claiming wit'!A1"/>
    <hyperlink ref="B8" r:id="rId2" location="#'4.2.5.2 No Double Claiming wit'!A1"/>
    <hyperlink ref="B11" r:id="rId3" location="#'4.2.5.3 Supply chain (Scope 3)'!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567</v>
      </c>
      <c r="B1" s="1"/>
      <c r="C1" s="1"/>
      <c r="D1" s="1"/>
      <c r="E1" s="1"/>
      <c r="F1" s="1"/>
      <c r="G1" s="1"/>
      <c r="H1" s="1"/>
      <c r="I1" s="1"/>
      <c r="J1" s="1"/>
    </row>
    <row r="2" spans="1:10" x14ac:dyDescent="0.25">
      <c r="A2" s="2" t="s">
        <v>1</v>
      </c>
      <c r="B2" s="3" t="s">
        <v>3634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572</v>
      </c>
      <c r="B1" s="1"/>
      <c r="C1" s="1"/>
      <c r="D1" s="1"/>
      <c r="E1" s="1"/>
      <c r="F1" s="1"/>
      <c r="G1" s="1"/>
      <c r="H1" s="1"/>
      <c r="I1" s="1"/>
      <c r="J1" s="1"/>
    </row>
    <row r="2" spans="1:10" x14ac:dyDescent="0.25">
      <c r="A2" s="2" t="s">
        <v>1</v>
      </c>
      <c r="B2" s="3" t="s">
        <v>3635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537</v>
      </c>
      <c r="F5" s="5" t="s">
        <v>19</v>
      </c>
      <c r="G5" s="5" t="s">
        <v>538</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575</v>
      </c>
      <c r="B1" s="1"/>
      <c r="C1" s="1"/>
      <c r="D1" s="1"/>
      <c r="E1" s="1"/>
      <c r="F1" s="1"/>
      <c r="G1" s="1"/>
      <c r="H1" s="1"/>
      <c r="I1" s="1"/>
      <c r="J1" s="1"/>
    </row>
    <row r="2" spans="1:10" x14ac:dyDescent="0.25">
      <c r="A2" s="2" t="s">
        <v>1</v>
      </c>
      <c r="B2" s="3" t="s">
        <v>3636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537</v>
      </c>
      <c r="F5" s="5" t="s">
        <v>19</v>
      </c>
      <c r="G5" s="5" t="s">
        <v>538</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578</v>
      </c>
      <c r="B1" s="1"/>
      <c r="C1" s="1"/>
      <c r="D1" s="1"/>
      <c r="E1" s="1"/>
      <c r="F1" s="1"/>
      <c r="G1" s="1"/>
      <c r="H1" s="1"/>
      <c r="I1" s="1"/>
      <c r="J1" s="1"/>
    </row>
    <row r="2" spans="1:10" x14ac:dyDescent="0.25">
      <c r="A2" s="2" t="s">
        <v>1</v>
      </c>
      <c r="B2" s="3" t="s">
        <v>3637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537</v>
      </c>
      <c r="F5" s="5" t="s">
        <v>19</v>
      </c>
      <c r="G5" s="5" t="s">
        <v>538</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3638</v>
      </c>
      <c r="B1" s="1"/>
      <c r="C1" s="1"/>
      <c r="D1" s="1"/>
      <c r="E1" s="1"/>
      <c r="F1" s="1"/>
      <c r="G1" s="1"/>
      <c r="H1" s="1"/>
      <c r="I1" s="1"/>
      <c r="J1" s="1"/>
    </row>
    <row r="2" spans="1:10" x14ac:dyDescent="0.25">
      <c r="A2" s="2" t="s">
        <v>1</v>
      </c>
      <c r="B2" s="3" t="s">
        <v>3639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572</v>
      </c>
      <c r="C5" s="5" t="s">
        <v>17</v>
      </c>
      <c r="D5" s="5"/>
      <c r="E5" s="5" t="s">
        <v>572</v>
      </c>
      <c r="F5" s="5" t="s">
        <v>19</v>
      </c>
      <c r="G5" s="5" t="s">
        <v>17</v>
      </c>
      <c r="H5" s="5" t="s">
        <v>17</v>
      </c>
      <c r="I5" s="5" t="s">
        <v>17</v>
      </c>
      <c r="J5" s="5" t="s">
        <v>573</v>
      </c>
    </row>
    <row r="6" spans="1:10" x14ac:dyDescent="0.25" outlineLevel="1" collapsed="1">
      <c r="A6" s="7" t="s">
        <v>15</v>
      </c>
      <c r="B6" s="7" t="s">
        <v>16</v>
      </c>
      <c r="C6" s="7" t="s">
        <v>17</v>
      </c>
      <c r="D6" s="7"/>
      <c r="E6" s="7" t="s">
        <v>537</v>
      </c>
      <c r="F6" s="7" t="s">
        <v>19</v>
      </c>
      <c r="G6" s="7" t="s">
        <v>538</v>
      </c>
      <c r="H6" s="7" t="s">
        <v>17</v>
      </c>
      <c r="I6" s="7" t="s">
        <v>17</v>
      </c>
      <c r="J6" s="7" t="s">
        <v>494</v>
      </c>
    </row>
    <row r="7" spans="1:10" x14ac:dyDescent="0.25">
      <c r="A7" s="5" t="s">
        <v>15</v>
      </c>
      <c r="B7" s="6" t="s">
        <v>574</v>
      </c>
      <c r="C7" s="5" t="s">
        <v>17</v>
      </c>
      <c r="D7" s="5"/>
      <c r="E7" s="5" t="s">
        <v>575</v>
      </c>
      <c r="F7" s="5" t="s">
        <v>19</v>
      </c>
      <c r="G7" s="5" t="s">
        <v>17</v>
      </c>
      <c r="H7" s="5" t="s">
        <v>17</v>
      </c>
      <c r="I7" s="5" t="s">
        <v>17</v>
      </c>
      <c r="J7" s="5" t="s">
        <v>576</v>
      </c>
    </row>
    <row r="8" spans="1:10" x14ac:dyDescent="0.25" outlineLevel="1" collapsed="1">
      <c r="A8" s="7" t="s">
        <v>15</v>
      </c>
      <c r="B8" s="7" t="s">
        <v>16</v>
      </c>
      <c r="C8" s="7" t="s">
        <v>17</v>
      </c>
      <c r="D8" s="7"/>
      <c r="E8" s="7" t="s">
        <v>537</v>
      </c>
      <c r="F8" s="7" t="s">
        <v>19</v>
      </c>
      <c r="G8" s="7" t="s">
        <v>538</v>
      </c>
      <c r="H8" s="7" t="s">
        <v>17</v>
      </c>
      <c r="I8" s="7" t="s">
        <v>17</v>
      </c>
      <c r="J8" s="7" t="s">
        <v>494</v>
      </c>
    </row>
    <row r="9" spans="1:10" x14ac:dyDescent="0.25">
      <c r="A9" s="5" t="s">
        <v>15</v>
      </c>
      <c r="B9" s="6" t="s">
        <v>577</v>
      </c>
      <c r="C9" s="5" t="s">
        <v>17</v>
      </c>
      <c r="D9" s="5"/>
      <c r="E9" s="5" t="s">
        <v>578</v>
      </c>
      <c r="F9" s="5" t="s">
        <v>19</v>
      </c>
      <c r="G9" s="5" t="s">
        <v>17</v>
      </c>
      <c r="H9" s="5" t="s">
        <v>17</v>
      </c>
      <c r="I9" s="5" t="s">
        <v>17</v>
      </c>
      <c r="J9" s="5" t="s">
        <v>579</v>
      </c>
    </row>
    <row r="10" spans="1:10" x14ac:dyDescent="0.25" outlineLevel="1" collapsed="1">
      <c r="A10" s="7" t="s">
        <v>15</v>
      </c>
      <c r="B10" s="7" t="s">
        <v>16</v>
      </c>
      <c r="C10" s="7" t="s">
        <v>17</v>
      </c>
      <c r="D10" s="7"/>
      <c r="E10" s="7" t="s">
        <v>537</v>
      </c>
      <c r="F10" s="7" t="s">
        <v>19</v>
      </c>
      <c r="G10" s="7" t="s">
        <v>538</v>
      </c>
      <c r="H10" s="7" t="s">
        <v>17</v>
      </c>
      <c r="I10" s="7" t="s">
        <v>17</v>
      </c>
      <c r="J10" s="7" t="s">
        <v>494</v>
      </c>
    </row>
  </sheetData>
  <mergeCells count="3">
    <mergeCell ref="A1:J1"/>
    <mergeCell ref="B2:J2"/>
    <mergeCell ref="B3:J3"/>
  </mergeCells>
  <hyperlinks>
    <hyperlink ref="B5" r:id="rId1" location="#'4.2.7.1 Sensitive Information'!A1"/>
    <hyperlink ref="B7" r:id="rId2" location="#'4.2.7.2 Core Carbon Principles'!A1"/>
    <hyperlink ref="B9" r:id="rId3" location="#'4.2.7.3 CORSIA Label Eligibili'!A1"/>
  </hyperlinks>
  <pageMargins left="0.7" right="0.7" top="0.75" bottom="0.75" header="0.3" footer="0.3"/>
  <pageSetup orientation="portrait" horizontalDpi="4294967295" verticalDpi="4294967295" scale="100" fitToWidth="1" fitToHeight="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3640</v>
      </c>
      <c r="B1" s="1"/>
      <c r="C1" s="1"/>
      <c r="D1" s="1"/>
      <c r="E1" s="1"/>
      <c r="F1" s="1"/>
      <c r="G1" s="1"/>
      <c r="H1" s="1"/>
      <c r="I1" s="1"/>
      <c r="J1" s="1"/>
    </row>
    <row r="2" spans="1:10" x14ac:dyDescent="0.25">
      <c r="A2" s="2" t="s">
        <v>1</v>
      </c>
      <c r="B2" s="3" t="s">
        <v>3641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535</v>
      </c>
      <c r="C5" s="5" t="s">
        <v>17</v>
      </c>
      <c r="D5" s="5"/>
      <c r="E5" s="5" t="s">
        <v>535</v>
      </c>
      <c r="F5" s="5" t="s">
        <v>19</v>
      </c>
      <c r="G5" s="5" t="s">
        <v>17</v>
      </c>
      <c r="H5" s="5" t="s">
        <v>17</v>
      </c>
      <c r="I5" s="5" t="s">
        <v>17</v>
      </c>
      <c r="J5" s="5" t="s">
        <v>536</v>
      </c>
    </row>
    <row r="6" spans="1:10" x14ac:dyDescent="0.25" outlineLevel="1" collapsed="1">
      <c r="A6" s="7" t="s">
        <v>15</v>
      </c>
      <c r="B6" s="7" t="s">
        <v>16</v>
      </c>
      <c r="C6" s="7" t="s">
        <v>17</v>
      </c>
      <c r="D6" s="7"/>
      <c r="E6" s="7" t="s">
        <v>537</v>
      </c>
      <c r="F6" s="7" t="s">
        <v>19</v>
      </c>
      <c r="G6" s="7" t="s">
        <v>538</v>
      </c>
      <c r="H6" s="7" t="s">
        <v>17</v>
      </c>
      <c r="I6" s="7" t="s">
        <v>17</v>
      </c>
      <c r="J6" s="7" t="s">
        <v>494</v>
      </c>
    </row>
    <row r="7" spans="1:10" x14ac:dyDescent="0.25" outlineLevel="1" collapsed="1">
      <c r="A7" s="7" t="s">
        <v>19</v>
      </c>
      <c r="B7" s="7" t="s">
        <v>16</v>
      </c>
      <c r="C7" s="7" t="s">
        <v>17</v>
      </c>
      <c r="D7" s="7"/>
      <c r="E7" s="7" t="s">
        <v>539</v>
      </c>
      <c r="F7" s="7" t="s">
        <v>19</v>
      </c>
      <c r="G7" s="7" t="s">
        <v>31</v>
      </c>
      <c r="H7" s="7" t="s">
        <v>17</v>
      </c>
      <c r="I7" s="7" t="s">
        <v>17</v>
      </c>
      <c r="J7" s="7" t="s">
        <v>540</v>
      </c>
    </row>
    <row r="8" spans="1:10" x14ac:dyDescent="0.25">
      <c r="A8" s="5" t="s">
        <v>15</v>
      </c>
      <c r="B8" s="6" t="s">
        <v>541</v>
      </c>
      <c r="C8" s="5" t="s">
        <v>17</v>
      </c>
      <c r="D8" s="5"/>
      <c r="E8" s="5" t="s">
        <v>542</v>
      </c>
      <c r="F8" s="5" t="s">
        <v>19</v>
      </c>
      <c r="G8" s="5" t="s">
        <v>17</v>
      </c>
      <c r="H8" s="5" t="s">
        <v>17</v>
      </c>
      <c r="I8" s="5" t="s">
        <v>17</v>
      </c>
      <c r="J8" s="5" t="s">
        <v>543</v>
      </c>
    </row>
    <row r="9" spans="1:10" x14ac:dyDescent="0.25" outlineLevel="1" collapsed="1">
      <c r="A9" s="7" t="s">
        <v>15</v>
      </c>
      <c r="B9" s="7" t="s">
        <v>16</v>
      </c>
      <c r="C9" s="7" t="s">
        <v>17</v>
      </c>
      <c r="D9" s="7"/>
      <c r="E9" s="7" t="s">
        <v>537</v>
      </c>
      <c r="F9" s="7" t="s">
        <v>19</v>
      </c>
      <c r="G9" s="7" t="s">
        <v>538</v>
      </c>
      <c r="H9" s="7" t="s">
        <v>17</v>
      </c>
      <c r="I9" s="7" t="s">
        <v>17</v>
      </c>
      <c r="J9" s="7" t="s">
        <v>494</v>
      </c>
    </row>
    <row r="10" spans="1:10" x14ac:dyDescent="0.25">
      <c r="A10" s="5" t="s">
        <v>15</v>
      </c>
      <c r="B10" s="6" t="s">
        <v>544</v>
      </c>
      <c r="C10" s="5" t="s">
        <v>17</v>
      </c>
      <c r="D10" s="5"/>
      <c r="E10" s="5" t="s">
        <v>544</v>
      </c>
      <c r="F10" s="5" t="s">
        <v>19</v>
      </c>
      <c r="G10" s="5" t="s">
        <v>17</v>
      </c>
      <c r="H10" s="5" t="s">
        <v>17</v>
      </c>
      <c r="I10" s="5" t="s">
        <v>17</v>
      </c>
      <c r="J10" s="5" t="s">
        <v>545</v>
      </c>
    </row>
    <row r="11" spans="1:10" x14ac:dyDescent="0.25" outlineLevel="1" collapsed="1">
      <c r="A11" s="7" t="s">
        <v>15</v>
      </c>
      <c r="B11" s="7" t="s">
        <v>16</v>
      </c>
      <c r="C11" s="7" t="s">
        <v>17</v>
      </c>
      <c r="D11" s="7"/>
      <c r="E11" s="7" t="s">
        <v>492</v>
      </c>
      <c r="F11" s="7" t="s">
        <v>19</v>
      </c>
      <c r="G11" s="7" t="s">
        <v>493</v>
      </c>
      <c r="H11" s="7" t="s">
        <v>17</v>
      </c>
      <c r="I11" s="7" t="s">
        <v>17</v>
      </c>
      <c r="J11" s="7" t="s">
        <v>494</v>
      </c>
    </row>
    <row r="12" spans="1:10" x14ac:dyDescent="0.25" outlineLevel="1" collapsed="1">
      <c r="A12" s="7" t="s">
        <v>15</v>
      </c>
      <c r="B12" s="7" t="s">
        <v>16</v>
      </c>
      <c r="C12" s="7" t="s">
        <v>17</v>
      </c>
      <c r="D12" s="7"/>
      <c r="E12" s="7" t="s">
        <v>495</v>
      </c>
      <c r="F12" s="7" t="s">
        <v>19</v>
      </c>
      <c r="G12" s="7" t="s">
        <v>496</v>
      </c>
      <c r="H12" s="7" t="s">
        <v>17</v>
      </c>
      <c r="I12" s="7" t="s">
        <v>17</v>
      </c>
      <c r="J12" s="7" t="s">
        <v>497</v>
      </c>
    </row>
    <row r="13" spans="1:10" x14ac:dyDescent="0.25" outlineLevel="1" collapsed="1">
      <c r="A13" s="8" t="s">
        <v>19</v>
      </c>
      <c r="B13" s="9" t="s">
        <v>502</v>
      </c>
      <c r="C13" s="8" t="s">
        <v>17</v>
      </c>
      <c r="D13" s="8"/>
      <c r="E13" s="8" t="s">
        <v>503</v>
      </c>
      <c r="F13" s="8" t="s">
        <v>15</v>
      </c>
      <c r="G13" s="8" t="s">
        <v>17</v>
      </c>
      <c r="H13" s="8" t="s">
        <v>17</v>
      </c>
      <c r="I13" s="8" t="s">
        <v>17</v>
      </c>
      <c r="J13" s="8" t="s">
        <v>504</v>
      </c>
    </row>
    <row r="14" spans="1:10" x14ac:dyDescent="0.25" outlineLevel="2" collapsed="1">
      <c r="A14" s="7" t="s">
        <v>19</v>
      </c>
      <c r="B14" s="7" t="s">
        <v>16</v>
      </c>
      <c r="C14" s="7" t="s">
        <v>17</v>
      </c>
      <c r="D14" s="7"/>
      <c r="E14" s="7" t="s">
        <v>505</v>
      </c>
      <c r="F14" s="7" t="s">
        <v>19</v>
      </c>
      <c r="G14" s="7" t="s">
        <v>31</v>
      </c>
      <c r="H14" s="7" t="s">
        <v>17</v>
      </c>
      <c r="I14" s="7" t="s">
        <v>17</v>
      </c>
      <c r="J14" s="7" t="s">
        <v>506</v>
      </c>
    </row>
    <row r="15" spans="1:10" x14ac:dyDescent="0.25" outlineLevel="2" collapsed="1">
      <c r="A15" s="7" t="s">
        <v>19</v>
      </c>
      <c r="B15" s="7" t="s">
        <v>16</v>
      </c>
      <c r="C15" s="7" t="s">
        <v>17</v>
      </c>
      <c r="D15" s="7"/>
      <c r="E15" s="7" t="s">
        <v>501</v>
      </c>
      <c r="F15" s="7" t="s">
        <v>19</v>
      </c>
      <c r="G15" s="7" t="s">
        <v>31</v>
      </c>
      <c r="H15" s="7" t="s">
        <v>17</v>
      </c>
      <c r="I15" s="7" t="s">
        <v>17</v>
      </c>
      <c r="J15" s="7" t="s">
        <v>497</v>
      </c>
    </row>
    <row r="16" spans="1:10" x14ac:dyDescent="0.25">
      <c r="A16" s="5" t="s">
        <v>15</v>
      </c>
      <c r="B16" s="6" t="s">
        <v>546</v>
      </c>
      <c r="C16" s="5" t="s">
        <v>17</v>
      </c>
      <c r="D16" s="5"/>
      <c r="E16" s="5" t="s">
        <v>547</v>
      </c>
      <c r="F16" s="5" t="s">
        <v>19</v>
      </c>
      <c r="G16" s="5" t="s">
        <v>17</v>
      </c>
      <c r="H16" s="5" t="s">
        <v>17</v>
      </c>
      <c r="I16" s="5" t="s">
        <v>17</v>
      </c>
      <c r="J16" s="5" t="s">
        <v>548</v>
      </c>
    </row>
    <row r="17" spans="1:10" x14ac:dyDescent="0.25" outlineLevel="1" collapsed="1">
      <c r="A17" s="8" t="s">
        <v>15</v>
      </c>
      <c r="B17" s="9" t="s">
        <v>549</v>
      </c>
      <c r="C17" s="8" t="s">
        <v>17</v>
      </c>
      <c r="D17" s="8"/>
      <c r="E17" s="8" t="s">
        <v>549</v>
      </c>
      <c r="F17" s="8" t="s">
        <v>19</v>
      </c>
      <c r="G17" s="8" t="s">
        <v>17</v>
      </c>
      <c r="H17" s="8" t="s">
        <v>17</v>
      </c>
      <c r="I17" s="8" t="s">
        <v>17</v>
      </c>
      <c r="J17" s="8" t="s">
        <v>550</v>
      </c>
    </row>
    <row r="18" spans="1:10" x14ac:dyDescent="0.25" outlineLevel="2" collapsed="1">
      <c r="A18" s="7" t="s">
        <v>15</v>
      </c>
      <c r="B18" s="7" t="s">
        <v>16</v>
      </c>
      <c r="C18" s="7" t="s">
        <v>17</v>
      </c>
      <c r="D18" s="7"/>
      <c r="E18" s="7" t="s">
        <v>492</v>
      </c>
      <c r="F18" s="7" t="s">
        <v>19</v>
      </c>
      <c r="G18" s="7" t="s">
        <v>493</v>
      </c>
      <c r="H18" s="7" t="s">
        <v>17</v>
      </c>
      <c r="I18" s="7" t="s">
        <v>17</v>
      </c>
      <c r="J18" s="7" t="s">
        <v>494</v>
      </c>
    </row>
    <row r="19" spans="1:10" x14ac:dyDescent="0.25" outlineLevel="2" collapsed="1">
      <c r="A19" s="7" t="s">
        <v>15</v>
      </c>
      <c r="B19" s="7" t="s">
        <v>16</v>
      </c>
      <c r="C19" s="7" t="s">
        <v>17</v>
      </c>
      <c r="D19" s="7"/>
      <c r="E19" s="7" t="s">
        <v>495</v>
      </c>
      <c r="F19" s="7" t="s">
        <v>19</v>
      </c>
      <c r="G19" s="7" t="s">
        <v>496</v>
      </c>
      <c r="H19" s="7" t="s">
        <v>17</v>
      </c>
      <c r="I19" s="7" t="s">
        <v>17</v>
      </c>
      <c r="J19" s="7" t="s">
        <v>497</v>
      </c>
    </row>
    <row r="20" spans="1:10" x14ac:dyDescent="0.25" outlineLevel="1" collapsed="1">
      <c r="A20" s="8" t="s">
        <v>15</v>
      </c>
      <c r="B20" s="9" t="s">
        <v>551</v>
      </c>
      <c r="C20" s="8" t="s">
        <v>17</v>
      </c>
      <c r="D20" s="8"/>
      <c r="E20" s="8" t="s">
        <v>552</v>
      </c>
      <c r="F20" s="8" t="s">
        <v>19</v>
      </c>
      <c r="G20" s="8" t="s">
        <v>17</v>
      </c>
      <c r="H20" s="8" t="s">
        <v>17</v>
      </c>
      <c r="I20" s="8" t="s">
        <v>17</v>
      </c>
      <c r="J20" s="8" t="s">
        <v>553</v>
      </c>
    </row>
    <row r="21" spans="1:10" x14ac:dyDescent="0.25" outlineLevel="2" collapsed="1">
      <c r="A21" s="7" t="s">
        <v>15</v>
      </c>
      <c r="B21" s="7" t="s">
        <v>16</v>
      </c>
      <c r="C21" s="7" t="s">
        <v>17</v>
      </c>
      <c r="D21" s="7"/>
      <c r="E21" s="7" t="s">
        <v>492</v>
      </c>
      <c r="F21" s="7" t="s">
        <v>19</v>
      </c>
      <c r="G21" s="7" t="s">
        <v>493</v>
      </c>
      <c r="H21" s="7" t="s">
        <v>17</v>
      </c>
      <c r="I21" s="7" t="s">
        <v>17</v>
      </c>
      <c r="J21" s="7" t="s">
        <v>494</v>
      </c>
    </row>
    <row r="22" spans="1:10" x14ac:dyDescent="0.25" outlineLevel="2" collapsed="1">
      <c r="A22" s="7" t="s">
        <v>15</v>
      </c>
      <c r="B22" s="7" t="s">
        <v>16</v>
      </c>
      <c r="C22" s="7" t="s">
        <v>17</v>
      </c>
      <c r="D22" s="7"/>
      <c r="E22" s="7" t="s">
        <v>495</v>
      </c>
      <c r="F22" s="7" t="s">
        <v>19</v>
      </c>
      <c r="G22" s="7" t="s">
        <v>496</v>
      </c>
      <c r="H22" s="7" t="s">
        <v>17</v>
      </c>
      <c r="I22" s="7" t="s">
        <v>17</v>
      </c>
      <c r="J22" s="7" t="s">
        <v>497</v>
      </c>
    </row>
    <row r="23" spans="1:10" x14ac:dyDescent="0.25">
      <c r="A23" s="5" t="s">
        <v>15</v>
      </c>
      <c r="B23" s="6" t="s">
        <v>554</v>
      </c>
      <c r="C23" s="5" t="s">
        <v>17</v>
      </c>
      <c r="D23" s="5"/>
      <c r="E23" s="5" t="s">
        <v>555</v>
      </c>
      <c r="F23" s="5" t="s">
        <v>19</v>
      </c>
      <c r="G23" s="5" t="s">
        <v>17</v>
      </c>
      <c r="H23" s="5" t="s">
        <v>17</v>
      </c>
      <c r="I23" s="5" t="s">
        <v>17</v>
      </c>
      <c r="J23" s="5" t="s">
        <v>556</v>
      </c>
    </row>
    <row r="24" spans="1:10" x14ac:dyDescent="0.25" outlineLevel="1" collapsed="1">
      <c r="A24" s="8" t="s">
        <v>15</v>
      </c>
      <c r="B24" s="9" t="s">
        <v>557</v>
      </c>
      <c r="C24" s="8" t="s">
        <v>17</v>
      </c>
      <c r="D24" s="8"/>
      <c r="E24" s="8" t="s">
        <v>558</v>
      </c>
      <c r="F24" s="8" t="s">
        <v>19</v>
      </c>
      <c r="G24" s="8" t="s">
        <v>17</v>
      </c>
      <c r="H24" s="8" t="s">
        <v>17</v>
      </c>
      <c r="I24" s="8" t="s">
        <v>17</v>
      </c>
      <c r="J24" s="8" t="s">
        <v>559</v>
      </c>
    </row>
    <row r="25" spans="1:10" x14ac:dyDescent="0.25" outlineLevel="2" collapsed="1">
      <c r="A25" s="7" t="s">
        <v>15</v>
      </c>
      <c r="B25" s="7" t="s">
        <v>16</v>
      </c>
      <c r="C25" s="7" t="s">
        <v>17</v>
      </c>
      <c r="D25" s="7"/>
      <c r="E25" s="7" t="s">
        <v>492</v>
      </c>
      <c r="F25" s="7" t="s">
        <v>19</v>
      </c>
      <c r="G25" s="7" t="s">
        <v>493</v>
      </c>
      <c r="H25" s="7" t="s">
        <v>17</v>
      </c>
      <c r="I25" s="7" t="s">
        <v>17</v>
      </c>
      <c r="J25" s="7" t="s">
        <v>494</v>
      </c>
    </row>
    <row r="26" spans="1:10" x14ac:dyDescent="0.25" outlineLevel="2" collapsed="1">
      <c r="A26" s="7" t="s">
        <v>15</v>
      </c>
      <c r="B26" s="7" t="s">
        <v>16</v>
      </c>
      <c r="C26" s="7" t="s">
        <v>17</v>
      </c>
      <c r="D26" s="7"/>
      <c r="E26" s="7" t="s">
        <v>495</v>
      </c>
      <c r="F26" s="7" t="s">
        <v>19</v>
      </c>
      <c r="G26" s="7" t="s">
        <v>496</v>
      </c>
      <c r="H26" s="7" t="s">
        <v>17</v>
      </c>
      <c r="I26" s="7" t="s">
        <v>17</v>
      </c>
      <c r="J26" s="7" t="s">
        <v>497</v>
      </c>
    </row>
    <row r="27" spans="1:10" x14ac:dyDescent="0.25" outlineLevel="1" collapsed="1">
      <c r="A27" s="8" t="s">
        <v>15</v>
      </c>
      <c r="B27" s="9" t="s">
        <v>560</v>
      </c>
      <c r="C27" s="8" t="s">
        <v>17</v>
      </c>
      <c r="D27" s="8"/>
      <c r="E27" s="8" t="s">
        <v>561</v>
      </c>
      <c r="F27" s="8" t="s">
        <v>19</v>
      </c>
      <c r="G27" s="8" t="s">
        <v>17</v>
      </c>
      <c r="H27" s="8" t="s">
        <v>17</v>
      </c>
      <c r="I27" s="8" t="s">
        <v>17</v>
      </c>
      <c r="J27" s="8" t="s">
        <v>562</v>
      </c>
    </row>
    <row r="28" spans="1:10" x14ac:dyDescent="0.25" outlineLevel="2" collapsed="1">
      <c r="A28" s="7" t="s">
        <v>15</v>
      </c>
      <c r="B28" s="7" t="s">
        <v>16</v>
      </c>
      <c r="C28" s="7" t="s">
        <v>17</v>
      </c>
      <c r="D28" s="7"/>
      <c r="E28" s="7" t="s">
        <v>492</v>
      </c>
      <c r="F28" s="7" t="s">
        <v>19</v>
      </c>
      <c r="G28" s="7" t="s">
        <v>493</v>
      </c>
      <c r="H28" s="7" t="s">
        <v>17</v>
      </c>
      <c r="I28" s="7" t="s">
        <v>17</v>
      </c>
      <c r="J28" s="7" t="s">
        <v>494</v>
      </c>
    </row>
    <row r="29" spans="1:10" x14ac:dyDescent="0.25" outlineLevel="2" collapsed="1">
      <c r="A29" s="7" t="s">
        <v>15</v>
      </c>
      <c r="B29" s="7" t="s">
        <v>16</v>
      </c>
      <c r="C29" s="7" t="s">
        <v>17</v>
      </c>
      <c r="D29" s="7"/>
      <c r="E29" s="7" t="s">
        <v>495</v>
      </c>
      <c r="F29" s="7" t="s">
        <v>19</v>
      </c>
      <c r="G29" s="7" t="s">
        <v>496</v>
      </c>
      <c r="H29" s="7" t="s">
        <v>17</v>
      </c>
      <c r="I29" s="7" t="s">
        <v>17</v>
      </c>
      <c r="J29" s="7" t="s">
        <v>497</v>
      </c>
    </row>
    <row r="30" spans="1:10" x14ac:dyDescent="0.25" outlineLevel="1" collapsed="1">
      <c r="A30" s="8" t="s">
        <v>15</v>
      </c>
      <c r="B30" s="9" t="s">
        <v>563</v>
      </c>
      <c r="C30" s="8" t="s">
        <v>17</v>
      </c>
      <c r="D30" s="8"/>
      <c r="E30" s="8" t="s">
        <v>564</v>
      </c>
      <c r="F30" s="8" t="s">
        <v>19</v>
      </c>
      <c r="G30" s="8" t="s">
        <v>17</v>
      </c>
      <c r="H30" s="8" t="s">
        <v>17</v>
      </c>
      <c r="I30" s="8" t="s">
        <v>17</v>
      </c>
      <c r="J30" s="8" t="s">
        <v>565</v>
      </c>
    </row>
    <row r="31" spans="1:10" x14ac:dyDescent="0.25" outlineLevel="2" collapsed="1">
      <c r="A31" s="7" t="s">
        <v>15</v>
      </c>
      <c r="B31" s="7" t="s">
        <v>16</v>
      </c>
      <c r="C31" s="7" t="s">
        <v>17</v>
      </c>
      <c r="D31" s="7"/>
      <c r="E31" s="7" t="s">
        <v>492</v>
      </c>
      <c r="F31" s="7" t="s">
        <v>19</v>
      </c>
      <c r="G31" s="7" t="s">
        <v>493</v>
      </c>
      <c r="H31" s="7" t="s">
        <v>17</v>
      </c>
      <c r="I31" s="7" t="s">
        <v>17</v>
      </c>
      <c r="J31" s="7" t="s">
        <v>494</v>
      </c>
    </row>
    <row r="32" spans="1:10" x14ac:dyDescent="0.25" outlineLevel="2" collapsed="1">
      <c r="A32" s="7" t="s">
        <v>15</v>
      </c>
      <c r="B32" s="7" t="s">
        <v>16</v>
      </c>
      <c r="C32" s="7" t="s">
        <v>17</v>
      </c>
      <c r="D32" s="7"/>
      <c r="E32" s="7" t="s">
        <v>495</v>
      </c>
      <c r="F32" s="7" t="s">
        <v>19</v>
      </c>
      <c r="G32" s="7" t="s">
        <v>496</v>
      </c>
      <c r="H32" s="7" t="s">
        <v>17</v>
      </c>
      <c r="I32" s="7" t="s">
        <v>17</v>
      </c>
      <c r="J32" s="7" t="s">
        <v>497</v>
      </c>
    </row>
    <row r="33" spans="1:10" x14ac:dyDescent="0.25" outlineLevel="1" collapsed="1">
      <c r="A33" s="8" t="s">
        <v>19</v>
      </c>
      <c r="B33" s="9" t="s">
        <v>502</v>
      </c>
      <c r="C33" s="8" t="s">
        <v>17</v>
      </c>
      <c r="D33" s="8"/>
      <c r="E33" s="8" t="s">
        <v>503</v>
      </c>
      <c r="F33" s="8" t="s">
        <v>15</v>
      </c>
      <c r="G33" s="8" t="s">
        <v>17</v>
      </c>
      <c r="H33" s="8" t="s">
        <v>17</v>
      </c>
      <c r="I33" s="8" t="s">
        <v>17</v>
      </c>
      <c r="J33" s="8" t="s">
        <v>504</v>
      </c>
    </row>
    <row r="34" spans="1:10" x14ac:dyDescent="0.25" outlineLevel="2" collapsed="1">
      <c r="A34" s="7" t="s">
        <v>19</v>
      </c>
      <c r="B34" s="7" t="s">
        <v>16</v>
      </c>
      <c r="C34" s="7" t="s">
        <v>17</v>
      </c>
      <c r="D34" s="7"/>
      <c r="E34" s="7" t="s">
        <v>505</v>
      </c>
      <c r="F34" s="7" t="s">
        <v>19</v>
      </c>
      <c r="G34" s="7" t="s">
        <v>31</v>
      </c>
      <c r="H34" s="7" t="s">
        <v>17</v>
      </c>
      <c r="I34" s="7" t="s">
        <v>17</v>
      </c>
      <c r="J34" s="7" t="s">
        <v>506</v>
      </c>
    </row>
    <row r="35" spans="1:10" x14ac:dyDescent="0.25" outlineLevel="2" collapsed="1">
      <c r="A35" s="7" t="s">
        <v>19</v>
      </c>
      <c r="B35" s="7" t="s">
        <v>16</v>
      </c>
      <c r="C35" s="7" t="s">
        <v>17</v>
      </c>
      <c r="D35" s="7"/>
      <c r="E35" s="7" t="s">
        <v>501</v>
      </c>
      <c r="F35" s="7" t="s">
        <v>19</v>
      </c>
      <c r="G35" s="7" t="s">
        <v>31</v>
      </c>
      <c r="H35" s="7" t="s">
        <v>17</v>
      </c>
      <c r="I35" s="7" t="s">
        <v>17</v>
      </c>
      <c r="J35" s="7" t="s">
        <v>497</v>
      </c>
    </row>
    <row r="36" spans="1:10" x14ac:dyDescent="0.25">
      <c r="A36" s="5" t="s">
        <v>15</v>
      </c>
      <c r="B36" s="6" t="s">
        <v>566</v>
      </c>
      <c r="C36" s="5" t="s">
        <v>17</v>
      </c>
      <c r="D36" s="5"/>
      <c r="E36" s="5" t="s">
        <v>567</v>
      </c>
      <c r="F36" s="5" t="s">
        <v>19</v>
      </c>
      <c r="G36" s="5" t="s">
        <v>17</v>
      </c>
      <c r="H36" s="5" t="s">
        <v>17</v>
      </c>
      <c r="I36" s="5" t="s">
        <v>17</v>
      </c>
      <c r="J36" s="5" t="s">
        <v>568</v>
      </c>
    </row>
    <row r="37" spans="1:10" x14ac:dyDescent="0.25" outlineLevel="1" collapsed="1">
      <c r="A37" s="7" t="s">
        <v>15</v>
      </c>
      <c r="B37" s="7" t="s">
        <v>16</v>
      </c>
      <c r="C37" s="7" t="s">
        <v>17</v>
      </c>
      <c r="D37" s="7"/>
      <c r="E37" s="7" t="s">
        <v>492</v>
      </c>
      <c r="F37" s="7" t="s">
        <v>19</v>
      </c>
      <c r="G37" s="7" t="s">
        <v>493</v>
      </c>
      <c r="H37" s="7" t="s">
        <v>17</v>
      </c>
      <c r="I37" s="7" t="s">
        <v>17</v>
      </c>
      <c r="J37" s="7" t="s">
        <v>494</v>
      </c>
    </row>
    <row r="38" spans="1:10" x14ac:dyDescent="0.25" outlineLevel="1" collapsed="1">
      <c r="A38" s="7" t="s">
        <v>15</v>
      </c>
      <c r="B38" s="7" t="s">
        <v>16</v>
      </c>
      <c r="C38" s="7" t="s">
        <v>17</v>
      </c>
      <c r="D38" s="7"/>
      <c r="E38" s="7" t="s">
        <v>495</v>
      </c>
      <c r="F38" s="7" t="s">
        <v>19</v>
      </c>
      <c r="G38" s="7" t="s">
        <v>496</v>
      </c>
      <c r="H38" s="7" t="s">
        <v>17</v>
      </c>
      <c r="I38" s="7" t="s">
        <v>17</v>
      </c>
      <c r="J38" s="7" t="s">
        <v>497</v>
      </c>
    </row>
    <row r="39" spans="1:10" x14ac:dyDescent="0.25" outlineLevel="1" collapsed="1">
      <c r="A39" s="8" t="s">
        <v>19</v>
      </c>
      <c r="B39" s="9" t="s">
        <v>502</v>
      </c>
      <c r="C39" s="8" t="s">
        <v>17</v>
      </c>
      <c r="D39" s="8"/>
      <c r="E39" s="8" t="s">
        <v>503</v>
      </c>
      <c r="F39" s="8" t="s">
        <v>15</v>
      </c>
      <c r="G39" s="8" t="s">
        <v>17</v>
      </c>
      <c r="H39" s="8" t="s">
        <v>17</v>
      </c>
      <c r="I39" s="8" t="s">
        <v>17</v>
      </c>
      <c r="J39" s="8" t="s">
        <v>504</v>
      </c>
    </row>
    <row r="40" spans="1:10" x14ac:dyDescent="0.25" outlineLevel="2" collapsed="1">
      <c r="A40" s="7" t="s">
        <v>19</v>
      </c>
      <c r="B40" s="7" t="s">
        <v>16</v>
      </c>
      <c r="C40" s="7" t="s">
        <v>17</v>
      </c>
      <c r="D40" s="7"/>
      <c r="E40" s="7" t="s">
        <v>505</v>
      </c>
      <c r="F40" s="7" t="s">
        <v>19</v>
      </c>
      <c r="G40" s="7" t="s">
        <v>31</v>
      </c>
      <c r="H40" s="7" t="s">
        <v>17</v>
      </c>
      <c r="I40" s="7" t="s">
        <v>17</v>
      </c>
      <c r="J40" s="7" t="s">
        <v>506</v>
      </c>
    </row>
    <row r="41" spans="1:10" x14ac:dyDescent="0.25" outlineLevel="2" collapsed="1">
      <c r="A41" s="7" t="s">
        <v>19</v>
      </c>
      <c r="B41" s="7" t="s">
        <v>16</v>
      </c>
      <c r="C41" s="7" t="s">
        <v>17</v>
      </c>
      <c r="D41" s="7"/>
      <c r="E41" s="7" t="s">
        <v>501</v>
      </c>
      <c r="F41" s="7" t="s">
        <v>19</v>
      </c>
      <c r="G41" s="7" t="s">
        <v>31</v>
      </c>
      <c r="H41" s="7" t="s">
        <v>17</v>
      </c>
      <c r="I41" s="7" t="s">
        <v>17</v>
      </c>
      <c r="J41" s="7" t="s">
        <v>497</v>
      </c>
    </row>
    <row r="42" spans="1:10" x14ac:dyDescent="0.25">
      <c r="A42" s="5" t="s">
        <v>15</v>
      </c>
      <c r="B42" s="6" t="s">
        <v>569</v>
      </c>
      <c r="C42" s="5" t="s">
        <v>17</v>
      </c>
      <c r="D42" s="5"/>
      <c r="E42" s="5" t="s">
        <v>570</v>
      </c>
      <c r="F42" s="5" t="s">
        <v>19</v>
      </c>
      <c r="G42" s="5" t="s">
        <v>17</v>
      </c>
      <c r="H42" s="5" t="s">
        <v>17</v>
      </c>
      <c r="I42" s="5" t="s">
        <v>17</v>
      </c>
      <c r="J42" s="5" t="s">
        <v>571</v>
      </c>
    </row>
    <row r="43" spans="1:10" x14ac:dyDescent="0.25" outlineLevel="1" collapsed="1">
      <c r="A43" s="8" t="s">
        <v>15</v>
      </c>
      <c r="B43" s="9" t="s">
        <v>572</v>
      </c>
      <c r="C43" s="8" t="s">
        <v>17</v>
      </c>
      <c r="D43" s="8"/>
      <c r="E43" s="8" t="s">
        <v>572</v>
      </c>
      <c r="F43" s="8" t="s">
        <v>19</v>
      </c>
      <c r="G43" s="8" t="s">
        <v>17</v>
      </c>
      <c r="H43" s="8" t="s">
        <v>17</v>
      </c>
      <c r="I43" s="8" t="s">
        <v>17</v>
      </c>
      <c r="J43" s="8" t="s">
        <v>573</v>
      </c>
    </row>
    <row r="44" spans="1:10" x14ac:dyDescent="0.25" outlineLevel="2" collapsed="1">
      <c r="A44" s="7" t="s">
        <v>15</v>
      </c>
      <c r="B44" s="7" t="s">
        <v>16</v>
      </c>
      <c r="C44" s="7" t="s">
        <v>17</v>
      </c>
      <c r="D44" s="7"/>
      <c r="E44" s="7" t="s">
        <v>537</v>
      </c>
      <c r="F44" s="7" t="s">
        <v>19</v>
      </c>
      <c r="G44" s="7" t="s">
        <v>538</v>
      </c>
      <c r="H44" s="7" t="s">
        <v>17</v>
      </c>
      <c r="I44" s="7" t="s">
        <v>17</v>
      </c>
      <c r="J44" s="7" t="s">
        <v>494</v>
      </c>
    </row>
    <row r="45" spans="1:10" x14ac:dyDescent="0.25" outlineLevel="1" collapsed="1">
      <c r="A45" s="8" t="s">
        <v>15</v>
      </c>
      <c r="B45" s="9" t="s">
        <v>574</v>
      </c>
      <c r="C45" s="8" t="s">
        <v>17</v>
      </c>
      <c r="D45" s="8"/>
      <c r="E45" s="8" t="s">
        <v>575</v>
      </c>
      <c r="F45" s="8" t="s">
        <v>19</v>
      </c>
      <c r="G45" s="8" t="s">
        <v>17</v>
      </c>
      <c r="H45" s="8" t="s">
        <v>17</v>
      </c>
      <c r="I45" s="8" t="s">
        <v>17</v>
      </c>
      <c r="J45" s="8" t="s">
        <v>576</v>
      </c>
    </row>
    <row r="46" spans="1:10" x14ac:dyDescent="0.25" outlineLevel="2" collapsed="1">
      <c r="A46" s="7" t="s">
        <v>15</v>
      </c>
      <c r="B46" s="7" t="s">
        <v>16</v>
      </c>
      <c r="C46" s="7" t="s">
        <v>17</v>
      </c>
      <c r="D46" s="7"/>
      <c r="E46" s="7" t="s">
        <v>537</v>
      </c>
      <c r="F46" s="7" t="s">
        <v>19</v>
      </c>
      <c r="G46" s="7" t="s">
        <v>538</v>
      </c>
      <c r="H46" s="7" t="s">
        <v>17</v>
      </c>
      <c r="I46" s="7" t="s">
        <v>17</v>
      </c>
      <c r="J46" s="7" t="s">
        <v>494</v>
      </c>
    </row>
    <row r="47" spans="1:10" x14ac:dyDescent="0.25" outlineLevel="1" collapsed="1">
      <c r="A47" s="8" t="s">
        <v>15</v>
      </c>
      <c r="B47" s="9" t="s">
        <v>577</v>
      </c>
      <c r="C47" s="8" t="s">
        <v>17</v>
      </c>
      <c r="D47" s="8"/>
      <c r="E47" s="8" t="s">
        <v>578</v>
      </c>
      <c r="F47" s="8" t="s">
        <v>19</v>
      </c>
      <c r="G47" s="8" t="s">
        <v>17</v>
      </c>
      <c r="H47" s="8" t="s">
        <v>17</v>
      </c>
      <c r="I47" s="8" t="s">
        <v>17</v>
      </c>
      <c r="J47" s="8" t="s">
        <v>579</v>
      </c>
    </row>
    <row r="48" spans="1:10" x14ac:dyDescent="0.25" outlineLevel="2" collapsed="1">
      <c r="A48" s="7" t="s">
        <v>15</v>
      </c>
      <c r="B48" s="7" t="s">
        <v>16</v>
      </c>
      <c r="C48" s="7" t="s">
        <v>17</v>
      </c>
      <c r="D48" s="7"/>
      <c r="E48" s="7" t="s">
        <v>537</v>
      </c>
      <c r="F48" s="7" t="s">
        <v>19</v>
      </c>
      <c r="G48" s="7" t="s">
        <v>538</v>
      </c>
      <c r="H48" s="7" t="s">
        <v>17</v>
      </c>
      <c r="I48" s="7" t="s">
        <v>17</v>
      </c>
      <c r="J48" s="7" t="s">
        <v>494</v>
      </c>
    </row>
    <row r="49" spans="1:10" x14ac:dyDescent="0.25">
      <c r="A49" s="5" t="s">
        <v>19</v>
      </c>
      <c r="B49" s="6" t="s">
        <v>580</v>
      </c>
      <c r="C49" s="5" t="s">
        <v>17</v>
      </c>
      <c r="D49" s="5"/>
      <c r="E49" s="5" t="s">
        <v>581</v>
      </c>
      <c r="F49" s="5" t="s">
        <v>19</v>
      </c>
      <c r="G49" s="5" t="s">
        <v>17</v>
      </c>
      <c r="H49" s="5" t="s">
        <v>17</v>
      </c>
      <c r="I49" s="5" t="s">
        <v>17</v>
      </c>
      <c r="J49" s="5" t="s">
        <v>573</v>
      </c>
    </row>
    <row r="50" spans="1:10" x14ac:dyDescent="0.25" outlineLevel="1" collapsed="1">
      <c r="A50" s="7" t="s">
        <v>19</v>
      </c>
      <c r="B50" s="7" t="s">
        <v>16</v>
      </c>
      <c r="C50" s="7" t="s">
        <v>17</v>
      </c>
      <c r="D50" s="7"/>
      <c r="E50" s="7" t="s">
        <v>500</v>
      </c>
      <c r="F50" s="7" t="s">
        <v>19</v>
      </c>
      <c r="G50" s="7" t="s">
        <v>31</v>
      </c>
      <c r="H50" s="7" t="s">
        <v>17</v>
      </c>
      <c r="I50" s="7" t="s">
        <v>17</v>
      </c>
      <c r="J50" s="7" t="s">
        <v>494</v>
      </c>
    </row>
    <row r="51" spans="1:10" x14ac:dyDescent="0.25">
      <c r="A51" s="5" t="s">
        <v>19</v>
      </c>
      <c r="B51" s="6" t="s">
        <v>582</v>
      </c>
      <c r="C51" s="5" t="s">
        <v>17</v>
      </c>
      <c r="D51" s="5"/>
      <c r="E51" s="5" t="s">
        <v>583</v>
      </c>
      <c r="F51" s="5" t="s">
        <v>19</v>
      </c>
      <c r="G51" s="5" t="s">
        <v>17</v>
      </c>
      <c r="H51" s="5" t="s">
        <v>17</v>
      </c>
      <c r="I51" s="5" t="s">
        <v>17</v>
      </c>
      <c r="J51" s="5" t="s">
        <v>584</v>
      </c>
    </row>
    <row r="52" spans="1:10" x14ac:dyDescent="0.25" outlineLevel="1" collapsed="1">
      <c r="A52" s="7" t="s">
        <v>19</v>
      </c>
      <c r="B52" s="7" t="s">
        <v>16</v>
      </c>
      <c r="C52" s="7" t="s">
        <v>17</v>
      </c>
      <c r="D52" s="7"/>
      <c r="E52" s="7" t="s">
        <v>500</v>
      </c>
      <c r="F52" s="7" t="s">
        <v>19</v>
      </c>
      <c r="G52" s="7" t="s">
        <v>31</v>
      </c>
      <c r="H52" s="7" t="s">
        <v>17</v>
      </c>
      <c r="I52" s="7" t="s">
        <v>17</v>
      </c>
      <c r="J52" s="7" t="s">
        <v>494</v>
      </c>
    </row>
    <row r="53" spans="1:10" x14ac:dyDescent="0.25">
      <c r="A53" s="5" t="s">
        <v>19</v>
      </c>
      <c r="B53" s="6" t="s">
        <v>585</v>
      </c>
      <c r="C53" s="5" t="s">
        <v>17</v>
      </c>
      <c r="D53" s="5"/>
      <c r="E53" s="5" t="s">
        <v>586</v>
      </c>
      <c r="F53" s="5" t="s">
        <v>19</v>
      </c>
      <c r="G53" s="5" t="s">
        <v>17</v>
      </c>
      <c r="H53" s="5" t="s">
        <v>17</v>
      </c>
      <c r="I53" s="5" t="s">
        <v>17</v>
      </c>
      <c r="J53" s="5" t="s">
        <v>579</v>
      </c>
    </row>
    <row r="54" spans="1:10" x14ac:dyDescent="0.25" outlineLevel="1" collapsed="1">
      <c r="A54" s="7" t="s">
        <v>19</v>
      </c>
      <c r="B54" s="7" t="s">
        <v>16</v>
      </c>
      <c r="C54" s="7" t="s">
        <v>17</v>
      </c>
      <c r="D54" s="7"/>
      <c r="E54" s="7" t="s">
        <v>500</v>
      </c>
      <c r="F54" s="7" t="s">
        <v>19</v>
      </c>
      <c r="G54" s="7" t="s">
        <v>31</v>
      </c>
      <c r="H54" s="7" t="s">
        <v>17</v>
      </c>
      <c r="I54" s="7" t="s">
        <v>17</v>
      </c>
      <c r="J54" s="7" t="s">
        <v>494</v>
      </c>
    </row>
    <row r="55" spans="1:10" x14ac:dyDescent="0.25">
      <c r="A55" s="5" t="s">
        <v>19</v>
      </c>
      <c r="B55" s="6" t="s">
        <v>587</v>
      </c>
      <c r="C55" s="5" t="s">
        <v>17</v>
      </c>
      <c r="D55" s="5"/>
      <c r="E55" s="5" t="s">
        <v>588</v>
      </c>
      <c r="F55" s="5" t="s">
        <v>19</v>
      </c>
      <c r="G55" s="5" t="s">
        <v>17</v>
      </c>
      <c r="H55" s="5" t="s">
        <v>17</v>
      </c>
      <c r="I55" s="5" t="s">
        <v>17</v>
      </c>
      <c r="J55" s="5" t="s">
        <v>550</v>
      </c>
    </row>
    <row r="56" spans="1:10" x14ac:dyDescent="0.25" outlineLevel="1" collapsed="1">
      <c r="A56" s="7" t="s">
        <v>19</v>
      </c>
      <c r="B56" s="7" t="s">
        <v>16</v>
      </c>
      <c r="C56" s="7" t="s">
        <v>17</v>
      </c>
      <c r="D56" s="7"/>
      <c r="E56" s="7" t="s">
        <v>500</v>
      </c>
      <c r="F56" s="7" t="s">
        <v>19</v>
      </c>
      <c r="G56" s="7" t="s">
        <v>31</v>
      </c>
      <c r="H56" s="7" t="s">
        <v>17</v>
      </c>
      <c r="I56" s="7" t="s">
        <v>17</v>
      </c>
      <c r="J56" s="7" t="s">
        <v>494</v>
      </c>
    </row>
    <row r="57" spans="1:10" x14ac:dyDescent="0.25" outlineLevel="1" collapsed="1">
      <c r="A57" s="7" t="s">
        <v>19</v>
      </c>
      <c r="B57" s="7" t="s">
        <v>16</v>
      </c>
      <c r="C57" s="7" t="s">
        <v>17</v>
      </c>
      <c r="D57" s="7"/>
      <c r="E57" s="7" t="s">
        <v>501</v>
      </c>
      <c r="F57" s="7" t="s">
        <v>19</v>
      </c>
      <c r="G57" s="7" t="s">
        <v>31</v>
      </c>
      <c r="H57" s="7" t="s">
        <v>17</v>
      </c>
      <c r="I57" s="7" t="s">
        <v>17</v>
      </c>
      <c r="J57" s="7" t="s">
        <v>497</v>
      </c>
    </row>
    <row r="58" spans="1:10" x14ac:dyDescent="0.25" outlineLevel="1" collapsed="1">
      <c r="A58" s="8" t="s">
        <v>19</v>
      </c>
      <c r="B58" s="9" t="s">
        <v>502</v>
      </c>
      <c r="C58" s="8" t="s">
        <v>17</v>
      </c>
      <c r="D58" s="8"/>
      <c r="E58" s="8" t="s">
        <v>503</v>
      </c>
      <c r="F58" s="8" t="s">
        <v>15</v>
      </c>
      <c r="G58" s="8" t="s">
        <v>17</v>
      </c>
      <c r="H58" s="8" t="s">
        <v>17</v>
      </c>
      <c r="I58" s="8" t="s">
        <v>17</v>
      </c>
      <c r="J58" s="8" t="s">
        <v>504</v>
      </c>
    </row>
    <row r="59" spans="1:10" x14ac:dyDescent="0.25" outlineLevel="2" collapsed="1">
      <c r="A59" s="7" t="s">
        <v>19</v>
      </c>
      <c r="B59" s="7" t="s">
        <v>16</v>
      </c>
      <c r="C59" s="7" t="s">
        <v>17</v>
      </c>
      <c r="D59" s="7"/>
      <c r="E59" s="7" t="s">
        <v>505</v>
      </c>
      <c r="F59" s="7" t="s">
        <v>19</v>
      </c>
      <c r="G59" s="7" t="s">
        <v>31</v>
      </c>
      <c r="H59" s="7" t="s">
        <v>17</v>
      </c>
      <c r="I59" s="7" t="s">
        <v>17</v>
      </c>
      <c r="J59" s="7" t="s">
        <v>506</v>
      </c>
    </row>
    <row r="60" spans="1:10" x14ac:dyDescent="0.25" outlineLevel="2" collapsed="1">
      <c r="A60" s="7" t="s">
        <v>19</v>
      </c>
      <c r="B60" s="7" t="s">
        <v>16</v>
      </c>
      <c r="C60" s="7" t="s">
        <v>17</v>
      </c>
      <c r="D60" s="7"/>
      <c r="E60" s="7" t="s">
        <v>501</v>
      </c>
      <c r="F60" s="7" t="s">
        <v>19</v>
      </c>
      <c r="G60" s="7" t="s">
        <v>31</v>
      </c>
      <c r="H60" s="7" t="s">
        <v>17</v>
      </c>
      <c r="I60" s="7" t="s">
        <v>17</v>
      </c>
      <c r="J60" s="7" t="s">
        <v>497</v>
      </c>
    </row>
    <row r="61" spans="1:10" x14ac:dyDescent="0.25">
      <c r="A61" s="5" t="s">
        <v>19</v>
      </c>
      <c r="B61" s="6" t="s">
        <v>589</v>
      </c>
      <c r="C61" s="5" t="s">
        <v>17</v>
      </c>
      <c r="D61" s="5"/>
      <c r="E61" s="5" t="s">
        <v>590</v>
      </c>
      <c r="F61" s="5" t="s">
        <v>19</v>
      </c>
      <c r="G61" s="5" t="s">
        <v>17</v>
      </c>
      <c r="H61" s="5" t="s">
        <v>17</v>
      </c>
      <c r="I61" s="5" t="s">
        <v>17</v>
      </c>
      <c r="J61" s="5" t="s">
        <v>591</v>
      </c>
    </row>
    <row r="62" spans="1:10" x14ac:dyDescent="0.25" outlineLevel="1" collapsed="1">
      <c r="A62" s="7" t="s">
        <v>19</v>
      </c>
      <c r="B62" s="7" t="s">
        <v>16</v>
      </c>
      <c r="C62" s="7" t="s">
        <v>17</v>
      </c>
      <c r="D62" s="7"/>
      <c r="E62" s="7" t="s">
        <v>500</v>
      </c>
      <c r="F62" s="7" t="s">
        <v>19</v>
      </c>
      <c r="G62" s="7" t="s">
        <v>31</v>
      </c>
      <c r="H62" s="7" t="s">
        <v>17</v>
      </c>
      <c r="I62" s="7" t="s">
        <v>17</v>
      </c>
      <c r="J62" s="7" t="s">
        <v>494</v>
      </c>
    </row>
    <row r="63" spans="1:10" x14ac:dyDescent="0.25" outlineLevel="1" collapsed="1">
      <c r="A63" s="7" t="s">
        <v>19</v>
      </c>
      <c r="B63" s="7" t="s">
        <v>16</v>
      </c>
      <c r="C63" s="7" t="s">
        <v>17</v>
      </c>
      <c r="D63" s="7"/>
      <c r="E63" s="7" t="s">
        <v>501</v>
      </c>
      <c r="F63" s="7" t="s">
        <v>19</v>
      </c>
      <c r="G63" s="7" t="s">
        <v>31</v>
      </c>
      <c r="H63" s="7" t="s">
        <v>17</v>
      </c>
      <c r="I63" s="7" t="s">
        <v>17</v>
      </c>
      <c r="J63" s="7" t="s">
        <v>497</v>
      </c>
    </row>
    <row r="64" spans="1:10" x14ac:dyDescent="0.25" outlineLevel="1" collapsed="1">
      <c r="A64" s="8" t="s">
        <v>19</v>
      </c>
      <c r="B64" s="9" t="s">
        <v>502</v>
      </c>
      <c r="C64" s="8" t="s">
        <v>17</v>
      </c>
      <c r="D64" s="8"/>
      <c r="E64" s="8" t="s">
        <v>503</v>
      </c>
      <c r="F64" s="8" t="s">
        <v>15</v>
      </c>
      <c r="G64" s="8" t="s">
        <v>17</v>
      </c>
      <c r="H64" s="8" t="s">
        <v>17</v>
      </c>
      <c r="I64" s="8" t="s">
        <v>17</v>
      </c>
      <c r="J64" s="8" t="s">
        <v>504</v>
      </c>
    </row>
    <row r="65" spans="1:10" x14ac:dyDescent="0.25" outlineLevel="2" collapsed="1">
      <c r="A65" s="7" t="s">
        <v>19</v>
      </c>
      <c r="B65" s="7" t="s">
        <v>16</v>
      </c>
      <c r="C65" s="7" t="s">
        <v>17</v>
      </c>
      <c r="D65" s="7"/>
      <c r="E65" s="7" t="s">
        <v>505</v>
      </c>
      <c r="F65" s="7" t="s">
        <v>19</v>
      </c>
      <c r="G65" s="7" t="s">
        <v>31</v>
      </c>
      <c r="H65" s="7" t="s">
        <v>17</v>
      </c>
      <c r="I65" s="7" t="s">
        <v>17</v>
      </c>
      <c r="J65" s="7" t="s">
        <v>506</v>
      </c>
    </row>
    <row r="66" spans="1:10" x14ac:dyDescent="0.25" outlineLevel="2" collapsed="1">
      <c r="A66" s="7" t="s">
        <v>19</v>
      </c>
      <c r="B66" s="7" t="s">
        <v>16</v>
      </c>
      <c r="C66" s="7" t="s">
        <v>17</v>
      </c>
      <c r="D66" s="7"/>
      <c r="E66" s="7" t="s">
        <v>501</v>
      </c>
      <c r="F66" s="7" t="s">
        <v>19</v>
      </c>
      <c r="G66" s="7" t="s">
        <v>31</v>
      </c>
      <c r="H66" s="7" t="s">
        <v>17</v>
      </c>
      <c r="I66" s="7" t="s">
        <v>17</v>
      </c>
      <c r="J66" s="7" t="s">
        <v>497</v>
      </c>
    </row>
    <row r="67" spans="1:10" x14ac:dyDescent="0.25">
      <c r="A67" s="5" t="s">
        <v>19</v>
      </c>
      <c r="B67" s="6" t="s">
        <v>592</v>
      </c>
      <c r="C67" s="5" t="s">
        <v>17</v>
      </c>
      <c r="D67" s="5"/>
      <c r="E67" s="5" t="s">
        <v>593</v>
      </c>
      <c r="F67" s="5" t="s">
        <v>19</v>
      </c>
      <c r="G67" s="5" t="s">
        <v>17</v>
      </c>
      <c r="H67" s="5" t="s">
        <v>17</v>
      </c>
      <c r="I67" s="5" t="s">
        <v>17</v>
      </c>
      <c r="J67" s="5" t="s">
        <v>594</v>
      </c>
    </row>
    <row r="68" spans="1:10" x14ac:dyDescent="0.25" outlineLevel="1" collapsed="1">
      <c r="A68" s="7" t="s">
        <v>19</v>
      </c>
      <c r="B68" s="7" t="s">
        <v>16</v>
      </c>
      <c r="C68" s="7" t="s">
        <v>17</v>
      </c>
      <c r="D68" s="7"/>
      <c r="E68" s="7" t="s">
        <v>500</v>
      </c>
      <c r="F68" s="7" t="s">
        <v>19</v>
      </c>
      <c r="G68" s="7" t="s">
        <v>31</v>
      </c>
      <c r="H68" s="7" t="s">
        <v>17</v>
      </c>
      <c r="I68" s="7" t="s">
        <v>17</v>
      </c>
      <c r="J68" s="7" t="s">
        <v>494</v>
      </c>
    </row>
    <row r="69" spans="1:10" x14ac:dyDescent="0.25" outlineLevel="1" collapsed="1">
      <c r="A69" s="7" t="s">
        <v>19</v>
      </c>
      <c r="B69" s="7" t="s">
        <v>16</v>
      </c>
      <c r="C69" s="7" t="s">
        <v>17</v>
      </c>
      <c r="D69" s="7"/>
      <c r="E69" s="7" t="s">
        <v>501</v>
      </c>
      <c r="F69" s="7" t="s">
        <v>19</v>
      </c>
      <c r="G69" s="7" t="s">
        <v>31</v>
      </c>
      <c r="H69" s="7" t="s">
        <v>17</v>
      </c>
      <c r="I69" s="7" t="s">
        <v>17</v>
      </c>
      <c r="J69" s="7" t="s">
        <v>497</v>
      </c>
    </row>
    <row r="70" spans="1:10" x14ac:dyDescent="0.25" outlineLevel="1" collapsed="1">
      <c r="A70" s="8" t="s">
        <v>19</v>
      </c>
      <c r="B70" s="9" t="s">
        <v>502</v>
      </c>
      <c r="C70" s="8" t="s">
        <v>17</v>
      </c>
      <c r="D70" s="8"/>
      <c r="E70" s="8" t="s">
        <v>503</v>
      </c>
      <c r="F70" s="8" t="s">
        <v>15</v>
      </c>
      <c r="G70" s="8" t="s">
        <v>17</v>
      </c>
      <c r="H70" s="8" t="s">
        <v>17</v>
      </c>
      <c r="I70" s="8" t="s">
        <v>17</v>
      </c>
      <c r="J70" s="8" t="s">
        <v>504</v>
      </c>
    </row>
    <row r="71" spans="1:10" x14ac:dyDescent="0.25" outlineLevel="2" collapsed="1">
      <c r="A71" s="7" t="s">
        <v>19</v>
      </c>
      <c r="B71" s="7" t="s">
        <v>16</v>
      </c>
      <c r="C71" s="7" t="s">
        <v>17</v>
      </c>
      <c r="D71" s="7"/>
      <c r="E71" s="7" t="s">
        <v>505</v>
      </c>
      <c r="F71" s="7" t="s">
        <v>19</v>
      </c>
      <c r="G71" s="7" t="s">
        <v>31</v>
      </c>
      <c r="H71" s="7" t="s">
        <v>17</v>
      </c>
      <c r="I71" s="7" t="s">
        <v>17</v>
      </c>
      <c r="J71" s="7" t="s">
        <v>506</v>
      </c>
    </row>
    <row r="72" spans="1:10" x14ac:dyDescent="0.25" outlineLevel="2" collapsed="1">
      <c r="A72" s="7" t="s">
        <v>19</v>
      </c>
      <c r="B72" s="7" t="s">
        <v>16</v>
      </c>
      <c r="C72" s="7" t="s">
        <v>17</v>
      </c>
      <c r="D72" s="7"/>
      <c r="E72" s="7" t="s">
        <v>501</v>
      </c>
      <c r="F72" s="7" t="s">
        <v>19</v>
      </c>
      <c r="G72" s="7" t="s">
        <v>31</v>
      </c>
      <c r="H72" s="7" t="s">
        <v>17</v>
      </c>
      <c r="I72" s="7" t="s">
        <v>17</v>
      </c>
      <c r="J72" s="7" t="s">
        <v>497</v>
      </c>
    </row>
    <row r="73" spans="1:10" x14ac:dyDescent="0.25">
      <c r="A73" s="5" t="s">
        <v>19</v>
      </c>
      <c r="B73" s="6" t="s">
        <v>595</v>
      </c>
      <c r="C73" s="5" t="s">
        <v>17</v>
      </c>
      <c r="D73" s="5"/>
      <c r="E73" s="5" t="s">
        <v>596</v>
      </c>
      <c r="F73" s="5" t="s">
        <v>19</v>
      </c>
      <c r="G73" s="5" t="s">
        <v>17</v>
      </c>
      <c r="H73" s="5" t="s">
        <v>17</v>
      </c>
      <c r="I73" s="5" t="s">
        <v>17</v>
      </c>
      <c r="J73" s="5" t="s">
        <v>597</v>
      </c>
    </row>
    <row r="74" spans="1:10" x14ac:dyDescent="0.25" outlineLevel="1" collapsed="1">
      <c r="A74" s="7" t="s">
        <v>19</v>
      </c>
      <c r="B74" s="7" t="s">
        <v>16</v>
      </c>
      <c r="C74" s="7" t="s">
        <v>17</v>
      </c>
      <c r="D74" s="7"/>
      <c r="E74" s="7" t="s">
        <v>500</v>
      </c>
      <c r="F74" s="7" t="s">
        <v>19</v>
      </c>
      <c r="G74" s="7" t="s">
        <v>31</v>
      </c>
      <c r="H74" s="7" t="s">
        <v>17</v>
      </c>
      <c r="I74" s="7" t="s">
        <v>17</v>
      </c>
      <c r="J74" s="7" t="s">
        <v>494</v>
      </c>
    </row>
    <row r="75" spans="1:10" x14ac:dyDescent="0.25" outlineLevel="1" collapsed="1">
      <c r="A75" s="7" t="s">
        <v>19</v>
      </c>
      <c r="B75" s="7" t="s">
        <v>16</v>
      </c>
      <c r="C75" s="7" t="s">
        <v>17</v>
      </c>
      <c r="D75" s="7"/>
      <c r="E75" s="7" t="s">
        <v>501</v>
      </c>
      <c r="F75" s="7" t="s">
        <v>19</v>
      </c>
      <c r="G75" s="7" t="s">
        <v>31</v>
      </c>
      <c r="H75" s="7" t="s">
        <v>17</v>
      </c>
      <c r="I75" s="7" t="s">
        <v>17</v>
      </c>
      <c r="J75" s="7" t="s">
        <v>497</v>
      </c>
    </row>
    <row r="76" spans="1:10" x14ac:dyDescent="0.25" outlineLevel="1" collapsed="1">
      <c r="A76" s="8" t="s">
        <v>19</v>
      </c>
      <c r="B76" s="9" t="s">
        <v>502</v>
      </c>
      <c r="C76" s="8" t="s">
        <v>17</v>
      </c>
      <c r="D76" s="8"/>
      <c r="E76" s="8" t="s">
        <v>503</v>
      </c>
      <c r="F76" s="8" t="s">
        <v>15</v>
      </c>
      <c r="G76" s="8" t="s">
        <v>17</v>
      </c>
      <c r="H76" s="8" t="s">
        <v>17</v>
      </c>
      <c r="I76" s="8" t="s">
        <v>17</v>
      </c>
      <c r="J76" s="8" t="s">
        <v>504</v>
      </c>
    </row>
    <row r="77" spans="1:10" x14ac:dyDescent="0.25" outlineLevel="2" collapsed="1">
      <c r="A77" s="7" t="s">
        <v>19</v>
      </c>
      <c r="B77" s="7" t="s">
        <v>16</v>
      </c>
      <c r="C77" s="7" t="s">
        <v>17</v>
      </c>
      <c r="D77" s="7"/>
      <c r="E77" s="7" t="s">
        <v>505</v>
      </c>
      <c r="F77" s="7" t="s">
        <v>19</v>
      </c>
      <c r="G77" s="7" t="s">
        <v>31</v>
      </c>
      <c r="H77" s="7" t="s">
        <v>17</v>
      </c>
      <c r="I77" s="7" t="s">
        <v>17</v>
      </c>
      <c r="J77" s="7" t="s">
        <v>506</v>
      </c>
    </row>
    <row r="78" spans="1:10" x14ac:dyDescent="0.25" outlineLevel="2" collapsed="1">
      <c r="A78" s="7" t="s">
        <v>19</v>
      </c>
      <c r="B78" s="7" t="s">
        <v>16</v>
      </c>
      <c r="C78" s="7" t="s">
        <v>17</v>
      </c>
      <c r="D78" s="7"/>
      <c r="E78" s="7" t="s">
        <v>501</v>
      </c>
      <c r="F78" s="7" t="s">
        <v>19</v>
      </c>
      <c r="G78" s="7" t="s">
        <v>31</v>
      </c>
      <c r="H78" s="7" t="s">
        <v>17</v>
      </c>
      <c r="I78" s="7" t="s">
        <v>17</v>
      </c>
      <c r="J78" s="7" t="s">
        <v>497</v>
      </c>
    </row>
    <row r="79" spans="1:10" x14ac:dyDescent="0.25">
      <c r="A79" s="5" t="s">
        <v>19</v>
      </c>
      <c r="B79" s="6" t="s">
        <v>598</v>
      </c>
      <c r="C79" s="5" t="s">
        <v>17</v>
      </c>
      <c r="D79" s="5"/>
      <c r="E79" s="5" t="s">
        <v>599</v>
      </c>
      <c r="F79" s="5" t="s">
        <v>19</v>
      </c>
      <c r="G79" s="5" t="s">
        <v>17</v>
      </c>
      <c r="H79" s="5" t="s">
        <v>17</v>
      </c>
      <c r="I79" s="5" t="s">
        <v>17</v>
      </c>
      <c r="J79" s="5" t="s">
        <v>600</v>
      </c>
    </row>
    <row r="80" spans="1:10" x14ac:dyDescent="0.25" outlineLevel="1" collapsed="1">
      <c r="A80" s="7" t="s">
        <v>19</v>
      </c>
      <c r="B80" s="7" t="s">
        <v>16</v>
      </c>
      <c r="C80" s="7" t="s">
        <v>17</v>
      </c>
      <c r="D80" s="7"/>
      <c r="E80" s="7" t="s">
        <v>500</v>
      </c>
      <c r="F80" s="7" t="s">
        <v>19</v>
      </c>
      <c r="G80" s="7" t="s">
        <v>31</v>
      </c>
      <c r="H80" s="7" t="s">
        <v>17</v>
      </c>
      <c r="I80" s="7" t="s">
        <v>17</v>
      </c>
      <c r="J80" s="7" t="s">
        <v>494</v>
      </c>
    </row>
    <row r="81" spans="1:10" x14ac:dyDescent="0.25" outlineLevel="1" collapsed="1">
      <c r="A81" s="7" t="s">
        <v>19</v>
      </c>
      <c r="B81" s="7" t="s">
        <v>16</v>
      </c>
      <c r="C81" s="7" t="s">
        <v>17</v>
      </c>
      <c r="D81" s="7"/>
      <c r="E81" s="7" t="s">
        <v>501</v>
      </c>
      <c r="F81" s="7" t="s">
        <v>19</v>
      </c>
      <c r="G81" s="7" t="s">
        <v>31</v>
      </c>
      <c r="H81" s="7" t="s">
        <v>17</v>
      </c>
      <c r="I81" s="7" t="s">
        <v>17</v>
      </c>
      <c r="J81" s="7" t="s">
        <v>497</v>
      </c>
    </row>
    <row r="82" spans="1:10" x14ac:dyDescent="0.25" outlineLevel="1" collapsed="1">
      <c r="A82" s="8" t="s">
        <v>19</v>
      </c>
      <c r="B82" s="9" t="s">
        <v>502</v>
      </c>
      <c r="C82" s="8" t="s">
        <v>17</v>
      </c>
      <c r="D82" s="8"/>
      <c r="E82" s="8" t="s">
        <v>503</v>
      </c>
      <c r="F82" s="8" t="s">
        <v>15</v>
      </c>
      <c r="G82" s="8" t="s">
        <v>17</v>
      </c>
      <c r="H82" s="8" t="s">
        <v>17</v>
      </c>
      <c r="I82" s="8" t="s">
        <v>17</v>
      </c>
      <c r="J82" s="8" t="s">
        <v>504</v>
      </c>
    </row>
    <row r="83" spans="1:10" x14ac:dyDescent="0.25" outlineLevel="2" collapsed="1">
      <c r="A83" s="7" t="s">
        <v>19</v>
      </c>
      <c r="B83" s="7" t="s">
        <v>16</v>
      </c>
      <c r="C83" s="7" t="s">
        <v>17</v>
      </c>
      <c r="D83" s="7"/>
      <c r="E83" s="7" t="s">
        <v>505</v>
      </c>
      <c r="F83" s="7" t="s">
        <v>19</v>
      </c>
      <c r="G83" s="7" t="s">
        <v>31</v>
      </c>
      <c r="H83" s="7" t="s">
        <v>17</v>
      </c>
      <c r="I83" s="7" t="s">
        <v>17</v>
      </c>
      <c r="J83" s="7" t="s">
        <v>506</v>
      </c>
    </row>
    <row r="84" spans="1:10" x14ac:dyDescent="0.25" outlineLevel="2" collapsed="1">
      <c r="A84" s="7" t="s">
        <v>19</v>
      </c>
      <c r="B84" s="7" t="s">
        <v>16</v>
      </c>
      <c r="C84" s="7" t="s">
        <v>17</v>
      </c>
      <c r="D84" s="7"/>
      <c r="E84" s="7" t="s">
        <v>501</v>
      </c>
      <c r="F84" s="7" t="s">
        <v>19</v>
      </c>
      <c r="G84" s="7" t="s">
        <v>31</v>
      </c>
      <c r="H84" s="7" t="s">
        <v>17</v>
      </c>
      <c r="I84" s="7" t="s">
        <v>17</v>
      </c>
      <c r="J84" s="7" t="s">
        <v>497</v>
      </c>
    </row>
    <row r="85" spans="1:10" x14ac:dyDescent="0.25">
      <c r="A85" s="5" t="s">
        <v>19</v>
      </c>
      <c r="B85" s="6" t="s">
        <v>601</v>
      </c>
      <c r="C85" s="5" t="s">
        <v>17</v>
      </c>
      <c r="D85" s="5"/>
      <c r="E85" s="5" t="s">
        <v>602</v>
      </c>
      <c r="F85" s="5" t="s">
        <v>19</v>
      </c>
      <c r="G85" s="5" t="s">
        <v>17</v>
      </c>
      <c r="H85" s="5" t="s">
        <v>17</v>
      </c>
      <c r="I85" s="5" t="s">
        <v>17</v>
      </c>
      <c r="J85" s="5" t="s">
        <v>603</v>
      </c>
    </row>
    <row r="86" spans="1:10" x14ac:dyDescent="0.25" outlineLevel="1" collapsed="1">
      <c r="A86" s="7" t="s">
        <v>19</v>
      </c>
      <c r="B86" s="7" t="s">
        <v>16</v>
      </c>
      <c r="C86" s="7" t="s">
        <v>17</v>
      </c>
      <c r="D86" s="7"/>
      <c r="E86" s="7" t="s">
        <v>500</v>
      </c>
      <c r="F86" s="7" t="s">
        <v>19</v>
      </c>
      <c r="G86" s="7" t="s">
        <v>31</v>
      </c>
      <c r="H86" s="7" t="s">
        <v>17</v>
      </c>
      <c r="I86" s="7" t="s">
        <v>17</v>
      </c>
      <c r="J86" s="7" t="s">
        <v>494</v>
      </c>
    </row>
    <row r="87" spans="1:10" x14ac:dyDescent="0.25" outlineLevel="1" collapsed="1">
      <c r="A87" s="7" t="s">
        <v>19</v>
      </c>
      <c r="B87" s="7" t="s">
        <v>16</v>
      </c>
      <c r="C87" s="7" t="s">
        <v>17</v>
      </c>
      <c r="D87" s="7"/>
      <c r="E87" s="7" t="s">
        <v>501</v>
      </c>
      <c r="F87" s="7" t="s">
        <v>19</v>
      </c>
      <c r="G87" s="7" t="s">
        <v>31</v>
      </c>
      <c r="H87" s="7" t="s">
        <v>17</v>
      </c>
      <c r="I87" s="7" t="s">
        <v>17</v>
      </c>
      <c r="J87" s="7" t="s">
        <v>497</v>
      </c>
    </row>
    <row r="88" spans="1:10" x14ac:dyDescent="0.25" outlineLevel="1" collapsed="1">
      <c r="A88" s="8" t="s">
        <v>19</v>
      </c>
      <c r="B88" s="9" t="s">
        <v>502</v>
      </c>
      <c r="C88" s="8" t="s">
        <v>17</v>
      </c>
      <c r="D88" s="8"/>
      <c r="E88" s="8" t="s">
        <v>503</v>
      </c>
      <c r="F88" s="8" t="s">
        <v>15</v>
      </c>
      <c r="G88" s="8" t="s">
        <v>17</v>
      </c>
      <c r="H88" s="8" t="s">
        <v>17</v>
      </c>
      <c r="I88" s="8" t="s">
        <v>17</v>
      </c>
      <c r="J88" s="8" t="s">
        <v>504</v>
      </c>
    </row>
    <row r="89" spans="1:10" x14ac:dyDescent="0.25" outlineLevel="2" collapsed="1">
      <c r="A89" s="7" t="s">
        <v>19</v>
      </c>
      <c r="B89" s="7" t="s">
        <v>16</v>
      </c>
      <c r="C89" s="7" t="s">
        <v>17</v>
      </c>
      <c r="D89" s="7"/>
      <c r="E89" s="7" t="s">
        <v>505</v>
      </c>
      <c r="F89" s="7" t="s">
        <v>19</v>
      </c>
      <c r="G89" s="7" t="s">
        <v>31</v>
      </c>
      <c r="H89" s="7" t="s">
        <v>17</v>
      </c>
      <c r="I89" s="7" t="s">
        <v>17</v>
      </c>
      <c r="J89" s="7" t="s">
        <v>506</v>
      </c>
    </row>
    <row r="90" spans="1:10" x14ac:dyDescent="0.25" outlineLevel="2" collapsed="1">
      <c r="A90" s="7" t="s">
        <v>19</v>
      </c>
      <c r="B90" s="7" t="s">
        <v>16</v>
      </c>
      <c r="C90" s="7" t="s">
        <v>17</v>
      </c>
      <c r="D90" s="7"/>
      <c r="E90" s="7" t="s">
        <v>501</v>
      </c>
      <c r="F90" s="7" t="s">
        <v>19</v>
      </c>
      <c r="G90" s="7" t="s">
        <v>31</v>
      </c>
      <c r="H90" s="7" t="s">
        <v>17</v>
      </c>
      <c r="I90" s="7" t="s">
        <v>17</v>
      </c>
      <c r="J90" s="7" t="s">
        <v>497</v>
      </c>
    </row>
  </sheetData>
  <mergeCells count="3">
    <mergeCell ref="A1:J1"/>
    <mergeCell ref="B2:J2"/>
    <mergeCell ref="B3:J3"/>
  </mergeCells>
  <hyperlinks>
    <hyperlink ref="B5" r:id="rId1" location="#'4.2.1 Audit History'!A1"/>
    <hyperlink ref="B8" r:id="rId2" location="#'4.2.2 Sectoral Scope and Proje'!A1"/>
    <hyperlink ref="B10" r:id="rId3" location="#'4.2.3 Project Location'!A1"/>
    <hyperlink ref="B13" r:id="rId4" location="#'Deadlines for Participation ro'!A1"/>
    <hyperlink ref="B16" r:id="rId5" location="#'4.2.4 Double Counting and Part'!A1"/>
    <hyperlink ref="B17" r:id="rId6" location="#'4.2.4.1 No Double Issuance'!A1"/>
    <hyperlink ref="B20" r:id="rId7" location="#'4.2.4.2 Registration with Othe'!A1"/>
    <hyperlink ref="B23" r:id="rId8" location="#'4.2.5 Double Claiming Other Fo'!A1"/>
    <hyperlink ref="B24" r:id="rId9" location="#'4.2.5.1 No Double Claiming wit'!A1"/>
    <hyperlink ref="B27" r:id="rId10" location="#'4.2.5.2 No Double Claiming wit'!A1"/>
    <hyperlink ref="B30" r:id="rId11" location="#'4.2.5.3 Supply chain (Scope 3)'!A1"/>
    <hyperlink ref="B33" r:id="rId12" location="#'Deadlines for Participation ro'!A1"/>
    <hyperlink ref="B36" r:id="rId13" location="#'4.2.6 Sustainable Development'!A1"/>
    <hyperlink ref="B39" r:id="rId14" location="#'Deadlines for Participation ro'!A1"/>
    <hyperlink ref="B42" r:id="rId15" location="#'4.2.7 Additional Information ('!A1"/>
    <hyperlink ref="B43" r:id="rId16" location="#'4.2.7.1 Sensitive Information'!A1"/>
    <hyperlink ref="B45" r:id="rId17" location="#'4.2.7.2 Core Carbon Principles'!A1"/>
    <hyperlink ref="B47" r:id="rId18" location="#'4.2.7.3 CORSIA Label Eligibili'!A1"/>
    <hyperlink ref="B49" r:id="rId19" location="#'Sensitive Information (VCS Ver'!A1"/>
    <hyperlink ref="B51" r:id="rId20" location="#'Core Carbon Principles Label E'!A1"/>
    <hyperlink ref="B53" r:id="rId21" location="#'CORSIA Label Eligibility (VCS'!A1"/>
    <hyperlink ref="B55" r:id="rId22" location="#'No Double Issuance (VCS Verifi'!A1"/>
    <hyperlink ref="B58" r:id="rId23" location="#'Deadlines for Participation ro'!A1"/>
    <hyperlink ref="B61" r:id="rId24" location="#'Registration with Other GHG Pr'!A1"/>
    <hyperlink ref="B64" r:id="rId25" location="#'Deadlines for Participation ro'!A1"/>
    <hyperlink ref="B67" r:id="rId26" location="#'No Double Claiming with Emissi'!A1"/>
    <hyperlink ref="B70" r:id="rId27" location="#'Deadlines for Participation ro'!A1"/>
    <hyperlink ref="B73" r:id="rId28" location="#'Supply Chain (Scope 3) Emis 2'!A1"/>
    <hyperlink ref="B76" r:id="rId29" location="#'Deadlines for Participation ro'!A1"/>
    <hyperlink ref="B79" r:id="rId30" location="#'Right to Operate and Right  2'!A1"/>
    <hyperlink ref="B82" r:id="rId31" location="#'Deadlines for Participation ro'!A1"/>
    <hyperlink ref="B85" r:id="rId32" location="#'Land or Resource Rights Ana 2'!A1"/>
    <hyperlink ref="B88" r:id="rId33" location="#'Deadlines for Participation ro'!A1"/>
  </hyperlinks>
  <pageMargins left="0.7" right="0.7" top="0.75" bottom="0.75" header="0.3" footer="0.3"/>
  <pageSetup orientation="portrait" horizontalDpi="4294967295" verticalDpi="4294967295" scale="100" fitToWidth="1" fitToHeight="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608</v>
      </c>
      <c r="B1" s="1"/>
      <c r="C1" s="1"/>
      <c r="D1" s="1"/>
      <c r="E1" s="1"/>
      <c r="F1" s="1"/>
      <c r="G1" s="1"/>
      <c r="H1" s="1"/>
      <c r="I1" s="1"/>
      <c r="J1" s="1"/>
    </row>
    <row r="2" spans="1:10" x14ac:dyDescent="0.25">
      <c r="A2" s="2" t="s">
        <v>1</v>
      </c>
      <c r="B2" s="3" t="s">
        <v>3642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611</v>
      </c>
      <c r="B1" s="1"/>
      <c r="C1" s="1"/>
      <c r="D1" s="1"/>
      <c r="E1" s="1"/>
      <c r="F1" s="1"/>
      <c r="G1" s="1"/>
      <c r="H1" s="1"/>
      <c r="I1" s="1"/>
      <c r="J1" s="1"/>
    </row>
    <row r="2" spans="1:10" x14ac:dyDescent="0.25">
      <c r="A2" s="2" t="s">
        <v>1</v>
      </c>
      <c r="B2" s="3" t="s">
        <v>3643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617</v>
      </c>
      <c r="B1" s="1"/>
      <c r="C1" s="1"/>
      <c r="D1" s="1"/>
      <c r="E1" s="1"/>
      <c r="F1" s="1"/>
      <c r="G1" s="1"/>
      <c r="H1" s="1"/>
      <c r="I1" s="1"/>
      <c r="J1" s="1"/>
    </row>
    <row r="2" spans="1:10" x14ac:dyDescent="0.25">
      <c r="A2" s="2" t="s">
        <v>1</v>
      </c>
      <c r="B2" s="3" t="s">
        <v>3644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620</v>
      </c>
      <c r="B1" s="1"/>
      <c r="C1" s="1"/>
      <c r="D1" s="1"/>
      <c r="E1" s="1"/>
      <c r="F1" s="1"/>
      <c r="G1" s="1"/>
      <c r="H1" s="1"/>
      <c r="I1" s="1"/>
      <c r="J1" s="1"/>
    </row>
    <row r="2" spans="1:10" x14ac:dyDescent="0.25">
      <c r="A2" s="2" t="s">
        <v>1</v>
      </c>
      <c r="B2" s="3" t="s">
        <v>3645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622</v>
      </c>
      <c r="B1" s="1"/>
      <c r="C1" s="1"/>
      <c r="D1" s="1"/>
      <c r="E1" s="1"/>
      <c r="F1" s="1"/>
      <c r="G1" s="1"/>
      <c r="H1" s="1"/>
      <c r="I1" s="1"/>
      <c r="J1" s="1"/>
    </row>
    <row r="2" spans="1:10" x14ac:dyDescent="0.25">
      <c r="A2" s="2" t="s">
        <v>1</v>
      </c>
      <c r="B2" s="3" t="s">
        <v>3646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625</v>
      </c>
      <c r="B1" s="1"/>
      <c r="C1" s="1"/>
      <c r="D1" s="1"/>
      <c r="E1" s="1"/>
      <c r="F1" s="1"/>
      <c r="G1" s="1"/>
      <c r="H1" s="1"/>
      <c r="I1" s="1"/>
      <c r="J1" s="1"/>
    </row>
    <row r="2" spans="1:10" x14ac:dyDescent="0.25">
      <c r="A2" s="2" t="s">
        <v>1</v>
      </c>
      <c r="B2" s="3" t="s">
        <v>3647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3648</v>
      </c>
      <c r="B1" s="1"/>
      <c r="C1" s="1"/>
      <c r="D1" s="1"/>
      <c r="E1" s="1"/>
      <c r="F1" s="1"/>
      <c r="G1" s="1"/>
      <c r="H1" s="1"/>
      <c r="I1" s="1"/>
      <c r="J1" s="1"/>
    </row>
    <row r="2" spans="1:10" x14ac:dyDescent="0.25">
      <c r="A2" s="2" t="s">
        <v>1</v>
      </c>
      <c r="B2" s="3" t="s">
        <v>3649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616</v>
      </c>
      <c r="C5" s="5" t="s">
        <v>17</v>
      </c>
      <c r="D5" s="5"/>
      <c r="E5" s="5" t="s">
        <v>617</v>
      </c>
      <c r="F5" s="5" t="s">
        <v>19</v>
      </c>
      <c r="G5" s="5" t="s">
        <v>17</v>
      </c>
      <c r="H5" s="5" t="s">
        <v>17</v>
      </c>
      <c r="I5" s="5" t="s">
        <v>17</v>
      </c>
      <c r="J5" s="5" t="s">
        <v>618</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619</v>
      </c>
      <c r="C8" s="5" t="s">
        <v>17</v>
      </c>
      <c r="D8" s="5"/>
      <c r="E8" s="5" t="s">
        <v>620</v>
      </c>
      <c r="F8" s="5" t="s">
        <v>19</v>
      </c>
      <c r="G8" s="5" t="s">
        <v>17</v>
      </c>
      <c r="H8" s="5" t="s">
        <v>17</v>
      </c>
      <c r="I8" s="5" t="s">
        <v>17</v>
      </c>
      <c r="J8" s="5" t="s">
        <v>621</v>
      </c>
    </row>
    <row r="9" spans="1:10" x14ac:dyDescent="0.25" outlineLevel="1" collapsed="1">
      <c r="A9" s="7" t="s">
        <v>15</v>
      </c>
      <c r="B9" s="7" t="s">
        <v>16</v>
      </c>
      <c r="C9" s="7" t="s">
        <v>17</v>
      </c>
      <c r="D9" s="7"/>
      <c r="E9" s="7" t="s">
        <v>492</v>
      </c>
      <c r="F9" s="7" t="s">
        <v>19</v>
      </c>
      <c r="G9" s="7" t="s">
        <v>493</v>
      </c>
      <c r="H9" s="7" t="s">
        <v>17</v>
      </c>
      <c r="I9" s="7" t="s">
        <v>17</v>
      </c>
      <c r="J9" s="7" t="s">
        <v>494</v>
      </c>
    </row>
    <row r="10" spans="1:10" x14ac:dyDescent="0.25" outlineLevel="1" collapsed="1">
      <c r="A10" s="7" t="s">
        <v>15</v>
      </c>
      <c r="B10" s="7" t="s">
        <v>16</v>
      </c>
      <c r="C10" s="7" t="s">
        <v>17</v>
      </c>
      <c r="D10" s="7"/>
      <c r="E10" s="7" t="s">
        <v>495</v>
      </c>
      <c r="F10" s="7" t="s">
        <v>19</v>
      </c>
      <c r="G10" s="7" t="s">
        <v>496</v>
      </c>
      <c r="H10" s="7" t="s">
        <v>17</v>
      </c>
      <c r="I10" s="7" t="s">
        <v>17</v>
      </c>
      <c r="J10" s="7" t="s">
        <v>497</v>
      </c>
    </row>
    <row r="11" spans="1:10" x14ac:dyDescent="0.25">
      <c r="A11" s="5" t="s">
        <v>15</v>
      </c>
      <c r="B11" s="6" t="s">
        <v>622</v>
      </c>
      <c r="C11" s="5" t="s">
        <v>17</v>
      </c>
      <c r="D11" s="5"/>
      <c r="E11" s="5" t="s">
        <v>622</v>
      </c>
      <c r="F11" s="5" t="s">
        <v>19</v>
      </c>
      <c r="G11" s="5" t="s">
        <v>17</v>
      </c>
      <c r="H11" s="5" t="s">
        <v>17</v>
      </c>
      <c r="I11" s="5" t="s">
        <v>17</v>
      </c>
      <c r="J11" s="5" t="s">
        <v>623</v>
      </c>
    </row>
    <row r="12" spans="1:10" x14ac:dyDescent="0.25" outlineLevel="1" collapsed="1">
      <c r="A12" s="7" t="s">
        <v>15</v>
      </c>
      <c r="B12" s="7" t="s">
        <v>16</v>
      </c>
      <c r="C12" s="7" t="s">
        <v>17</v>
      </c>
      <c r="D12" s="7"/>
      <c r="E12" s="7" t="s">
        <v>492</v>
      </c>
      <c r="F12" s="7" t="s">
        <v>19</v>
      </c>
      <c r="G12" s="7" t="s">
        <v>493</v>
      </c>
      <c r="H12" s="7" t="s">
        <v>17</v>
      </c>
      <c r="I12" s="7" t="s">
        <v>17</v>
      </c>
      <c r="J12" s="7" t="s">
        <v>494</v>
      </c>
    </row>
    <row r="13" spans="1:10" x14ac:dyDescent="0.25" outlineLevel="1" collapsed="1">
      <c r="A13" s="7" t="s">
        <v>15</v>
      </c>
      <c r="B13" s="7" t="s">
        <v>16</v>
      </c>
      <c r="C13" s="7" t="s">
        <v>17</v>
      </c>
      <c r="D13" s="7"/>
      <c r="E13" s="7" t="s">
        <v>495</v>
      </c>
      <c r="F13" s="7" t="s">
        <v>19</v>
      </c>
      <c r="G13" s="7" t="s">
        <v>496</v>
      </c>
      <c r="H13" s="7" t="s">
        <v>17</v>
      </c>
      <c r="I13" s="7" t="s">
        <v>17</v>
      </c>
      <c r="J13" s="7" t="s">
        <v>497</v>
      </c>
    </row>
    <row r="14" spans="1:10" x14ac:dyDescent="0.25">
      <c r="A14" s="5" t="s">
        <v>15</v>
      </c>
      <c r="B14" s="6" t="s">
        <v>624</v>
      </c>
      <c r="C14" s="5" t="s">
        <v>17</v>
      </c>
      <c r="D14" s="5"/>
      <c r="E14" s="5" t="s">
        <v>625</v>
      </c>
      <c r="F14" s="5" t="s">
        <v>19</v>
      </c>
      <c r="G14" s="5" t="s">
        <v>17</v>
      </c>
      <c r="H14" s="5" t="s">
        <v>17</v>
      </c>
      <c r="I14" s="5" t="s">
        <v>17</v>
      </c>
      <c r="J14" s="5" t="s">
        <v>626</v>
      </c>
    </row>
    <row r="15" spans="1:10" x14ac:dyDescent="0.25" outlineLevel="1" collapsed="1">
      <c r="A15" s="7" t="s">
        <v>15</v>
      </c>
      <c r="B15" s="7" t="s">
        <v>16</v>
      </c>
      <c r="C15" s="7" t="s">
        <v>17</v>
      </c>
      <c r="D15" s="7"/>
      <c r="E15" s="7" t="s">
        <v>492</v>
      </c>
      <c r="F15" s="7" t="s">
        <v>19</v>
      </c>
      <c r="G15" s="7" t="s">
        <v>493</v>
      </c>
      <c r="H15" s="7" t="s">
        <v>17</v>
      </c>
      <c r="I15" s="7" t="s">
        <v>17</v>
      </c>
      <c r="J15" s="7" t="s">
        <v>494</v>
      </c>
    </row>
    <row r="16" spans="1:10" x14ac:dyDescent="0.25" outlineLevel="1" collapsed="1">
      <c r="A16" s="7" t="s">
        <v>15</v>
      </c>
      <c r="B16" s="7" t="s">
        <v>16</v>
      </c>
      <c r="C16" s="7" t="s">
        <v>17</v>
      </c>
      <c r="D16" s="7"/>
      <c r="E16" s="7" t="s">
        <v>495</v>
      </c>
      <c r="F16" s="7" t="s">
        <v>19</v>
      </c>
      <c r="G16" s="7" t="s">
        <v>496</v>
      </c>
      <c r="H16" s="7" t="s">
        <v>17</v>
      </c>
      <c r="I16" s="7" t="s">
        <v>17</v>
      </c>
      <c r="J16" s="7" t="s">
        <v>497</v>
      </c>
    </row>
  </sheetData>
  <mergeCells count="3">
    <mergeCell ref="A1:J1"/>
    <mergeCell ref="B2:J2"/>
    <mergeCell ref="B3:J3"/>
  </mergeCells>
  <hyperlinks>
    <hyperlink ref="B5" r:id="rId1" location="#'4.4.3.1 Non-Permanence Risk An'!A1"/>
    <hyperlink ref="B8" r:id="rId2" location="#'4.4.3.2 Buffer Pool Allocation'!A1"/>
    <hyperlink ref="B11" r:id="rId3" location="#'4.4.3.3 Long-Term Average'!A1"/>
    <hyperlink ref="B14" r:id="rId4" location="#'4.4.3.4 De Minimis Quantificat'!A1"/>
  </hyperlinks>
  <pageMargins left="0.7" right="0.7" top="0.75" bottom="0.75" header="0.3" footer="0.3"/>
  <pageSetup orientation="portrait" horizontalDpi="4294967295" verticalDpi="4294967295" scale="100" fitToWidth="1" fitToHeight="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3650</v>
      </c>
      <c r="B1" s="1"/>
      <c r="C1" s="1"/>
      <c r="D1" s="1"/>
      <c r="E1" s="1"/>
      <c r="F1" s="1"/>
      <c r="G1" s="1"/>
      <c r="H1" s="1"/>
      <c r="I1" s="1"/>
      <c r="J1" s="1"/>
    </row>
    <row r="2" spans="1:10" x14ac:dyDescent="0.25">
      <c r="A2" s="2" t="s">
        <v>1</v>
      </c>
      <c r="B2" s="3" t="s">
        <v>2540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607</v>
      </c>
      <c r="C5" s="5" t="s">
        <v>17</v>
      </c>
      <c r="D5" s="5"/>
      <c r="E5" s="5" t="s">
        <v>608</v>
      </c>
      <c r="F5" s="5" t="s">
        <v>19</v>
      </c>
      <c r="G5" s="5" t="s">
        <v>17</v>
      </c>
      <c r="H5" s="5" t="s">
        <v>17</v>
      </c>
      <c r="I5" s="5" t="s">
        <v>17</v>
      </c>
      <c r="J5" s="5" t="s">
        <v>609</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610</v>
      </c>
      <c r="C8" s="5" t="s">
        <v>17</v>
      </c>
      <c r="D8" s="5"/>
      <c r="E8" s="5" t="s">
        <v>611</v>
      </c>
      <c r="F8" s="5" t="s">
        <v>19</v>
      </c>
      <c r="G8" s="5" t="s">
        <v>17</v>
      </c>
      <c r="H8" s="5" t="s">
        <v>17</v>
      </c>
      <c r="I8" s="5" t="s">
        <v>17</v>
      </c>
      <c r="J8" s="5" t="s">
        <v>612</v>
      </c>
    </row>
    <row r="9" spans="1:10" x14ac:dyDescent="0.25" outlineLevel="1" collapsed="1">
      <c r="A9" s="7" t="s">
        <v>15</v>
      </c>
      <c r="B9" s="7" t="s">
        <v>16</v>
      </c>
      <c r="C9" s="7" t="s">
        <v>17</v>
      </c>
      <c r="D9" s="7"/>
      <c r="E9" s="7" t="s">
        <v>492</v>
      </c>
      <c r="F9" s="7" t="s">
        <v>19</v>
      </c>
      <c r="G9" s="7" t="s">
        <v>493</v>
      </c>
      <c r="H9" s="7" t="s">
        <v>17</v>
      </c>
      <c r="I9" s="7" t="s">
        <v>17</v>
      </c>
      <c r="J9" s="7" t="s">
        <v>494</v>
      </c>
    </row>
    <row r="10" spans="1:10" x14ac:dyDescent="0.25" outlineLevel="1" collapsed="1">
      <c r="A10" s="7" t="s">
        <v>15</v>
      </c>
      <c r="B10" s="7" t="s">
        <v>16</v>
      </c>
      <c r="C10" s="7" t="s">
        <v>17</v>
      </c>
      <c r="D10" s="7"/>
      <c r="E10" s="7" t="s">
        <v>495</v>
      </c>
      <c r="F10" s="7" t="s">
        <v>19</v>
      </c>
      <c r="G10" s="7" t="s">
        <v>496</v>
      </c>
      <c r="H10" s="7" t="s">
        <v>17</v>
      </c>
      <c r="I10" s="7" t="s">
        <v>17</v>
      </c>
      <c r="J10" s="7" t="s">
        <v>497</v>
      </c>
    </row>
    <row r="11" spans="1:10" x14ac:dyDescent="0.25">
      <c r="A11" s="5" t="s">
        <v>15</v>
      </c>
      <c r="B11" s="6" t="s">
        <v>613</v>
      </c>
      <c r="C11" s="5" t="s">
        <v>17</v>
      </c>
      <c r="D11" s="5"/>
      <c r="E11" s="5" t="s">
        <v>614</v>
      </c>
      <c r="F11" s="5" t="s">
        <v>19</v>
      </c>
      <c r="G11" s="5" t="s">
        <v>17</v>
      </c>
      <c r="H11" s="5" t="s">
        <v>17</v>
      </c>
      <c r="I11" s="5" t="s">
        <v>17</v>
      </c>
      <c r="J11" s="5" t="s">
        <v>615</v>
      </c>
    </row>
    <row r="12" spans="1:10" x14ac:dyDescent="0.25" outlineLevel="1" collapsed="1">
      <c r="A12" s="8" t="s">
        <v>15</v>
      </c>
      <c r="B12" s="9" t="s">
        <v>616</v>
      </c>
      <c r="C12" s="8" t="s">
        <v>17</v>
      </c>
      <c r="D12" s="8"/>
      <c r="E12" s="8" t="s">
        <v>617</v>
      </c>
      <c r="F12" s="8" t="s">
        <v>19</v>
      </c>
      <c r="G12" s="8" t="s">
        <v>17</v>
      </c>
      <c r="H12" s="8" t="s">
        <v>17</v>
      </c>
      <c r="I12" s="8" t="s">
        <v>17</v>
      </c>
      <c r="J12" s="8" t="s">
        <v>618</v>
      </c>
    </row>
    <row r="13" spans="1:10" x14ac:dyDescent="0.25" outlineLevel="2" collapsed="1">
      <c r="A13" s="7" t="s">
        <v>15</v>
      </c>
      <c r="B13" s="7" t="s">
        <v>16</v>
      </c>
      <c r="C13" s="7" t="s">
        <v>17</v>
      </c>
      <c r="D13" s="7"/>
      <c r="E13" s="7" t="s">
        <v>492</v>
      </c>
      <c r="F13" s="7" t="s">
        <v>19</v>
      </c>
      <c r="G13" s="7" t="s">
        <v>493</v>
      </c>
      <c r="H13" s="7" t="s">
        <v>17</v>
      </c>
      <c r="I13" s="7" t="s">
        <v>17</v>
      </c>
      <c r="J13" s="7" t="s">
        <v>494</v>
      </c>
    </row>
    <row r="14" spans="1:10" x14ac:dyDescent="0.25" outlineLevel="2" collapsed="1">
      <c r="A14" s="7" t="s">
        <v>15</v>
      </c>
      <c r="B14" s="7" t="s">
        <v>16</v>
      </c>
      <c r="C14" s="7" t="s">
        <v>17</v>
      </c>
      <c r="D14" s="7"/>
      <c r="E14" s="7" t="s">
        <v>495</v>
      </c>
      <c r="F14" s="7" t="s">
        <v>19</v>
      </c>
      <c r="G14" s="7" t="s">
        <v>496</v>
      </c>
      <c r="H14" s="7" t="s">
        <v>17</v>
      </c>
      <c r="I14" s="7" t="s">
        <v>17</v>
      </c>
      <c r="J14" s="7" t="s">
        <v>497</v>
      </c>
    </row>
    <row r="15" spans="1:10" x14ac:dyDescent="0.25" outlineLevel="1" collapsed="1">
      <c r="A15" s="8" t="s">
        <v>15</v>
      </c>
      <c r="B15" s="9" t="s">
        <v>619</v>
      </c>
      <c r="C15" s="8" t="s">
        <v>17</v>
      </c>
      <c r="D15" s="8"/>
      <c r="E15" s="8" t="s">
        <v>620</v>
      </c>
      <c r="F15" s="8" t="s">
        <v>19</v>
      </c>
      <c r="G15" s="8" t="s">
        <v>17</v>
      </c>
      <c r="H15" s="8" t="s">
        <v>17</v>
      </c>
      <c r="I15" s="8" t="s">
        <v>17</v>
      </c>
      <c r="J15" s="8" t="s">
        <v>621</v>
      </c>
    </row>
    <row r="16" spans="1:10" x14ac:dyDescent="0.25" outlineLevel="2" collapsed="1">
      <c r="A16" s="7" t="s">
        <v>15</v>
      </c>
      <c r="B16" s="7" t="s">
        <v>16</v>
      </c>
      <c r="C16" s="7" t="s">
        <v>17</v>
      </c>
      <c r="D16" s="7"/>
      <c r="E16" s="7" t="s">
        <v>492</v>
      </c>
      <c r="F16" s="7" t="s">
        <v>19</v>
      </c>
      <c r="G16" s="7" t="s">
        <v>493</v>
      </c>
      <c r="H16" s="7" t="s">
        <v>17</v>
      </c>
      <c r="I16" s="7" t="s">
        <v>17</v>
      </c>
      <c r="J16" s="7" t="s">
        <v>494</v>
      </c>
    </row>
    <row r="17" spans="1:10" x14ac:dyDescent="0.25" outlineLevel="2" collapsed="1">
      <c r="A17" s="7" t="s">
        <v>15</v>
      </c>
      <c r="B17" s="7" t="s">
        <v>16</v>
      </c>
      <c r="C17" s="7" t="s">
        <v>17</v>
      </c>
      <c r="D17" s="7"/>
      <c r="E17" s="7" t="s">
        <v>495</v>
      </c>
      <c r="F17" s="7" t="s">
        <v>19</v>
      </c>
      <c r="G17" s="7" t="s">
        <v>496</v>
      </c>
      <c r="H17" s="7" t="s">
        <v>17</v>
      </c>
      <c r="I17" s="7" t="s">
        <v>17</v>
      </c>
      <c r="J17" s="7" t="s">
        <v>497</v>
      </c>
    </row>
    <row r="18" spans="1:10" x14ac:dyDescent="0.25" outlineLevel="1" collapsed="1">
      <c r="A18" s="8" t="s">
        <v>15</v>
      </c>
      <c r="B18" s="9" t="s">
        <v>622</v>
      </c>
      <c r="C18" s="8" t="s">
        <v>17</v>
      </c>
      <c r="D18" s="8"/>
      <c r="E18" s="8" t="s">
        <v>622</v>
      </c>
      <c r="F18" s="8" t="s">
        <v>19</v>
      </c>
      <c r="G18" s="8" t="s">
        <v>17</v>
      </c>
      <c r="H18" s="8" t="s">
        <v>17</v>
      </c>
      <c r="I18" s="8" t="s">
        <v>17</v>
      </c>
      <c r="J18" s="8" t="s">
        <v>623</v>
      </c>
    </row>
    <row r="19" spans="1:10" x14ac:dyDescent="0.25" outlineLevel="2" collapsed="1">
      <c r="A19" s="7" t="s">
        <v>15</v>
      </c>
      <c r="B19" s="7" t="s">
        <v>16</v>
      </c>
      <c r="C19" s="7" t="s">
        <v>17</v>
      </c>
      <c r="D19" s="7"/>
      <c r="E19" s="7" t="s">
        <v>492</v>
      </c>
      <c r="F19" s="7" t="s">
        <v>19</v>
      </c>
      <c r="G19" s="7" t="s">
        <v>493</v>
      </c>
      <c r="H19" s="7" t="s">
        <v>17</v>
      </c>
      <c r="I19" s="7" t="s">
        <v>17</v>
      </c>
      <c r="J19" s="7" t="s">
        <v>494</v>
      </c>
    </row>
    <row r="20" spans="1:10" x14ac:dyDescent="0.25" outlineLevel="2" collapsed="1">
      <c r="A20" s="7" t="s">
        <v>15</v>
      </c>
      <c r="B20" s="7" t="s">
        <v>16</v>
      </c>
      <c r="C20" s="7" t="s">
        <v>17</v>
      </c>
      <c r="D20" s="7"/>
      <c r="E20" s="7" t="s">
        <v>495</v>
      </c>
      <c r="F20" s="7" t="s">
        <v>19</v>
      </c>
      <c r="G20" s="7" t="s">
        <v>496</v>
      </c>
      <c r="H20" s="7" t="s">
        <v>17</v>
      </c>
      <c r="I20" s="7" t="s">
        <v>17</v>
      </c>
      <c r="J20" s="7" t="s">
        <v>497</v>
      </c>
    </row>
    <row r="21" spans="1:10" x14ac:dyDescent="0.25" outlineLevel="1" collapsed="1">
      <c r="A21" s="8" t="s">
        <v>15</v>
      </c>
      <c r="B21" s="9" t="s">
        <v>624</v>
      </c>
      <c r="C21" s="8" t="s">
        <v>17</v>
      </c>
      <c r="D21" s="8"/>
      <c r="E21" s="8" t="s">
        <v>625</v>
      </c>
      <c r="F21" s="8" t="s">
        <v>19</v>
      </c>
      <c r="G21" s="8" t="s">
        <v>17</v>
      </c>
      <c r="H21" s="8" t="s">
        <v>17</v>
      </c>
      <c r="I21" s="8" t="s">
        <v>17</v>
      </c>
      <c r="J21" s="8" t="s">
        <v>626</v>
      </c>
    </row>
    <row r="22" spans="1:10" x14ac:dyDescent="0.25" outlineLevel="2" collapsed="1">
      <c r="A22" s="7" t="s">
        <v>15</v>
      </c>
      <c r="B22" s="7" t="s">
        <v>16</v>
      </c>
      <c r="C22" s="7" t="s">
        <v>17</v>
      </c>
      <c r="D22" s="7"/>
      <c r="E22" s="7" t="s">
        <v>492</v>
      </c>
      <c r="F22" s="7" t="s">
        <v>19</v>
      </c>
      <c r="G22" s="7" t="s">
        <v>493</v>
      </c>
      <c r="H22" s="7" t="s">
        <v>17</v>
      </c>
      <c r="I22" s="7" t="s">
        <v>17</v>
      </c>
      <c r="J22" s="7" t="s">
        <v>494</v>
      </c>
    </row>
    <row r="23" spans="1:10" x14ac:dyDescent="0.25" outlineLevel="2" collapsed="1">
      <c r="A23" s="7" t="s">
        <v>15</v>
      </c>
      <c r="B23" s="7" t="s">
        <v>16</v>
      </c>
      <c r="C23" s="7" t="s">
        <v>17</v>
      </c>
      <c r="D23" s="7"/>
      <c r="E23" s="7" t="s">
        <v>495</v>
      </c>
      <c r="F23" s="7" t="s">
        <v>19</v>
      </c>
      <c r="G23" s="7" t="s">
        <v>496</v>
      </c>
      <c r="H23" s="7" t="s">
        <v>17</v>
      </c>
      <c r="I23" s="7" t="s">
        <v>17</v>
      </c>
      <c r="J23" s="7" t="s">
        <v>497</v>
      </c>
    </row>
    <row r="24" spans="1:10" x14ac:dyDescent="0.25">
      <c r="A24" s="5" t="s">
        <v>19</v>
      </c>
      <c r="B24" s="6" t="s">
        <v>627</v>
      </c>
      <c r="C24" s="5" t="s">
        <v>17</v>
      </c>
      <c r="D24" s="5"/>
      <c r="E24" s="5" t="s">
        <v>628</v>
      </c>
      <c r="F24" s="5" t="s">
        <v>19</v>
      </c>
      <c r="G24" s="5" t="s">
        <v>17</v>
      </c>
      <c r="H24" s="5" t="s">
        <v>17</v>
      </c>
      <c r="I24" s="5" t="s">
        <v>17</v>
      </c>
      <c r="J24" s="5" t="s">
        <v>626</v>
      </c>
    </row>
    <row r="25" spans="1:10" x14ac:dyDescent="0.25" outlineLevel="1" collapsed="1">
      <c r="A25" s="7" t="s">
        <v>19</v>
      </c>
      <c r="B25" s="7" t="s">
        <v>16</v>
      </c>
      <c r="C25" s="7" t="s">
        <v>17</v>
      </c>
      <c r="D25" s="7"/>
      <c r="E25" s="7" t="s">
        <v>500</v>
      </c>
      <c r="F25" s="7" t="s">
        <v>19</v>
      </c>
      <c r="G25" s="7" t="s">
        <v>31</v>
      </c>
      <c r="H25" s="7" t="s">
        <v>17</v>
      </c>
      <c r="I25" s="7" t="s">
        <v>17</v>
      </c>
      <c r="J25" s="7" t="s">
        <v>494</v>
      </c>
    </row>
    <row r="26" spans="1:10" x14ac:dyDescent="0.25" outlineLevel="1" collapsed="1">
      <c r="A26" s="7" t="s">
        <v>19</v>
      </c>
      <c r="B26" s="7" t="s">
        <v>16</v>
      </c>
      <c r="C26" s="7" t="s">
        <v>17</v>
      </c>
      <c r="D26" s="7"/>
      <c r="E26" s="7" t="s">
        <v>501</v>
      </c>
      <c r="F26" s="7" t="s">
        <v>19</v>
      </c>
      <c r="G26" s="7" t="s">
        <v>31</v>
      </c>
      <c r="H26" s="7" t="s">
        <v>17</v>
      </c>
      <c r="I26" s="7" t="s">
        <v>17</v>
      </c>
      <c r="J26" s="7" t="s">
        <v>497</v>
      </c>
    </row>
    <row r="27" spans="1:10" x14ac:dyDescent="0.25" outlineLevel="1" collapsed="1">
      <c r="A27" s="8" t="s">
        <v>19</v>
      </c>
      <c r="B27" s="9" t="s">
        <v>502</v>
      </c>
      <c r="C27" s="8" t="s">
        <v>17</v>
      </c>
      <c r="D27" s="8"/>
      <c r="E27" s="8" t="s">
        <v>503</v>
      </c>
      <c r="F27" s="8" t="s">
        <v>15</v>
      </c>
      <c r="G27" s="8" t="s">
        <v>17</v>
      </c>
      <c r="H27" s="8" t="s">
        <v>17</v>
      </c>
      <c r="I27" s="8" t="s">
        <v>17</v>
      </c>
      <c r="J27" s="8" t="s">
        <v>504</v>
      </c>
    </row>
    <row r="28" spans="1:10" x14ac:dyDescent="0.25" outlineLevel="2" collapsed="1">
      <c r="A28" s="7" t="s">
        <v>19</v>
      </c>
      <c r="B28" s="7" t="s">
        <v>16</v>
      </c>
      <c r="C28" s="7" t="s">
        <v>17</v>
      </c>
      <c r="D28" s="7"/>
      <c r="E28" s="7" t="s">
        <v>505</v>
      </c>
      <c r="F28" s="7" t="s">
        <v>19</v>
      </c>
      <c r="G28" s="7" t="s">
        <v>31</v>
      </c>
      <c r="H28" s="7" t="s">
        <v>17</v>
      </c>
      <c r="I28" s="7" t="s">
        <v>17</v>
      </c>
      <c r="J28" s="7" t="s">
        <v>506</v>
      </c>
    </row>
    <row r="29" spans="1:10" x14ac:dyDescent="0.25" outlineLevel="2" collapsed="1">
      <c r="A29" s="7" t="s">
        <v>19</v>
      </c>
      <c r="B29" s="7" t="s">
        <v>16</v>
      </c>
      <c r="C29" s="7" t="s">
        <v>17</v>
      </c>
      <c r="D29" s="7"/>
      <c r="E29" s="7" t="s">
        <v>501</v>
      </c>
      <c r="F29" s="7" t="s">
        <v>19</v>
      </c>
      <c r="G29" s="7" t="s">
        <v>31</v>
      </c>
      <c r="H29" s="7" t="s">
        <v>17</v>
      </c>
      <c r="I29" s="7" t="s">
        <v>17</v>
      </c>
      <c r="J29" s="7" t="s">
        <v>497</v>
      </c>
    </row>
  </sheetData>
  <mergeCells count="3">
    <mergeCell ref="A1:J1"/>
    <mergeCell ref="B2:J2"/>
    <mergeCell ref="B3:J3"/>
  </mergeCells>
  <hyperlinks>
    <hyperlink ref="B5" r:id="rId1" location="#'4.4.1 Accuracy of Reduction an'!A1"/>
    <hyperlink ref="B8" r:id="rId2" location="#'4.4.2 Quality of Evidence to D'!A1"/>
    <hyperlink ref="B11" r:id="rId3" location="#'4.4.3 Other Relevant Quantific'!A1"/>
    <hyperlink ref="B12" r:id="rId4" location="#'4.4.3.1 Non-Permanence Risk An'!A1"/>
    <hyperlink ref="B15" r:id="rId5" location="#'4.4.3.2 Buffer Pool Allocation'!A1"/>
    <hyperlink ref="B18" r:id="rId6" location="#'4.4.3.3 Long-Term Average'!A1"/>
    <hyperlink ref="B21" r:id="rId7" location="#'4.4.3.4 De Minimis Quantificat'!A1"/>
    <hyperlink ref="B24" r:id="rId8" location="#'De Minimis Quantification (VCS'!A1"/>
    <hyperlink ref="B27" r:id="rId9" location="#'Deadlines for Participation ro'!A1"/>
  </hyperlinks>
  <pageMargins left="0.7" right="0.7" top="0.75" bottom="0.75" header="0.3" footer="0.3"/>
  <pageSetup orientation="portrait" horizontalDpi="4294967295" verticalDpi="4294967295" scale="100" fitToWidth="1" fitToHeight="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3651</v>
      </c>
      <c r="B1" s="1"/>
      <c r="C1" s="1"/>
      <c r="D1" s="1"/>
      <c r="E1" s="1"/>
      <c r="F1" s="1"/>
      <c r="G1" s="1"/>
      <c r="H1" s="1"/>
      <c r="I1" s="1"/>
      <c r="J1" s="1"/>
    </row>
    <row r="2" spans="1:10" x14ac:dyDescent="0.25">
      <c r="A2" s="2" t="s">
        <v>1</v>
      </c>
      <c r="B2" s="3" t="s">
        <v>3652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635</v>
      </c>
      <c r="F5" s="5" t="s">
        <v>19</v>
      </c>
      <c r="G5" s="5" t="s">
        <v>636</v>
      </c>
      <c r="H5" s="5" t="s">
        <v>17</v>
      </c>
      <c r="I5" s="5" t="s">
        <v>17</v>
      </c>
      <c r="J5" s="5" t="s">
        <v>637</v>
      </c>
    </row>
    <row r="6" spans="1:10" x14ac:dyDescent="0.25">
      <c r="A6" s="5" t="s">
        <v>15</v>
      </c>
      <c r="B6" s="5" t="s">
        <v>16</v>
      </c>
      <c r="C6" s="5" t="s">
        <v>17</v>
      </c>
      <c r="D6" s="5"/>
      <c r="E6" s="5" t="s">
        <v>638</v>
      </c>
      <c r="F6" s="5" t="s">
        <v>19</v>
      </c>
      <c r="G6" s="5" t="s">
        <v>639</v>
      </c>
      <c r="H6" s="5" t="s">
        <v>17</v>
      </c>
      <c r="I6" s="5" t="s">
        <v>17</v>
      </c>
      <c r="J6" s="5" t="s">
        <v>640</v>
      </c>
    </row>
    <row r="7" spans="1:10" x14ac:dyDescent="0.25">
      <c r="A7" s="5" t="s">
        <v>15</v>
      </c>
      <c r="B7" s="5" t="s">
        <v>16</v>
      </c>
      <c r="C7" s="5" t="s">
        <v>17</v>
      </c>
      <c r="D7" s="5"/>
      <c r="E7" s="5" t="s">
        <v>641</v>
      </c>
      <c r="F7" s="5" t="s">
        <v>19</v>
      </c>
      <c r="G7" s="5" t="s">
        <v>642</v>
      </c>
      <c r="H7" s="5" t="s">
        <v>17</v>
      </c>
      <c r="I7" s="5" t="s">
        <v>17</v>
      </c>
      <c r="J7" s="5" t="s">
        <v>497</v>
      </c>
    </row>
    <row r="8" spans="1:10" x14ac:dyDescent="0.25">
      <c r="A8" s="5" t="s">
        <v>15</v>
      </c>
      <c r="B8" s="5" t="s">
        <v>16</v>
      </c>
      <c r="C8" s="5" t="s">
        <v>17</v>
      </c>
      <c r="D8" s="5"/>
      <c r="E8" s="5" t="s">
        <v>643</v>
      </c>
      <c r="F8" s="5" t="s">
        <v>19</v>
      </c>
      <c r="G8" s="5" t="s">
        <v>644</v>
      </c>
      <c r="H8" s="5" t="s">
        <v>17</v>
      </c>
      <c r="I8" s="5" t="s">
        <v>17</v>
      </c>
      <c r="J8"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645</v>
      </c>
      <c r="B1" s="1"/>
      <c r="C1" s="1"/>
      <c r="D1" s="1"/>
      <c r="E1" s="1"/>
      <c r="F1" s="1"/>
      <c r="G1" s="1"/>
      <c r="H1" s="1"/>
      <c r="I1" s="1"/>
      <c r="J1" s="1"/>
    </row>
    <row r="2" spans="1:10" x14ac:dyDescent="0.25">
      <c r="A2" s="2" t="s">
        <v>1</v>
      </c>
      <c r="B2" s="3" t="s">
        <v>3653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3654</v>
      </c>
      <c r="B1" s="1"/>
      <c r="C1" s="1"/>
      <c r="D1" s="1"/>
      <c r="E1" s="1"/>
      <c r="F1" s="1"/>
      <c r="G1" s="1"/>
      <c r="H1" s="1"/>
      <c r="I1" s="1"/>
      <c r="J1" s="1"/>
    </row>
    <row r="2" spans="1:10" x14ac:dyDescent="0.25">
      <c r="A2" s="2" t="s">
        <v>1</v>
      </c>
      <c r="B2" s="3" t="s">
        <v>3655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632</v>
      </c>
      <c r="C5" s="5" t="s">
        <v>17</v>
      </c>
      <c r="D5" s="5"/>
      <c r="E5" s="5" t="s">
        <v>633</v>
      </c>
      <c r="F5" s="5" t="s">
        <v>15</v>
      </c>
      <c r="G5" s="5" t="s">
        <v>17</v>
      </c>
      <c r="H5" s="5" t="s">
        <v>17</v>
      </c>
      <c r="I5" s="5" t="s">
        <v>17</v>
      </c>
      <c r="J5" s="5" t="s">
        <v>634</v>
      </c>
    </row>
    <row r="6" spans="1:10" x14ac:dyDescent="0.25" outlineLevel="1" collapsed="1">
      <c r="A6" s="7" t="s">
        <v>15</v>
      </c>
      <c r="B6" s="7" t="s">
        <v>16</v>
      </c>
      <c r="C6" s="7" t="s">
        <v>17</v>
      </c>
      <c r="D6" s="7"/>
      <c r="E6" s="7" t="s">
        <v>635</v>
      </c>
      <c r="F6" s="7" t="s">
        <v>19</v>
      </c>
      <c r="G6" s="7" t="s">
        <v>636</v>
      </c>
      <c r="H6" s="7" t="s">
        <v>17</v>
      </c>
      <c r="I6" s="7" t="s">
        <v>17</v>
      </c>
      <c r="J6" s="7" t="s">
        <v>637</v>
      </c>
    </row>
    <row r="7" spans="1:10" x14ac:dyDescent="0.25" outlineLevel="1" collapsed="1">
      <c r="A7" s="7" t="s">
        <v>15</v>
      </c>
      <c r="B7" s="7" t="s">
        <v>16</v>
      </c>
      <c r="C7" s="7" t="s">
        <v>17</v>
      </c>
      <c r="D7" s="7"/>
      <c r="E7" s="7" t="s">
        <v>638</v>
      </c>
      <c r="F7" s="7" t="s">
        <v>19</v>
      </c>
      <c r="G7" s="7" t="s">
        <v>639</v>
      </c>
      <c r="H7" s="7" t="s">
        <v>17</v>
      </c>
      <c r="I7" s="7" t="s">
        <v>17</v>
      </c>
      <c r="J7" s="7" t="s">
        <v>640</v>
      </c>
    </row>
    <row r="8" spans="1:10" x14ac:dyDescent="0.25" outlineLevel="1" collapsed="1">
      <c r="A8" s="7" t="s">
        <v>15</v>
      </c>
      <c r="B8" s="7" t="s">
        <v>16</v>
      </c>
      <c r="C8" s="7" t="s">
        <v>17</v>
      </c>
      <c r="D8" s="7"/>
      <c r="E8" s="7" t="s">
        <v>641</v>
      </c>
      <c r="F8" s="7" t="s">
        <v>19</v>
      </c>
      <c r="G8" s="7" t="s">
        <v>642</v>
      </c>
      <c r="H8" s="7" t="s">
        <v>17</v>
      </c>
      <c r="I8" s="7" t="s">
        <v>17</v>
      </c>
      <c r="J8" s="7" t="s">
        <v>497</v>
      </c>
    </row>
    <row r="9" spans="1:10" x14ac:dyDescent="0.25" outlineLevel="1" collapsed="1">
      <c r="A9" s="7" t="s">
        <v>15</v>
      </c>
      <c r="B9" s="7" t="s">
        <v>16</v>
      </c>
      <c r="C9" s="7" t="s">
        <v>17</v>
      </c>
      <c r="D9" s="7"/>
      <c r="E9" s="7" t="s">
        <v>643</v>
      </c>
      <c r="F9" s="7" t="s">
        <v>19</v>
      </c>
      <c r="G9" s="7" t="s">
        <v>644</v>
      </c>
      <c r="H9" s="7" t="s">
        <v>17</v>
      </c>
      <c r="I9" s="7" t="s">
        <v>17</v>
      </c>
      <c r="J9" s="7" t="s">
        <v>494</v>
      </c>
    </row>
    <row r="10" spans="1:10" x14ac:dyDescent="0.25">
      <c r="A10" s="5" t="s">
        <v>15</v>
      </c>
      <c r="B10" s="6" t="s">
        <v>645</v>
      </c>
      <c r="C10" s="5" t="s">
        <v>17</v>
      </c>
      <c r="D10" s="5"/>
      <c r="E10" s="5" t="s">
        <v>645</v>
      </c>
      <c r="F10" s="5" t="s">
        <v>19</v>
      </c>
      <c r="G10" s="5" t="s">
        <v>17</v>
      </c>
      <c r="H10" s="5" t="s">
        <v>17</v>
      </c>
      <c r="I10" s="5" t="s">
        <v>17</v>
      </c>
      <c r="J10" s="5" t="s">
        <v>126</v>
      </c>
    </row>
    <row r="11" spans="1:10" x14ac:dyDescent="0.25" outlineLevel="1" collapsed="1">
      <c r="A11" s="7" t="s">
        <v>15</v>
      </c>
      <c r="B11" s="7" t="s">
        <v>16</v>
      </c>
      <c r="C11" s="7" t="s">
        <v>17</v>
      </c>
      <c r="D11" s="7"/>
      <c r="E11" s="7" t="s">
        <v>492</v>
      </c>
      <c r="F11" s="7" t="s">
        <v>19</v>
      </c>
      <c r="G11" s="7" t="s">
        <v>493</v>
      </c>
      <c r="H11" s="7" t="s">
        <v>17</v>
      </c>
      <c r="I11" s="7" t="s">
        <v>17</v>
      </c>
      <c r="J11" s="7" t="s">
        <v>494</v>
      </c>
    </row>
    <row r="12" spans="1:10" x14ac:dyDescent="0.25" outlineLevel="1" collapsed="1">
      <c r="A12" s="7" t="s">
        <v>15</v>
      </c>
      <c r="B12" s="7" t="s">
        <v>16</v>
      </c>
      <c r="C12" s="7" t="s">
        <v>17</v>
      </c>
      <c r="D12" s="7"/>
      <c r="E12" s="7" t="s">
        <v>495</v>
      </c>
      <c r="F12" s="7" t="s">
        <v>19</v>
      </c>
      <c r="G12" s="7" t="s">
        <v>496</v>
      </c>
      <c r="H12" s="7" t="s">
        <v>17</v>
      </c>
      <c r="I12" s="7" t="s">
        <v>17</v>
      </c>
      <c r="J12" s="7" t="s">
        <v>497</v>
      </c>
    </row>
    <row r="13" spans="1:10" x14ac:dyDescent="0.25" outlineLevel="1" collapsed="1">
      <c r="A13" s="8" t="s">
        <v>19</v>
      </c>
      <c r="B13" s="9" t="s">
        <v>502</v>
      </c>
      <c r="C13" s="8" t="s">
        <v>17</v>
      </c>
      <c r="D13" s="8"/>
      <c r="E13" s="8" t="s">
        <v>503</v>
      </c>
      <c r="F13" s="8" t="s">
        <v>15</v>
      </c>
      <c r="G13" s="8" t="s">
        <v>17</v>
      </c>
      <c r="H13" s="8" t="s">
        <v>17</v>
      </c>
      <c r="I13" s="8" t="s">
        <v>17</v>
      </c>
      <c r="J13" s="8" t="s">
        <v>504</v>
      </c>
    </row>
    <row r="14" spans="1:10" x14ac:dyDescent="0.25" outlineLevel="2" collapsed="1">
      <c r="A14" s="7" t="s">
        <v>19</v>
      </c>
      <c r="B14" s="7" t="s">
        <v>16</v>
      </c>
      <c r="C14" s="7" t="s">
        <v>17</v>
      </c>
      <c r="D14" s="7"/>
      <c r="E14" s="7" t="s">
        <v>505</v>
      </c>
      <c r="F14" s="7" t="s">
        <v>19</v>
      </c>
      <c r="G14" s="7" t="s">
        <v>31</v>
      </c>
      <c r="H14" s="7" t="s">
        <v>17</v>
      </c>
      <c r="I14" s="7" t="s">
        <v>17</v>
      </c>
      <c r="J14" s="7" t="s">
        <v>506</v>
      </c>
    </row>
    <row r="15" spans="1:10" x14ac:dyDescent="0.25" outlineLevel="2" collapsed="1">
      <c r="A15" s="7" t="s">
        <v>19</v>
      </c>
      <c r="B15" s="7" t="s">
        <v>16</v>
      </c>
      <c r="C15" s="7" t="s">
        <v>17</v>
      </c>
      <c r="D15" s="7"/>
      <c r="E15" s="7" t="s">
        <v>501</v>
      </c>
      <c r="F15" s="7" t="s">
        <v>19</v>
      </c>
      <c r="G15" s="7" t="s">
        <v>31</v>
      </c>
      <c r="H15" s="7" t="s">
        <v>17</v>
      </c>
      <c r="I15" s="7" t="s">
        <v>17</v>
      </c>
      <c r="J15" s="7" t="s">
        <v>497</v>
      </c>
    </row>
  </sheetData>
  <mergeCells count="3">
    <mergeCell ref="A1:J1"/>
    <mergeCell ref="B2:J2"/>
    <mergeCell ref="B3:J3"/>
  </mergeCells>
  <hyperlinks>
    <hyperlink ref="B5" r:id="rId1" location="#'Data and parameter row (Verifi'!A1"/>
    <hyperlink ref="B10" r:id="rId2" location="#'4.5.2 Monitoring Plan'!A1"/>
    <hyperlink ref="B13" r:id="rId3" location="#'Deadlines for Participation ro'!A1"/>
  </hyperlinks>
  <pageMargins left="0.7" right="0.7" top="0.75" bottom="0.75" header="0.3" footer="0.3"/>
  <pageSetup orientation="portrait" horizontalDpi="4294967295" verticalDpi="4294967295" scale="100" fitToWidth="1" fitToHeight="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3656</v>
      </c>
      <c r="B1" s="1"/>
      <c r="C1" s="1"/>
      <c r="D1" s="1"/>
      <c r="E1" s="1"/>
      <c r="F1" s="1"/>
      <c r="G1" s="1"/>
      <c r="H1" s="1"/>
      <c r="I1" s="1"/>
      <c r="J1" s="1"/>
    </row>
    <row r="2" spans="1:10" x14ac:dyDescent="0.25">
      <c r="A2" s="2" t="s">
        <v>1</v>
      </c>
      <c r="B2" s="3" t="s">
        <v>3657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524</v>
      </c>
      <c r="C5" s="5" t="s">
        <v>17</v>
      </c>
      <c r="D5" s="5"/>
      <c r="E5" s="5" t="s">
        <v>525</v>
      </c>
      <c r="F5" s="5" t="s">
        <v>19</v>
      </c>
      <c r="G5" s="5" t="s">
        <v>17</v>
      </c>
      <c r="H5" s="5" t="s">
        <v>17</v>
      </c>
      <c r="I5" s="5" t="s">
        <v>17</v>
      </c>
      <c r="J5" s="5" t="s">
        <v>526</v>
      </c>
    </row>
    <row r="6" spans="1:10" x14ac:dyDescent="0.25" outlineLevel="1" collapsed="1">
      <c r="A6" s="8" t="s">
        <v>15</v>
      </c>
      <c r="B6" s="9" t="s">
        <v>527</v>
      </c>
      <c r="C6" s="8" t="s">
        <v>17</v>
      </c>
      <c r="D6" s="8"/>
      <c r="E6" s="8" t="s">
        <v>528</v>
      </c>
      <c r="F6" s="8" t="s">
        <v>19</v>
      </c>
      <c r="G6" s="8" t="s">
        <v>17</v>
      </c>
      <c r="H6" s="8" t="s">
        <v>17</v>
      </c>
      <c r="I6" s="8" t="s">
        <v>17</v>
      </c>
      <c r="J6" s="8" t="s">
        <v>529</v>
      </c>
    </row>
    <row r="7" spans="1:10" x14ac:dyDescent="0.25" outlineLevel="2" collapsed="1">
      <c r="A7" s="7" t="s">
        <v>15</v>
      </c>
      <c r="B7" s="7" t="s">
        <v>16</v>
      </c>
      <c r="C7" s="7" t="s">
        <v>17</v>
      </c>
      <c r="D7" s="7"/>
      <c r="E7" s="7" t="s">
        <v>492</v>
      </c>
      <c r="F7" s="7" t="s">
        <v>19</v>
      </c>
      <c r="G7" s="7" t="s">
        <v>493</v>
      </c>
      <c r="H7" s="7" t="s">
        <v>17</v>
      </c>
      <c r="I7" s="7" t="s">
        <v>17</v>
      </c>
      <c r="J7" s="7" t="s">
        <v>494</v>
      </c>
    </row>
    <row r="8" spans="1:10" x14ac:dyDescent="0.25" outlineLevel="2" collapsed="1">
      <c r="A8" s="7" t="s">
        <v>15</v>
      </c>
      <c r="B8" s="7" t="s">
        <v>16</v>
      </c>
      <c r="C8" s="7" t="s">
        <v>17</v>
      </c>
      <c r="D8" s="7"/>
      <c r="E8" s="7" t="s">
        <v>495</v>
      </c>
      <c r="F8" s="7" t="s">
        <v>19</v>
      </c>
      <c r="G8" s="7" t="s">
        <v>496</v>
      </c>
      <c r="H8" s="7" t="s">
        <v>17</v>
      </c>
      <c r="I8" s="7" t="s">
        <v>17</v>
      </c>
      <c r="J8" s="7" t="s">
        <v>497</v>
      </c>
    </row>
    <row r="9" spans="1:10" x14ac:dyDescent="0.25" outlineLevel="2" collapsed="1">
      <c r="A9" s="8" t="s">
        <v>19</v>
      </c>
      <c r="B9" s="9" t="s">
        <v>502</v>
      </c>
      <c r="C9" s="8" t="s">
        <v>17</v>
      </c>
      <c r="D9" s="8"/>
      <c r="E9" s="8" t="s">
        <v>503</v>
      </c>
      <c r="F9" s="8" t="s">
        <v>15</v>
      </c>
      <c r="G9" s="8" t="s">
        <v>17</v>
      </c>
      <c r="H9" s="8" t="s">
        <v>17</v>
      </c>
      <c r="I9" s="8" t="s">
        <v>17</v>
      </c>
      <c r="J9" s="8" t="s">
        <v>504</v>
      </c>
    </row>
    <row r="10" spans="1:10" x14ac:dyDescent="0.25" outlineLevel="3" collapsed="1">
      <c r="A10" s="7" t="s">
        <v>19</v>
      </c>
      <c r="B10" s="7" t="s">
        <v>16</v>
      </c>
      <c r="C10" s="7" t="s">
        <v>17</v>
      </c>
      <c r="D10" s="7"/>
      <c r="E10" s="7" t="s">
        <v>505</v>
      </c>
      <c r="F10" s="7" t="s">
        <v>19</v>
      </c>
      <c r="G10" s="7" t="s">
        <v>31</v>
      </c>
      <c r="H10" s="7" t="s">
        <v>17</v>
      </c>
      <c r="I10" s="7" t="s">
        <v>17</v>
      </c>
      <c r="J10" s="7" t="s">
        <v>506</v>
      </c>
    </row>
    <row r="11" spans="1:10" x14ac:dyDescent="0.25" outlineLevel="3" collapsed="1">
      <c r="A11" s="7" t="s">
        <v>19</v>
      </c>
      <c r="B11" s="7" t="s">
        <v>16</v>
      </c>
      <c r="C11" s="7" t="s">
        <v>17</v>
      </c>
      <c r="D11" s="7"/>
      <c r="E11" s="7" t="s">
        <v>501</v>
      </c>
      <c r="F11" s="7" t="s">
        <v>19</v>
      </c>
      <c r="G11" s="7" t="s">
        <v>31</v>
      </c>
      <c r="H11" s="7" t="s">
        <v>17</v>
      </c>
      <c r="I11" s="7" t="s">
        <v>17</v>
      </c>
      <c r="J11" s="7" t="s">
        <v>497</v>
      </c>
    </row>
    <row r="12" spans="1:10" x14ac:dyDescent="0.25" outlineLevel="1" collapsed="1">
      <c r="A12" s="8" t="s">
        <v>15</v>
      </c>
      <c r="B12" s="9" t="s">
        <v>530</v>
      </c>
      <c r="C12" s="8" t="s">
        <v>17</v>
      </c>
      <c r="D12" s="8"/>
      <c r="E12" s="8" t="s">
        <v>530</v>
      </c>
      <c r="F12" s="8" t="s">
        <v>19</v>
      </c>
      <c r="G12" s="8" t="s">
        <v>17</v>
      </c>
      <c r="H12" s="8" t="s">
        <v>17</v>
      </c>
      <c r="I12" s="8" t="s">
        <v>17</v>
      </c>
      <c r="J12" s="8" t="s">
        <v>531</v>
      </c>
    </row>
    <row r="13" spans="1:10" x14ac:dyDescent="0.25" outlineLevel="2" collapsed="1">
      <c r="A13" s="7" t="s">
        <v>15</v>
      </c>
      <c r="B13" s="7" t="s">
        <v>16</v>
      </c>
      <c r="C13" s="7" t="s">
        <v>17</v>
      </c>
      <c r="D13" s="7"/>
      <c r="E13" s="7" t="s">
        <v>492</v>
      </c>
      <c r="F13" s="7" t="s">
        <v>19</v>
      </c>
      <c r="G13" s="7" t="s">
        <v>493</v>
      </c>
      <c r="H13" s="7" t="s">
        <v>17</v>
      </c>
      <c r="I13" s="7" t="s">
        <v>17</v>
      </c>
      <c r="J13" s="7" t="s">
        <v>494</v>
      </c>
    </row>
    <row r="14" spans="1:10" x14ac:dyDescent="0.25" outlineLevel="2" collapsed="1">
      <c r="A14" s="7" t="s">
        <v>15</v>
      </c>
      <c r="B14" s="7" t="s">
        <v>16</v>
      </c>
      <c r="C14" s="7" t="s">
        <v>17</v>
      </c>
      <c r="D14" s="7"/>
      <c r="E14" s="7" t="s">
        <v>495</v>
      </c>
      <c r="F14" s="7" t="s">
        <v>19</v>
      </c>
      <c r="G14" s="7" t="s">
        <v>496</v>
      </c>
      <c r="H14" s="7" t="s">
        <v>17</v>
      </c>
      <c r="I14" s="7" t="s">
        <v>17</v>
      </c>
      <c r="J14" s="7" t="s">
        <v>497</v>
      </c>
    </row>
    <row r="15" spans="1:10" x14ac:dyDescent="0.25" outlineLevel="2" collapsed="1">
      <c r="A15" s="8" t="s">
        <v>19</v>
      </c>
      <c r="B15" s="9" t="s">
        <v>502</v>
      </c>
      <c r="C15" s="8" t="s">
        <v>17</v>
      </c>
      <c r="D15" s="8"/>
      <c r="E15" s="8" t="s">
        <v>503</v>
      </c>
      <c r="F15" s="8" t="s">
        <v>15</v>
      </c>
      <c r="G15" s="8" t="s">
        <v>17</v>
      </c>
      <c r="H15" s="8" t="s">
        <v>17</v>
      </c>
      <c r="I15" s="8" t="s">
        <v>17</v>
      </c>
      <c r="J15" s="8" t="s">
        <v>504</v>
      </c>
    </row>
    <row r="16" spans="1:10" x14ac:dyDescent="0.25" outlineLevel="3" collapsed="1">
      <c r="A16" s="7" t="s">
        <v>19</v>
      </c>
      <c r="B16" s="7" t="s">
        <v>16</v>
      </c>
      <c r="C16" s="7" t="s">
        <v>17</v>
      </c>
      <c r="D16" s="7"/>
      <c r="E16" s="7" t="s">
        <v>505</v>
      </c>
      <c r="F16" s="7" t="s">
        <v>19</v>
      </c>
      <c r="G16" s="7" t="s">
        <v>31</v>
      </c>
      <c r="H16" s="7" t="s">
        <v>17</v>
      </c>
      <c r="I16" s="7" t="s">
        <v>17</v>
      </c>
      <c r="J16" s="7" t="s">
        <v>506</v>
      </c>
    </row>
    <row r="17" spans="1:10" x14ac:dyDescent="0.25" outlineLevel="3" collapsed="1">
      <c r="A17" s="7" t="s">
        <v>19</v>
      </c>
      <c r="B17" s="7" t="s">
        <v>16</v>
      </c>
      <c r="C17" s="7" t="s">
        <v>17</v>
      </c>
      <c r="D17" s="7"/>
      <c r="E17" s="7" t="s">
        <v>501</v>
      </c>
      <c r="F17" s="7" t="s">
        <v>19</v>
      </c>
      <c r="G17" s="7" t="s">
        <v>31</v>
      </c>
      <c r="H17" s="7" t="s">
        <v>17</v>
      </c>
      <c r="I17" s="7" t="s">
        <v>17</v>
      </c>
      <c r="J17" s="7" t="s">
        <v>497</v>
      </c>
    </row>
    <row r="18" spans="1:10" x14ac:dyDescent="0.25">
      <c r="A18" s="5" t="s">
        <v>15</v>
      </c>
      <c r="B18" s="6" t="s">
        <v>532</v>
      </c>
      <c r="C18" s="5" t="s">
        <v>17</v>
      </c>
      <c r="D18" s="5"/>
      <c r="E18" s="5" t="s">
        <v>533</v>
      </c>
      <c r="F18" s="5" t="s">
        <v>19</v>
      </c>
      <c r="G18" s="5" t="s">
        <v>17</v>
      </c>
      <c r="H18" s="5" t="s">
        <v>17</v>
      </c>
      <c r="I18" s="5" t="s">
        <v>17</v>
      </c>
      <c r="J18" s="5" t="s">
        <v>534</v>
      </c>
    </row>
    <row r="19" spans="1:10" x14ac:dyDescent="0.25" outlineLevel="1" collapsed="1">
      <c r="A19" s="8" t="s">
        <v>15</v>
      </c>
      <c r="B19" s="9" t="s">
        <v>535</v>
      </c>
      <c r="C19" s="8" t="s">
        <v>17</v>
      </c>
      <c r="D19" s="8"/>
      <c r="E19" s="8" t="s">
        <v>535</v>
      </c>
      <c r="F19" s="8" t="s">
        <v>19</v>
      </c>
      <c r="G19" s="8" t="s">
        <v>17</v>
      </c>
      <c r="H19" s="8" t="s">
        <v>17</v>
      </c>
      <c r="I19" s="8" t="s">
        <v>17</v>
      </c>
      <c r="J19" s="8" t="s">
        <v>536</v>
      </c>
    </row>
    <row r="20" spans="1:10" x14ac:dyDescent="0.25" outlineLevel="2" collapsed="1">
      <c r="A20" s="7" t="s">
        <v>15</v>
      </c>
      <c r="B20" s="7" t="s">
        <v>16</v>
      </c>
      <c r="C20" s="7" t="s">
        <v>17</v>
      </c>
      <c r="D20" s="7"/>
      <c r="E20" s="7" t="s">
        <v>537</v>
      </c>
      <c r="F20" s="7" t="s">
        <v>19</v>
      </c>
      <c r="G20" s="7" t="s">
        <v>538</v>
      </c>
      <c r="H20" s="7" t="s">
        <v>17</v>
      </c>
      <c r="I20" s="7" t="s">
        <v>17</v>
      </c>
      <c r="J20" s="7" t="s">
        <v>494</v>
      </c>
    </row>
    <row r="21" spans="1:10" x14ac:dyDescent="0.25" outlineLevel="2" collapsed="1">
      <c r="A21" s="7" t="s">
        <v>19</v>
      </c>
      <c r="B21" s="7" t="s">
        <v>16</v>
      </c>
      <c r="C21" s="7" t="s">
        <v>17</v>
      </c>
      <c r="D21" s="7"/>
      <c r="E21" s="7" t="s">
        <v>539</v>
      </c>
      <c r="F21" s="7" t="s">
        <v>19</v>
      </c>
      <c r="G21" s="7" t="s">
        <v>31</v>
      </c>
      <c r="H21" s="7" t="s">
        <v>17</v>
      </c>
      <c r="I21" s="7" t="s">
        <v>17</v>
      </c>
      <c r="J21" s="7" t="s">
        <v>540</v>
      </c>
    </row>
    <row r="22" spans="1:10" x14ac:dyDescent="0.25" outlineLevel="1" collapsed="1">
      <c r="A22" s="8" t="s">
        <v>15</v>
      </c>
      <c r="B22" s="9" t="s">
        <v>541</v>
      </c>
      <c r="C22" s="8" t="s">
        <v>17</v>
      </c>
      <c r="D22" s="8"/>
      <c r="E22" s="8" t="s">
        <v>542</v>
      </c>
      <c r="F22" s="8" t="s">
        <v>19</v>
      </c>
      <c r="G22" s="8" t="s">
        <v>17</v>
      </c>
      <c r="H22" s="8" t="s">
        <v>17</v>
      </c>
      <c r="I22" s="8" t="s">
        <v>17</v>
      </c>
      <c r="J22" s="8" t="s">
        <v>543</v>
      </c>
    </row>
    <row r="23" spans="1:10" x14ac:dyDescent="0.25" outlineLevel="2" collapsed="1">
      <c r="A23" s="7" t="s">
        <v>15</v>
      </c>
      <c r="B23" s="7" t="s">
        <v>16</v>
      </c>
      <c r="C23" s="7" t="s">
        <v>17</v>
      </c>
      <c r="D23" s="7"/>
      <c r="E23" s="7" t="s">
        <v>537</v>
      </c>
      <c r="F23" s="7" t="s">
        <v>19</v>
      </c>
      <c r="G23" s="7" t="s">
        <v>538</v>
      </c>
      <c r="H23" s="7" t="s">
        <v>17</v>
      </c>
      <c r="I23" s="7" t="s">
        <v>17</v>
      </c>
      <c r="J23" s="7" t="s">
        <v>494</v>
      </c>
    </row>
    <row r="24" spans="1:10" x14ac:dyDescent="0.25" outlineLevel="1" collapsed="1">
      <c r="A24" s="8" t="s">
        <v>15</v>
      </c>
      <c r="B24" s="9" t="s">
        <v>544</v>
      </c>
      <c r="C24" s="8" t="s">
        <v>17</v>
      </c>
      <c r="D24" s="8"/>
      <c r="E24" s="8" t="s">
        <v>544</v>
      </c>
      <c r="F24" s="8" t="s">
        <v>19</v>
      </c>
      <c r="G24" s="8" t="s">
        <v>17</v>
      </c>
      <c r="H24" s="8" t="s">
        <v>17</v>
      </c>
      <c r="I24" s="8" t="s">
        <v>17</v>
      </c>
      <c r="J24" s="8" t="s">
        <v>545</v>
      </c>
    </row>
    <row r="25" spans="1:10" x14ac:dyDescent="0.25" outlineLevel="2" collapsed="1">
      <c r="A25" s="7" t="s">
        <v>15</v>
      </c>
      <c r="B25" s="7" t="s">
        <v>16</v>
      </c>
      <c r="C25" s="7" t="s">
        <v>17</v>
      </c>
      <c r="D25" s="7"/>
      <c r="E25" s="7" t="s">
        <v>492</v>
      </c>
      <c r="F25" s="7" t="s">
        <v>19</v>
      </c>
      <c r="G25" s="7" t="s">
        <v>493</v>
      </c>
      <c r="H25" s="7" t="s">
        <v>17</v>
      </c>
      <c r="I25" s="7" t="s">
        <v>17</v>
      </c>
      <c r="J25" s="7" t="s">
        <v>494</v>
      </c>
    </row>
    <row r="26" spans="1:10" x14ac:dyDescent="0.25" outlineLevel="2" collapsed="1">
      <c r="A26" s="7" t="s">
        <v>15</v>
      </c>
      <c r="B26" s="7" t="s">
        <v>16</v>
      </c>
      <c r="C26" s="7" t="s">
        <v>17</v>
      </c>
      <c r="D26" s="7"/>
      <c r="E26" s="7" t="s">
        <v>495</v>
      </c>
      <c r="F26" s="7" t="s">
        <v>19</v>
      </c>
      <c r="G26" s="7" t="s">
        <v>496</v>
      </c>
      <c r="H26" s="7" t="s">
        <v>17</v>
      </c>
      <c r="I26" s="7" t="s">
        <v>17</v>
      </c>
      <c r="J26" s="7" t="s">
        <v>497</v>
      </c>
    </row>
    <row r="27" spans="1:10" x14ac:dyDescent="0.25" outlineLevel="2" collapsed="1">
      <c r="A27" s="8" t="s">
        <v>19</v>
      </c>
      <c r="B27" s="9" t="s">
        <v>502</v>
      </c>
      <c r="C27" s="8" t="s">
        <v>17</v>
      </c>
      <c r="D27" s="8"/>
      <c r="E27" s="8" t="s">
        <v>503</v>
      </c>
      <c r="F27" s="8" t="s">
        <v>15</v>
      </c>
      <c r="G27" s="8" t="s">
        <v>17</v>
      </c>
      <c r="H27" s="8" t="s">
        <v>17</v>
      </c>
      <c r="I27" s="8" t="s">
        <v>17</v>
      </c>
      <c r="J27" s="8" t="s">
        <v>504</v>
      </c>
    </row>
    <row r="28" spans="1:10" x14ac:dyDescent="0.25" outlineLevel="3" collapsed="1">
      <c r="A28" s="7" t="s">
        <v>19</v>
      </c>
      <c r="B28" s="7" t="s">
        <v>16</v>
      </c>
      <c r="C28" s="7" t="s">
        <v>17</v>
      </c>
      <c r="D28" s="7"/>
      <c r="E28" s="7" t="s">
        <v>505</v>
      </c>
      <c r="F28" s="7" t="s">
        <v>19</v>
      </c>
      <c r="G28" s="7" t="s">
        <v>31</v>
      </c>
      <c r="H28" s="7" t="s">
        <v>17</v>
      </c>
      <c r="I28" s="7" t="s">
        <v>17</v>
      </c>
      <c r="J28" s="7" t="s">
        <v>506</v>
      </c>
    </row>
    <row r="29" spans="1:10" x14ac:dyDescent="0.25" outlineLevel="3" collapsed="1">
      <c r="A29" s="7" t="s">
        <v>19</v>
      </c>
      <c r="B29" s="7" t="s">
        <v>16</v>
      </c>
      <c r="C29" s="7" t="s">
        <v>17</v>
      </c>
      <c r="D29" s="7"/>
      <c r="E29" s="7" t="s">
        <v>501</v>
      </c>
      <c r="F29" s="7" t="s">
        <v>19</v>
      </c>
      <c r="G29" s="7" t="s">
        <v>31</v>
      </c>
      <c r="H29" s="7" t="s">
        <v>17</v>
      </c>
      <c r="I29" s="7" t="s">
        <v>17</v>
      </c>
      <c r="J29" s="7" t="s">
        <v>497</v>
      </c>
    </row>
    <row r="30" spans="1:10" x14ac:dyDescent="0.25" outlineLevel="1" collapsed="1">
      <c r="A30" s="8" t="s">
        <v>15</v>
      </c>
      <c r="B30" s="9" t="s">
        <v>546</v>
      </c>
      <c r="C30" s="8" t="s">
        <v>17</v>
      </c>
      <c r="D30" s="8"/>
      <c r="E30" s="8" t="s">
        <v>547</v>
      </c>
      <c r="F30" s="8" t="s">
        <v>19</v>
      </c>
      <c r="G30" s="8" t="s">
        <v>17</v>
      </c>
      <c r="H30" s="8" t="s">
        <v>17</v>
      </c>
      <c r="I30" s="8" t="s">
        <v>17</v>
      </c>
      <c r="J30" s="8" t="s">
        <v>548</v>
      </c>
    </row>
    <row r="31" spans="1:10" x14ac:dyDescent="0.25" outlineLevel="2" collapsed="1">
      <c r="A31" s="8" t="s">
        <v>15</v>
      </c>
      <c r="B31" s="9" t="s">
        <v>549</v>
      </c>
      <c r="C31" s="8" t="s">
        <v>17</v>
      </c>
      <c r="D31" s="8"/>
      <c r="E31" s="8" t="s">
        <v>549</v>
      </c>
      <c r="F31" s="8" t="s">
        <v>19</v>
      </c>
      <c r="G31" s="8" t="s">
        <v>17</v>
      </c>
      <c r="H31" s="8" t="s">
        <v>17</v>
      </c>
      <c r="I31" s="8" t="s">
        <v>17</v>
      </c>
      <c r="J31" s="8" t="s">
        <v>550</v>
      </c>
    </row>
    <row r="32" spans="1:10" x14ac:dyDescent="0.25" outlineLevel="3" collapsed="1">
      <c r="A32" s="7" t="s">
        <v>15</v>
      </c>
      <c r="B32" s="7" t="s">
        <v>16</v>
      </c>
      <c r="C32" s="7" t="s">
        <v>17</v>
      </c>
      <c r="D32" s="7"/>
      <c r="E32" s="7" t="s">
        <v>492</v>
      </c>
      <c r="F32" s="7" t="s">
        <v>19</v>
      </c>
      <c r="G32" s="7" t="s">
        <v>493</v>
      </c>
      <c r="H32" s="7" t="s">
        <v>17</v>
      </c>
      <c r="I32" s="7" t="s">
        <v>17</v>
      </c>
      <c r="J32" s="7" t="s">
        <v>494</v>
      </c>
    </row>
    <row r="33" spans="1:10" x14ac:dyDescent="0.25" outlineLevel="3" collapsed="1">
      <c r="A33" s="7" t="s">
        <v>15</v>
      </c>
      <c r="B33" s="7" t="s">
        <v>16</v>
      </c>
      <c r="C33" s="7" t="s">
        <v>17</v>
      </c>
      <c r="D33" s="7"/>
      <c r="E33" s="7" t="s">
        <v>495</v>
      </c>
      <c r="F33" s="7" t="s">
        <v>19</v>
      </c>
      <c r="G33" s="7" t="s">
        <v>496</v>
      </c>
      <c r="H33" s="7" t="s">
        <v>17</v>
      </c>
      <c r="I33" s="7" t="s">
        <v>17</v>
      </c>
      <c r="J33" s="7" t="s">
        <v>497</v>
      </c>
    </row>
    <row r="34" spans="1:10" x14ac:dyDescent="0.25" outlineLevel="2" collapsed="1">
      <c r="A34" s="8" t="s">
        <v>15</v>
      </c>
      <c r="B34" s="9" t="s">
        <v>551</v>
      </c>
      <c r="C34" s="8" t="s">
        <v>17</v>
      </c>
      <c r="D34" s="8"/>
      <c r="E34" s="8" t="s">
        <v>552</v>
      </c>
      <c r="F34" s="8" t="s">
        <v>19</v>
      </c>
      <c r="G34" s="8" t="s">
        <v>17</v>
      </c>
      <c r="H34" s="8" t="s">
        <v>17</v>
      </c>
      <c r="I34" s="8" t="s">
        <v>17</v>
      </c>
      <c r="J34" s="8" t="s">
        <v>553</v>
      </c>
    </row>
    <row r="35" spans="1:10" x14ac:dyDescent="0.25" outlineLevel="3" collapsed="1">
      <c r="A35" s="7" t="s">
        <v>15</v>
      </c>
      <c r="B35" s="7" t="s">
        <v>16</v>
      </c>
      <c r="C35" s="7" t="s">
        <v>17</v>
      </c>
      <c r="D35" s="7"/>
      <c r="E35" s="7" t="s">
        <v>492</v>
      </c>
      <c r="F35" s="7" t="s">
        <v>19</v>
      </c>
      <c r="G35" s="7" t="s">
        <v>493</v>
      </c>
      <c r="H35" s="7" t="s">
        <v>17</v>
      </c>
      <c r="I35" s="7" t="s">
        <v>17</v>
      </c>
      <c r="J35" s="7" t="s">
        <v>494</v>
      </c>
    </row>
    <row r="36" spans="1:10" x14ac:dyDescent="0.25" outlineLevel="3" collapsed="1">
      <c r="A36" s="7" t="s">
        <v>15</v>
      </c>
      <c r="B36" s="7" t="s">
        <v>16</v>
      </c>
      <c r="C36" s="7" t="s">
        <v>17</v>
      </c>
      <c r="D36" s="7"/>
      <c r="E36" s="7" t="s">
        <v>495</v>
      </c>
      <c r="F36" s="7" t="s">
        <v>19</v>
      </c>
      <c r="G36" s="7" t="s">
        <v>496</v>
      </c>
      <c r="H36" s="7" t="s">
        <v>17</v>
      </c>
      <c r="I36" s="7" t="s">
        <v>17</v>
      </c>
      <c r="J36" s="7" t="s">
        <v>497</v>
      </c>
    </row>
    <row r="37" spans="1:10" x14ac:dyDescent="0.25" outlineLevel="1" collapsed="1">
      <c r="A37" s="8" t="s">
        <v>15</v>
      </c>
      <c r="B37" s="9" t="s">
        <v>554</v>
      </c>
      <c r="C37" s="8" t="s">
        <v>17</v>
      </c>
      <c r="D37" s="8"/>
      <c r="E37" s="8" t="s">
        <v>555</v>
      </c>
      <c r="F37" s="8" t="s">
        <v>19</v>
      </c>
      <c r="G37" s="8" t="s">
        <v>17</v>
      </c>
      <c r="H37" s="8" t="s">
        <v>17</v>
      </c>
      <c r="I37" s="8" t="s">
        <v>17</v>
      </c>
      <c r="J37" s="8" t="s">
        <v>556</v>
      </c>
    </row>
    <row r="38" spans="1:10" x14ac:dyDescent="0.25" outlineLevel="2" collapsed="1">
      <c r="A38" s="8" t="s">
        <v>15</v>
      </c>
      <c r="B38" s="9" t="s">
        <v>557</v>
      </c>
      <c r="C38" s="8" t="s">
        <v>17</v>
      </c>
      <c r="D38" s="8"/>
      <c r="E38" s="8" t="s">
        <v>558</v>
      </c>
      <c r="F38" s="8" t="s">
        <v>19</v>
      </c>
      <c r="G38" s="8" t="s">
        <v>17</v>
      </c>
      <c r="H38" s="8" t="s">
        <v>17</v>
      </c>
      <c r="I38" s="8" t="s">
        <v>17</v>
      </c>
      <c r="J38" s="8" t="s">
        <v>559</v>
      </c>
    </row>
    <row r="39" spans="1:10" x14ac:dyDescent="0.25" outlineLevel="3" collapsed="1">
      <c r="A39" s="7" t="s">
        <v>15</v>
      </c>
      <c r="B39" s="7" t="s">
        <v>16</v>
      </c>
      <c r="C39" s="7" t="s">
        <v>17</v>
      </c>
      <c r="D39" s="7"/>
      <c r="E39" s="7" t="s">
        <v>492</v>
      </c>
      <c r="F39" s="7" t="s">
        <v>19</v>
      </c>
      <c r="G39" s="7" t="s">
        <v>493</v>
      </c>
      <c r="H39" s="7" t="s">
        <v>17</v>
      </c>
      <c r="I39" s="7" t="s">
        <v>17</v>
      </c>
      <c r="J39" s="7" t="s">
        <v>494</v>
      </c>
    </row>
    <row r="40" spans="1:10" x14ac:dyDescent="0.25" outlineLevel="3" collapsed="1">
      <c r="A40" s="7" t="s">
        <v>15</v>
      </c>
      <c r="B40" s="7" t="s">
        <v>16</v>
      </c>
      <c r="C40" s="7" t="s">
        <v>17</v>
      </c>
      <c r="D40" s="7"/>
      <c r="E40" s="7" t="s">
        <v>495</v>
      </c>
      <c r="F40" s="7" t="s">
        <v>19</v>
      </c>
      <c r="G40" s="7" t="s">
        <v>496</v>
      </c>
      <c r="H40" s="7" t="s">
        <v>17</v>
      </c>
      <c r="I40" s="7" t="s">
        <v>17</v>
      </c>
      <c r="J40" s="7" t="s">
        <v>497</v>
      </c>
    </row>
    <row r="41" spans="1:10" x14ac:dyDescent="0.25" outlineLevel="2" collapsed="1">
      <c r="A41" s="8" t="s">
        <v>15</v>
      </c>
      <c r="B41" s="9" t="s">
        <v>560</v>
      </c>
      <c r="C41" s="8" t="s">
        <v>17</v>
      </c>
      <c r="D41" s="8"/>
      <c r="E41" s="8" t="s">
        <v>561</v>
      </c>
      <c r="F41" s="8" t="s">
        <v>19</v>
      </c>
      <c r="G41" s="8" t="s">
        <v>17</v>
      </c>
      <c r="H41" s="8" t="s">
        <v>17</v>
      </c>
      <c r="I41" s="8" t="s">
        <v>17</v>
      </c>
      <c r="J41" s="8" t="s">
        <v>562</v>
      </c>
    </row>
    <row r="42" spans="1:10" x14ac:dyDescent="0.25" outlineLevel="3" collapsed="1">
      <c r="A42" s="7" t="s">
        <v>15</v>
      </c>
      <c r="B42" s="7" t="s">
        <v>16</v>
      </c>
      <c r="C42" s="7" t="s">
        <v>17</v>
      </c>
      <c r="D42" s="7"/>
      <c r="E42" s="7" t="s">
        <v>492</v>
      </c>
      <c r="F42" s="7" t="s">
        <v>19</v>
      </c>
      <c r="G42" s="7" t="s">
        <v>493</v>
      </c>
      <c r="H42" s="7" t="s">
        <v>17</v>
      </c>
      <c r="I42" s="7" t="s">
        <v>17</v>
      </c>
      <c r="J42" s="7" t="s">
        <v>494</v>
      </c>
    </row>
    <row r="43" spans="1:10" x14ac:dyDescent="0.25" outlineLevel="3" collapsed="1">
      <c r="A43" s="7" t="s">
        <v>15</v>
      </c>
      <c r="B43" s="7" t="s">
        <v>16</v>
      </c>
      <c r="C43" s="7" t="s">
        <v>17</v>
      </c>
      <c r="D43" s="7"/>
      <c r="E43" s="7" t="s">
        <v>495</v>
      </c>
      <c r="F43" s="7" t="s">
        <v>19</v>
      </c>
      <c r="G43" s="7" t="s">
        <v>496</v>
      </c>
      <c r="H43" s="7" t="s">
        <v>17</v>
      </c>
      <c r="I43" s="7" t="s">
        <v>17</v>
      </c>
      <c r="J43" s="7" t="s">
        <v>497</v>
      </c>
    </row>
    <row r="44" spans="1:10" x14ac:dyDescent="0.25" outlineLevel="2" collapsed="1">
      <c r="A44" s="8" t="s">
        <v>15</v>
      </c>
      <c r="B44" s="9" t="s">
        <v>563</v>
      </c>
      <c r="C44" s="8" t="s">
        <v>17</v>
      </c>
      <c r="D44" s="8"/>
      <c r="E44" s="8" t="s">
        <v>564</v>
      </c>
      <c r="F44" s="8" t="s">
        <v>19</v>
      </c>
      <c r="G44" s="8" t="s">
        <v>17</v>
      </c>
      <c r="H44" s="8" t="s">
        <v>17</v>
      </c>
      <c r="I44" s="8" t="s">
        <v>17</v>
      </c>
      <c r="J44" s="8" t="s">
        <v>565</v>
      </c>
    </row>
    <row r="45" spans="1:10" x14ac:dyDescent="0.25" outlineLevel="3" collapsed="1">
      <c r="A45" s="7" t="s">
        <v>15</v>
      </c>
      <c r="B45" s="7" t="s">
        <v>16</v>
      </c>
      <c r="C45" s="7" t="s">
        <v>17</v>
      </c>
      <c r="D45" s="7"/>
      <c r="E45" s="7" t="s">
        <v>492</v>
      </c>
      <c r="F45" s="7" t="s">
        <v>19</v>
      </c>
      <c r="G45" s="7" t="s">
        <v>493</v>
      </c>
      <c r="H45" s="7" t="s">
        <v>17</v>
      </c>
      <c r="I45" s="7" t="s">
        <v>17</v>
      </c>
      <c r="J45" s="7" t="s">
        <v>494</v>
      </c>
    </row>
    <row r="46" spans="1:10" x14ac:dyDescent="0.25" outlineLevel="3" collapsed="1">
      <c r="A46" s="7" t="s">
        <v>15</v>
      </c>
      <c r="B46" s="7" t="s">
        <v>16</v>
      </c>
      <c r="C46" s="7" t="s">
        <v>17</v>
      </c>
      <c r="D46" s="7"/>
      <c r="E46" s="7" t="s">
        <v>495</v>
      </c>
      <c r="F46" s="7" t="s">
        <v>19</v>
      </c>
      <c r="G46" s="7" t="s">
        <v>496</v>
      </c>
      <c r="H46" s="7" t="s">
        <v>17</v>
      </c>
      <c r="I46" s="7" t="s">
        <v>17</v>
      </c>
      <c r="J46" s="7" t="s">
        <v>497</v>
      </c>
    </row>
    <row r="47" spans="1:10" x14ac:dyDescent="0.25" outlineLevel="2" collapsed="1">
      <c r="A47" s="8" t="s">
        <v>19</v>
      </c>
      <c r="B47" s="9" t="s">
        <v>502</v>
      </c>
      <c r="C47" s="8" t="s">
        <v>17</v>
      </c>
      <c r="D47" s="8"/>
      <c r="E47" s="8" t="s">
        <v>503</v>
      </c>
      <c r="F47" s="8" t="s">
        <v>15</v>
      </c>
      <c r="G47" s="8" t="s">
        <v>17</v>
      </c>
      <c r="H47" s="8" t="s">
        <v>17</v>
      </c>
      <c r="I47" s="8" t="s">
        <v>17</v>
      </c>
      <c r="J47" s="8" t="s">
        <v>504</v>
      </c>
    </row>
    <row r="48" spans="1:10" x14ac:dyDescent="0.25" outlineLevel="3" collapsed="1">
      <c r="A48" s="7" t="s">
        <v>19</v>
      </c>
      <c r="B48" s="7" t="s">
        <v>16</v>
      </c>
      <c r="C48" s="7" t="s">
        <v>17</v>
      </c>
      <c r="D48" s="7"/>
      <c r="E48" s="7" t="s">
        <v>505</v>
      </c>
      <c r="F48" s="7" t="s">
        <v>19</v>
      </c>
      <c r="G48" s="7" t="s">
        <v>31</v>
      </c>
      <c r="H48" s="7" t="s">
        <v>17</v>
      </c>
      <c r="I48" s="7" t="s">
        <v>17</v>
      </c>
      <c r="J48" s="7" t="s">
        <v>506</v>
      </c>
    </row>
    <row r="49" spans="1:10" x14ac:dyDescent="0.25" outlineLevel="3" collapsed="1">
      <c r="A49" s="7" t="s">
        <v>19</v>
      </c>
      <c r="B49" s="7" t="s">
        <v>16</v>
      </c>
      <c r="C49" s="7" t="s">
        <v>17</v>
      </c>
      <c r="D49" s="7"/>
      <c r="E49" s="7" t="s">
        <v>501</v>
      </c>
      <c r="F49" s="7" t="s">
        <v>19</v>
      </c>
      <c r="G49" s="7" t="s">
        <v>31</v>
      </c>
      <c r="H49" s="7" t="s">
        <v>17</v>
      </c>
      <c r="I49" s="7" t="s">
        <v>17</v>
      </c>
      <c r="J49" s="7" t="s">
        <v>497</v>
      </c>
    </row>
    <row r="50" spans="1:10" x14ac:dyDescent="0.25" outlineLevel="1" collapsed="1">
      <c r="A50" s="8" t="s">
        <v>15</v>
      </c>
      <c r="B50" s="9" t="s">
        <v>566</v>
      </c>
      <c r="C50" s="8" t="s">
        <v>17</v>
      </c>
      <c r="D50" s="8"/>
      <c r="E50" s="8" t="s">
        <v>567</v>
      </c>
      <c r="F50" s="8" t="s">
        <v>19</v>
      </c>
      <c r="G50" s="8" t="s">
        <v>17</v>
      </c>
      <c r="H50" s="8" t="s">
        <v>17</v>
      </c>
      <c r="I50" s="8" t="s">
        <v>17</v>
      </c>
      <c r="J50" s="8" t="s">
        <v>568</v>
      </c>
    </row>
    <row r="51" spans="1:10" x14ac:dyDescent="0.25" outlineLevel="2" collapsed="1">
      <c r="A51" s="7" t="s">
        <v>15</v>
      </c>
      <c r="B51" s="7" t="s">
        <v>16</v>
      </c>
      <c r="C51" s="7" t="s">
        <v>17</v>
      </c>
      <c r="D51" s="7"/>
      <c r="E51" s="7" t="s">
        <v>492</v>
      </c>
      <c r="F51" s="7" t="s">
        <v>19</v>
      </c>
      <c r="G51" s="7" t="s">
        <v>493</v>
      </c>
      <c r="H51" s="7" t="s">
        <v>17</v>
      </c>
      <c r="I51" s="7" t="s">
        <v>17</v>
      </c>
      <c r="J51" s="7" t="s">
        <v>494</v>
      </c>
    </row>
    <row r="52" spans="1:10" x14ac:dyDescent="0.25" outlineLevel="2" collapsed="1">
      <c r="A52" s="7" t="s">
        <v>15</v>
      </c>
      <c r="B52" s="7" t="s">
        <v>16</v>
      </c>
      <c r="C52" s="7" t="s">
        <v>17</v>
      </c>
      <c r="D52" s="7"/>
      <c r="E52" s="7" t="s">
        <v>495</v>
      </c>
      <c r="F52" s="7" t="s">
        <v>19</v>
      </c>
      <c r="G52" s="7" t="s">
        <v>496</v>
      </c>
      <c r="H52" s="7" t="s">
        <v>17</v>
      </c>
      <c r="I52" s="7" t="s">
        <v>17</v>
      </c>
      <c r="J52" s="7" t="s">
        <v>497</v>
      </c>
    </row>
    <row r="53" spans="1:10" x14ac:dyDescent="0.25" outlineLevel="2" collapsed="1">
      <c r="A53" s="8" t="s">
        <v>19</v>
      </c>
      <c r="B53" s="9" t="s">
        <v>502</v>
      </c>
      <c r="C53" s="8" t="s">
        <v>17</v>
      </c>
      <c r="D53" s="8"/>
      <c r="E53" s="8" t="s">
        <v>503</v>
      </c>
      <c r="F53" s="8" t="s">
        <v>15</v>
      </c>
      <c r="G53" s="8" t="s">
        <v>17</v>
      </c>
      <c r="H53" s="8" t="s">
        <v>17</v>
      </c>
      <c r="I53" s="8" t="s">
        <v>17</v>
      </c>
      <c r="J53" s="8" t="s">
        <v>504</v>
      </c>
    </row>
    <row r="54" spans="1:10" x14ac:dyDescent="0.25" outlineLevel="3" collapsed="1">
      <c r="A54" s="7" t="s">
        <v>19</v>
      </c>
      <c r="B54" s="7" t="s">
        <v>16</v>
      </c>
      <c r="C54" s="7" t="s">
        <v>17</v>
      </c>
      <c r="D54" s="7"/>
      <c r="E54" s="7" t="s">
        <v>505</v>
      </c>
      <c r="F54" s="7" t="s">
        <v>19</v>
      </c>
      <c r="G54" s="7" t="s">
        <v>31</v>
      </c>
      <c r="H54" s="7" t="s">
        <v>17</v>
      </c>
      <c r="I54" s="7" t="s">
        <v>17</v>
      </c>
      <c r="J54" s="7" t="s">
        <v>506</v>
      </c>
    </row>
    <row r="55" spans="1:10" x14ac:dyDescent="0.25" outlineLevel="3" collapsed="1">
      <c r="A55" s="7" t="s">
        <v>19</v>
      </c>
      <c r="B55" s="7" t="s">
        <v>16</v>
      </c>
      <c r="C55" s="7" t="s">
        <v>17</v>
      </c>
      <c r="D55" s="7"/>
      <c r="E55" s="7" t="s">
        <v>501</v>
      </c>
      <c r="F55" s="7" t="s">
        <v>19</v>
      </c>
      <c r="G55" s="7" t="s">
        <v>31</v>
      </c>
      <c r="H55" s="7" t="s">
        <v>17</v>
      </c>
      <c r="I55" s="7" t="s">
        <v>17</v>
      </c>
      <c r="J55" s="7" t="s">
        <v>497</v>
      </c>
    </row>
    <row r="56" spans="1:10" x14ac:dyDescent="0.25" outlineLevel="1" collapsed="1">
      <c r="A56" s="8" t="s">
        <v>15</v>
      </c>
      <c r="B56" s="9" t="s">
        <v>569</v>
      </c>
      <c r="C56" s="8" t="s">
        <v>17</v>
      </c>
      <c r="D56" s="8"/>
      <c r="E56" s="8" t="s">
        <v>570</v>
      </c>
      <c r="F56" s="8" t="s">
        <v>19</v>
      </c>
      <c r="G56" s="8" t="s">
        <v>17</v>
      </c>
      <c r="H56" s="8" t="s">
        <v>17</v>
      </c>
      <c r="I56" s="8" t="s">
        <v>17</v>
      </c>
      <c r="J56" s="8" t="s">
        <v>571</v>
      </c>
    </row>
    <row r="57" spans="1:10" x14ac:dyDescent="0.25" outlineLevel="2" collapsed="1">
      <c r="A57" s="8" t="s">
        <v>15</v>
      </c>
      <c r="B57" s="9" t="s">
        <v>572</v>
      </c>
      <c r="C57" s="8" t="s">
        <v>17</v>
      </c>
      <c r="D57" s="8"/>
      <c r="E57" s="8" t="s">
        <v>572</v>
      </c>
      <c r="F57" s="8" t="s">
        <v>19</v>
      </c>
      <c r="G57" s="8" t="s">
        <v>17</v>
      </c>
      <c r="H57" s="8" t="s">
        <v>17</v>
      </c>
      <c r="I57" s="8" t="s">
        <v>17</v>
      </c>
      <c r="J57" s="8" t="s">
        <v>573</v>
      </c>
    </row>
    <row r="58" spans="1:10" x14ac:dyDescent="0.25" outlineLevel="3" collapsed="1">
      <c r="A58" s="7" t="s">
        <v>15</v>
      </c>
      <c r="B58" s="7" t="s">
        <v>16</v>
      </c>
      <c r="C58" s="7" t="s">
        <v>17</v>
      </c>
      <c r="D58" s="7"/>
      <c r="E58" s="7" t="s">
        <v>537</v>
      </c>
      <c r="F58" s="7" t="s">
        <v>19</v>
      </c>
      <c r="G58" s="7" t="s">
        <v>538</v>
      </c>
      <c r="H58" s="7" t="s">
        <v>17</v>
      </c>
      <c r="I58" s="7" t="s">
        <v>17</v>
      </c>
      <c r="J58" s="7" t="s">
        <v>494</v>
      </c>
    </row>
    <row r="59" spans="1:10" x14ac:dyDescent="0.25" outlineLevel="2" collapsed="1">
      <c r="A59" s="8" t="s">
        <v>15</v>
      </c>
      <c r="B59" s="9" t="s">
        <v>574</v>
      </c>
      <c r="C59" s="8" t="s">
        <v>17</v>
      </c>
      <c r="D59" s="8"/>
      <c r="E59" s="8" t="s">
        <v>575</v>
      </c>
      <c r="F59" s="8" t="s">
        <v>19</v>
      </c>
      <c r="G59" s="8" t="s">
        <v>17</v>
      </c>
      <c r="H59" s="8" t="s">
        <v>17</v>
      </c>
      <c r="I59" s="8" t="s">
        <v>17</v>
      </c>
      <c r="J59" s="8" t="s">
        <v>576</v>
      </c>
    </row>
    <row r="60" spans="1:10" x14ac:dyDescent="0.25" outlineLevel="3" collapsed="1">
      <c r="A60" s="7" t="s">
        <v>15</v>
      </c>
      <c r="B60" s="7" t="s">
        <v>16</v>
      </c>
      <c r="C60" s="7" t="s">
        <v>17</v>
      </c>
      <c r="D60" s="7"/>
      <c r="E60" s="7" t="s">
        <v>537</v>
      </c>
      <c r="F60" s="7" t="s">
        <v>19</v>
      </c>
      <c r="G60" s="7" t="s">
        <v>538</v>
      </c>
      <c r="H60" s="7" t="s">
        <v>17</v>
      </c>
      <c r="I60" s="7" t="s">
        <v>17</v>
      </c>
      <c r="J60" s="7" t="s">
        <v>494</v>
      </c>
    </row>
    <row r="61" spans="1:10" x14ac:dyDescent="0.25" outlineLevel="2" collapsed="1">
      <c r="A61" s="8" t="s">
        <v>15</v>
      </c>
      <c r="B61" s="9" t="s">
        <v>577</v>
      </c>
      <c r="C61" s="8" t="s">
        <v>17</v>
      </c>
      <c r="D61" s="8"/>
      <c r="E61" s="8" t="s">
        <v>578</v>
      </c>
      <c r="F61" s="8" t="s">
        <v>19</v>
      </c>
      <c r="G61" s="8" t="s">
        <v>17</v>
      </c>
      <c r="H61" s="8" t="s">
        <v>17</v>
      </c>
      <c r="I61" s="8" t="s">
        <v>17</v>
      </c>
      <c r="J61" s="8" t="s">
        <v>579</v>
      </c>
    </row>
    <row r="62" spans="1:10" x14ac:dyDescent="0.25" outlineLevel="3" collapsed="1">
      <c r="A62" s="7" t="s">
        <v>15</v>
      </c>
      <c r="B62" s="7" t="s">
        <v>16</v>
      </c>
      <c r="C62" s="7" t="s">
        <v>17</v>
      </c>
      <c r="D62" s="7"/>
      <c r="E62" s="7" t="s">
        <v>537</v>
      </c>
      <c r="F62" s="7" t="s">
        <v>19</v>
      </c>
      <c r="G62" s="7" t="s">
        <v>538</v>
      </c>
      <c r="H62" s="7" t="s">
        <v>17</v>
      </c>
      <c r="I62" s="7" t="s">
        <v>17</v>
      </c>
      <c r="J62" s="7" t="s">
        <v>494</v>
      </c>
    </row>
    <row r="63" spans="1:10" x14ac:dyDescent="0.25" outlineLevel="1" collapsed="1">
      <c r="A63" s="8" t="s">
        <v>19</v>
      </c>
      <c r="B63" s="9" t="s">
        <v>580</v>
      </c>
      <c r="C63" s="8" t="s">
        <v>17</v>
      </c>
      <c r="D63" s="8"/>
      <c r="E63" s="8" t="s">
        <v>581</v>
      </c>
      <c r="F63" s="8" t="s">
        <v>19</v>
      </c>
      <c r="G63" s="8" t="s">
        <v>17</v>
      </c>
      <c r="H63" s="8" t="s">
        <v>17</v>
      </c>
      <c r="I63" s="8" t="s">
        <v>17</v>
      </c>
      <c r="J63" s="8" t="s">
        <v>573</v>
      </c>
    </row>
    <row r="64" spans="1:10" x14ac:dyDescent="0.25" outlineLevel="2" collapsed="1">
      <c r="A64" s="7" t="s">
        <v>19</v>
      </c>
      <c r="B64" s="7" t="s">
        <v>16</v>
      </c>
      <c r="C64" s="7" t="s">
        <v>17</v>
      </c>
      <c r="D64" s="7"/>
      <c r="E64" s="7" t="s">
        <v>500</v>
      </c>
      <c r="F64" s="7" t="s">
        <v>19</v>
      </c>
      <c r="G64" s="7" t="s">
        <v>31</v>
      </c>
      <c r="H64" s="7" t="s">
        <v>17</v>
      </c>
      <c r="I64" s="7" t="s">
        <v>17</v>
      </c>
      <c r="J64" s="7" t="s">
        <v>494</v>
      </c>
    </row>
    <row r="65" spans="1:10" x14ac:dyDescent="0.25" outlineLevel="1" collapsed="1">
      <c r="A65" s="8" t="s">
        <v>19</v>
      </c>
      <c r="B65" s="9" t="s">
        <v>582</v>
      </c>
      <c r="C65" s="8" t="s">
        <v>17</v>
      </c>
      <c r="D65" s="8"/>
      <c r="E65" s="8" t="s">
        <v>583</v>
      </c>
      <c r="F65" s="8" t="s">
        <v>19</v>
      </c>
      <c r="G65" s="8" t="s">
        <v>17</v>
      </c>
      <c r="H65" s="8" t="s">
        <v>17</v>
      </c>
      <c r="I65" s="8" t="s">
        <v>17</v>
      </c>
      <c r="J65" s="8" t="s">
        <v>584</v>
      </c>
    </row>
    <row r="66" spans="1:10" x14ac:dyDescent="0.25" outlineLevel="2" collapsed="1">
      <c r="A66" s="7" t="s">
        <v>19</v>
      </c>
      <c r="B66" s="7" t="s">
        <v>16</v>
      </c>
      <c r="C66" s="7" t="s">
        <v>17</v>
      </c>
      <c r="D66" s="7"/>
      <c r="E66" s="7" t="s">
        <v>500</v>
      </c>
      <c r="F66" s="7" t="s">
        <v>19</v>
      </c>
      <c r="G66" s="7" t="s">
        <v>31</v>
      </c>
      <c r="H66" s="7" t="s">
        <v>17</v>
      </c>
      <c r="I66" s="7" t="s">
        <v>17</v>
      </c>
      <c r="J66" s="7" t="s">
        <v>494</v>
      </c>
    </row>
    <row r="67" spans="1:10" x14ac:dyDescent="0.25" outlineLevel="1" collapsed="1">
      <c r="A67" s="8" t="s">
        <v>19</v>
      </c>
      <c r="B67" s="9" t="s">
        <v>585</v>
      </c>
      <c r="C67" s="8" t="s">
        <v>17</v>
      </c>
      <c r="D67" s="8"/>
      <c r="E67" s="8" t="s">
        <v>586</v>
      </c>
      <c r="F67" s="8" t="s">
        <v>19</v>
      </c>
      <c r="G67" s="8" t="s">
        <v>17</v>
      </c>
      <c r="H67" s="8" t="s">
        <v>17</v>
      </c>
      <c r="I67" s="8" t="s">
        <v>17</v>
      </c>
      <c r="J67" s="8" t="s">
        <v>579</v>
      </c>
    </row>
    <row r="68" spans="1:10" x14ac:dyDescent="0.25" outlineLevel="2" collapsed="1">
      <c r="A68" s="7" t="s">
        <v>19</v>
      </c>
      <c r="B68" s="7" t="s">
        <v>16</v>
      </c>
      <c r="C68" s="7" t="s">
        <v>17</v>
      </c>
      <c r="D68" s="7"/>
      <c r="E68" s="7" t="s">
        <v>500</v>
      </c>
      <c r="F68" s="7" t="s">
        <v>19</v>
      </c>
      <c r="G68" s="7" t="s">
        <v>31</v>
      </c>
      <c r="H68" s="7" t="s">
        <v>17</v>
      </c>
      <c r="I68" s="7" t="s">
        <v>17</v>
      </c>
      <c r="J68" s="7" t="s">
        <v>494</v>
      </c>
    </row>
    <row r="69" spans="1:10" x14ac:dyDescent="0.25" outlineLevel="1" collapsed="1">
      <c r="A69" s="8" t="s">
        <v>19</v>
      </c>
      <c r="B69" s="9" t="s">
        <v>587</v>
      </c>
      <c r="C69" s="8" t="s">
        <v>17</v>
      </c>
      <c r="D69" s="8"/>
      <c r="E69" s="8" t="s">
        <v>588</v>
      </c>
      <c r="F69" s="8" t="s">
        <v>19</v>
      </c>
      <c r="G69" s="8" t="s">
        <v>17</v>
      </c>
      <c r="H69" s="8" t="s">
        <v>17</v>
      </c>
      <c r="I69" s="8" t="s">
        <v>17</v>
      </c>
      <c r="J69" s="8" t="s">
        <v>550</v>
      </c>
    </row>
    <row r="70" spans="1:10" x14ac:dyDescent="0.25" outlineLevel="2" collapsed="1">
      <c r="A70" s="7" t="s">
        <v>19</v>
      </c>
      <c r="B70" s="7" t="s">
        <v>16</v>
      </c>
      <c r="C70" s="7" t="s">
        <v>17</v>
      </c>
      <c r="D70" s="7"/>
      <c r="E70" s="7" t="s">
        <v>500</v>
      </c>
      <c r="F70" s="7" t="s">
        <v>19</v>
      </c>
      <c r="G70" s="7" t="s">
        <v>31</v>
      </c>
      <c r="H70" s="7" t="s">
        <v>17</v>
      </c>
      <c r="I70" s="7" t="s">
        <v>17</v>
      </c>
      <c r="J70" s="7" t="s">
        <v>494</v>
      </c>
    </row>
    <row r="71" spans="1:10" x14ac:dyDescent="0.25" outlineLevel="2" collapsed="1">
      <c r="A71" s="7" t="s">
        <v>19</v>
      </c>
      <c r="B71" s="7" t="s">
        <v>16</v>
      </c>
      <c r="C71" s="7" t="s">
        <v>17</v>
      </c>
      <c r="D71" s="7"/>
      <c r="E71" s="7" t="s">
        <v>501</v>
      </c>
      <c r="F71" s="7" t="s">
        <v>19</v>
      </c>
      <c r="G71" s="7" t="s">
        <v>31</v>
      </c>
      <c r="H71" s="7" t="s">
        <v>17</v>
      </c>
      <c r="I71" s="7" t="s">
        <v>17</v>
      </c>
      <c r="J71" s="7" t="s">
        <v>497</v>
      </c>
    </row>
    <row r="72" spans="1:10" x14ac:dyDescent="0.25" outlineLevel="2" collapsed="1">
      <c r="A72" s="8" t="s">
        <v>19</v>
      </c>
      <c r="B72" s="9" t="s">
        <v>502</v>
      </c>
      <c r="C72" s="8" t="s">
        <v>17</v>
      </c>
      <c r="D72" s="8"/>
      <c r="E72" s="8" t="s">
        <v>503</v>
      </c>
      <c r="F72" s="8" t="s">
        <v>15</v>
      </c>
      <c r="G72" s="8" t="s">
        <v>17</v>
      </c>
      <c r="H72" s="8" t="s">
        <v>17</v>
      </c>
      <c r="I72" s="8" t="s">
        <v>17</v>
      </c>
      <c r="J72" s="8" t="s">
        <v>504</v>
      </c>
    </row>
    <row r="73" spans="1:10" x14ac:dyDescent="0.25" outlineLevel="3" collapsed="1">
      <c r="A73" s="7" t="s">
        <v>19</v>
      </c>
      <c r="B73" s="7" t="s">
        <v>16</v>
      </c>
      <c r="C73" s="7" t="s">
        <v>17</v>
      </c>
      <c r="D73" s="7"/>
      <c r="E73" s="7" t="s">
        <v>505</v>
      </c>
      <c r="F73" s="7" t="s">
        <v>19</v>
      </c>
      <c r="G73" s="7" t="s">
        <v>31</v>
      </c>
      <c r="H73" s="7" t="s">
        <v>17</v>
      </c>
      <c r="I73" s="7" t="s">
        <v>17</v>
      </c>
      <c r="J73" s="7" t="s">
        <v>506</v>
      </c>
    </row>
    <row r="74" spans="1:10" x14ac:dyDescent="0.25" outlineLevel="3" collapsed="1">
      <c r="A74" s="7" t="s">
        <v>19</v>
      </c>
      <c r="B74" s="7" t="s">
        <v>16</v>
      </c>
      <c r="C74" s="7" t="s">
        <v>17</v>
      </c>
      <c r="D74" s="7"/>
      <c r="E74" s="7" t="s">
        <v>501</v>
      </c>
      <c r="F74" s="7" t="s">
        <v>19</v>
      </c>
      <c r="G74" s="7" t="s">
        <v>31</v>
      </c>
      <c r="H74" s="7" t="s">
        <v>17</v>
      </c>
      <c r="I74" s="7" t="s">
        <v>17</v>
      </c>
      <c r="J74" s="7" t="s">
        <v>497</v>
      </c>
    </row>
    <row r="75" spans="1:10" x14ac:dyDescent="0.25" outlineLevel="1" collapsed="1">
      <c r="A75" s="8" t="s">
        <v>19</v>
      </c>
      <c r="B75" s="9" t="s">
        <v>589</v>
      </c>
      <c r="C75" s="8" t="s">
        <v>17</v>
      </c>
      <c r="D75" s="8"/>
      <c r="E75" s="8" t="s">
        <v>590</v>
      </c>
      <c r="F75" s="8" t="s">
        <v>19</v>
      </c>
      <c r="G75" s="8" t="s">
        <v>17</v>
      </c>
      <c r="H75" s="8" t="s">
        <v>17</v>
      </c>
      <c r="I75" s="8" t="s">
        <v>17</v>
      </c>
      <c r="J75" s="8" t="s">
        <v>591</v>
      </c>
    </row>
    <row r="76" spans="1:10" x14ac:dyDescent="0.25" outlineLevel="2" collapsed="1">
      <c r="A76" s="7" t="s">
        <v>19</v>
      </c>
      <c r="B76" s="7" t="s">
        <v>16</v>
      </c>
      <c r="C76" s="7" t="s">
        <v>17</v>
      </c>
      <c r="D76" s="7"/>
      <c r="E76" s="7" t="s">
        <v>500</v>
      </c>
      <c r="F76" s="7" t="s">
        <v>19</v>
      </c>
      <c r="G76" s="7" t="s">
        <v>31</v>
      </c>
      <c r="H76" s="7" t="s">
        <v>17</v>
      </c>
      <c r="I76" s="7" t="s">
        <v>17</v>
      </c>
      <c r="J76" s="7" t="s">
        <v>494</v>
      </c>
    </row>
    <row r="77" spans="1:10" x14ac:dyDescent="0.25" outlineLevel="2" collapsed="1">
      <c r="A77" s="7" t="s">
        <v>19</v>
      </c>
      <c r="B77" s="7" t="s">
        <v>16</v>
      </c>
      <c r="C77" s="7" t="s">
        <v>17</v>
      </c>
      <c r="D77" s="7"/>
      <c r="E77" s="7" t="s">
        <v>501</v>
      </c>
      <c r="F77" s="7" t="s">
        <v>19</v>
      </c>
      <c r="G77" s="7" t="s">
        <v>31</v>
      </c>
      <c r="H77" s="7" t="s">
        <v>17</v>
      </c>
      <c r="I77" s="7" t="s">
        <v>17</v>
      </c>
      <c r="J77" s="7" t="s">
        <v>497</v>
      </c>
    </row>
    <row r="78" spans="1:10" x14ac:dyDescent="0.25" outlineLevel="2" collapsed="1">
      <c r="A78" s="8" t="s">
        <v>19</v>
      </c>
      <c r="B78" s="9" t="s">
        <v>502</v>
      </c>
      <c r="C78" s="8" t="s">
        <v>17</v>
      </c>
      <c r="D78" s="8"/>
      <c r="E78" s="8" t="s">
        <v>503</v>
      </c>
      <c r="F78" s="8" t="s">
        <v>15</v>
      </c>
      <c r="G78" s="8" t="s">
        <v>17</v>
      </c>
      <c r="H78" s="8" t="s">
        <v>17</v>
      </c>
      <c r="I78" s="8" t="s">
        <v>17</v>
      </c>
      <c r="J78" s="8" t="s">
        <v>504</v>
      </c>
    </row>
    <row r="79" spans="1:10" x14ac:dyDescent="0.25" outlineLevel="3" collapsed="1">
      <c r="A79" s="7" t="s">
        <v>19</v>
      </c>
      <c r="B79" s="7" t="s">
        <v>16</v>
      </c>
      <c r="C79" s="7" t="s">
        <v>17</v>
      </c>
      <c r="D79" s="7"/>
      <c r="E79" s="7" t="s">
        <v>505</v>
      </c>
      <c r="F79" s="7" t="s">
        <v>19</v>
      </c>
      <c r="G79" s="7" t="s">
        <v>31</v>
      </c>
      <c r="H79" s="7" t="s">
        <v>17</v>
      </c>
      <c r="I79" s="7" t="s">
        <v>17</v>
      </c>
      <c r="J79" s="7" t="s">
        <v>506</v>
      </c>
    </row>
    <row r="80" spans="1:10" x14ac:dyDescent="0.25" outlineLevel="3" collapsed="1">
      <c r="A80" s="7" t="s">
        <v>19</v>
      </c>
      <c r="B80" s="7" t="s">
        <v>16</v>
      </c>
      <c r="C80" s="7" t="s">
        <v>17</v>
      </c>
      <c r="D80" s="7"/>
      <c r="E80" s="7" t="s">
        <v>501</v>
      </c>
      <c r="F80" s="7" t="s">
        <v>19</v>
      </c>
      <c r="G80" s="7" t="s">
        <v>31</v>
      </c>
      <c r="H80" s="7" t="s">
        <v>17</v>
      </c>
      <c r="I80" s="7" t="s">
        <v>17</v>
      </c>
      <c r="J80" s="7" t="s">
        <v>497</v>
      </c>
    </row>
    <row r="81" spans="1:10" x14ac:dyDescent="0.25" outlineLevel="1" collapsed="1">
      <c r="A81" s="8" t="s">
        <v>19</v>
      </c>
      <c r="B81" s="9" t="s">
        <v>592</v>
      </c>
      <c r="C81" s="8" t="s">
        <v>17</v>
      </c>
      <c r="D81" s="8"/>
      <c r="E81" s="8" t="s">
        <v>593</v>
      </c>
      <c r="F81" s="8" t="s">
        <v>19</v>
      </c>
      <c r="G81" s="8" t="s">
        <v>17</v>
      </c>
      <c r="H81" s="8" t="s">
        <v>17</v>
      </c>
      <c r="I81" s="8" t="s">
        <v>17</v>
      </c>
      <c r="J81" s="8" t="s">
        <v>594</v>
      </c>
    </row>
    <row r="82" spans="1:10" x14ac:dyDescent="0.25" outlineLevel="2" collapsed="1">
      <c r="A82" s="7" t="s">
        <v>19</v>
      </c>
      <c r="B82" s="7" t="s">
        <v>16</v>
      </c>
      <c r="C82" s="7" t="s">
        <v>17</v>
      </c>
      <c r="D82" s="7"/>
      <c r="E82" s="7" t="s">
        <v>500</v>
      </c>
      <c r="F82" s="7" t="s">
        <v>19</v>
      </c>
      <c r="G82" s="7" t="s">
        <v>31</v>
      </c>
      <c r="H82" s="7" t="s">
        <v>17</v>
      </c>
      <c r="I82" s="7" t="s">
        <v>17</v>
      </c>
      <c r="J82" s="7" t="s">
        <v>494</v>
      </c>
    </row>
    <row r="83" spans="1:10" x14ac:dyDescent="0.25" outlineLevel="2" collapsed="1">
      <c r="A83" s="7" t="s">
        <v>19</v>
      </c>
      <c r="B83" s="7" t="s">
        <v>16</v>
      </c>
      <c r="C83" s="7" t="s">
        <v>17</v>
      </c>
      <c r="D83" s="7"/>
      <c r="E83" s="7" t="s">
        <v>501</v>
      </c>
      <c r="F83" s="7" t="s">
        <v>19</v>
      </c>
      <c r="G83" s="7" t="s">
        <v>31</v>
      </c>
      <c r="H83" s="7" t="s">
        <v>17</v>
      </c>
      <c r="I83" s="7" t="s">
        <v>17</v>
      </c>
      <c r="J83" s="7" t="s">
        <v>497</v>
      </c>
    </row>
    <row r="84" spans="1:10" x14ac:dyDescent="0.25" outlineLevel="2" collapsed="1">
      <c r="A84" s="8" t="s">
        <v>19</v>
      </c>
      <c r="B84" s="9" t="s">
        <v>502</v>
      </c>
      <c r="C84" s="8" t="s">
        <v>17</v>
      </c>
      <c r="D84" s="8"/>
      <c r="E84" s="8" t="s">
        <v>503</v>
      </c>
      <c r="F84" s="8" t="s">
        <v>15</v>
      </c>
      <c r="G84" s="8" t="s">
        <v>17</v>
      </c>
      <c r="H84" s="8" t="s">
        <v>17</v>
      </c>
      <c r="I84" s="8" t="s">
        <v>17</v>
      </c>
      <c r="J84" s="8" t="s">
        <v>504</v>
      </c>
    </row>
    <row r="85" spans="1:10" x14ac:dyDescent="0.25" outlineLevel="3" collapsed="1">
      <c r="A85" s="7" t="s">
        <v>19</v>
      </c>
      <c r="B85" s="7" t="s">
        <v>16</v>
      </c>
      <c r="C85" s="7" t="s">
        <v>17</v>
      </c>
      <c r="D85" s="7"/>
      <c r="E85" s="7" t="s">
        <v>505</v>
      </c>
      <c r="F85" s="7" t="s">
        <v>19</v>
      </c>
      <c r="G85" s="7" t="s">
        <v>31</v>
      </c>
      <c r="H85" s="7" t="s">
        <v>17</v>
      </c>
      <c r="I85" s="7" t="s">
        <v>17</v>
      </c>
      <c r="J85" s="7" t="s">
        <v>506</v>
      </c>
    </row>
    <row r="86" spans="1:10" x14ac:dyDescent="0.25" outlineLevel="3" collapsed="1">
      <c r="A86" s="7" t="s">
        <v>19</v>
      </c>
      <c r="B86" s="7" t="s">
        <v>16</v>
      </c>
      <c r="C86" s="7" t="s">
        <v>17</v>
      </c>
      <c r="D86" s="7"/>
      <c r="E86" s="7" t="s">
        <v>501</v>
      </c>
      <c r="F86" s="7" t="s">
        <v>19</v>
      </c>
      <c r="G86" s="7" t="s">
        <v>31</v>
      </c>
      <c r="H86" s="7" t="s">
        <v>17</v>
      </c>
      <c r="I86" s="7" t="s">
        <v>17</v>
      </c>
      <c r="J86" s="7" t="s">
        <v>497</v>
      </c>
    </row>
    <row r="87" spans="1:10" x14ac:dyDescent="0.25" outlineLevel="1" collapsed="1">
      <c r="A87" s="8" t="s">
        <v>19</v>
      </c>
      <c r="B87" s="9" t="s">
        <v>595</v>
      </c>
      <c r="C87" s="8" t="s">
        <v>17</v>
      </c>
      <c r="D87" s="8"/>
      <c r="E87" s="8" t="s">
        <v>596</v>
      </c>
      <c r="F87" s="8" t="s">
        <v>19</v>
      </c>
      <c r="G87" s="8" t="s">
        <v>17</v>
      </c>
      <c r="H87" s="8" t="s">
        <v>17</v>
      </c>
      <c r="I87" s="8" t="s">
        <v>17</v>
      </c>
      <c r="J87" s="8" t="s">
        <v>597</v>
      </c>
    </row>
    <row r="88" spans="1:10" x14ac:dyDescent="0.25" outlineLevel="2" collapsed="1">
      <c r="A88" s="7" t="s">
        <v>19</v>
      </c>
      <c r="B88" s="7" t="s">
        <v>16</v>
      </c>
      <c r="C88" s="7" t="s">
        <v>17</v>
      </c>
      <c r="D88" s="7"/>
      <c r="E88" s="7" t="s">
        <v>500</v>
      </c>
      <c r="F88" s="7" t="s">
        <v>19</v>
      </c>
      <c r="G88" s="7" t="s">
        <v>31</v>
      </c>
      <c r="H88" s="7" t="s">
        <v>17</v>
      </c>
      <c r="I88" s="7" t="s">
        <v>17</v>
      </c>
      <c r="J88" s="7" t="s">
        <v>494</v>
      </c>
    </row>
    <row r="89" spans="1:10" x14ac:dyDescent="0.25" outlineLevel="2" collapsed="1">
      <c r="A89" s="7" t="s">
        <v>19</v>
      </c>
      <c r="B89" s="7" t="s">
        <v>16</v>
      </c>
      <c r="C89" s="7" t="s">
        <v>17</v>
      </c>
      <c r="D89" s="7"/>
      <c r="E89" s="7" t="s">
        <v>501</v>
      </c>
      <c r="F89" s="7" t="s">
        <v>19</v>
      </c>
      <c r="G89" s="7" t="s">
        <v>31</v>
      </c>
      <c r="H89" s="7" t="s">
        <v>17</v>
      </c>
      <c r="I89" s="7" t="s">
        <v>17</v>
      </c>
      <c r="J89" s="7" t="s">
        <v>497</v>
      </c>
    </row>
    <row r="90" spans="1:10" x14ac:dyDescent="0.25" outlineLevel="2" collapsed="1">
      <c r="A90" s="8" t="s">
        <v>19</v>
      </c>
      <c r="B90" s="9" t="s">
        <v>502</v>
      </c>
      <c r="C90" s="8" t="s">
        <v>17</v>
      </c>
      <c r="D90" s="8"/>
      <c r="E90" s="8" t="s">
        <v>503</v>
      </c>
      <c r="F90" s="8" t="s">
        <v>15</v>
      </c>
      <c r="G90" s="8" t="s">
        <v>17</v>
      </c>
      <c r="H90" s="8" t="s">
        <v>17</v>
      </c>
      <c r="I90" s="8" t="s">
        <v>17</v>
      </c>
      <c r="J90" s="8" t="s">
        <v>504</v>
      </c>
    </row>
    <row r="91" spans="1:10" x14ac:dyDescent="0.25" outlineLevel="3" collapsed="1">
      <c r="A91" s="7" t="s">
        <v>19</v>
      </c>
      <c r="B91" s="7" t="s">
        <v>16</v>
      </c>
      <c r="C91" s="7" t="s">
        <v>17</v>
      </c>
      <c r="D91" s="7"/>
      <c r="E91" s="7" t="s">
        <v>505</v>
      </c>
      <c r="F91" s="7" t="s">
        <v>19</v>
      </c>
      <c r="G91" s="7" t="s">
        <v>31</v>
      </c>
      <c r="H91" s="7" t="s">
        <v>17</v>
      </c>
      <c r="I91" s="7" t="s">
        <v>17</v>
      </c>
      <c r="J91" s="7" t="s">
        <v>506</v>
      </c>
    </row>
    <row r="92" spans="1:10" x14ac:dyDescent="0.25" outlineLevel="3" collapsed="1">
      <c r="A92" s="7" t="s">
        <v>19</v>
      </c>
      <c r="B92" s="7" t="s">
        <v>16</v>
      </c>
      <c r="C92" s="7" t="s">
        <v>17</v>
      </c>
      <c r="D92" s="7"/>
      <c r="E92" s="7" t="s">
        <v>501</v>
      </c>
      <c r="F92" s="7" t="s">
        <v>19</v>
      </c>
      <c r="G92" s="7" t="s">
        <v>31</v>
      </c>
      <c r="H92" s="7" t="s">
        <v>17</v>
      </c>
      <c r="I92" s="7" t="s">
        <v>17</v>
      </c>
      <c r="J92" s="7" t="s">
        <v>497</v>
      </c>
    </row>
    <row r="93" spans="1:10" x14ac:dyDescent="0.25" outlineLevel="1" collapsed="1">
      <c r="A93" s="8" t="s">
        <v>19</v>
      </c>
      <c r="B93" s="9" t="s">
        <v>598</v>
      </c>
      <c r="C93" s="8" t="s">
        <v>17</v>
      </c>
      <c r="D93" s="8"/>
      <c r="E93" s="8" t="s">
        <v>599</v>
      </c>
      <c r="F93" s="8" t="s">
        <v>19</v>
      </c>
      <c r="G93" s="8" t="s">
        <v>17</v>
      </c>
      <c r="H93" s="8" t="s">
        <v>17</v>
      </c>
      <c r="I93" s="8" t="s">
        <v>17</v>
      </c>
      <c r="J93" s="8" t="s">
        <v>600</v>
      </c>
    </row>
    <row r="94" spans="1:10" x14ac:dyDescent="0.25" outlineLevel="2" collapsed="1">
      <c r="A94" s="7" t="s">
        <v>19</v>
      </c>
      <c r="B94" s="7" t="s">
        <v>16</v>
      </c>
      <c r="C94" s="7" t="s">
        <v>17</v>
      </c>
      <c r="D94" s="7"/>
      <c r="E94" s="7" t="s">
        <v>500</v>
      </c>
      <c r="F94" s="7" t="s">
        <v>19</v>
      </c>
      <c r="G94" s="7" t="s">
        <v>31</v>
      </c>
      <c r="H94" s="7" t="s">
        <v>17</v>
      </c>
      <c r="I94" s="7" t="s">
        <v>17</v>
      </c>
      <c r="J94" s="7" t="s">
        <v>494</v>
      </c>
    </row>
    <row r="95" spans="1:10" x14ac:dyDescent="0.25" outlineLevel="2" collapsed="1">
      <c r="A95" s="7" t="s">
        <v>19</v>
      </c>
      <c r="B95" s="7" t="s">
        <v>16</v>
      </c>
      <c r="C95" s="7" t="s">
        <v>17</v>
      </c>
      <c r="D95" s="7"/>
      <c r="E95" s="7" t="s">
        <v>501</v>
      </c>
      <c r="F95" s="7" t="s">
        <v>19</v>
      </c>
      <c r="G95" s="7" t="s">
        <v>31</v>
      </c>
      <c r="H95" s="7" t="s">
        <v>17</v>
      </c>
      <c r="I95" s="7" t="s">
        <v>17</v>
      </c>
      <c r="J95" s="7" t="s">
        <v>497</v>
      </c>
    </row>
    <row r="96" spans="1:10" x14ac:dyDescent="0.25" outlineLevel="2" collapsed="1">
      <c r="A96" s="8" t="s">
        <v>19</v>
      </c>
      <c r="B96" s="9" t="s">
        <v>502</v>
      </c>
      <c r="C96" s="8" t="s">
        <v>17</v>
      </c>
      <c r="D96" s="8"/>
      <c r="E96" s="8" t="s">
        <v>503</v>
      </c>
      <c r="F96" s="8" t="s">
        <v>15</v>
      </c>
      <c r="G96" s="8" t="s">
        <v>17</v>
      </c>
      <c r="H96" s="8" t="s">
        <v>17</v>
      </c>
      <c r="I96" s="8" t="s">
        <v>17</v>
      </c>
      <c r="J96" s="8" t="s">
        <v>504</v>
      </c>
    </row>
    <row r="97" spans="1:10" x14ac:dyDescent="0.25" outlineLevel="3" collapsed="1">
      <c r="A97" s="7" t="s">
        <v>19</v>
      </c>
      <c r="B97" s="7" t="s">
        <v>16</v>
      </c>
      <c r="C97" s="7" t="s">
        <v>17</v>
      </c>
      <c r="D97" s="7"/>
      <c r="E97" s="7" t="s">
        <v>505</v>
      </c>
      <c r="F97" s="7" t="s">
        <v>19</v>
      </c>
      <c r="G97" s="7" t="s">
        <v>31</v>
      </c>
      <c r="H97" s="7" t="s">
        <v>17</v>
      </c>
      <c r="I97" s="7" t="s">
        <v>17</v>
      </c>
      <c r="J97" s="7" t="s">
        <v>506</v>
      </c>
    </row>
    <row r="98" spans="1:10" x14ac:dyDescent="0.25" outlineLevel="3" collapsed="1">
      <c r="A98" s="7" t="s">
        <v>19</v>
      </c>
      <c r="B98" s="7" t="s">
        <v>16</v>
      </c>
      <c r="C98" s="7" t="s">
        <v>17</v>
      </c>
      <c r="D98" s="7"/>
      <c r="E98" s="7" t="s">
        <v>501</v>
      </c>
      <c r="F98" s="7" t="s">
        <v>19</v>
      </c>
      <c r="G98" s="7" t="s">
        <v>31</v>
      </c>
      <c r="H98" s="7" t="s">
        <v>17</v>
      </c>
      <c r="I98" s="7" t="s">
        <v>17</v>
      </c>
      <c r="J98" s="7" t="s">
        <v>497</v>
      </c>
    </row>
    <row r="99" spans="1:10" x14ac:dyDescent="0.25" outlineLevel="1" collapsed="1">
      <c r="A99" s="8" t="s">
        <v>19</v>
      </c>
      <c r="B99" s="9" t="s">
        <v>601</v>
      </c>
      <c r="C99" s="8" t="s">
        <v>17</v>
      </c>
      <c r="D99" s="8"/>
      <c r="E99" s="8" t="s">
        <v>602</v>
      </c>
      <c r="F99" s="8" t="s">
        <v>19</v>
      </c>
      <c r="G99" s="8" t="s">
        <v>17</v>
      </c>
      <c r="H99" s="8" t="s">
        <v>17</v>
      </c>
      <c r="I99" s="8" t="s">
        <v>17</v>
      </c>
      <c r="J99" s="8" t="s">
        <v>603</v>
      </c>
    </row>
    <row r="100" spans="1:10" x14ac:dyDescent="0.25" outlineLevel="2" collapsed="1">
      <c r="A100" s="7" t="s">
        <v>19</v>
      </c>
      <c r="B100" s="7" t="s">
        <v>16</v>
      </c>
      <c r="C100" s="7" t="s">
        <v>17</v>
      </c>
      <c r="D100" s="7"/>
      <c r="E100" s="7" t="s">
        <v>500</v>
      </c>
      <c r="F100" s="7" t="s">
        <v>19</v>
      </c>
      <c r="G100" s="7" t="s">
        <v>31</v>
      </c>
      <c r="H100" s="7" t="s">
        <v>17</v>
      </c>
      <c r="I100" s="7" t="s">
        <v>17</v>
      </c>
      <c r="J100" s="7" t="s">
        <v>494</v>
      </c>
    </row>
    <row r="101" spans="1:10" x14ac:dyDescent="0.25" outlineLevel="2" collapsed="1">
      <c r="A101" s="7" t="s">
        <v>19</v>
      </c>
      <c r="B101" s="7" t="s">
        <v>16</v>
      </c>
      <c r="C101" s="7" t="s">
        <v>17</v>
      </c>
      <c r="D101" s="7"/>
      <c r="E101" s="7" t="s">
        <v>501</v>
      </c>
      <c r="F101" s="7" t="s">
        <v>19</v>
      </c>
      <c r="G101" s="7" t="s">
        <v>31</v>
      </c>
      <c r="H101" s="7" t="s">
        <v>17</v>
      </c>
      <c r="I101" s="7" t="s">
        <v>17</v>
      </c>
      <c r="J101" s="7" t="s">
        <v>497</v>
      </c>
    </row>
    <row r="102" spans="1:10" x14ac:dyDescent="0.25" outlineLevel="2" collapsed="1">
      <c r="A102" s="8" t="s">
        <v>19</v>
      </c>
      <c r="B102" s="9" t="s">
        <v>502</v>
      </c>
      <c r="C102" s="8" t="s">
        <v>17</v>
      </c>
      <c r="D102" s="8"/>
      <c r="E102" s="8" t="s">
        <v>503</v>
      </c>
      <c r="F102" s="8" t="s">
        <v>15</v>
      </c>
      <c r="G102" s="8" t="s">
        <v>17</v>
      </c>
      <c r="H102" s="8" t="s">
        <v>17</v>
      </c>
      <c r="I102" s="8" t="s">
        <v>17</v>
      </c>
      <c r="J102" s="8" t="s">
        <v>504</v>
      </c>
    </row>
    <row r="103" spans="1:10" x14ac:dyDescent="0.25" outlineLevel="3" collapsed="1">
      <c r="A103" s="7" t="s">
        <v>19</v>
      </c>
      <c r="B103" s="7" t="s">
        <v>16</v>
      </c>
      <c r="C103" s="7" t="s">
        <v>17</v>
      </c>
      <c r="D103" s="7"/>
      <c r="E103" s="7" t="s">
        <v>505</v>
      </c>
      <c r="F103" s="7" t="s">
        <v>19</v>
      </c>
      <c r="G103" s="7" t="s">
        <v>31</v>
      </c>
      <c r="H103" s="7" t="s">
        <v>17</v>
      </c>
      <c r="I103" s="7" t="s">
        <v>17</v>
      </c>
      <c r="J103" s="7" t="s">
        <v>506</v>
      </c>
    </row>
    <row r="104" spans="1:10" x14ac:dyDescent="0.25" outlineLevel="3" collapsed="1">
      <c r="A104" s="7" t="s">
        <v>19</v>
      </c>
      <c r="B104" s="7" t="s">
        <v>16</v>
      </c>
      <c r="C104" s="7" t="s">
        <v>17</v>
      </c>
      <c r="D104" s="7"/>
      <c r="E104" s="7" t="s">
        <v>501</v>
      </c>
      <c r="F104" s="7" t="s">
        <v>19</v>
      </c>
      <c r="G104" s="7" t="s">
        <v>31</v>
      </c>
      <c r="H104" s="7" t="s">
        <v>17</v>
      </c>
      <c r="I104" s="7" t="s">
        <v>17</v>
      </c>
      <c r="J104" s="7" t="s">
        <v>497</v>
      </c>
    </row>
    <row r="105" spans="1:10" x14ac:dyDescent="0.25">
      <c r="A105" s="5" t="s">
        <v>15</v>
      </c>
      <c r="B105" s="6" t="s">
        <v>604</v>
      </c>
      <c r="C105" s="5" t="s">
        <v>17</v>
      </c>
      <c r="D105" s="5"/>
      <c r="E105" s="5" t="s">
        <v>605</v>
      </c>
      <c r="F105" s="5" t="s">
        <v>19</v>
      </c>
      <c r="G105" s="5" t="s">
        <v>17</v>
      </c>
      <c r="H105" s="5" t="s">
        <v>17</v>
      </c>
      <c r="I105" s="5" t="s">
        <v>17</v>
      </c>
      <c r="J105" s="5" t="s">
        <v>606</v>
      </c>
    </row>
    <row r="106" spans="1:10" x14ac:dyDescent="0.25" outlineLevel="1" collapsed="1">
      <c r="A106" s="8" t="s">
        <v>15</v>
      </c>
      <c r="B106" s="9" t="s">
        <v>607</v>
      </c>
      <c r="C106" s="8" t="s">
        <v>17</v>
      </c>
      <c r="D106" s="8"/>
      <c r="E106" s="8" t="s">
        <v>608</v>
      </c>
      <c r="F106" s="8" t="s">
        <v>19</v>
      </c>
      <c r="G106" s="8" t="s">
        <v>17</v>
      </c>
      <c r="H106" s="8" t="s">
        <v>17</v>
      </c>
      <c r="I106" s="8" t="s">
        <v>17</v>
      </c>
      <c r="J106" s="8" t="s">
        <v>609</v>
      </c>
    </row>
    <row r="107" spans="1:10" x14ac:dyDescent="0.25" outlineLevel="2" collapsed="1">
      <c r="A107" s="7" t="s">
        <v>15</v>
      </c>
      <c r="B107" s="7" t="s">
        <v>16</v>
      </c>
      <c r="C107" s="7" t="s">
        <v>17</v>
      </c>
      <c r="D107" s="7"/>
      <c r="E107" s="7" t="s">
        <v>492</v>
      </c>
      <c r="F107" s="7" t="s">
        <v>19</v>
      </c>
      <c r="G107" s="7" t="s">
        <v>493</v>
      </c>
      <c r="H107" s="7" t="s">
        <v>17</v>
      </c>
      <c r="I107" s="7" t="s">
        <v>17</v>
      </c>
      <c r="J107" s="7" t="s">
        <v>494</v>
      </c>
    </row>
    <row r="108" spans="1:10" x14ac:dyDescent="0.25" outlineLevel="2" collapsed="1">
      <c r="A108" s="7" t="s">
        <v>15</v>
      </c>
      <c r="B108" s="7" t="s">
        <v>16</v>
      </c>
      <c r="C108" s="7" t="s">
        <v>17</v>
      </c>
      <c r="D108" s="7"/>
      <c r="E108" s="7" t="s">
        <v>495</v>
      </c>
      <c r="F108" s="7" t="s">
        <v>19</v>
      </c>
      <c r="G108" s="7" t="s">
        <v>496</v>
      </c>
      <c r="H108" s="7" t="s">
        <v>17</v>
      </c>
      <c r="I108" s="7" t="s">
        <v>17</v>
      </c>
      <c r="J108" s="7" t="s">
        <v>497</v>
      </c>
    </row>
    <row r="109" spans="1:10" x14ac:dyDescent="0.25" outlineLevel="1" collapsed="1">
      <c r="A109" s="8" t="s">
        <v>15</v>
      </c>
      <c r="B109" s="9" t="s">
        <v>610</v>
      </c>
      <c r="C109" s="8" t="s">
        <v>17</v>
      </c>
      <c r="D109" s="8"/>
      <c r="E109" s="8" t="s">
        <v>611</v>
      </c>
      <c r="F109" s="8" t="s">
        <v>19</v>
      </c>
      <c r="G109" s="8" t="s">
        <v>17</v>
      </c>
      <c r="H109" s="8" t="s">
        <v>17</v>
      </c>
      <c r="I109" s="8" t="s">
        <v>17</v>
      </c>
      <c r="J109" s="8" t="s">
        <v>612</v>
      </c>
    </row>
    <row r="110" spans="1:10" x14ac:dyDescent="0.25" outlineLevel="2" collapsed="1">
      <c r="A110" s="7" t="s">
        <v>15</v>
      </c>
      <c r="B110" s="7" t="s">
        <v>16</v>
      </c>
      <c r="C110" s="7" t="s">
        <v>17</v>
      </c>
      <c r="D110" s="7"/>
      <c r="E110" s="7" t="s">
        <v>492</v>
      </c>
      <c r="F110" s="7" t="s">
        <v>19</v>
      </c>
      <c r="G110" s="7" t="s">
        <v>493</v>
      </c>
      <c r="H110" s="7" t="s">
        <v>17</v>
      </c>
      <c r="I110" s="7" t="s">
        <v>17</v>
      </c>
      <c r="J110" s="7" t="s">
        <v>494</v>
      </c>
    </row>
    <row r="111" spans="1:10" x14ac:dyDescent="0.25" outlineLevel="2" collapsed="1">
      <c r="A111" s="7" t="s">
        <v>15</v>
      </c>
      <c r="B111" s="7" t="s">
        <v>16</v>
      </c>
      <c r="C111" s="7" t="s">
        <v>17</v>
      </c>
      <c r="D111" s="7"/>
      <c r="E111" s="7" t="s">
        <v>495</v>
      </c>
      <c r="F111" s="7" t="s">
        <v>19</v>
      </c>
      <c r="G111" s="7" t="s">
        <v>496</v>
      </c>
      <c r="H111" s="7" t="s">
        <v>17</v>
      </c>
      <c r="I111" s="7" t="s">
        <v>17</v>
      </c>
      <c r="J111" s="7" t="s">
        <v>497</v>
      </c>
    </row>
    <row r="112" spans="1:10" x14ac:dyDescent="0.25" outlineLevel="1" collapsed="1">
      <c r="A112" s="8" t="s">
        <v>15</v>
      </c>
      <c r="B112" s="9" t="s">
        <v>613</v>
      </c>
      <c r="C112" s="8" t="s">
        <v>17</v>
      </c>
      <c r="D112" s="8"/>
      <c r="E112" s="8" t="s">
        <v>614</v>
      </c>
      <c r="F112" s="8" t="s">
        <v>19</v>
      </c>
      <c r="G112" s="8" t="s">
        <v>17</v>
      </c>
      <c r="H112" s="8" t="s">
        <v>17</v>
      </c>
      <c r="I112" s="8" t="s">
        <v>17</v>
      </c>
      <c r="J112" s="8" t="s">
        <v>615</v>
      </c>
    </row>
    <row r="113" spans="1:10" x14ac:dyDescent="0.25" outlineLevel="2" collapsed="1">
      <c r="A113" s="8" t="s">
        <v>15</v>
      </c>
      <c r="B113" s="9" t="s">
        <v>616</v>
      </c>
      <c r="C113" s="8" t="s">
        <v>17</v>
      </c>
      <c r="D113" s="8"/>
      <c r="E113" s="8" t="s">
        <v>617</v>
      </c>
      <c r="F113" s="8" t="s">
        <v>19</v>
      </c>
      <c r="G113" s="8" t="s">
        <v>17</v>
      </c>
      <c r="H113" s="8" t="s">
        <v>17</v>
      </c>
      <c r="I113" s="8" t="s">
        <v>17</v>
      </c>
      <c r="J113" s="8" t="s">
        <v>618</v>
      </c>
    </row>
    <row r="114" spans="1:10" x14ac:dyDescent="0.25" outlineLevel="3" collapsed="1">
      <c r="A114" s="7" t="s">
        <v>15</v>
      </c>
      <c r="B114" s="7" t="s">
        <v>16</v>
      </c>
      <c r="C114" s="7" t="s">
        <v>17</v>
      </c>
      <c r="D114" s="7"/>
      <c r="E114" s="7" t="s">
        <v>492</v>
      </c>
      <c r="F114" s="7" t="s">
        <v>19</v>
      </c>
      <c r="G114" s="7" t="s">
        <v>493</v>
      </c>
      <c r="H114" s="7" t="s">
        <v>17</v>
      </c>
      <c r="I114" s="7" t="s">
        <v>17</v>
      </c>
      <c r="J114" s="7" t="s">
        <v>494</v>
      </c>
    </row>
    <row r="115" spans="1:10" x14ac:dyDescent="0.25" outlineLevel="3" collapsed="1">
      <c r="A115" s="7" t="s">
        <v>15</v>
      </c>
      <c r="B115" s="7" t="s">
        <v>16</v>
      </c>
      <c r="C115" s="7" t="s">
        <v>17</v>
      </c>
      <c r="D115" s="7"/>
      <c r="E115" s="7" t="s">
        <v>495</v>
      </c>
      <c r="F115" s="7" t="s">
        <v>19</v>
      </c>
      <c r="G115" s="7" t="s">
        <v>496</v>
      </c>
      <c r="H115" s="7" t="s">
        <v>17</v>
      </c>
      <c r="I115" s="7" t="s">
        <v>17</v>
      </c>
      <c r="J115" s="7" t="s">
        <v>497</v>
      </c>
    </row>
    <row r="116" spans="1:10" x14ac:dyDescent="0.25" outlineLevel="2" collapsed="1">
      <c r="A116" s="8" t="s">
        <v>15</v>
      </c>
      <c r="B116" s="9" t="s">
        <v>619</v>
      </c>
      <c r="C116" s="8" t="s">
        <v>17</v>
      </c>
      <c r="D116" s="8"/>
      <c r="E116" s="8" t="s">
        <v>620</v>
      </c>
      <c r="F116" s="8" t="s">
        <v>19</v>
      </c>
      <c r="G116" s="8" t="s">
        <v>17</v>
      </c>
      <c r="H116" s="8" t="s">
        <v>17</v>
      </c>
      <c r="I116" s="8" t="s">
        <v>17</v>
      </c>
      <c r="J116" s="8" t="s">
        <v>621</v>
      </c>
    </row>
    <row r="117" spans="1:10" x14ac:dyDescent="0.25" outlineLevel="3" collapsed="1">
      <c r="A117" s="7" t="s">
        <v>15</v>
      </c>
      <c r="B117" s="7" t="s">
        <v>16</v>
      </c>
      <c r="C117" s="7" t="s">
        <v>17</v>
      </c>
      <c r="D117" s="7"/>
      <c r="E117" s="7" t="s">
        <v>492</v>
      </c>
      <c r="F117" s="7" t="s">
        <v>19</v>
      </c>
      <c r="G117" s="7" t="s">
        <v>493</v>
      </c>
      <c r="H117" s="7" t="s">
        <v>17</v>
      </c>
      <c r="I117" s="7" t="s">
        <v>17</v>
      </c>
      <c r="J117" s="7" t="s">
        <v>494</v>
      </c>
    </row>
    <row r="118" spans="1:10" x14ac:dyDescent="0.25" outlineLevel="3" collapsed="1">
      <c r="A118" s="7" t="s">
        <v>15</v>
      </c>
      <c r="B118" s="7" t="s">
        <v>16</v>
      </c>
      <c r="C118" s="7" t="s">
        <v>17</v>
      </c>
      <c r="D118" s="7"/>
      <c r="E118" s="7" t="s">
        <v>495</v>
      </c>
      <c r="F118" s="7" t="s">
        <v>19</v>
      </c>
      <c r="G118" s="7" t="s">
        <v>496</v>
      </c>
      <c r="H118" s="7" t="s">
        <v>17</v>
      </c>
      <c r="I118" s="7" t="s">
        <v>17</v>
      </c>
      <c r="J118" s="7" t="s">
        <v>497</v>
      </c>
    </row>
    <row r="119" spans="1:10" x14ac:dyDescent="0.25" outlineLevel="2" collapsed="1">
      <c r="A119" s="8" t="s">
        <v>15</v>
      </c>
      <c r="B119" s="9" t="s">
        <v>622</v>
      </c>
      <c r="C119" s="8" t="s">
        <v>17</v>
      </c>
      <c r="D119" s="8"/>
      <c r="E119" s="8" t="s">
        <v>622</v>
      </c>
      <c r="F119" s="8" t="s">
        <v>19</v>
      </c>
      <c r="G119" s="8" t="s">
        <v>17</v>
      </c>
      <c r="H119" s="8" t="s">
        <v>17</v>
      </c>
      <c r="I119" s="8" t="s">
        <v>17</v>
      </c>
      <c r="J119" s="8" t="s">
        <v>623</v>
      </c>
    </row>
    <row r="120" spans="1:10" x14ac:dyDescent="0.25" outlineLevel="3" collapsed="1">
      <c r="A120" s="7" t="s">
        <v>15</v>
      </c>
      <c r="B120" s="7" t="s">
        <v>16</v>
      </c>
      <c r="C120" s="7" t="s">
        <v>17</v>
      </c>
      <c r="D120" s="7"/>
      <c r="E120" s="7" t="s">
        <v>492</v>
      </c>
      <c r="F120" s="7" t="s">
        <v>19</v>
      </c>
      <c r="G120" s="7" t="s">
        <v>493</v>
      </c>
      <c r="H120" s="7" t="s">
        <v>17</v>
      </c>
      <c r="I120" s="7" t="s">
        <v>17</v>
      </c>
      <c r="J120" s="7" t="s">
        <v>494</v>
      </c>
    </row>
    <row r="121" spans="1:10" x14ac:dyDescent="0.25" outlineLevel="3" collapsed="1">
      <c r="A121" s="7" t="s">
        <v>15</v>
      </c>
      <c r="B121" s="7" t="s">
        <v>16</v>
      </c>
      <c r="C121" s="7" t="s">
        <v>17</v>
      </c>
      <c r="D121" s="7"/>
      <c r="E121" s="7" t="s">
        <v>495</v>
      </c>
      <c r="F121" s="7" t="s">
        <v>19</v>
      </c>
      <c r="G121" s="7" t="s">
        <v>496</v>
      </c>
      <c r="H121" s="7" t="s">
        <v>17</v>
      </c>
      <c r="I121" s="7" t="s">
        <v>17</v>
      </c>
      <c r="J121" s="7" t="s">
        <v>497</v>
      </c>
    </row>
    <row r="122" spans="1:10" x14ac:dyDescent="0.25" outlineLevel="2" collapsed="1">
      <c r="A122" s="8" t="s">
        <v>15</v>
      </c>
      <c r="B122" s="9" t="s">
        <v>624</v>
      </c>
      <c r="C122" s="8" t="s">
        <v>17</v>
      </c>
      <c r="D122" s="8"/>
      <c r="E122" s="8" t="s">
        <v>625</v>
      </c>
      <c r="F122" s="8" t="s">
        <v>19</v>
      </c>
      <c r="G122" s="8" t="s">
        <v>17</v>
      </c>
      <c r="H122" s="8" t="s">
        <v>17</v>
      </c>
      <c r="I122" s="8" t="s">
        <v>17</v>
      </c>
      <c r="J122" s="8" t="s">
        <v>626</v>
      </c>
    </row>
    <row r="123" spans="1:10" x14ac:dyDescent="0.25" outlineLevel="3" collapsed="1">
      <c r="A123" s="7" t="s">
        <v>15</v>
      </c>
      <c r="B123" s="7" t="s">
        <v>16</v>
      </c>
      <c r="C123" s="7" t="s">
        <v>17</v>
      </c>
      <c r="D123" s="7"/>
      <c r="E123" s="7" t="s">
        <v>492</v>
      </c>
      <c r="F123" s="7" t="s">
        <v>19</v>
      </c>
      <c r="G123" s="7" t="s">
        <v>493</v>
      </c>
      <c r="H123" s="7" t="s">
        <v>17</v>
      </c>
      <c r="I123" s="7" t="s">
        <v>17</v>
      </c>
      <c r="J123" s="7" t="s">
        <v>494</v>
      </c>
    </row>
    <row r="124" spans="1:10" x14ac:dyDescent="0.25" outlineLevel="3" collapsed="1">
      <c r="A124" s="7" t="s">
        <v>15</v>
      </c>
      <c r="B124" s="7" t="s">
        <v>16</v>
      </c>
      <c r="C124" s="7" t="s">
        <v>17</v>
      </c>
      <c r="D124" s="7"/>
      <c r="E124" s="7" t="s">
        <v>495</v>
      </c>
      <c r="F124" s="7" t="s">
        <v>19</v>
      </c>
      <c r="G124" s="7" t="s">
        <v>496</v>
      </c>
      <c r="H124" s="7" t="s">
        <v>17</v>
      </c>
      <c r="I124" s="7" t="s">
        <v>17</v>
      </c>
      <c r="J124" s="7" t="s">
        <v>497</v>
      </c>
    </row>
    <row r="125" spans="1:10" x14ac:dyDescent="0.25" outlineLevel="1" collapsed="1">
      <c r="A125" s="8" t="s">
        <v>19</v>
      </c>
      <c r="B125" s="9" t="s">
        <v>627</v>
      </c>
      <c r="C125" s="8" t="s">
        <v>17</v>
      </c>
      <c r="D125" s="8"/>
      <c r="E125" s="8" t="s">
        <v>628</v>
      </c>
      <c r="F125" s="8" t="s">
        <v>19</v>
      </c>
      <c r="G125" s="8" t="s">
        <v>17</v>
      </c>
      <c r="H125" s="8" t="s">
        <v>17</v>
      </c>
      <c r="I125" s="8" t="s">
        <v>17</v>
      </c>
      <c r="J125" s="8" t="s">
        <v>626</v>
      </c>
    </row>
    <row r="126" spans="1:10" x14ac:dyDescent="0.25" outlineLevel="2" collapsed="1">
      <c r="A126" s="7" t="s">
        <v>19</v>
      </c>
      <c r="B126" s="7" t="s">
        <v>16</v>
      </c>
      <c r="C126" s="7" t="s">
        <v>17</v>
      </c>
      <c r="D126" s="7"/>
      <c r="E126" s="7" t="s">
        <v>500</v>
      </c>
      <c r="F126" s="7" t="s">
        <v>19</v>
      </c>
      <c r="G126" s="7" t="s">
        <v>31</v>
      </c>
      <c r="H126" s="7" t="s">
        <v>17</v>
      </c>
      <c r="I126" s="7" t="s">
        <v>17</v>
      </c>
      <c r="J126" s="7" t="s">
        <v>494</v>
      </c>
    </row>
    <row r="127" spans="1:10" x14ac:dyDescent="0.25" outlineLevel="2" collapsed="1">
      <c r="A127" s="7" t="s">
        <v>19</v>
      </c>
      <c r="B127" s="7" t="s">
        <v>16</v>
      </c>
      <c r="C127" s="7" t="s">
        <v>17</v>
      </c>
      <c r="D127" s="7"/>
      <c r="E127" s="7" t="s">
        <v>501</v>
      </c>
      <c r="F127" s="7" t="s">
        <v>19</v>
      </c>
      <c r="G127" s="7" t="s">
        <v>31</v>
      </c>
      <c r="H127" s="7" t="s">
        <v>17</v>
      </c>
      <c r="I127" s="7" t="s">
        <v>17</v>
      </c>
      <c r="J127" s="7" t="s">
        <v>497</v>
      </c>
    </row>
    <row r="128" spans="1:10" x14ac:dyDescent="0.25" outlineLevel="2" collapsed="1">
      <c r="A128" s="8" t="s">
        <v>19</v>
      </c>
      <c r="B128" s="9" t="s">
        <v>502</v>
      </c>
      <c r="C128" s="8" t="s">
        <v>17</v>
      </c>
      <c r="D128" s="8"/>
      <c r="E128" s="8" t="s">
        <v>503</v>
      </c>
      <c r="F128" s="8" t="s">
        <v>15</v>
      </c>
      <c r="G128" s="8" t="s">
        <v>17</v>
      </c>
      <c r="H128" s="8" t="s">
        <v>17</v>
      </c>
      <c r="I128" s="8" t="s">
        <v>17</v>
      </c>
      <c r="J128" s="8" t="s">
        <v>504</v>
      </c>
    </row>
    <row r="129" spans="1:10" x14ac:dyDescent="0.25" outlineLevel="3" collapsed="1">
      <c r="A129" s="7" t="s">
        <v>19</v>
      </c>
      <c r="B129" s="7" t="s">
        <v>16</v>
      </c>
      <c r="C129" s="7" t="s">
        <v>17</v>
      </c>
      <c r="D129" s="7"/>
      <c r="E129" s="7" t="s">
        <v>505</v>
      </c>
      <c r="F129" s="7" t="s">
        <v>19</v>
      </c>
      <c r="G129" s="7" t="s">
        <v>31</v>
      </c>
      <c r="H129" s="7" t="s">
        <v>17</v>
      </c>
      <c r="I129" s="7" t="s">
        <v>17</v>
      </c>
      <c r="J129" s="7" t="s">
        <v>506</v>
      </c>
    </row>
    <row r="130" spans="1:10" x14ac:dyDescent="0.25" outlineLevel="3" collapsed="1">
      <c r="A130" s="7" t="s">
        <v>19</v>
      </c>
      <c r="B130" s="7" t="s">
        <v>16</v>
      </c>
      <c r="C130" s="7" t="s">
        <v>17</v>
      </c>
      <c r="D130" s="7"/>
      <c r="E130" s="7" t="s">
        <v>501</v>
      </c>
      <c r="F130" s="7" t="s">
        <v>19</v>
      </c>
      <c r="G130" s="7" t="s">
        <v>31</v>
      </c>
      <c r="H130" s="7" t="s">
        <v>17</v>
      </c>
      <c r="I130" s="7" t="s">
        <v>17</v>
      </c>
      <c r="J130" s="7" t="s">
        <v>497</v>
      </c>
    </row>
    <row r="131" spans="1:10" x14ac:dyDescent="0.25">
      <c r="A131" s="5" t="s">
        <v>15</v>
      </c>
      <c r="B131" s="6" t="s">
        <v>629</v>
      </c>
      <c r="C131" s="5" t="s">
        <v>17</v>
      </c>
      <c r="D131" s="5"/>
      <c r="E131" s="5" t="s">
        <v>630</v>
      </c>
      <c r="F131" s="5" t="s">
        <v>19</v>
      </c>
      <c r="G131" s="5" t="s">
        <v>17</v>
      </c>
      <c r="H131" s="5" t="s">
        <v>17</v>
      </c>
      <c r="I131" s="5" t="s">
        <v>17</v>
      </c>
      <c r="J131" s="5" t="s">
        <v>631</v>
      </c>
    </row>
    <row r="132" spans="1:10" x14ac:dyDescent="0.25" outlineLevel="1" collapsed="1">
      <c r="A132" s="8" t="s">
        <v>19</v>
      </c>
      <c r="B132" s="9" t="s">
        <v>632</v>
      </c>
      <c r="C132" s="8" t="s">
        <v>17</v>
      </c>
      <c r="D132" s="8"/>
      <c r="E132" s="8" t="s">
        <v>633</v>
      </c>
      <c r="F132" s="8" t="s">
        <v>15</v>
      </c>
      <c r="G132" s="8" t="s">
        <v>17</v>
      </c>
      <c r="H132" s="8" t="s">
        <v>17</v>
      </c>
      <c r="I132" s="8" t="s">
        <v>17</v>
      </c>
      <c r="J132" s="8" t="s">
        <v>634</v>
      </c>
    </row>
    <row r="133" spans="1:10" x14ac:dyDescent="0.25" outlineLevel="2" collapsed="1">
      <c r="A133" s="7" t="s">
        <v>15</v>
      </c>
      <c r="B133" s="7" t="s">
        <v>16</v>
      </c>
      <c r="C133" s="7" t="s">
        <v>17</v>
      </c>
      <c r="D133" s="7"/>
      <c r="E133" s="7" t="s">
        <v>635</v>
      </c>
      <c r="F133" s="7" t="s">
        <v>19</v>
      </c>
      <c r="G133" s="7" t="s">
        <v>636</v>
      </c>
      <c r="H133" s="7" t="s">
        <v>17</v>
      </c>
      <c r="I133" s="7" t="s">
        <v>17</v>
      </c>
      <c r="J133" s="7" t="s">
        <v>637</v>
      </c>
    </row>
    <row r="134" spans="1:10" x14ac:dyDescent="0.25" outlineLevel="2" collapsed="1">
      <c r="A134" s="7" t="s">
        <v>15</v>
      </c>
      <c r="B134" s="7" t="s">
        <v>16</v>
      </c>
      <c r="C134" s="7" t="s">
        <v>17</v>
      </c>
      <c r="D134" s="7"/>
      <c r="E134" s="7" t="s">
        <v>638</v>
      </c>
      <c r="F134" s="7" t="s">
        <v>19</v>
      </c>
      <c r="G134" s="7" t="s">
        <v>639</v>
      </c>
      <c r="H134" s="7" t="s">
        <v>17</v>
      </c>
      <c r="I134" s="7" t="s">
        <v>17</v>
      </c>
      <c r="J134" s="7" t="s">
        <v>640</v>
      </c>
    </row>
    <row r="135" spans="1:10" x14ac:dyDescent="0.25" outlineLevel="2" collapsed="1">
      <c r="A135" s="7" t="s">
        <v>15</v>
      </c>
      <c r="B135" s="7" t="s">
        <v>16</v>
      </c>
      <c r="C135" s="7" t="s">
        <v>17</v>
      </c>
      <c r="D135" s="7"/>
      <c r="E135" s="7" t="s">
        <v>641</v>
      </c>
      <c r="F135" s="7" t="s">
        <v>19</v>
      </c>
      <c r="G135" s="7" t="s">
        <v>642</v>
      </c>
      <c r="H135" s="7" t="s">
        <v>17</v>
      </c>
      <c r="I135" s="7" t="s">
        <v>17</v>
      </c>
      <c r="J135" s="7" t="s">
        <v>497</v>
      </c>
    </row>
    <row r="136" spans="1:10" x14ac:dyDescent="0.25" outlineLevel="2" collapsed="1">
      <c r="A136" s="7" t="s">
        <v>15</v>
      </c>
      <c r="B136" s="7" t="s">
        <v>16</v>
      </c>
      <c r="C136" s="7" t="s">
        <v>17</v>
      </c>
      <c r="D136" s="7"/>
      <c r="E136" s="7" t="s">
        <v>643</v>
      </c>
      <c r="F136" s="7" t="s">
        <v>19</v>
      </c>
      <c r="G136" s="7" t="s">
        <v>644</v>
      </c>
      <c r="H136" s="7" t="s">
        <v>17</v>
      </c>
      <c r="I136" s="7" t="s">
        <v>17</v>
      </c>
      <c r="J136" s="7" t="s">
        <v>494</v>
      </c>
    </row>
    <row r="137" spans="1:10" x14ac:dyDescent="0.25" outlineLevel="1" collapsed="1">
      <c r="A137" s="8" t="s">
        <v>15</v>
      </c>
      <c r="B137" s="9" t="s">
        <v>645</v>
      </c>
      <c r="C137" s="8" t="s">
        <v>17</v>
      </c>
      <c r="D137" s="8"/>
      <c r="E137" s="8" t="s">
        <v>645</v>
      </c>
      <c r="F137" s="8" t="s">
        <v>19</v>
      </c>
      <c r="G137" s="8" t="s">
        <v>17</v>
      </c>
      <c r="H137" s="8" t="s">
        <v>17</v>
      </c>
      <c r="I137" s="8" t="s">
        <v>17</v>
      </c>
      <c r="J137" s="8" t="s">
        <v>126</v>
      </c>
    </row>
    <row r="138" spans="1:10" x14ac:dyDescent="0.25" outlineLevel="2" collapsed="1">
      <c r="A138" s="7" t="s">
        <v>15</v>
      </c>
      <c r="B138" s="7" t="s">
        <v>16</v>
      </c>
      <c r="C138" s="7" t="s">
        <v>17</v>
      </c>
      <c r="D138" s="7"/>
      <c r="E138" s="7" t="s">
        <v>492</v>
      </c>
      <c r="F138" s="7" t="s">
        <v>19</v>
      </c>
      <c r="G138" s="7" t="s">
        <v>493</v>
      </c>
      <c r="H138" s="7" t="s">
        <v>17</v>
      </c>
      <c r="I138" s="7" t="s">
        <v>17</v>
      </c>
      <c r="J138" s="7" t="s">
        <v>494</v>
      </c>
    </row>
    <row r="139" spans="1:10" x14ac:dyDescent="0.25" outlineLevel="2" collapsed="1">
      <c r="A139" s="7" t="s">
        <v>15</v>
      </c>
      <c r="B139" s="7" t="s">
        <v>16</v>
      </c>
      <c r="C139" s="7" t="s">
        <v>17</v>
      </c>
      <c r="D139" s="7"/>
      <c r="E139" s="7" t="s">
        <v>495</v>
      </c>
      <c r="F139" s="7" t="s">
        <v>19</v>
      </c>
      <c r="G139" s="7" t="s">
        <v>496</v>
      </c>
      <c r="H139" s="7" t="s">
        <v>17</v>
      </c>
      <c r="I139" s="7" t="s">
        <v>17</v>
      </c>
      <c r="J139" s="7" t="s">
        <v>497</v>
      </c>
    </row>
    <row r="140" spans="1:10" x14ac:dyDescent="0.25" outlineLevel="2" collapsed="1">
      <c r="A140" s="8" t="s">
        <v>19</v>
      </c>
      <c r="B140" s="9" t="s">
        <v>502</v>
      </c>
      <c r="C140" s="8" t="s">
        <v>17</v>
      </c>
      <c r="D140" s="8"/>
      <c r="E140" s="8" t="s">
        <v>503</v>
      </c>
      <c r="F140" s="8" t="s">
        <v>15</v>
      </c>
      <c r="G140" s="8" t="s">
        <v>17</v>
      </c>
      <c r="H140" s="8" t="s">
        <v>17</v>
      </c>
      <c r="I140" s="8" t="s">
        <v>17</v>
      </c>
      <c r="J140" s="8" t="s">
        <v>504</v>
      </c>
    </row>
    <row r="141" spans="1:10" x14ac:dyDescent="0.25" outlineLevel="3" collapsed="1">
      <c r="A141" s="7" t="s">
        <v>19</v>
      </c>
      <c r="B141" s="7" t="s">
        <v>16</v>
      </c>
      <c r="C141" s="7" t="s">
        <v>17</v>
      </c>
      <c r="D141" s="7"/>
      <c r="E141" s="7" t="s">
        <v>505</v>
      </c>
      <c r="F141" s="7" t="s">
        <v>19</v>
      </c>
      <c r="G141" s="7" t="s">
        <v>31</v>
      </c>
      <c r="H141" s="7" t="s">
        <v>17</v>
      </c>
      <c r="I141" s="7" t="s">
        <v>17</v>
      </c>
      <c r="J141" s="7" t="s">
        <v>506</v>
      </c>
    </row>
    <row r="142" spans="1:10" x14ac:dyDescent="0.25" outlineLevel="3" collapsed="1">
      <c r="A142" s="7" t="s">
        <v>19</v>
      </c>
      <c r="B142" s="7" t="s">
        <v>16</v>
      </c>
      <c r="C142" s="7" t="s">
        <v>17</v>
      </c>
      <c r="D142" s="7"/>
      <c r="E142" s="7" t="s">
        <v>501</v>
      </c>
      <c r="F142" s="7" t="s">
        <v>19</v>
      </c>
      <c r="G142" s="7" t="s">
        <v>31</v>
      </c>
      <c r="H142" s="7" t="s">
        <v>17</v>
      </c>
      <c r="I142" s="7" t="s">
        <v>17</v>
      </c>
      <c r="J142" s="7" t="s">
        <v>497</v>
      </c>
    </row>
  </sheetData>
  <mergeCells count="3">
    <mergeCell ref="A1:J1"/>
    <mergeCell ref="B2:J2"/>
    <mergeCell ref="B3:J3"/>
  </mergeCells>
  <hyperlinks>
    <hyperlink ref="B5" r:id="rId1" location="#'4.1 Implementation Status of t'!A1"/>
    <hyperlink ref="B6" r:id="rId2" location="#'4.1.1 General Implementation S'!A1"/>
    <hyperlink ref="B9" r:id="rId3" location="#'Deadlines for Participation ro'!A1"/>
    <hyperlink ref="B12" r:id="rId4" location="#'4.1.2 Loss Events'!A1"/>
    <hyperlink ref="B15" r:id="rId5" location="#'Deadlines for Participation ro'!A1"/>
    <hyperlink ref="B18" r:id="rId6" location="#'4.2 Project Details (VCS Verif'!A1"/>
    <hyperlink ref="B19" r:id="rId7" location="#'4.2.1 Audit History'!A1"/>
    <hyperlink ref="B22" r:id="rId8" location="#'4.2.2 Sectoral Scope and Proje'!A1"/>
    <hyperlink ref="B24" r:id="rId9" location="#'4.2.3 Project Location'!A1"/>
    <hyperlink ref="B27" r:id="rId10" location="#'Deadlines for Participation ro'!A1"/>
    <hyperlink ref="B30" r:id="rId11" location="#'4.2.4 Double Counting and Part'!A1"/>
    <hyperlink ref="B31" r:id="rId12" location="#'4.2.4.1 No Double Issuance'!A1"/>
    <hyperlink ref="B34" r:id="rId13" location="#'4.2.4.2 Registration with Othe'!A1"/>
    <hyperlink ref="B37" r:id="rId14" location="#'4.2.5 Double Claiming Other Fo'!A1"/>
    <hyperlink ref="B38" r:id="rId15" location="#'4.2.5.1 No Double Claiming wit'!A1"/>
    <hyperlink ref="B41" r:id="rId16" location="#'4.2.5.2 No Double Claiming wit'!A1"/>
    <hyperlink ref="B44" r:id="rId17" location="#'4.2.5.3 Supply chain (Scope 3)'!A1"/>
    <hyperlink ref="B47" r:id="rId18" location="#'Deadlines for Participation ro'!A1"/>
    <hyperlink ref="B50" r:id="rId19" location="#'4.2.6 Sustainable Development'!A1"/>
    <hyperlink ref="B53" r:id="rId20" location="#'Deadlines for Participation ro'!A1"/>
    <hyperlink ref="B56" r:id="rId21" location="#'4.2.7 Additional Information ('!A1"/>
    <hyperlink ref="B57" r:id="rId22" location="#'4.2.7.1 Sensitive Information'!A1"/>
    <hyperlink ref="B59" r:id="rId23" location="#'4.2.7.2 Core Carbon Principles'!A1"/>
    <hyperlink ref="B61" r:id="rId24" location="#'4.2.7.3 CORSIA Label Eligibili'!A1"/>
    <hyperlink ref="B63" r:id="rId25" location="#'Sensitive Information (VCS Ver'!A1"/>
    <hyperlink ref="B65" r:id="rId26" location="#'Core Carbon Principles Label E'!A1"/>
    <hyperlink ref="B67" r:id="rId27" location="#'CORSIA Label Eligibility (VCS'!A1"/>
    <hyperlink ref="B69" r:id="rId28" location="#'No Double Issuance (VCS Verifi'!A1"/>
    <hyperlink ref="B72" r:id="rId29" location="#'Deadlines for Participation ro'!A1"/>
    <hyperlink ref="B75" r:id="rId30" location="#'Registration with Other GHG Pr'!A1"/>
    <hyperlink ref="B78" r:id="rId31" location="#'Deadlines for Participation ro'!A1"/>
    <hyperlink ref="B81" r:id="rId32" location="#'No Double Claiming with Emissi'!A1"/>
    <hyperlink ref="B84" r:id="rId33" location="#'Deadlines for Participation ro'!A1"/>
    <hyperlink ref="B87" r:id="rId34" location="#'Supply Chain (Scope 3) Emis 2'!A1"/>
    <hyperlink ref="B90" r:id="rId35" location="#'Deadlines for Participation ro'!A1"/>
    <hyperlink ref="B93" r:id="rId36" location="#'Right to Operate and Right  2'!A1"/>
    <hyperlink ref="B96" r:id="rId37" location="#'Deadlines for Participation ro'!A1"/>
    <hyperlink ref="B99" r:id="rId38" location="#'Land or Resource Rights Ana 2'!A1"/>
    <hyperlink ref="B102" r:id="rId39" location="#'Deadlines for Participation ro'!A1"/>
    <hyperlink ref="B105" r:id="rId40" location="#'4.4 Quantification of Reductio'!A1"/>
    <hyperlink ref="B106" r:id="rId41" location="#'4.4.1 Accuracy of Reduction an'!A1"/>
    <hyperlink ref="B109" r:id="rId42" location="#'4.4.2 Quality of Evidence to D'!A1"/>
    <hyperlink ref="B112" r:id="rId43" location="#'4.4.3 Other Relevant Quantific'!A1"/>
    <hyperlink ref="B113" r:id="rId44" location="#'4.4.3.1 Non-Permanence Risk An'!A1"/>
    <hyperlink ref="B116" r:id="rId45" location="#'4.4.3.2 Buffer Pool Allocation'!A1"/>
    <hyperlink ref="B119" r:id="rId46" location="#'4.4.3.3 Long-Term Average'!A1"/>
    <hyperlink ref="B122" r:id="rId47" location="#'4.4.3.4 De Minimis Quantificat'!A1"/>
    <hyperlink ref="B125" r:id="rId48" location="#'De Minimis Quantification (VCS'!A1"/>
    <hyperlink ref="B128" r:id="rId49" location="#'Deadlines for Participation ro'!A1"/>
    <hyperlink ref="B131" r:id="rId50" location="#'4.5 Monitoring (VCS Verificati'!A1"/>
    <hyperlink ref="B132" r:id="rId51" location="#'Data and parameter row (Verifi'!A1"/>
    <hyperlink ref="B137" r:id="rId52" location="#'4.5.2 Monitoring Plan'!A1"/>
    <hyperlink ref="B140" r:id="rId53" location="#'Deadlines for Participation ro'!A1"/>
  </hyperlinks>
  <pageMargins left="0.7" right="0.7" top="0.75" bottom="0.75" header="0.3" footer="0.3"/>
  <pageSetup orientation="portrait" horizontalDpi="4294967295" verticalDpi="4294967295" scale="100" fitToWidth="1" fitToHeight="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3658</v>
      </c>
      <c r="B1" s="1"/>
      <c r="C1" s="1"/>
      <c r="D1" s="1"/>
      <c r="E1" s="1"/>
      <c r="F1" s="1"/>
      <c r="G1" s="1"/>
      <c r="H1" s="1"/>
      <c r="I1" s="1"/>
      <c r="J1" s="1"/>
    </row>
    <row r="2" spans="1:10" x14ac:dyDescent="0.25">
      <c r="A2" s="2" t="s">
        <v>1</v>
      </c>
      <c r="B2" s="3" t="s">
        <v>3659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649</v>
      </c>
      <c r="C5" s="5" t="s">
        <v>17</v>
      </c>
      <c r="D5" s="5"/>
      <c r="E5" s="5" t="s">
        <v>663</v>
      </c>
      <c r="F5" s="5" t="s">
        <v>15</v>
      </c>
      <c r="G5" s="5" t="s">
        <v>17</v>
      </c>
      <c r="H5" s="5" t="s">
        <v>17</v>
      </c>
      <c r="I5" s="5" t="s">
        <v>17</v>
      </c>
      <c r="J5" s="5" t="s">
        <v>664</v>
      </c>
    </row>
    <row r="6" spans="1:10" x14ac:dyDescent="0.25" outlineLevel="1" collapsed="1">
      <c r="A6" s="7" t="s">
        <v>15</v>
      </c>
      <c r="B6" s="7" t="s">
        <v>16</v>
      </c>
      <c r="C6" s="7" t="s">
        <v>17</v>
      </c>
      <c r="D6" s="7"/>
      <c r="E6" s="7" t="s">
        <v>652</v>
      </c>
      <c r="F6" s="7" t="s">
        <v>19</v>
      </c>
      <c r="G6" s="7" t="s">
        <v>653</v>
      </c>
      <c r="H6" s="7" t="s">
        <v>17</v>
      </c>
      <c r="I6" s="7" t="s">
        <v>17</v>
      </c>
      <c r="J6" s="7" t="s">
        <v>654</v>
      </c>
    </row>
    <row r="7" spans="1:10" x14ac:dyDescent="0.25" outlineLevel="1" collapsed="1">
      <c r="A7" s="7" t="s">
        <v>15</v>
      </c>
      <c r="B7" s="7" t="s">
        <v>16</v>
      </c>
      <c r="C7" s="7" t="s">
        <v>17</v>
      </c>
      <c r="D7" s="7"/>
      <c r="E7" s="7" t="s">
        <v>655</v>
      </c>
      <c r="F7" s="7" t="s">
        <v>19</v>
      </c>
      <c r="G7" s="7" t="s">
        <v>656</v>
      </c>
      <c r="H7" s="7" t="s">
        <v>17</v>
      </c>
      <c r="I7" s="7" t="s">
        <v>17</v>
      </c>
      <c r="J7" s="7" t="s">
        <v>657</v>
      </c>
    </row>
    <row r="8" spans="1:10" x14ac:dyDescent="0.25">
      <c r="A8" s="5" t="s">
        <v>19</v>
      </c>
      <c r="B8" s="6" t="s">
        <v>649</v>
      </c>
      <c r="C8" s="5" t="s">
        <v>17</v>
      </c>
      <c r="D8" s="5"/>
      <c r="E8" s="5" t="s">
        <v>665</v>
      </c>
      <c r="F8" s="5" t="s">
        <v>15</v>
      </c>
      <c r="G8" s="5" t="s">
        <v>17</v>
      </c>
      <c r="H8" s="5" t="s">
        <v>17</v>
      </c>
      <c r="I8" s="5" t="s">
        <v>17</v>
      </c>
      <c r="J8" s="5" t="s">
        <v>666</v>
      </c>
    </row>
    <row r="9" spans="1:10" x14ac:dyDescent="0.25" outlineLevel="1" collapsed="1">
      <c r="A9" s="7" t="s">
        <v>15</v>
      </c>
      <c r="B9" s="7" t="s">
        <v>16</v>
      </c>
      <c r="C9" s="7" t="s">
        <v>17</v>
      </c>
      <c r="D9" s="7"/>
      <c r="E9" s="7" t="s">
        <v>652</v>
      </c>
      <c r="F9" s="7" t="s">
        <v>19</v>
      </c>
      <c r="G9" s="7" t="s">
        <v>653</v>
      </c>
      <c r="H9" s="7" t="s">
        <v>17</v>
      </c>
      <c r="I9" s="7" t="s">
        <v>17</v>
      </c>
      <c r="J9" s="7" t="s">
        <v>654</v>
      </c>
    </row>
    <row r="10" spans="1:10" x14ac:dyDescent="0.25" outlineLevel="1" collapsed="1">
      <c r="A10" s="7" t="s">
        <v>15</v>
      </c>
      <c r="B10" s="7" t="s">
        <v>16</v>
      </c>
      <c r="C10" s="7" t="s">
        <v>17</v>
      </c>
      <c r="D10" s="7"/>
      <c r="E10" s="7" t="s">
        <v>655</v>
      </c>
      <c r="F10" s="7" t="s">
        <v>19</v>
      </c>
      <c r="G10" s="7" t="s">
        <v>656</v>
      </c>
      <c r="H10" s="7" t="s">
        <v>17</v>
      </c>
      <c r="I10" s="7" t="s">
        <v>17</v>
      </c>
      <c r="J10" s="7" t="s">
        <v>657</v>
      </c>
    </row>
    <row r="11" spans="1:10" x14ac:dyDescent="0.25">
      <c r="A11" s="5" t="s">
        <v>19</v>
      </c>
      <c r="B11" s="6" t="s">
        <v>649</v>
      </c>
      <c r="C11" s="5" t="s">
        <v>17</v>
      </c>
      <c r="D11" s="5"/>
      <c r="E11" s="5" t="s">
        <v>667</v>
      </c>
      <c r="F11" s="5" t="s">
        <v>15</v>
      </c>
      <c r="G11" s="5" t="s">
        <v>17</v>
      </c>
      <c r="H11" s="5" t="s">
        <v>17</v>
      </c>
      <c r="I11" s="5" t="s">
        <v>17</v>
      </c>
      <c r="J11" s="5" t="s">
        <v>668</v>
      </c>
    </row>
    <row r="12" spans="1:10" x14ac:dyDescent="0.25" outlineLevel="1" collapsed="1">
      <c r="A12" s="7" t="s">
        <v>15</v>
      </c>
      <c r="B12" s="7" t="s">
        <v>16</v>
      </c>
      <c r="C12" s="7" t="s">
        <v>17</v>
      </c>
      <c r="D12" s="7"/>
      <c r="E12" s="7" t="s">
        <v>652</v>
      </c>
      <c r="F12" s="7" t="s">
        <v>19</v>
      </c>
      <c r="G12" s="7" t="s">
        <v>653</v>
      </c>
      <c r="H12" s="7" t="s">
        <v>17</v>
      </c>
      <c r="I12" s="7" t="s">
        <v>17</v>
      </c>
      <c r="J12" s="7" t="s">
        <v>654</v>
      </c>
    </row>
    <row r="13" spans="1:10" x14ac:dyDescent="0.25" outlineLevel="1" collapsed="1">
      <c r="A13" s="7" t="s">
        <v>15</v>
      </c>
      <c r="B13" s="7" t="s">
        <v>16</v>
      </c>
      <c r="C13" s="7" t="s">
        <v>17</v>
      </c>
      <c r="D13" s="7"/>
      <c r="E13" s="7" t="s">
        <v>655</v>
      </c>
      <c r="F13" s="7" t="s">
        <v>19</v>
      </c>
      <c r="G13" s="7" t="s">
        <v>656</v>
      </c>
      <c r="H13" s="7" t="s">
        <v>17</v>
      </c>
      <c r="I13" s="7" t="s">
        <v>17</v>
      </c>
      <c r="J13" s="7" t="s">
        <v>657</v>
      </c>
    </row>
    <row r="14" spans="1:10" x14ac:dyDescent="0.25">
      <c r="A14" s="5" t="s">
        <v>19</v>
      </c>
      <c r="B14" s="6" t="s">
        <v>649</v>
      </c>
      <c r="C14" s="5" t="s">
        <v>17</v>
      </c>
      <c r="D14" s="5"/>
      <c r="E14" s="5" t="s">
        <v>669</v>
      </c>
      <c r="F14" s="5" t="s">
        <v>15</v>
      </c>
      <c r="G14" s="5" t="s">
        <v>17</v>
      </c>
      <c r="H14" s="5" t="s">
        <v>17</v>
      </c>
      <c r="I14" s="5" t="s">
        <v>17</v>
      </c>
      <c r="J14" s="5" t="s">
        <v>670</v>
      </c>
    </row>
    <row r="15" spans="1:10" x14ac:dyDescent="0.25" outlineLevel="1" collapsed="1">
      <c r="A15" s="7" t="s">
        <v>15</v>
      </c>
      <c r="B15" s="7" t="s">
        <v>16</v>
      </c>
      <c r="C15" s="7" t="s">
        <v>17</v>
      </c>
      <c r="D15" s="7"/>
      <c r="E15" s="7" t="s">
        <v>652</v>
      </c>
      <c r="F15" s="7" t="s">
        <v>19</v>
      </c>
      <c r="G15" s="7" t="s">
        <v>653</v>
      </c>
      <c r="H15" s="7" t="s">
        <v>17</v>
      </c>
      <c r="I15" s="7" t="s">
        <v>17</v>
      </c>
      <c r="J15" s="7" t="s">
        <v>654</v>
      </c>
    </row>
    <row r="16" spans="1:10" x14ac:dyDescent="0.25" outlineLevel="1" collapsed="1">
      <c r="A16" s="7" t="s">
        <v>15</v>
      </c>
      <c r="B16" s="7" t="s">
        <v>16</v>
      </c>
      <c r="C16" s="7" t="s">
        <v>17</v>
      </c>
      <c r="D16" s="7"/>
      <c r="E16" s="7" t="s">
        <v>655</v>
      </c>
      <c r="F16" s="7" t="s">
        <v>19</v>
      </c>
      <c r="G16" s="7" t="s">
        <v>656</v>
      </c>
      <c r="H16" s="7" t="s">
        <v>17</v>
      </c>
      <c r="I16" s="7" t="s">
        <v>17</v>
      </c>
      <c r="J16" s="7" t="s">
        <v>657</v>
      </c>
    </row>
    <row r="17" spans="1:10" x14ac:dyDescent="0.25">
      <c r="A17" s="5" t="s">
        <v>19</v>
      </c>
      <c r="B17" s="6" t="s">
        <v>649</v>
      </c>
      <c r="C17" s="5" t="s">
        <v>17</v>
      </c>
      <c r="D17" s="5"/>
      <c r="E17" s="5" t="s">
        <v>671</v>
      </c>
      <c r="F17" s="5" t="s">
        <v>15</v>
      </c>
      <c r="G17" s="5" t="s">
        <v>17</v>
      </c>
      <c r="H17" s="5" t="s">
        <v>17</v>
      </c>
      <c r="I17" s="5" t="s">
        <v>17</v>
      </c>
      <c r="J17" s="5" t="s">
        <v>170</v>
      </c>
    </row>
    <row r="18" spans="1:10" x14ac:dyDescent="0.25" outlineLevel="1" collapsed="1">
      <c r="A18" s="7" t="s">
        <v>15</v>
      </c>
      <c r="B18" s="7" t="s">
        <v>16</v>
      </c>
      <c r="C18" s="7" t="s">
        <v>17</v>
      </c>
      <c r="D18" s="7"/>
      <c r="E18" s="7" t="s">
        <v>652</v>
      </c>
      <c r="F18" s="7" t="s">
        <v>19</v>
      </c>
      <c r="G18" s="7" t="s">
        <v>653</v>
      </c>
      <c r="H18" s="7" t="s">
        <v>17</v>
      </c>
      <c r="I18" s="7" t="s">
        <v>17</v>
      </c>
      <c r="J18" s="7" t="s">
        <v>654</v>
      </c>
    </row>
    <row r="19" spans="1:10" x14ac:dyDescent="0.25" outlineLevel="1" collapsed="1">
      <c r="A19" s="7" t="s">
        <v>15</v>
      </c>
      <c r="B19" s="7" t="s">
        <v>16</v>
      </c>
      <c r="C19" s="7" t="s">
        <v>17</v>
      </c>
      <c r="D19" s="7"/>
      <c r="E19" s="7" t="s">
        <v>655</v>
      </c>
      <c r="F19" s="7" t="s">
        <v>19</v>
      </c>
      <c r="G19" s="7" t="s">
        <v>656</v>
      </c>
      <c r="H19" s="7" t="s">
        <v>17</v>
      </c>
      <c r="I19" s="7" t="s">
        <v>17</v>
      </c>
      <c r="J19" s="7" t="s">
        <v>657</v>
      </c>
    </row>
    <row r="20" spans="1:10" x14ac:dyDescent="0.25">
      <c r="A20" s="5" t="s">
        <v>19</v>
      </c>
      <c r="B20" s="6" t="s">
        <v>649</v>
      </c>
      <c r="C20" s="5" t="s">
        <v>17</v>
      </c>
      <c r="D20" s="5"/>
      <c r="E20" s="5" t="s">
        <v>672</v>
      </c>
      <c r="F20" s="5" t="s">
        <v>15</v>
      </c>
      <c r="G20" s="5" t="s">
        <v>17</v>
      </c>
      <c r="H20" s="5" t="s">
        <v>17</v>
      </c>
      <c r="I20" s="5" t="s">
        <v>17</v>
      </c>
      <c r="J20" s="5" t="s">
        <v>673</v>
      </c>
    </row>
    <row r="21" spans="1:10" x14ac:dyDescent="0.25" outlineLevel="1" collapsed="1">
      <c r="A21" s="7" t="s">
        <v>15</v>
      </c>
      <c r="B21" s="7" t="s">
        <v>16</v>
      </c>
      <c r="C21" s="7" t="s">
        <v>17</v>
      </c>
      <c r="D21" s="7"/>
      <c r="E21" s="7" t="s">
        <v>652</v>
      </c>
      <c r="F21" s="7" t="s">
        <v>19</v>
      </c>
      <c r="G21" s="7" t="s">
        <v>653</v>
      </c>
      <c r="H21" s="7" t="s">
        <v>17</v>
      </c>
      <c r="I21" s="7" t="s">
        <v>17</v>
      </c>
      <c r="J21" s="7" t="s">
        <v>654</v>
      </c>
    </row>
    <row r="22" spans="1:10" x14ac:dyDescent="0.25" outlineLevel="1" collapsed="1">
      <c r="A22" s="7" t="s">
        <v>15</v>
      </c>
      <c r="B22" s="7" t="s">
        <v>16</v>
      </c>
      <c r="C22" s="7" t="s">
        <v>17</v>
      </c>
      <c r="D22" s="7"/>
      <c r="E22" s="7" t="s">
        <v>655</v>
      </c>
      <c r="F22" s="7" t="s">
        <v>19</v>
      </c>
      <c r="G22" s="7" t="s">
        <v>656</v>
      </c>
      <c r="H22" s="7" t="s">
        <v>17</v>
      </c>
      <c r="I22" s="7" t="s">
        <v>17</v>
      </c>
      <c r="J22" s="7" t="s">
        <v>657</v>
      </c>
    </row>
    <row r="23" spans="1:10" x14ac:dyDescent="0.25">
      <c r="A23" s="5" t="s">
        <v>19</v>
      </c>
      <c r="B23" s="6" t="s">
        <v>649</v>
      </c>
      <c r="C23" s="5" t="s">
        <v>17</v>
      </c>
      <c r="D23" s="5"/>
      <c r="E23" s="5" t="s">
        <v>674</v>
      </c>
      <c r="F23" s="5" t="s">
        <v>15</v>
      </c>
      <c r="G23" s="5" t="s">
        <v>17</v>
      </c>
      <c r="H23" s="5" t="s">
        <v>17</v>
      </c>
      <c r="I23" s="5" t="s">
        <v>17</v>
      </c>
      <c r="J23" s="5" t="s">
        <v>675</v>
      </c>
    </row>
    <row r="24" spans="1:10" x14ac:dyDescent="0.25" outlineLevel="1" collapsed="1">
      <c r="A24" s="7" t="s">
        <v>15</v>
      </c>
      <c r="B24" s="7" t="s">
        <v>16</v>
      </c>
      <c r="C24" s="7" t="s">
        <v>17</v>
      </c>
      <c r="D24" s="7"/>
      <c r="E24" s="7" t="s">
        <v>652</v>
      </c>
      <c r="F24" s="7" t="s">
        <v>19</v>
      </c>
      <c r="G24" s="7" t="s">
        <v>653</v>
      </c>
      <c r="H24" s="7" t="s">
        <v>17</v>
      </c>
      <c r="I24" s="7" t="s">
        <v>17</v>
      </c>
      <c r="J24" s="7" t="s">
        <v>654</v>
      </c>
    </row>
    <row r="25" spans="1:10" x14ac:dyDescent="0.25" outlineLevel="1" collapsed="1">
      <c r="A25" s="7" t="s">
        <v>15</v>
      </c>
      <c r="B25" s="7" t="s">
        <v>16</v>
      </c>
      <c r="C25" s="7" t="s">
        <v>17</v>
      </c>
      <c r="D25" s="7"/>
      <c r="E25" s="7" t="s">
        <v>655</v>
      </c>
      <c r="F25" s="7" t="s">
        <v>19</v>
      </c>
      <c r="G25" s="7" t="s">
        <v>656</v>
      </c>
      <c r="H25" s="7" t="s">
        <v>17</v>
      </c>
      <c r="I25" s="7" t="s">
        <v>17</v>
      </c>
      <c r="J25" s="7" t="s">
        <v>657</v>
      </c>
    </row>
    <row r="26" spans="1:10" x14ac:dyDescent="0.25">
      <c r="A26" s="5" t="s">
        <v>19</v>
      </c>
      <c r="B26" s="6" t="s">
        <v>649</v>
      </c>
      <c r="C26" s="5" t="s">
        <v>17</v>
      </c>
      <c r="D26" s="5"/>
      <c r="E26" s="5" t="s">
        <v>676</v>
      </c>
      <c r="F26" s="5" t="s">
        <v>15</v>
      </c>
      <c r="G26" s="5" t="s">
        <v>17</v>
      </c>
      <c r="H26" s="5" t="s">
        <v>17</v>
      </c>
      <c r="I26" s="5" t="s">
        <v>17</v>
      </c>
      <c r="J26" s="5" t="s">
        <v>677</v>
      </c>
    </row>
    <row r="27" spans="1:10" x14ac:dyDescent="0.25" outlineLevel="1" collapsed="1">
      <c r="A27" s="7" t="s">
        <v>15</v>
      </c>
      <c r="B27" s="7" t="s">
        <v>16</v>
      </c>
      <c r="C27" s="7" t="s">
        <v>17</v>
      </c>
      <c r="D27" s="7"/>
      <c r="E27" s="7" t="s">
        <v>652</v>
      </c>
      <c r="F27" s="7" t="s">
        <v>19</v>
      </c>
      <c r="G27" s="7" t="s">
        <v>653</v>
      </c>
      <c r="H27" s="7" t="s">
        <v>17</v>
      </c>
      <c r="I27" s="7" t="s">
        <v>17</v>
      </c>
      <c r="J27" s="7" t="s">
        <v>654</v>
      </c>
    </row>
    <row r="28" spans="1:10" x14ac:dyDescent="0.25" outlineLevel="1" collapsed="1">
      <c r="A28" s="7" t="s">
        <v>15</v>
      </c>
      <c r="B28" s="7" t="s">
        <v>16</v>
      </c>
      <c r="C28" s="7" t="s">
        <v>17</v>
      </c>
      <c r="D28" s="7"/>
      <c r="E28" s="7" t="s">
        <v>655</v>
      </c>
      <c r="F28" s="7" t="s">
        <v>19</v>
      </c>
      <c r="G28" s="7" t="s">
        <v>656</v>
      </c>
      <c r="H28" s="7" t="s">
        <v>17</v>
      </c>
      <c r="I28" s="7" t="s">
        <v>17</v>
      </c>
      <c r="J28" s="7" t="s">
        <v>657</v>
      </c>
    </row>
    <row r="29" spans="1:10" x14ac:dyDescent="0.25">
      <c r="A29" s="5" t="s">
        <v>19</v>
      </c>
      <c r="B29" s="6" t="s">
        <v>678</v>
      </c>
      <c r="C29" s="5" t="s">
        <v>17</v>
      </c>
      <c r="D29" s="5"/>
      <c r="E29" s="5" t="s">
        <v>679</v>
      </c>
      <c r="F29" s="5" t="s">
        <v>19</v>
      </c>
      <c r="G29" s="5" t="s">
        <v>17</v>
      </c>
      <c r="H29" s="5" t="s">
        <v>17</v>
      </c>
      <c r="I29" s="5" t="s">
        <v>17</v>
      </c>
      <c r="J29" s="5" t="s">
        <v>680</v>
      </c>
    </row>
    <row r="30" spans="1:10" x14ac:dyDescent="0.25" outlineLevel="1" collapsed="1">
      <c r="A30" s="7" t="s">
        <v>19</v>
      </c>
      <c r="B30" s="7" t="s">
        <v>16</v>
      </c>
      <c r="C30" s="7" t="s">
        <v>17</v>
      </c>
      <c r="D30" s="7"/>
      <c r="E30" s="7" t="s">
        <v>500</v>
      </c>
      <c r="F30" s="7" t="s">
        <v>19</v>
      </c>
      <c r="G30" s="7" t="s">
        <v>31</v>
      </c>
      <c r="H30" s="7" t="s">
        <v>17</v>
      </c>
      <c r="I30" s="7" t="s">
        <v>17</v>
      </c>
      <c r="J30" s="7" t="s">
        <v>494</v>
      </c>
    </row>
    <row r="31" spans="1:10" x14ac:dyDescent="0.25" outlineLevel="1" collapsed="1">
      <c r="A31" s="7" t="s">
        <v>19</v>
      </c>
      <c r="B31" s="7" t="s">
        <v>16</v>
      </c>
      <c r="C31" s="7" t="s">
        <v>17</v>
      </c>
      <c r="D31" s="7"/>
      <c r="E31" s="7" t="s">
        <v>501</v>
      </c>
      <c r="F31" s="7" t="s">
        <v>19</v>
      </c>
      <c r="G31" s="7" t="s">
        <v>31</v>
      </c>
      <c r="H31" s="7" t="s">
        <v>17</v>
      </c>
      <c r="I31" s="7" t="s">
        <v>17</v>
      </c>
      <c r="J31" s="7" t="s">
        <v>497</v>
      </c>
    </row>
    <row r="32" spans="1:10" x14ac:dyDescent="0.25" outlineLevel="1" collapsed="1">
      <c r="A32" s="8" t="s">
        <v>19</v>
      </c>
      <c r="B32" s="9" t="s">
        <v>502</v>
      </c>
      <c r="C32" s="8" t="s">
        <v>17</v>
      </c>
      <c r="D32" s="8"/>
      <c r="E32" s="8" t="s">
        <v>503</v>
      </c>
      <c r="F32" s="8" t="s">
        <v>15</v>
      </c>
      <c r="G32" s="8" t="s">
        <v>17</v>
      </c>
      <c r="H32" s="8" t="s">
        <v>17</v>
      </c>
      <c r="I32" s="8" t="s">
        <v>17</v>
      </c>
      <c r="J32" s="8" t="s">
        <v>504</v>
      </c>
    </row>
    <row r="33" spans="1:10" x14ac:dyDescent="0.25" outlineLevel="2" collapsed="1">
      <c r="A33" s="7" t="s">
        <v>19</v>
      </c>
      <c r="B33" s="7" t="s">
        <v>16</v>
      </c>
      <c r="C33" s="7" t="s">
        <v>17</v>
      </c>
      <c r="D33" s="7"/>
      <c r="E33" s="7" t="s">
        <v>505</v>
      </c>
      <c r="F33" s="7" t="s">
        <v>19</v>
      </c>
      <c r="G33" s="7" t="s">
        <v>31</v>
      </c>
      <c r="H33" s="7" t="s">
        <v>17</v>
      </c>
      <c r="I33" s="7" t="s">
        <v>17</v>
      </c>
      <c r="J33" s="7" t="s">
        <v>506</v>
      </c>
    </row>
    <row r="34" spans="1:10" x14ac:dyDescent="0.25" outlineLevel="2" collapsed="1">
      <c r="A34" s="7" t="s">
        <v>19</v>
      </c>
      <c r="B34" s="7" t="s">
        <v>16</v>
      </c>
      <c r="C34" s="7" t="s">
        <v>17</v>
      </c>
      <c r="D34" s="7"/>
      <c r="E34" s="7" t="s">
        <v>501</v>
      </c>
      <c r="F34" s="7" t="s">
        <v>19</v>
      </c>
      <c r="G34" s="7" t="s">
        <v>31</v>
      </c>
      <c r="H34" s="7" t="s">
        <v>17</v>
      </c>
      <c r="I34" s="7" t="s">
        <v>17</v>
      </c>
      <c r="J34" s="7" t="s">
        <v>497</v>
      </c>
    </row>
    <row r="35" spans="1:10" x14ac:dyDescent="0.25">
      <c r="A35" s="5" t="s">
        <v>19</v>
      </c>
      <c r="B35" s="6" t="s">
        <v>681</v>
      </c>
      <c r="C35" s="5" t="s">
        <v>17</v>
      </c>
      <c r="D35" s="5"/>
      <c r="E35" s="5" t="s">
        <v>682</v>
      </c>
      <c r="F35" s="5" t="s">
        <v>19</v>
      </c>
      <c r="G35" s="5" t="s">
        <v>17</v>
      </c>
      <c r="H35" s="5" t="s">
        <v>17</v>
      </c>
      <c r="I35" s="5" t="s">
        <v>17</v>
      </c>
      <c r="J35" s="5" t="s">
        <v>134</v>
      </c>
    </row>
    <row r="36" spans="1:10" x14ac:dyDescent="0.25" outlineLevel="1" collapsed="1">
      <c r="A36" s="7" t="s">
        <v>19</v>
      </c>
      <c r="B36" s="7" t="s">
        <v>16</v>
      </c>
      <c r="C36" s="7" t="s">
        <v>17</v>
      </c>
      <c r="D36" s="7"/>
      <c r="E36" s="7" t="s">
        <v>500</v>
      </c>
      <c r="F36" s="7" t="s">
        <v>19</v>
      </c>
      <c r="G36" s="7" t="s">
        <v>31</v>
      </c>
      <c r="H36" s="7" t="s">
        <v>17</v>
      </c>
      <c r="I36" s="7" t="s">
        <v>17</v>
      </c>
      <c r="J36" s="7" t="s">
        <v>494</v>
      </c>
    </row>
    <row r="37" spans="1:10" x14ac:dyDescent="0.25" outlineLevel="1" collapsed="1">
      <c r="A37" s="7" t="s">
        <v>19</v>
      </c>
      <c r="B37" s="7" t="s">
        <v>16</v>
      </c>
      <c r="C37" s="7" t="s">
        <v>17</v>
      </c>
      <c r="D37" s="7"/>
      <c r="E37" s="7" t="s">
        <v>501</v>
      </c>
      <c r="F37" s="7" t="s">
        <v>19</v>
      </c>
      <c r="G37" s="7" t="s">
        <v>31</v>
      </c>
      <c r="H37" s="7" t="s">
        <v>17</v>
      </c>
      <c r="I37" s="7" t="s">
        <v>17</v>
      </c>
      <c r="J37" s="7" t="s">
        <v>497</v>
      </c>
    </row>
    <row r="38" spans="1:10" x14ac:dyDescent="0.25" outlineLevel="1" collapsed="1">
      <c r="A38" s="8" t="s">
        <v>19</v>
      </c>
      <c r="B38" s="9" t="s">
        <v>502</v>
      </c>
      <c r="C38" s="8" t="s">
        <v>17</v>
      </c>
      <c r="D38" s="8"/>
      <c r="E38" s="8" t="s">
        <v>503</v>
      </c>
      <c r="F38" s="8" t="s">
        <v>15</v>
      </c>
      <c r="G38" s="8" t="s">
        <v>17</v>
      </c>
      <c r="H38" s="8" t="s">
        <v>17</v>
      </c>
      <c r="I38" s="8" t="s">
        <v>17</v>
      </c>
      <c r="J38" s="8" t="s">
        <v>504</v>
      </c>
    </row>
    <row r="39" spans="1:10" x14ac:dyDescent="0.25" outlineLevel="2" collapsed="1">
      <c r="A39" s="7" t="s">
        <v>19</v>
      </c>
      <c r="B39" s="7" t="s">
        <v>16</v>
      </c>
      <c r="C39" s="7" t="s">
        <v>17</v>
      </c>
      <c r="D39" s="7"/>
      <c r="E39" s="7" t="s">
        <v>505</v>
      </c>
      <c r="F39" s="7" t="s">
        <v>19</v>
      </c>
      <c r="G39" s="7" t="s">
        <v>31</v>
      </c>
      <c r="H39" s="7" t="s">
        <v>17</v>
      </c>
      <c r="I39" s="7" t="s">
        <v>17</v>
      </c>
      <c r="J39" s="7" t="s">
        <v>506</v>
      </c>
    </row>
    <row r="40" spans="1:10" x14ac:dyDescent="0.25" outlineLevel="2" collapsed="1">
      <c r="A40" s="7" t="s">
        <v>19</v>
      </c>
      <c r="B40" s="7" t="s">
        <v>16</v>
      </c>
      <c r="C40" s="7" t="s">
        <v>17</v>
      </c>
      <c r="D40" s="7"/>
      <c r="E40" s="7" t="s">
        <v>501</v>
      </c>
      <c r="F40" s="7" t="s">
        <v>19</v>
      </c>
      <c r="G40" s="7" t="s">
        <v>31</v>
      </c>
      <c r="H40" s="7" t="s">
        <v>17</v>
      </c>
      <c r="I40" s="7" t="s">
        <v>17</v>
      </c>
      <c r="J40" s="7" t="s">
        <v>497</v>
      </c>
    </row>
    <row r="41" spans="1:10" x14ac:dyDescent="0.25">
      <c r="A41" s="5" t="s">
        <v>19</v>
      </c>
      <c r="B41" s="6" t="s">
        <v>683</v>
      </c>
      <c r="C41" s="5" t="s">
        <v>17</v>
      </c>
      <c r="D41" s="5"/>
      <c r="E41" s="5" t="s">
        <v>684</v>
      </c>
      <c r="F41" s="5" t="s">
        <v>19</v>
      </c>
      <c r="G41" s="5" t="s">
        <v>17</v>
      </c>
      <c r="H41" s="5" t="s">
        <v>17</v>
      </c>
      <c r="I41" s="5" t="s">
        <v>17</v>
      </c>
      <c r="J41" s="5" t="s">
        <v>685</v>
      </c>
    </row>
    <row r="42" spans="1:10" x14ac:dyDescent="0.25" outlineLevel="1" collapsed="1">
      <c r="A42" s="7" t="s">
        <v>19</v>
      </c>
      <c r="B42" s="7" t="s">
        <v>16</v>
      </c>
      <c r="C42" s="7" t="s">
        <v>17</v>
      </c>
      <c r="D42" s="7"/>
      <c r="E42" s="7" t="s">
        <v>500</v>
      </c>
      <c r="F42" s="7" t="s">
        <v>19</v>
      </c>
      <c r="G42" s="7" t="s">
        <v>31</v>
      </c>
      <c r="H42" s="7" t="s">
        <v>17</v>
      </c>
      <c r="I42" s="7" t="s">
        <v>17</v>
      </c>
      <c r="J42" s="7" t="s">
        <v>494</v>
      </c>
    </row>
    <row r="43" spans="1:10" x14ac:dyDescent="0.25" outlineLevel="1" collapsed="1">
      <c r="A43" s="7" t="s">
        <v>19</v>
      </c>
      <c r="B43" s="7" t="s">
        <v>16</v>
      </c>
      <c r="C43" s="7" t="s">
        <v>17</v>
      </c>
      <c r="D43" s="7"/>
      <c r="E43" s="7" t="s">
        <v>501</v>
      </c>
      <c r="F43" s="7" t="s">
        <v>19</v>
      </c>
      <c r="G43" s="7" t="s">
        <v>31</v>
      </c>
      <c r="H43" s="7" t="s">
        <v>17</v>
      </c>
      <c r="I43" s="7" t="s">
        <v>17</v>
      </c>
      <c r="J43" s="7" t="s">
        <v>497</v>
      </c>
    </row>
    <row r="44" spans="1:10" x14ac:dyDescent="0.25" outlineLevel="1" collapsed="1">
      <c r="A44" s="8" t="s">
        <v>19</v>
      </c>
      <c r="B44" s="9" t="s">
        <v>502</v>
      </c>
      <c r="C44" s="8" t="s">
        <v>17</v>
      </c>
      <c r="D44" s="8"/>
      <c r="E44" s="8" t="s">
        <v>503</v>
      </c>
      <c r="F44" s="8" t="s">
        <v>15</v>
      </c>
      <c r="G44" s="8" t="s">
        <v>17</v>
      </c>
      <c r="H44" s="8" t="s">
        <v>17</v>
      </c>
      <c r="I44" s="8" t="s">
        <v>17</v>
      </c>
      <c r="J44" s="8" t="s">
        <v>504</v>
      </c>
    </row>
    <row r="45" spans="1:10" x14ac:dyDescent="0.25" outlineLevel="2" collapsed="1">
      <c r="A45" s="7" t="s">
        <v>19</v>
      </c>
      <c r="B45" s="7" t="s">
        <v>16</v>
      </c>
      <c r="C45" s="7" t="s">
        <v>17</v>
      </c>
      <c r="D45" s="7"/>
      <c r="E45" s="7" t="s">
        <v>505</v>
      </c>
      <c r="F45" s="7" t="s">
        <v>19</v>
      </c>
      <c r="G45" s="7" t="s">
        <v>31</v>
      </c>
      <c r="H45" s="7" t="s">
        <v>17</v>
      </c>
      <c r="I45" s="7" t="s">
        <v>17</v>
      </c>
      <c r="J45" s="7" t="s">
        <v>506</v>
      </c>
    </row>
    <row r="46" spans="1:10" x14ac:dyDescent="0.25" outlineLevel="2" collapsed="1">
      <c r="A46" s="7" t="s">
        <v>19</v>
      </c>
      <c r="B46" s="7" t="s">
        <v>16</v>
      </c>
      <c r="C46" s="7" t="s">
        <v>17</v>
      </c>
      <c r="D46" s="7"/>
      <c r="E46" s="7" t="s">
        <v>501</v>
      </c>
      <c r="F46" s="7" t="s">
        <v>19</v>
      </c>
      <c r="G46" s="7" t="s">
        <v>31</v>
      </c>
      <c r="H46" s="7" t="s">
        <v>17</v>
      </c>
      <c r="I46" s="7" t="s">
        <v>17</v>
      </c>
      <c r="J46" s="7" t="s">
        <v>497</v>
      </c>
    </row>
    <row r="47" spans="1:10" x14ac:dyDescent="0.25">
      <c r="A47" s="5" t="s">
        <v>19</v>
      </c>
      <c r="B47" s="6" t="s">
        <v>686</v>
      </c>
      <c r="C47" s="5" t="s">
        <v>17</v>
      </c>
      <c r="D47" s="5"/>
      <c r="E47" s="5" t="s">
        <v>687</v>
      </c>
      <c r="F47" s="5" t="s">
        <v>19</v>
      </c>
      <c r="G47" s="5" t="s">
        <v>17</v>
      </c>
      <c r="H47" s="5" t="s">
        <v>17</v>
      </c>
      <c r="I47" s="5" t="s">
        <v>17</v>
      </c>
      <c r="J47" s="5" t="s">
        <v>688</v>
      </c>
    </row>
    <row r="48" spans="1:10" x14ac:dyDescent="0.25" outlineLevel="1" collapsed="1">
      <c r="A48" s="7" t="s">
        <v>19</v>
      </c>
      <c r="B48" s="7" t="s">
        <v>16</v>
      </c>
      <c r="C48" s="7" t="s">
        <v>17</v>
      </c>
      <c r="D48" s="7"/>
      <c r="E48" s="7" t="s">
        <v>500</v>
      </c>
      <c r="F48" s="7" t="s">
        <v>19</v>
      </c>
      <c r="G48" s="7" t="s">
        <v>31</v>
      </c>
      <c r="H48" s="7" t="s">
        <v>17</v>
      </c>
      <c r="I48" s="7" t="s">
        <v>17</v>
      </c>
      <c r="J48" s="7" t="s">
        <v>494</v>
      </c>
    </row>
    <row r="49" spans="1:10" x14ac:dyDescent="0.25" outlineLevel="1" collapsed="1">
      <c r="A49" s="7" t="s">
        <v>19</v>
      </c>
      <c r="B49" s="7" t="s">
        <v>16</v>
      </c>
      <c r="C49" s="7" t="s">
        <v>17</v>
      </c>
      <c r="D49" s="7"/>
      <c r="E49" s="7" t="s">
        <v>501</v>
      </c>
      <c r="F49" s="7" t="s">
        <v>19</v>
      </c>
      <c r="G49" s="7" t="s">
        <v>31</v>
      </c>
      <c r="H49" s="7" t="s">
        <v>17</v>
      </c>
      <c r="I49" s="7" t="s">
        <v>17</v>
      </c>
      <c r="J49" s="7" t="s">
        <v>497</v>
      </c>
    </row>
    <row r="50" spans="1:10" x14ac:dyDescent="0.25" outlineLevel="1" collapsed="1">
      <c r="A50" s="8" t="s">
        <v>19</v>
      </c>
      <c r="B50" s="9" t="s">
        <v>502</v>
      </c>
      <c r="C50" s="8" t="s">
        <v>17</v>
      </c>
      <c r="D50" s="8"/>
      <c r="E50" s="8" t="s">
        <v>503</v>
      </c>
      <c r="F50" s="8" t="s">
        <v>15</v>
      </c>
      <c r="G50" s="8" t="s">
        <v>17</v>
      </c>
      <c r="H50" s="8" t="s">
        <v>17</v>
      </c>
      <c r="I50" s="8" t="s">
        <v>17</v>
      </c>
      <c r="J50" s="8" t="s">
        <v>504</v>
      </c>
    </row>
    <row r="51" spans="1:10" x14ac:dyDescent="0.25" outlineLevel="2" collapsed="1">
      <c r="A51" s="7" t="s">
        <v>19</v>
      </c>
      <c r="B51" s="7" t="s">
        <v>16</v>
      </c>
      <c r="C51" s="7" t="s">
        <v>17</v>
      </c>
      <c r="D51" s="7"/>
      <c r="E51" s="7" t="s">
        <v>505</v>
      </c>
      <c r="F51" s="7" t="s">
        <v>19</v>
      </c>
      <c r="G51" s="7" t="s">
        <v>31</v>
      </c>
      <c r="H51" s="7" t="s">
        <v>17</v>
      </c>
      <c r="I51" s="7" t="s">
        <v>17</v>
      </c>
      <c r="J51" s="7" t="s">
        <v>506</v>
      </c>
    </row>
    <row r="52" spans="1:10" x14ac:dyDescent="0.25" outlineLevel="2" collapsed="1">
      <c r="A52" s="7" t="s">
        <v>19</v>
      </c>
      <c r="B52" s="7" t="s">
        <v>16</v>
      </c>
      <c r="C52" s="7" t="s">
        <v>17</v>
      </c>
      <c r="D52" s="7"/>
      <c r="E52" s="7" t="s">
        <v>501</v>
      </c>
      <c r="F52" s="7" t="s">
        <v>19</v>
      </c>
      <c r="G52" s="7" t="s">
        <v>31</v>
      </c>
      <c r="H52" s="7" t="s">
        <v>17</v>
      </c>
      <c r="I52" s="7" t="s">
        <v>17</v>
      </c>
      <c r="J52" s="7" t="s">
        <v>497</v>
      </c>
    </row>
    <row r="53" spans="1:10" x14ac:dyDescent="0.25">
      <c r="A53" s="5" t="s">
        <v>19</v>
      </c>
      <c r="B53" s="6" t="s">
        <v>689</v>
      </c>
      <c r="C53" s="5" t="s">
        <v>17</v>
      </c>
      <c r="D53" s="5"/>
      <c r="E53" s="5" t="s">
        <v>690</v>
      </c>
      <c r="F53" s="5" t="s">
        <v>19</v>
      </c>
      <c r="G53" s="5" t="s">
        <v>17</v>
      </c>
      <c r="H53" s="5" t="s">
        <v>17</v>
      </c>
      <c r="I53" s="5" t="s">
        <v>17</v>
      </c>
      <c r="J53" s="5" t="s">
        <v>691</v>
      </c>
    </row>
    <row r="54" spans="1:10" x14ac:dyDescent="0.25" outlineLevel="1" collapsed="1">
      <c r="A54" s="7" t="s">
        <v>19</v>
      </c>
      <c r="B54" s="7" t="s">
        <v>16</v>
      </c>
      <c r="C54" s="7" t="s">
        <v>17</v>
      </c>
      <c r="D54" s="7"/>
      <c r="E54" s="7" t="s">
        <v>500</v>
      </c>
      <c r="F54" s="7" t="s">
        <v>19</v>
      </c>
      <c r="G54" s="7" t="s">
        <v>31</v>
      </c>
      <c r="H54" s="7" t="s">
        <v>17</v>
      </c>
      <c r="I54" s="7" t="s">
        <v>17</v>
      </c>
      <c r="J54" s="7" t="s">
        <v>494</v>
      </c>
    </row>
    <row r="55" spans="1:10" x14ac:dyDescent="0.25" outlineLevel="1" collapsed="1">
      <c r="A55" s="7" t="s">
        <v>19</v>
      </c>
      <c r="B55" s="7" t="s">
        <v>16</v>
      </c>
      <c r="C55" s="7" t="s">
        <v>17</v>
      </c>
      <c r="D55" s="7"/>
      <c r="E55" s="7" t="s">
        <v>501</v>
      </c>
      <c r="F55" s="7" t="s">
        <v>19</v>
      </c>
      <c r="G55" s="7" t="s">
        <v>31</v>
      </c>
      <c r="H55" s="7" t="s">
        <v>17</v>
      </c>
      <c r="I55" s="7" t="s">
        <v>17</v>
      </c>
      <c r="J55" s="7" t="s">
        <v>497</v>
      </c>
    </row>
    <row r="56" spans="1:10" x14ac:dyDescent="0.25" outlineLevel="1" collapsed="1">
      <c r="A56" s="8" t="s">
        <v>19</v>
      </c>
      <c r="B56" s="9" t="s">
        <v>502</v>
      </c>
      <c r="C56" s="8" t="s">
        <v>17</v>
      </c>
      <c r="D56" s="8"/>
      <c r="E56" s="8" t="s">
        <v>503</v>
      </c>
      <c r="F56" s="8" t="s">
        <v>15</v>
      </c>
      <c r="G56" s="8" t="s">
        <v>17</v>
      </c>
      <c r="H56" s="8" t="s">
        <v>17</v>
      </c>
      <c r="I56" s="8" t="s">
        <v>17</v>
      </c>
      <c r="J56" s="8" t="s">
        <v>504</v>
      </c>
    </row>
    <row r="57" spans="1:10" x14ac:dyDescent="0.25" outlineLevel="2" collapsed="1">
      <c r="A57" s="7" t="s">
        <v>19</v>
      </c>
      <c r="B57" s="7" t="s">
        <v>16</v>
      </c>
      <c r="C57" s="7" t="s">
        <v>17</v>
      </c>
      <c r="D57" s="7"/>
      <c r="E57" s="7" t="s">
        <v>505</v>
      </c>
      <c r="F57" s="7" t="s">
        <v>19</v>
      </c>
      <c r="G57" s="7" t="s">
        <v>31</v>
      </c>
      <c r="H57" s="7" t="s">
        <v>17</v>
      </c>
      <c r="I57" s="7" t="s">
        <v>17</v>
      </c>
      <c r="J57" s="7" t="s">
        <v>506</v>
      </c>
    </row>
    <row r="58" spans="1:10" x14ac:dyDescent="0.25" outlineLevel="2" collapsed="1">
      <c r="A58" s="7" t="s">
        <v>19</v>
      </c>
      <c r="B58" s="7" t="s">
        <v>16</v>
      </c>
      <c r="C58" s="7" t="s">
        <v>17</v>
      </c>
      <c r="D58" s="7"/>
      <c r="E58" s="7" t="s">
        <v>501</v>
      </c>
      <c r="F58" s="7" t="s">
        <v>19</v>
      </c>
      <c r="G58" s="7" t="s">
        <v>31</v>
      </c>
      <c r="H58" s="7" t="s">
        <v>17</v>
      </c>
      <c r="I58" s="7" t="s">
        <v>17</v>
      </c>
      <c r="J58" s="7" t="s">
        <v>497</v>
      </c>
    </row>
    <row r="59" spans="1:10" x14ac:dyDescent="0.25">
      <c r="A59" s="5" t="s">
        <v>19</v>
      </c>
      <c r="B59" s="6" t="s">
        <v>692</v>
      </c>
      <c r="C59" s="5" t="s">
        <v>17</v>
      </c>
      <c r="D59" s="5"/>
      <c r="E59" s="5" t="s">
        <v>693</v>
      </c>
      <c r="F59" s="5" t="s">
        <v>19</v>
      </c>
      <c r="G59" s="5" t="s">
        <v>17</v>
      </c>
      <c r="H59" s="5" t="s">
        <v>17</v>
      </c>
      <c r="I59" s="5" t="s">
        <v>17</v>
      </c>
      <c r="J59" s="5" t="s">
        <v>694</v>
      </c>
    </row>
    <row r="60" spans="1:10" x14ac:dyDescent="0.25" outlineLevel="1" collapsed="1">
      <c r="A60" s="7" t="s">
        <v>19</v>
      </c>
      <c r="B60" s="7" t="s">
        <v>16</v>
      </c>
      <c r="C60" s="7" t="s">
        <v>17</v>
      </c>
      <c r="D60" s="7"/>
      <c r="E60" s="7" t="s">
        <v>500</v>
      </c>
      <c r="F60" s="7" t="s">
        <v>19</v>
      </c>
      <c r="G60" s="7" t="s">
        <v>31</v>
      </c>
      <c r="H60" s="7" t="s">
        <v>17</v>
      </c>
      <c r="I60" s="7" t="s">
        <v>17</v>
      </c>
      <c r="J60" s="7" t="s">
        <v>494</v>
      </c>
    </row>
    <row r="61" spans="1:10" x14ac:dyDescent="0.25" outlineLevel="1" collapsed="1">
      <c r="A61" s="7" t="s">
        <v>19</v>
      </c>
      <c r="B61" s="7" t="s">
        <v>16</v>
      </c>
      <c r="C61" s="7" t="s">
        <v>17</v>
      </c>
      <c r="D61" s="7"/>
      <c r="E61" s="7" t="s">
        <v>501</v>
      </c>
      <c r="F61" s="7" t="s">
        <v>19</v>
      </c>
      <c r="G61" s="7" t="s">
        <v>31</v>
      </c>
      <c r="H61" s="7" t="s">
        <v>17</v>
      </c>
      <c r="I61" s="7" t="s">
        <v>17</v>
      </c>
      <c r="J61" s="7" t="s">
        <v>497</v>
      </c>
    </row>
    <row r="62" spans="1:10" x14ac:dyDescent="0.25" outlineLevel="1" collapsed="1">
      <c r="A62" s="8" t="s">
        <v>19</v>
      </c>
      <c r="B62" s="9" t="s">
        <v>502</v>
      </c>
      <c r="C62" s="8" t="s">
        <v>17</v>
      </c>
      <c r="D62" s="8"/>
      <c r="E62" s="8" t="s">
        <v>503</v>
      </c>
      <c r="F62" s="8" t="s">
        <v>15</v>
      </c>
      <c r="G62" s="8" t="s">
        <v>17</v>
      </c>
      <c r="H62" s="8" t="s">
        <v>17</v>
      </c>
      <c r="I62" s="8" t="s">
        <v>17</v>
      </c>
      <c r="J62" s="8" t="s">
        <v>504</v>
      </c>
    </row>
    <row r="63" spans="1:10" x14ac:dyDescent="0.25" outlineLevel="2" collapsed="1">
      <c r="A63" s="7" t="s">
        <v>19</v>
      </c>
      <c r="B63" s="7" t="s">
        <v>16</v>
      </c>
      <c r="C63" s="7" t="s">
        <v>17</v>
      </c>
      <c r="D63" s="7"/>
      <c r="E63" s="7" t="s">
        <v>505</v>
      </c>
      <c r="F63" s="7" t="s">
        <v>19</v>
      </c>
      <c r="G63" s="7" t="s">
        <v>31</v>
      </c>
      <c r="H63" s="7" t="s">
        <v>17</v>
      </c>
      <c r="I63" s="7" t="s">
        <v>17</v>
      </c>
      <c r="J63" s="7" t="s">
        <v>506</v>
      </c>
    </row>
    <row r="64" spans="1:10" x14ac:dyDescent="0.25" outlineLevel="2" collapsed="1">
      <c r="A64" s="7" t="s">
        <v>19</v>
      </c>
      <c r="B64" s="7" t="s">
        <v>16</v>
      </c>
      <c r="C64" s="7" t="s">
        <v>17</v>
      </c>
      <c r="D64" s="7"/>
      <c r="E64" s="7" t="s">
        <v>501</v>
      </c>
      <c r="F64" s="7" t="s">
        <v>19</v>
      </c>
      <c r="G64" s="7" t="s">
        <v>31</v>
      </c>
      <c r="H64" s="7" t="s">
        <v>17</v>
      </c>
      <c r="I64" s="7" t="s">
        <v>17</v>
      </c>
      <c r="J64" s="7" t="s">
        <v>497</v>
      </c>
    </row>
    <row r="65" spans="1:10" x14ac:dyDescent="0.25">
      <c r="A65" s="5" t="s">
        <v>19</v>
      </c>
      <c r="B65" s="6" t="s">
        <v>695</v>
      </c>
      <c r="C65" s="5" t="s">
        <v>17</v>
      </c>
      <c r="D65" s="5"/>
      <c r="E65" s="5" t="s">
        <v>696</v>
      </c>
      <c r="F65" s="5" t="s">
        <v>19</v>
      </c>
      <c r="G65" s="5" t="s">
        <v>17</v>
      </c>
      <c r="H65" s="5" t="s">
        <v>17</v>
      </c>
      <c r="I65" s="5" t="s">
        <v>17</v>
      </c>
      <c r="J65" s="5" t="s">
        <v>697</v>
      </c>
    </row>
    <row r="66" spans="1:10" x14ac:dyDescent="0.25" outlineLevel="1" collapsed="1">
      <c r="A66" s="7" t="s">
        <v>19</v>
      </c>
      <c r="B66" s="7" t="s">
        <v>16</v>
      </c>
      <c r="C66" s="7" t="s">
        <v>17</v>
      </c>
      <c r="D66" s="7"/>
      <c r="E66" s="7" t="s">
        <v>500</v>
      </c>
      <c r="F66" s="7" t="s">
        <v>19</v>
      </c>
      <c r="G66" s="7" t="s">
        <v>31</v>
      </c>
      <c r="H66" s="7" t="s">
        <v>17</v>
      </c>
      <c r="I66" s="7" t="s">
        <v>17</v>
      </c>
      <c r="J66" s="7" t="s">
        <v>494</v>
      </c>
    </row>
    <row r="67" spans="1:10" x14ac:dyDescent="0.25" outlineLevel="1" collapsed="1">
      <c r="A67" s="7" t="s">
        <v>19</v>
      </c>
      <c r="B67" s="7" t="s">
        <v>16</v>
      </c>
      <c r="C67" s="7" t="s">
        <v>17</v>
      </c>
      <c r="D67" s="7"/>
      <c r="E67" s="7" t="s">
        <v>501</v>
      </c>
      <c r="F67" s="7" t="s">
        <v>19</v>
      </c>
      <c r="G67" s="7" t="s">
        <v>31</v>
      </c>
      <c r="H67" s="7" t="s">
        <v>17</v>
      </c>
      <c r="I67" s="7" t="s">
        <v>17</v>
      </c>
      <c r="J67" s="7" t="s">
        <v>497</v>
      </c>
    </row>
    <row r="68" spans="1:10" x14ac:dyDescent="0.25" outlineLevel="1" collapsed="1">
      <c r="A68" s="8" t="s">
        <v>19</v>
      </c>
      <c r="B68" s="9" t="s">
        <v>502</v>
      </c>
      <c r="C68" s="8" t="s">
        <v>17</v>
      </c>
      <c r="D68" s="8"/>
      <c r="E68" s="8" t="s">
        <v>503</v>
      </c>
      <c r="F68" s="8" t="s">
        <v>15</v>
      </c>
      <c r="G68" s="8" t="s">
        <v>17</v>
      </c>
      <c r="H68" s="8" t="s">
        <v>17</v>
      </c>
      <c r="I68" s="8" t="s">
        <v>17</v>
      </c>
      <c r="J68" s="8" t="s">
        <v>504</v>
      </c>
    </row>
    <row r="69" spans="1:10" x14ac:dyDescent="0.25" outlineLevel="2" collapsed="1">
      <c r="A69" s="7" t="s">
        <v>19</v>
      </c>
      <c r="B69" s="7" t="s">
        <v>16</v>
      </c>
      <c r="C69" s="7" t="s">
        <v>17</v>
      </c>
      <c r="D69" s="7"/>
      <c r="E69" s="7" t="s">
        <v>505</v>
      </c>
      <c r="F69" s="7" t="s">
        <v>19</v>
      </c>
      <c r="G69" s="7" t="s">
        <v>31</v>
      </c>
      <c r="H69" s="7" t="s">
        <v>17</v>
      </c>
      <c r="I69" s="7" t="s">
        <v>17</v>
      </c>
      <c r="J69" s="7" t="s">
        <v>506</v>
      </c>
    </row>
    <row r="70" spans="1:10" x14ac:dyDescent="0.25" outlineLevel="2" collapsed="1">
      <c r="A70" s="7" t="s">
        <v>19</v>
      </c>
      <c r="B70" s="7" t="s">
        <v>16</v>
      </c>
      <c r="C70" s="7" t="s">
        <v>17</v>
      </c>
      <c r="D70" s="7"/>
      <c r="E70" s="7" t="s">
        <v>501</v>
      </c>
      <c r="F70" s="7" t="s">
        <v>19</v>
      </c>
      <c r="G70" s="7" t="s">
        <v>31</v>
      </c>
      <c r="H70" s="7" t="s">
        <v>17</v>
      </c>
      <c r="I70" s="7" t="s">
        <v>17</v>
      </c>
      <c r="J70" s="7" t="s">
        <v>497</v>
      </c>
    </row>
    <row r="71" spans="1:10" x14ac:dyDescent="0.25">
      <c r="A71" s="5" t="s">
        <v>19</v>
      </c>
      <c r="B71" s="6" t="s">
        <v>698</v>
      </c>
      <c r="C71" s="5" t="s">
        <v>17</v>
      </c>
      <c r="D71" s="5"/>
      <c r="E71" s="5" t="s">
        <v>699</v>
      </c>
      <c r="F71" s="5" t="s">
        <v>19</v>
      </c>
      <c r="G71" s="5" t="s">
        <v>17</v>
      </c>
      <c r="H71" s="5" t="s">
        <v>17</v>
      </c>
      <c r="I71" s="5" t="s">
        <v>17</v>
      </c>
      <c r="J71" s="5" t="s">
        <v>700</v>
      </c>
    </row>
    <row r="72" spans="1:10" x14ac:dyDescent="0.25" outlineLevel="1" collapsed="1">
      <c r="A72" s="7" t="s">
        <v>19</v>
      </c>
      <c r="B72" s="7" t="s">
        <v>16</v>
      </c>
      <c r="C72" s="7" t="s">
        <v>17</v>
      </c>
      <c r="D72" s="7"/>
      <c r="E72" s="7" t="s">
        <v>500</v>
      </c>
      <c r="F72" s="7" t="s">
        <v>19</v>
      </c>
      <c r="G72" s="7" t="s">
        <v>31</v>
      </c>
      <c r="H72" s="7" t="s">
        <v>17</v>
      </c>
      <c r="I72" s="7" t="s">
        <v>17</v>
      </c>
      <c r="J72" s="7" t="s">
        <v>494</v>
      </c>
    </row>
    <row r="73" spans="1:10" x14ac:dyDescent="0.25" outlineLevel="1" collapsed="1">
      <c r="A73" s="7" t="s">
        <v>19</v>
      </c>
      <c r="B73" s="7" t="s">
        <v>16</v>
      </c>
      <c r="C73" s="7" t="s">
        <v>17</v>
      </c>
      <c r="D73" s="7"/>
      <c r="E73" s="7" t="s">
        <v>501</v>
      </c>
      <c r="F73" s="7" t="s">
        <v>19</v>
      </c>
      <c r="G73" s="7" t="s">
        <v>31</v>
      </c>
      <c r="H73" s="7" t="s">
        <v>17</v>
      </c>
      <c r="I73" s="7" t="s">
        <v>17</v>
      </c>
      <c r="J73" s="7" t="s">
        <v>497</v>
      </c>
    </row>
    <row r="74" spans="1:10" x14ac:dyDescent="0.25" outlineLevel="1" collapsed="1">
      <c r="A74" s="8" t="s">
        <v>19</v>
      </c>
      <c r="B74" s="9" t="s">
        <v>502</v>
      </c>
      <c r="C74" s="8" t="s">
        <v>17</v>
      </c>
      <c r="D74" s="8"/>
      <c r="E74" s="8" t="s">
        <v>503</v>
      </c>
      <c r="F74" s="8" t="s">
        <v>15</v>
      </c>
      <c r="G74" s="8" t="s">
        <v>17</v>
      </c>
      <c r="H74" s="8" t="s">
        <v>17</v>
      </c>
      <c r="I74" s="8" t="s">
        <v>17</v>
      </c>
      <c r="J74" s="8" t="s">
        <v>504</v>
      </c>
    </row>
    <row r="75" spans="1:10" x14ac:dyDescent="0.25" outlineLevel="2" collapsed="1">
      <c r="A75" s="7" t="s">
        <v>19</v>
      </c>
      <c r="B75" s="7" t="s">
        <v>16</v>
      </c>
      <c r="C75" s="7" t="s">
        <v>17</v>
      </c>
      <c r="D75" s="7"/>
      <c r="E75" s="7" t="s">
        <v>505</v>
      </c>
      <c r="F75" s="7" t="s">
        <v>19</v>
      </c>
      <c r="G75" s="7" t="s">
        <v>31</v>
      </c>
      <c r="H75" s="7" t="s">
        <v>17</v>
      </c>
      <c r="I75" s="7" t="s">
        <v>17</v>
      </c>
      <c r="J75" s="7" t="s">
        <v>506</v>
      </c>
    </row>
    <row r="76" spans="1:10" x14ac:dyDescent="0.25" outlineLevel="2" collapsed="1">
      <c r="A76" s="7" t="s">
        <v>19</v>
      </c>
      <c r="B76" s="7" t="s">
        <v>16</v>
      </c>
      <c r="C76" s="7" t="s">
        <v>17</v>
      </c>
      <c r="D76" s="7"/>
      <c r="E76" s="7" t="s">
        <v>501</v>
      </c>
      <c r="F76" s="7" t="s">
        <v>19</v>
      </c>
      <c r="G76" s="7" t="s">
        <v>31</v>
      </c>
      <c r="H76" s="7" t="s">
        <v>17</v>
      </c>
      <c r="I76" s="7" t="s">
        <v>17</v>
      </c>
      <c r="J76" s="7" t="s">
        <v>497</v>
      </c>
    </row>
  </sheetData>
  <mergeCells count="3">
    <mergeCell ref="A1:J1"/>
    <mergeCell ref="B2:J2"/>
    <mergeCell ref="B3:J3"/>
  </mergeCells>
  <hyperlinks>
    <hyperlink ref="B5" r:id="rId1" location="#'Safeguards assessment row item'!A1"/>
    <hyperlink ref="B8" r:id="rId2" location="#'Safeguards assessment row item'!A1"/>
    <hyperlink ref="B11" r:id="rId3" location="#'Safeguards assessment row item'!A1"/>
    <hyperlink ref="B14" r:id="rId4" location="#'Safeguards assessment row item'!A1"/>
    <hyperlink ref="B17" r:id="rId5" location="#'Safeguards assessment row item'!A1"/>
    <hyperlink ref="B20" r:id="rId6" location="#'Safeguards assessment row item'!A1"/>
    <hyperlink ref="B23" r:id="rId7" location="#'Safeguards assessment row item'!A1"/>
    <hyperlink ref="B26" r:id="rId8" location="#'Safeguards assessment row item'!A1"/>
    <hyperlink ref="B29" r:id="rId9" location="#'Stakeholder Identification (VC'!A1"/>
    <hyperlink ref="B32" r:id="rId10" location="#'Deadlines for Participation ro'!A1"/>
    <hyperlink ref="B35" r:id="rId11" location="#'Stakeholder Consultation and O'!A1"/>
    <hyperlink ref="B38" r:id="rId12" location="#'Deadlines for Participation ro'!A1"/>
    <hyperlink ref="B41" r:id="rId13" location="#'Free Prior and Informed Consen'!A1"/>
    <hyperlink ref="B44" r:id="rId14" location="#'Deadlines for Participation ro'!A1"/>
    <hyperlink ref="B47" r:id="rId15" location="#'Benefit-Sharing for Other Righ'!A1"/>
    <hyperlink ref="B50" r:id="rId16" location="#'Deadlines for Participation ro'!A1"/>
    <hyperlink ref="B53" r:id="rId17" location="#'Stakeholder Input Tracker (VCS'!A1"/>
    <hyperlink ref="B56" r:id="rId18" location="#'Deadlines for Participation ro'!A1"/>
    <hyperlink ref="B59" r:id="rId19" location="#'Grievance Redress Mechanism 2'!A1"/>
    <hyperlink ref="B62" r:id="rId20" location="#'Deadlines for Participation ro'!A1"/>
    <hyperlink ref="B65" r:id="rId21" location="#'Management Expertise (VCS Veri'!A1"/>
    <hyperlink ref="B68" r:id="rId22" location="#'Deadlines for Participation ro'!A1"/>
    <hyperlink ref="B71" r:id="rId23" location="#'Environmental Social and Go 2'!A1"/>
    <hyperlink ref="B74" r:id="rId24" location="#'Deadlines for Participation ro'!A1"/>
  </hyperlinks>
  <pageMargins left="0.7" right="0.7" top="0.75" bottom="0.75" header="0.3" footer="0.3"/>
  <pageSetup orientation="portrait" horizontalDpi="4294967295" verticalDpi="4294967295" scale="100" fitToWidth="1" fitToHeight="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3660</v>
      </c>
      <c r="B1" s="1"/>
      <c r="C1" s="1"/>
      <c r="D1" s="1"/>
      <c r="E1" s="1"/>
      <c r="F1" s="1"/>
      <c r="G1" s="1"/>
      <c r="H1" s="1"/>
      <c r="I1" s="1"/>
      <c r="J1" s="1"/>
    </row>
    <row r="2" spans="1:10" x14ac:dyDescent="0.25">
      <c r="A2" s="2" t="s">
        <v>1</v>
      </c>
      <c r="B2" s="3" t="s">
        <v>3661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707</v>
      </c>
      <c r="F5" s="5" t="s">
        <v>19</v>
      </c>
      <c r="G5" s="5" t="s">
        <v>293</v>
      </c>
      <c r="H5" s="5" t="s">
        <v>17</v>
      </c>
      <c r="I5" s="5" t="s">
        <v>17</v>
      </c>
      <c r="J5" s="5" t="s">
        <v>708</v>
      </c>
    </row>
    <row r="6" spans="1:10" x14ac:dyDescent="0.25">
      <c r="A6" s="5" t="s">
        <v>15</v>
      </c>
      <c r="B6" s="5" t="s">
        <v>16</v>
      </c>
      <c r="C6" s="5" t="s">
        <v>17</v>
      </c>
      <c r="D6" s="5"/>
      <c r="E6" s="5" t="s">
        <v>288</v>
      </c>
      <c r="F6" s="5" t="s">
        <v>19</v>
      </c>
      <c r="G6" s="5" t="s">
        <v>289</v>
      </c>
      <c r="H6" s="5" t="s">
        <v>17</v>
      </c>
      <c r="I6" s="5" t="s">
        <v>17</v>
      </c>
      <c r="J6" s="5" t="s">
        <v>290</v>
      </c>
    </row>
    <row r="7" spans="1:10" x14ac:dyDescent="0.25">
      <c r="A7" s="5" t="s">
        <v>15</v>
      </c>
      <c r="B7" s="5" t="s">
        <v>16</v>
      </c>
      <c r="C7" s="5" t="s">
        <v>17</v>
      </c>
      <c r="D7" s="5"/>
      <c r="E7" s="5" t="s">
        <v>709</v>
      </c>
      <c r="F7" s="5" t="s">
        <v>19</v>
      </c>
      <c r="G7" s="5" t="s">
        <v>710</v>
      </c>
      <c r="H7" s="5" t="s">
        <v>17</v>
      </c>
      <c r="I7" s="5" t="s">
        <v>17</v>
      </c>
      <c r="J7" s="5" t="s">
        <v>711</v>
      </c>
    </row>
    <row r="8" spans="1:10" x14ac:dyDescent="0.25">
      <c r="A8" s="5" t="s">
        <v>15</v>
      </c>
      <c r="B8" s="5" t="s">
        <v>16</v>
      </c>
      <c r="C8" s="5" t="s">
        <v>17</v>
      </c>
      <c r="D8" s="5"/>
      <c r="E8" s="5" t="s">
        <v>712</v>
      </c>
      <c r="F8" s="5" t="s">
        <v>19</v>
      </c>
      <c r="G8" s="5" t="s">
        <v>31</v>
      </c>
      <c r="H8" s="5" t="s">
        <v>17</v>
      </c>
      <c r="I8" s="5" t="s">
        <v>17</v>
      </c>
      <c r="J8" s="5" t="s">
        <v>713</v>
      </c>
    </row>
    <row r="9" spans="1:10" x14ac:dyDescent="0.25">
      <c r="A9" s="5" t="s">
        <v>19</v>
      </c>
      <c r="B9" s="5" t="s">
        <v>16</v>
      </c>
      <c r="C9" s="5" t="s">
        <v>17</v>
      </c>
      <c r="D9" s="5"/>
      <c r="E9" s="5" t="s">
        <v>714</v>
      </c>
      <c r="F9" s="5" t="s">
        <v>19</v>
      </c>
      <c r="G9" s="5" t="s">
        <v>715</v>
      </c>
      <c r="H9" s="5" t="s">
        <v>17</v>
      </c>
      <c r="I9" s="5" t="s">
        <v>17</v>
      </c>
      <c r="J9" s="5" t="s">
        <v>716</v>
      </c>
    </row>
    <row r="10" spans="1:10" x14ac:dyDescent="0.25">
      <c r="A10" s="5" t="s">
        <v>15</v>
      </c>
      <c r="B10" s="5" t="s">
        <v>16</v>
      </c>
      <c r="C10" s="5" t="s">
        <v>17</v>
      </c>
      <c r="D10" s="5"/>
      <c r="E10" s="5" t="s">
        <v>717</v>
      </c>
      <c r="F10" s="5" t="s">
        <v>19</v>
      </c>
      <c r="G10" s="5" t="s">
        <v>718</v>
      </c>
      <c r="H10" s="5" t="s">
        <v>17</v>
      </c>
      <c r="I10" s="5" t="s">
        <v>17</v>
      </c>
      <c r="J10" s="5" t="s">
        <v>719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3662</v>
      </c>
      <c r="B1" s="1"/>
      <c r="C1" s="1"/>
      <c r="D1" s="1"/>
      <c r="E1" s="1"/>
      <c r="F1" s="1"/>
      <c r="G1" s="1"/>
      <c r="H1" s="1"/>
      <c r="I1" s="1"/>
      <c r="J1" s="1"/>
    </row>
    <row r="2" spans="1:10" x14ac:dyDescent="0.25">
      <c r="A2" s="2" t="s">
        <v>1</v>
      </c>
      <c r="B2" s="3" t="s">
        <v>3663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728</v>
      </c>
      <c r="F5" s="5" t="s">
        <v>19</v>
      </c>
      <c r="G5" s="5" t="s">
        <v>729</v>
      </c>
      <c r="H5" s="5" t="s">
        <v>17</v>
      </c>
      <c r="I5" s="5" t="s">
        <v>17</v>
      </c>
      <c r="J5" s="5" t="s">
        <v>730</v>
      </c>
    </row>
    <row r="6" spans="1:10" x14ac:dyDescent="0.25">
      <c r="A6" s="5" t="s">
        <v>15</v>
      </c>
      <c r="B6" s="5" t="s">
        <v>16</v>
      </c>
      <c r="C6" s="5" t="s">
        <v>17</v>
      </c>
      <c r="D6" s="5"/>
      <c r="E6" s="5" t="s">
        <v>731</v>
      </c>
      <c r="F6" s="5" t="s">
        <v>19</v>
      </c>
      <c r="G6" s="5" t="s">
        <v>732</v>
      </c>
      <c r="H6" s="5" t="s">
        <v>17</v>
      </c>
      <c r="I6" s="5" t="s">
        <v>17</v>
      </c>
      <c r="J6" s="5" t="s">
        <v>733</v>
      </c>
    </row>
    <row r="7" spans="1:10" x14ac:dyDescent="0.25">
      <c r="A7" s="5" t="s">
        <v>15</v>
      </c>
      <c r="B7" s="5" t="s">
        <v>291</v>
      </c>
      <c r="C7" s="5" t="s">
        <v>17</v>
      </c>
      <c r="D7" s="5"/>
      <c r="E7" s="5" t="s">
        <v>30</v>
      </c>
      <c r="F7" s="5" t="s">
        <v>19</v>
      </c>
      <c r="G7" s="5" t="s">
        <v>293</v>
      </c>
      <c r="H7" s="5" t="s">
        <v>17</v>
      </c>
      <c r="I7" s="5" t="s">
        <v>17</v>
      </c>
      <c r="J7" s="5" t="s">
        <v>734</v>
      </c>
    </row>
    <row r="8" spans="1:10" x14ac:dyDescent="0.25">
      <c r="A8" s="5" t="s">
        <v>15</v>
      </c>
      <c r="B8" s="5" t="s">
        <v>291</v>
      </c>
      <c r="C8" s="5" t="s">
        <v>17</v>
      </c>
      <c r="D8" s="5"/>
      <c r="E8" s="5" t="s">
        <v>33</v>
      </c>
      <c r="F8" s="5" t="s">
        <v>19</v>
      </c>
      <c r="G8" s="5" t="s">
        <v>293</v>
      </c>
      <c r="H8" s="5" t="s">
        <v>17</v>
      </c>
      <c r="I8" s="5" t="s">
        <v>17</v>
      </c>
      <c r="J8" s="5" t="s">
        <v>735</v>
      </c>
    </row>
    <row r="9" spans="1:10" x14ac:dyDescent="0.25">
      <c r="A9" s="5" t="s">
        <v>15</v>
      </c>
      <c r="B9" s="5" t="s">
        <v>63</v>
      </c>
      <c r="C9" s="5" t="s">
        <v>17</v>
      </c>
      <c r="D9" s="5"/>
      <c r="E9" s="5" t="s">
        <v>736</v>
      </c>
      <c r="F9" s="5" t="s">
        <v>19</v>
      </c>
      <c r="G9" s="5">
        <v>276.0886</v>
      </c>
      <c r="H9" s="5" t="s">
        <v>17</v>
      </c>
      <c r="I9" s="5" t="s">
        <v>17</v>
      </c>
      <c r="J9" s="5" t="s">
        <v>737</v>
      </c>
    </row>
    <row r="10" spans="1:10" x14ac:dyDescent="0.25">
      <c r="A10" s="5" t="s">
        <v>15</v>
      </c>
      <c r="B10" s="5" t="s">
        <v>63</v>
      </c>
      <c r="C10" s="5" t="s">
        <v>17</v>
      </c>
      <c r="D10" s="5"/>
      <c r="E10" s="5" t="s">
        <v>738</v>
      </c>
      <c r="F10" s="5" t="s">
        <v>19</v>
      </c>
      <c r="G10" s="5">
        <v>0.3504</v>
      </c>
      <c r="H10" s="5" t="s">
        <v>17</v>
      </c>
      <c r="I10" s="5" t="s">
        <v>17</v>
      </c>
      <c r="J10" s="5" t="s">
        <v>739</v>
      </c>
    </row>
    <row r="11" spans="1:10" x14ac:dyDescent="0.25">
      <c r="A11" s="5" t="s">
        <v>15</v>
      </c>
      <c r="B11" s="5" t="s">
        <v>63</v>
      </c>
      <c r="C11" s="5" t="s">
        <v>17</v>
      </c>
      <c r="D11" s="5"/>
      <c r="E11" s="5" t="s">
        <v>740</v>
      </c>
      <c r="F11" s="5" t="s">
        <v>19</v>
      </c>
      <c r="G11" s="5">
        <v>0</v>
      </c>
      <c r="H11" s="5" t="s">
        <v>17</v>
      </c>
      <c r="I11" s="5" t="s">
        <v>17</v>
      </c>
      <c r="J11" s="5" t="s">
        <v>741</v>
      </c>
    </row>
    <row r="12" spans="1:10" x14ac:dyDescent="0.25">
      <c r="A12" s="5" t="s">
        <v>15</v>
      </c>
      <c r="B12" s="5" t="s">
        <v>63</v>
      </c>
      <c r="C12" s="5" t="s">
        <v>17</v>
      </c>
      <c r="D12" s="5"/>
      <c r="E12" s="5" t="s">
        <v>742</v>
      </c>
      <c r="F12" s="5" t="s">
        <v>19</v>
      </c>
      <c r="G12" s="5">
        <v>275.738</v>
      </c>
      <c r="H12" s="5" t="s">
        <v>17</v>
      </c>
      <c r="I12" s="5" t="s">
        <v>17</v>
      </c>
      <c r="J12" s="5" t="s">
        <v>743</v>
      </c>
    </row>
    <row r="13" spans="1:10" x14ac:dyDescent="0.25">
      <c r="A13" s="5" t="s">
        <v>15</v>
      </c>
      <c r="B13" s="5" t="s">
        <v>63</v>
      </c>
      <c r="C13" s="5" t="s">
        <v>17</v>
      </c>
      <c r="D13" s="5"/>
      <c r="E13" s="5" t="s">
        <v>744</v>
      </c>
      <c r="F13" s="5" t="s">
        <v>19</v>
      </c>
      <c r="G13" s="5">
        <v>0</v>
      </c>
      <c r="H13" s="5" t="s">
        <v>17</v>
      </c>
      <c r="I13" s="5" t="s">
        <v>17</v>
      </c>
      <c r="J13" s="5" t="s">
        <v>745</v>
      </c>
    </row>
    <row r="14" spans="1:10" x14ac:dyDescent="0.25">
      <c r="A14" s="5" t="s">
        <v>15</v>
      </c>
      <c r="B14" s="5" t="s">
        <v>63</v>
      </c>
      <c r="C14" s="5" t="s">
        <v>17</v>
      </c>
      <c r="D14" s="5"/>
      <c r="E14" s="5" t="s">
        <v>746</v>
      </c>
      <c r="F14" s="5" t="s">
        <v>19</v>
      </c>
      <c r="G14" s="5">
        <v>275.738</v>
      </c>
      <c r="H14" s="5" t="s">
        <v>17</v>
      </c>
      <c r="I14" s="5" t="s">
        <v>17</v>
      </c>
      <c r="J14" s="5" t="s">
        <v>747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3664</v>
      </c>
      <c r="B1" s="1"/>
      <c r="C1" s="1"/>
      <c r="D1" s="1"/>
      <c r="E1" s="1"/>
      <c r="F1" s="1"/>
      <c r="G1" s="1"/>
      <c r="H1" s="1"/>
      <c r="I1" s="1"/>
      <c r="J1" s="1"/>
    </row>
    <row r="2" spans="1:10" x14ac:dyDescent="0.25">
      <c r="A2" s="2" t="s">
        <v>1</v>
      </c>
      <c r="B2" s="3" t="s">
        <v>3665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729</v>
      </c>
      <c r="H5" s="5" t="s">
        <v>17</v>
      </c>
      <c r="I5" s="5" t="s">
        <v>17</v>
      </c>
      <c r="J5" s="5" t="s">
        <v>730</v>
      </c>
    </row>
    <row r="6" spans="1:10" x14ac:dyDescent="0.25">
      <c r="A6" s="5" t="s">
        <v>19</v>
      </c>
      <c r="B6" s="5" t="s">
        <v>16</v>
      </c>
      <c r="C6" s="5" t="s">
        <v>17</v>
      </c>
      <c r="D6" s="5"/>
      <c r="E6" s="5" t="s">
        <v>731</v>
      </c>
      <c r="F6" s="5" t="s">
        <v>19</v>
      </c>
      <c r="G6" s="5" t="s">
        <v>732</v>
      </c>
      <c r="H6" s="5" t="s">
        <v>17</v>
      </c>
      <c r="I6" s="5" t="s">
        <v>17</v>
      </c>
      <c r="J6" s="5" t="s">
        <v>733</v>
      </c>
    </row>
    <row r="7" spans="1:10" x14ac:dyDescent="0.25">
      <c r="A7" s="5" t="s">
        <v>19</v>
      </c>
      <c r="B7" s="5" t="s">
        <v>291</v>
      </c>
      <c r="C7" s="5" t="s">
        <v>17</v>
      </c>
      <c r="D7" s="5"/>
      <c r="E7" s="5" t="s">
        <v>30</v>
      </c>
      <c r="F7" s="5" t="s">
        <v>19</v>
      </c>
      <c r="G7" s="5" t="s">
        <v>293</v>
      </c>
      <c r="H7" s="5" t="s">
        <v>17</v>
      </c>
      <c r="I7" s="5" t="s">
        <v>17</v>
      </c>
      <c r="J7" s="5" t="s">
        <v>734</v>
      </c>
    </row>
    <row r="8" spans="1:10" x14ac:dyDescent="0.25">
      <c r="A8" s="5" t="s">
        <v>19</v>
      </c>
      <c r="B8" s="5" t="s">
        <v>291</v>
      </c>
      <c r="C8" s="5" t="s">
        <v>17</v>
      </c>
      <c r="D8" s="5"/>
      <c r="E8" s="5" t="s">
        <v>33</v>
      </c>
      <c r="F8" s="5" t="s">
        <v>19</v>
      </c>
      <c r="G8" s="5" t="s">
        <v>293</v>
      </c>
      <c r="H8" s="5" t="s">
        <v>17</v>
      </c>
      <c r="I8" s="5" t="s">
        <v>17</v>
      </c>
      <c r="J8" s="5" t="s">
        <v>735</v>
      </c>
    </row>
    <row r="9" spans="1:10" x14ac:dyDescent="0.25">
      <c r="A9" s="5" t="s">
        <v>19</v>
      </c>
      <c r="B9" s="5" t="s">
        <v>63</v>
      </c>
      <c r="C9" s="5" t="s">
        <v>17</v>
      </c>
      <c r="D9" s="5"/>
      <c r="E9" s="5" t="s">
        <v>751</v>
      </c>
      <c r="F9" s="5" t="s">
        <v>19</v>
      </c>
      <c r="G9" s="5">
        <v>0</v>
      </c>
      <c r="H9" s="5" t="s">
        <v>17</v>
      </c>
      <c r="I9" s="5" t="s">
        <v>17</v>
      </c>
      <c r="J9" s="5" t="s">
        <v>752</v>
      </c>
    </row>
    <row r="10" spans="1:10" x14ac:dyDescent="0.25">
      <c r="A10" s="5" t="s">
        <v>19</v>
      </c>
      <c r="B10" s="5" t="s">
        <v>63</v>
      </c>
      <c r="C10" s="5" t="s">
        <v>17</v>
      </c>
      <c r="D10" s="5"/>
      <c r="E10" s="5" t="s">
        <v>753</v>
      </c>
      <c r="F10" s="5" t="s">
        <v>19</v>
      </c>
      <c r="G10" s="5">
        <v>0</v>
      </c>
      <c r="H10" s="5" t="s">
        <v>17</v>
      </c>
      <c r="I10" s="5" t="s">
        <v>17</v>
      </c>
      <c r="J10" s="5" t="s">
        <v>754</v>
      </c>
    </row>
    <row r="11" spans="1:10" x14ac:dyDescent="0.25">
      <c r="A11" s="5" t="s">
        <v>19</v>
      </c>
      <c r="B11" s="5" t="s">
        <v>63</v>
      </c>
      <c r="C11" s="5" t="s">
        <v>17</v>
      </c>
      <c r="D11" s="5"/>
      <c r="E11" s="5" t="s">
        <v>755</v>
      </c>
      <c r="F11" s="5" t="s">
        <v>19</v>
      </c>
      <c r="G11" s="5">
        <v>0</v>
      </c>
      <c r="H11" s="5" t="s">
        <v>17</v>
      </c>
      <c r="I11" s="5" t="s">
        <v>17</v>
      </c>
      <c r="J11" s="5" t="s">
        <v>756</v>
      </c>
    </row>
    <row r="12" spans="1:10" x14ac:dyDescent="0.25">
      <c r="A12" s="5" t="s">
        <v>19</v>
      </c>
      <c r="B12" s="5" t="s">
        <v>63</v>
      </c>
      <c r="C12" s="5" t="s">
        <v>17</v>
      </c>
      <c r="D12" s="5"/>
      <c r="E12" s="5" t="s">
        <v>757</v>
      </c>
      <c r="F12" s="5" t="s">
        <v>19</v>
      </c>
      <c r="G12" s="5">
        <v>0</v>
      </c>
      <c r="H12" s="5" t="s">
        <v>17</v>
      </c>
      <c r="I12" s="5" t="s">
        <v>17</v>
      </c>
      <c r="J12" s="5" t="s">
        <v>758</v>
      </c>
    </row>
    <row r="13" spans="1:10" x14ac:dyDescent="0.25">
      <c r="A13" s="5" t="s">
        <v>19</v>
      </c>
      <c r="B13" s="5" t="s">
        <v>63</v>
      </c>
      <c r="C13" s="5" t="s">
        <v>17</v>
      </c>
      <c r="D13" s="5"/>
      <c r="E13" s="5" t="s">
        <v>736</v>
      </c>
      <c r="F13" s="5" t="s">
        <v>19</v>
      </c>
      <c r="G13" s="5">
        <v>1</v>
      </c>
      <c r="H13" s="5" t="s">
        <v>17</v>
      </c>
      <c r="I13" s="5" t="s">
        <v>17</v>
      </c>
      <c r="J13" s="5" t="s">
        <v>759</v>
      </c>
    </row>
    <row r="14" spans="1:10" x14ac:dyDescent="0.25">
      <c r="A14" s="5" t="s">
        <v>19</v>
      </c>
      <c r="B14" s="5" t="s">
        <v>63</v>
      </c>
      <c r="C14" s="5" t="s">
        <v>17</v>
      </c>
      <c r="D14" s="5"/>
      <c r="E14" s="5" t="s">
        <v>738</v>
      </c>
      <c r="F14" s="5" t="s">
        <v>19</v>
      </c>
      <c r="G14" s="5">
        <v>1</v>
      </c>
      <c r="H14" s="5" t="s">
        <v>17</v>
      </c>
      <c r="I14" s="5" t="s">
        <v>17</v>
      </c>
      <c r="J14" s="5" t="s">
        <v>760</v>
      </c>
    </row>
    <row r="15" spans="1:10" x14ac:dyDescent="0.25">
      <c r="A15" s="5" t="s">
        <v>19</v>
      </c>
      <c r="B15" s="5" t="s">
        <v>63</v>
      </c>
      <c r="C15" s="5" t="s">
        <v>17</v>
      </c>
      <c r="D15" s="5"/>
      <c r="E15" s="5" t="s">
        <v>740</v>
      </c>
      <c r="F15" s="5" t="s">
        <v>19</v>
      </c>
      <c r="G15" s="5">
        <v>1</v>
      </c>
      <c r="H15" s="5" t="s">
        <v>17</v>
      </c>
      <c r="I15" s="5" t="s">
        <v>17</v>
      </c>
      <c r="J15" s="5" t="s">
        <v>761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762</v>
      </c>
      <c r="B1" s="1"/>
      <c r="C1" s="1"/>
      <c r="D1" s="1"/>
      <c r="E1" s="1"/>
      <c r="F1" s="1"/>
      <c r="G1" s="1"/>
      <c r="H1" s="1"/>
      <c r="I1" s="1"/>
      <c r="J1" s="1"/>
    </row>
    <row r="2" spans="1:10" x14ac:dyDescent="0.25">
      <c r="A2" s="2" t="s">
        <v>1</v>
      </c>
      <c r="B2" s="3" t="s">
        <v>3666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30</v>
      </c>
      <c r="F5" s="5" t="s">
        <v>19</v>
      </c>
      <c r="G5" s="5" t="s">
        <v>293</v>
      </c>
      <c r="H5" s="5" t="s">
        <v>17</v>
      </c>
      <c r="I5" s="5" t="s">
        <v>17</v>
      </c>
      <c r="J5" s="5" t="s">
        <v>734</v>
      </c>
    </row>
    <row r="6" spans="1:10" x14ac:dyDescent="0.25">
      <c r="A6" s="5" t="s">
        <v>15</v>
      </c>
      <c r="B6" s="5" t="s">
        <v>291</v>
      </c>
      <c r="C6" s="5" t="s">
        <v>17</v>
      </c>
      <c r="D6" s="5"/>
      <c r="E6" s="5" t="s">
        <v>33</v>
      </c>
      <c r="F6" s="5" t="s">
        <v>19</v>
      </c>
      <c r="G6" s="5" t="s">
        <v>293</v>
      </c>
      <c r="H6" s="5" t="s">
        <v>17</v>
      </c>
      <c r="I6" s="5" t="s">
        <v>17</v>
      </c>
      <c r="J6" s="5" t="s">
        <v>735</v>
      </c>
    </row>
    <row r="7" spans="1:10" x14ac:dyDescent="0.25">
      <c r="A7" s="5" t="s">
        <v>15</v>
      </c>
      <c r="B7" s="5" t="s">
        <v>63</v>
      </c>
      <c r="C7" s="5" t="s">
        <v>17</v>
      </c>
      <c r="D7" s="5"/>
      <c r="E7" s="5" t="s">
        <v>765</v>
      </c>
      <c r="F7" s="5" t="s">
        <v>19</v>
      </c>
      <c r="G7" s="5">
        <v>275.738</v>
      </c>
      <c r="H7" s="5" t="s">
        <v>17</v>
      </c>
      <c r="I7" s="5" t="s">
        <v>17</v>
      </c>
      <c r="J7" s="5" t="s">
        <v>743</v>
      </c>
    </row>
    <row r="8" spans="1:10" x14ac:dyDescent="0.25">
      <c r="A8" s="5" t="s">
        <v>15</v>
      </c>
      <c r="B8" s="5" t="s">
        <v>63</v>
      </c>
      <c r="C8" s="5" t="s">
        <v>17</v>
      </c>
      <c r="D8" s="5"/>
      <c r="E8" s="5" t="s">
        <v>766</v>
      </c>
      <c r="F8" s="5" t="s">
        <v>19</v>
      </c>
      <c r="G8" s="5">
        <v>0</v>
      </c>
      <c r="H8" s="5" t="s">
        <v>17</v>
      </c>
      <c r="I8" s="5" t="s">
        <v>17</v>
      </c>
      <c r="J8" s="5" t="s">
        <v>745</v>
      </c>
    </row>
    <row r="9" spans="1:10" x14ac:dyDescent="0.25">
      <c r="A9" s="5" t="s">
        <v>15</v>
      </c>
      <c r="B9" s="5" t="s">
        <v>63</v>
      </c>
      <c r="C9" s="5" t="s">
        <v>17</v>
      </c>
      <c r="D9" s="5"/>
      <c r="E9" s="5" t="s">
        <v>767</v>
      </c>
      <c r="F9" s="5" t="s">
        <v>19</v>
      </c>
      <c r="G9" s="5">
        <v>275.738</v>
      </c>
      <c r="H9" s="5" t="s">
        <v>17</v>
      </c>
      <c r="I9" s="5" t="s">
        <v>17</v>
      </c>
      <c r="J9" s="5" t="s">
        <v>747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3667</v>
      </c>
      <c r="B1" s="1"/>
      <c r="C1" s="1"/>
      <c r="D1" s="1"/>
      <c r="E1" s="1"/>
      <c r="F1" s="1"/>
      <c r="G1" s="1"/>
      <c r="H1" s="1"/>
      <c r="I1" s="1"/>
      <c r="J1" s="1"/>
    </row>
    <row r="2" spans="1:10" x14ac:dyDescent="0.25">
      <c r="A2" s="2" t="s">
        <v>1</v>
      </c>
      <c r="B2" s="3" t="s">
        <v>3668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723</v>
      </c>
      <c r="F5" s="5" t="s">
        <v>19</v>
      </c>
      <c r="G5" s="5" t="s">
        <v>293</v>
      </c>
      <c r="H5" s="5" t="s">
        <v>17</v>
      </c>
      <c r="I5" s="5" t="s">
        <v>17</v>
      </c>
      <c r="J5" s="5" t="s">
        <v>294</v>
      </c>
    </row>
    <row r="6" spans="1:10" x14ac:dyDescent="0.25">
      <c r="A6" s="5" t="s">
        <v>15</v>
      </c>
      <c r="B6" s="5" t="s">
        <v>291</v>
      </c>
      <c r="C6" s="5" t="s">
        <v>17</v>
      </c>
      <c r="D6" s="5"/>
      <c r="E6" s="5" t="s">
        <v>724</v>
      </c>
      <c r="F6" s="5" t="s">
        <v>19</v>
      </c>
      <c r="G6" s="5" t="s">
        <v>293</v>
      </c>
      <c r="H6" s="5" t="s">
        <v>17</v>
      </c>
      <c r="I6" s="5" t="s">
        <v>17</v>
      </c>
      <c r="J6" s="5" t="s">
        <v>296</v>
      </c>
    </row>
    <row r="7" spans="1:10" x14ac:dyDescent="0.25">
      <c r="A7" s="5" t="s">
        <v>19</v>
      </c>
      <c r="B7" s="6" t="s">
        <v>725</v>
      </c>
      <c r="C7" s="5" t="s">
        <v>17</v>
      </c>
      <c r="D7" s="5"/>
      <c r="E7" s="5" t="s">
        <v>726</v>
      </c>
      <c r="F7" s="5" t="s">
        <v>15</v>
      </c>
      <c r="G7" s="5" t="s">
        <v>17</v>
      </c>
      <c r="H7" s="5" t="s">
        <v>17</v>
      </c>
      <c r="I7" s="5" t="s">
        <v>17</v>
      </c>
      <c r="J7" s="5" t="s">
        <v>727</v>
      </c>
    </row>
    <row r="8" spans="1:10" x14ac:dyDescent="0.25" outlineLevel="1" collapsed="1">
      <c r="A8" s="7" t="s">
        <v>15</v>
      </c>
      <c r="B8" s="7" t="s">
        <v>16</v>
      </c>
      <c r="C8" s="7" t="s">
        <v>17</v>
      </c>
      <c r="D8" s="7"/>
      <c r="E8" s="7" t="s">
        <v>728</v>
      </c>
      <c r="F8" s="7" t="s">
        <v>19</v>
      </c>
      <c r="G8" s="7" t="s">
        <v>729</v>
      </c>
      <c r="H8" s="7" t="s">
        <v>17</v>
      </c>
      <c r="I8" s="7" t="s">
        <v>17</v>
      </c>
      <c r="J8" s="7" t="s">
        <v>730</v>
      </c>
    </row>
    <row r="9" spans="1:10" x14ac:dyDescent="0.25" outlineLevel="1" collapsed="1">
      <c r="A9" s="7" t="s">
        <v>15</v>
      </c>
      <c r="B9" s="7" t="s">
        <v>16</v>
      </c>
      <c r="C9" s="7" t="s">
        <v>17</v>
      </c>
      <c r="D9" s="7"/>
      <c r="E9" s="7" t="s">
        <v>731</v>
      </c>
      <c r="F9" s="7" t="s">
        <v>19</v>
      </c>
      <c r="G9" s="7" t="s">
        <v>732</v>
      </c>
      <c r="H9" s="7" t="s">
        <v>17</v>
      </c>
      <c r="I9" s="7" t="s">
        <v>17</v>
      </c>
      <c r="J9" s="7" t="s">
        <v>733</v>
      </c>
    </row>
    <row r="10" spans="1:10" x14ac:dyDescent="0.25" outlineLevel="1" collapsed="1">
      <c r="A10" s="7" t="s">
        <v>15</v>
      </c>
      <c r="B10" s="7" t="s">
        <v>291</v>
      </c>
      <c r="C10" s="7" t="s">
        <v>17</v>
      </c>
      <c r="D10" s="7"/>
      <c r="E10" s="7" t="s">
        <v>30</v>
      </c>
      <c r="F10" s="7" t="s">
        <v>19</v>
      </c>
      <c r="G10" s="7" t="s">
        <v>293</v>
      </c>
      <c r="H10" s="7" t="s">
        <v>17</v>
      </c>
      <c r="I10" s="7" t="s">
        <v>17</v>
      </c>
      <c r="J10" s="7" t="s">
        <v>734</v>
      </c>
    </row>
    <row r="11" spans="1:10" x14ac:dyDescent="0.25" outlineLevel="1" collapsed="1">
      <c r="A11" s="7" t="s">
        <v>15</v>
      </c>
      <c r="B11" s="7" t="s">
        <v>291</v>
      </c>
      <c r="C11" s="7" t="s">
        <v>17</v>
      </c>
      <c r="D11" s="7"/>
      <c r="E11" s="7" t="s">
        <v>33</v>
      </c>
      <c r="F11" s="7" t="s">
        <v>19</v>
      </c>
      <c r="G11" s="7" t="s">
        <v>293</v>
      </c>
      <c r="H11" s="7" t="s">
        <v>17</v>
      </c>
      <c r="I11" s="7" t="s">
        <v>17</v>
      </c>
      <c r="J11" s="7" t="s">
        <v>735</v>
      </c>
    </row>
    <row r="12" spans="1:10" x14ac:dyDescent="0.25" outlineLevel="1" collapsed="1">
      <c r="A12" s="7" t="s">
        <v>15</v>
      </c>
      <c r="B12" s="7" t="s">
        <v>63</v>
      </c>
      <c r="C12" s="7" t="s">
        <v>17</v>
      </c>
      <c r="D12" s="7"/>
      <c r="E12" s="7" t="s">
        <v>736</v>
      </c>
      <c r="F12" s="7" t="s">
        <v>19</v>
      </c>
      <c r="G12" s="7">
        <v>276.0886</v>
      </c>
      <c r="H12" s="7" t="s">
        <v>17</v>
      </c>
      <c r="I12" s="7" t="s">
        <v>17</v>
      </c>
      <c r="J12" s="7" t="s">
        <v>737</v>
      </c>
    </row>
    <row r="13" spans="1:10" x14ac:dyDescent="0.25" outlineLevel="1" collapsed="1">
      <c r="A13" s="7" t="s">
        <v>15</v>
      </c>
      <c r="B13" s="7" t="s">
        <v>63</v>
      </c>
      <c r="C13" s="7" t="s">
        <v>17</v>
      </c>
      <c r="D13" s="7"/>
      <c r="E13" s="7" t="s">
        <v>738</v>
      </c>
      <c r="F13" s="7" t="s">
        <v>19</v>
      </c>
      <c r="G13" s="7">
        <v>0.3504</v>
      </c>
      <c r="H13" s="7" t="s">
        <v>17</v>
      </c>
      <c r="I13" s="7" t="s">
        <v>17</v>
      </c>
      <c r="J13" s="7" t="s">
        <v>739</v>
      </c>
    </row>
    <row r="14" spans="1:10" x14ac:dyDescent="0.25" outlineLevel="1" collapsed="1">
      <c r="A14" s="7" t="s">
        <v>15</v>
      </c>
      <c r="B14" s="7" t="s">
        <v>63</v>
      </c>
      <c r="C14" s="7" t="s">
        <v>17</v>
      </c>
      <c r="D14" s="7"/>
      <c r="E14" s="7" t="s">
        <v>740</v>
      </c>
      <c r="F14" s="7" t="s">
        <v>19</v>
      </c>
      <c r="G14" s="7">
        <v>0</v>
      </c>
      <c r="H14" s="7" t="s">
        <v>17</v>
      </c>
      <c r="I14" s="7" t="s">
        <v>17</v>
      </c>
      <c r="J14" s="7" t="s">
        <v>741</v>
      </c>
    </row>
    <row r="15" spans="1:10" x14ac:dyDescent="0.25" outlineLevel="1" collapsed="1">
      <c r="A15" s="7" t="s">
        <v>15</v>
      </c>
      <c r="B15" s="7" t="s">
        <v>63</v>
      </c>
      <c r="C15" s="7" t="s">
        <v>17</v>
      </c>
      <c r="D15" s="7"/>
      <c r="E15" s="7" t="s">
        <v>742</v>
      </c>
      <c r="F15" s="7" t="s">
        <v>19</v>
      </c>
      <c r="G15" s="7">
        <v>275.738</v>
      </c>
      <c r="H15" s="7" t="s">
        <v>17</v>
      </c>
      <c r="I15" s="7" t="s">
        <v>17</v>
      </c>
      <c r="J15" s="7" t="s">
        <v>743</v>
      </c>
    </row>
    <row r="16" spans="1:10" x14ac:dyDescent="0.25" outlineLevel="1" collapsed="1">
      <c r="A16" s="7" t="s">
        <v>15</v>
      </c>
      <c r="B16" s="7" t="s">
        <v>63</v>
      </c>
      <c r="C16" s="7" t="s">
        <v>17</v>
      </c>
      <c r="D16" s="7"/>
      <c r="E16" s="7" t="s">
        <v>744</v>
      </c>
      <c r="F16" s="7" t="s">
        <v>19</v>
      </c>
      <c r="G16" s="7">
        <v>0</v>
      </c>
      <c r="H16" s="7" t="s">
        <v>17</v>
      </c>
      <c r="I16" s="7" t="s">
        <v>17</v>
      </c>
      <c r="J16" s="7" t="s">
        <v>745</v>
      </c>
    </row>
    <row r="17" spans="1:10" x14ac:dyDescent="0.25" outlineLevel="1" collapsed="1">
      <c r="A17" s="7" t="s">
        <v>15</v>
      </c>
      <c r="B17" s="7" t="s">
        <v>63</v>
      </c>
      <c r="C17" s="7" t="s">
        <v>17</v>
      </c>
      <c r="D17" s="7"/>
      <c r="E17" s="7" t="s">
        <v>746</v>
      </c>
      <c r="F17" s="7" t="s">
        <v>19</v>
      </c>
      <c r="G17" s="7">
        <v>275.738</v>
      </c>
      <c r="H17" s="7" t="s">
        <v>17</v>
      </c>
      <c r="I17" s="7" t="s">
        <v>17</v>
      </c>
      <c r="J17" s="7" t="s">
        <v>747</v>
      </c>
    </row>
    <row r="18" spans="1:10" x14ac:dyDescent="0.25">
      <c r="A18" s="5" t="s">
        <v>19</v>
      </c>
      <c r="B18" s="6" t="s">
        <v>748</v>
      </c>
      <c r="C18" s="5" t="s">
        <v>17</v>
      </c>
      <c r="D18" s="5"/>
      <c r="E18" s="5" t="s">
        <v>749</v>
      </c>
      <c r="F18" s="5" t="s">
        <v>15</v>
      </c>
      <c r="G18" s="5" t="s">
        <v>17</v>
      </c>
      <c r="H18" s="5" t="s">
        <v>17</v>
      </c>
      <c r="I18" s="5" t="s">
        <v>17</v>
      </c>
      <c r="J18" s="5" t="s">
        <v>750</v>
      </c>
    </row>
    <row r="19" spans="1:10" x14ac:dyDescent="0.25" outlineLevel="1" collapsed="1">
      <c r="A19" s="7" t="s">
        <v>19</v>
      </c>
      <c r="B19" s="7" t="s">
        <v>16</v>
      </c>
      <c r="C19" s="7" t="s">
        <v>17</v>
      </c>
      <c r="D19" s="7"/>
      <c r="E19" s="7" t="s">
        <v>728</v>
      </c>
      <c r="F19" s="7" t="s">
        <v>19</v>
      </c>
      <c r="G19" s="7" t="s">
        <v>729</v>
      </c>
      <c r="H19" s="7" t="s">
        <v>17</v>
      </c>
      <c r="I19" s="7" t="s">
        <v>17</v>
      </c>
      <c r="J19" s="7" t="s">
        <v>730</v>
      </c>
    </row>
    <row r="20" spans="1:10" x14ac:dyDescent="0.25" outlineLevel="1" collapsed="1">
      <c r="A20" s="7" t="s">
        <v>19</v>
      </c>
      <c r="B20" s="7" t="s">
        <v>16</v>
      </c>
      <c r="C20" s="7" t="s">
        <v>17</v>
      </c>
      <c r="D20" s="7"/>
      <c r="E20" s="7" t="s">
        <v>731</v>
      </c>
      <c r="F20" s="7" t="s">
        <v>19</v>
      </c>
      <c r="G20" s="7" t="s">
        <v>732</v>
      </c>
      <c r="H20" s="7" t="s">
        <v>17</v>
      </c>
      <c r="I20" s="7" t="s">
        <v>17</v>
      </c>
      <c r="J20" s="7" t="s">
        <v>733</v>
      </c>
    </row>
    <row r="21" spans="1:10" x14ac:dyDescent="0.25" outlineLevel="1" collapsed="1">
      <c r="A21" s="7" t="s">
        <v>19</v>
      </c>
      <c r="B21" s="7" t="s">
        <v>291</v>
      </c>
      <c r="C21" s="7" t="s">
        <v>17</v>
      </c>
      <c r="D21" s="7"/>
      <c r="E21" s="7" t="s">
        <v>30</v>
      </c>
      <c r="F21" s="7" t="s">
        <v>19</v>
      </c>
      <c r="G21" s="7" t="s">
        <v>293</v>
      </c>
      <c r="H21" s="7" t="s">
        <v>17</v>
      </c>
      <c r="I21" s="7" t="s">
        <v>17</v>
      </c>
      <c r="J21" s="7" t="s">
        <v>734</v>
      </c>
    </row>
    <row r="22" spans="1:10" x14ac:dyDescent="0.25" outlineLevel="1" collapsed="1">
      <c r="A22" s="7" t="s">
        <v>19</v>
      </c>
      <c r="B22" s="7" t="s">
        <v>291</v>
      </c>
      <c r="C22" s="7" t="s">
        <v>17</v>
      </c>
      <c r="D22" s="7"/>
      <c r="E22" s="7" t="s">
        <v>33</v>
      </c>
      <c r="F22" s="7" t="s">
        <v>19</v>
      </c>
      <c r="G22" s="7" t="s">
        <v>293</v>
      </c>
      <c r="H22" s="7" t="s">
        <v>17</v>
      </c>
      <c r="I22" s="7" t="s">
        <v>17</v>
      </c>
      <c r="J22" s="7" t="s">
        <v>735</v>
      </c>
    </row>
    <row r="23" spans="1:10" x14ac:dyDescent="0.25" outlineLevel="1" collapsed="1">
      <c r="A23" s="7" t="s">
        <v>19</v>
      </c>
      <c r="B23" s="7" t="s">
        <v>63</v>
      </c>
      <c r="C23" s="7" t="s">
        <v>17</v>
      </c>
      <c r="D23" s="7"/>
      <c r="E23" s="7" t="s">
        <v>751</v>
      </c>
      <c r="F23" s="7" t="s">
        <v>19</v>
      </c>
      <c r="G23" s="7">
        <v>0</v>
      </c>
      <c r="H23" s="7" t="s">
        <v>17</v>
      </c>
      <c r="I23" s="7" t="s">
        <v>17</v>
      </c>
      <c r="J23" s="7" t="s">
        <v>752</v>
      </c>
    </row>
    <row r="24" spans="1:10" x14ac:dyDescent="0.25" outlineLevel="1" collapsed="1">
      <c r="A24" s="7" t="s">
        <v>19</v>
      </c>
      <c r="B24" s="7" t="s">
        <v>63</v>
      </c>
      <c r="C24" s="7" t="s">
        <v>17</v>
      </c>
      <c r="D24" s="7"/>
      <c r="E24" s="7" t="s">
        <v>753</v>
      </c>
      <c r="F24" s="7" t="s">
        <v>19</v>
      </c>
      <c r="G24" s="7">
        <v>0</v>
      </c>
      <c r="H24" s="7" t="s">
        <v>17</v>
      </c>
      <c r="I24" s="7" t="s">
        <v>17</v>
      </c>
      <c r="J24" s="7" t="s">
        <v>754</v>
      </c>
    </row>
    <row r="25" spans="1:10" x14ac:dyDescent="0.25" outlineLevel="1" collapsed="1">
      <c r="A25" s="7" t="s">
        <v>19</v>
      </c>
      <c r="B25" s="7" t="s">
        <v>63</v>
      </c>
      <c r="C25" s="7" t="s">
        <v>17</v>
      </c>
      <c r="D25" s="7"/>
      <c r="E25" s="7" t="s">
        <v>755</v>
      </c>
      <c r="F25" s="7" t="s">
        <v>19</v>
      </c>
      <c r="G25" s="7">
        <v>0</v>
      </c>
      <c r="H25" s="7" t="s">
        <v>17</v>
      </c>
      <c r="I25" s="7" t="s">
        <v>17</v>
      </c>
      <c r="J25" s="7" t="s">
        <v>756</v>
      </c>
    </row>
    <row r="26" spans="1:10" x14ac:dyDescent="0.25" outlineLevel="1" collapsed="1">
      <c r="A26" s="7" t="s">
        <v>19</v>
      </c>
      <c r="B26" s="7" t="s">
        <v>63</v>
      </c>
      <c r="C26" s="7" t="s">
        <v>17</v>
      </c>
      <c r="D26" s="7"/>
      <c r="E26" s="7" t="s">
        <v>757</v>
      </c>
      <c r="F26" s="7" t="s">
        <v>19</v>
      </c>
      <c r="G26" s="7">
        <v>0</v>
      </c>
      <c r="H26" s="7" t="s">
        <v>17</v>
      </c>
      <c r="I26" s="7" t="s">
        <v>17</v>
      </c>
      <c r="J26" s="7" t="s">
        <v>758</v>
      </c>
    </row>
    <row r="27" spans="1:10" x14ac:dyDescent="0.25" outlineLevel="1" collapsed="1">
      <c r="A27" s="7" t="s">
        <v>19</v>
      </c>
      <c r="B27" s="7" t="s">
        <v>63</v>
      </c>
      <c r="C27" s="7" t="s">
        <v>17</v>
      </c>
      <c r="D27" s="7"/>
      <c r="E27" s="7" t="s">
        <v>736</v>
      </c>
      <c r="F27" s="7" t="s">
        <v>19</v>
      </c>
      <c r="G27" s="7">
        <v>1</v>
      </c>
      <c r="H27" s="7" t="s">
        <v>17</v>
      </c>
      <c r="I27" s="7" t="s">
        <v>17</v>
      </c>
      <c r="J27" s="7" t="s">
        <v>759</v>
      </c>
    </row>
    <row r="28" spans="1:10" x14ac:dyDescent="0.25" outlineLevel="1" collapsed="1">
      <c r="A28" s="7" t="s">
        <v>19</v>
      </c>
      <c r="B28" s="7" t="s">
        <v>63</v>
      </c>
      <c r="C28" s="7" t="s">
        <v>17</v>
      </c>
      <c r="D28" s="7"/>
      <c r="E28" s="7" t="s">
        <v>738</v>
      </c>
      <c r="F28" s="7" t="s">
        <v>19</v>
      </c>
      <c r="G28" s="7">
        <v>1</v>
      </c>
      <c r="H28" s="7" t="s">
        <v>17</v>
      </c>
      <c r="I28" s="7" t="s">
        <v>17</v>
      </c>
      <c r="J28" s="7" t="s">
        <v>760</v>
      </c>
    </row>
    <row r="29" spans="1:10" x14ac:dyDescent="0.25" outlineLevel="1" collapsed="1">
      <c r="A29" s="7" t="s">
        <v>19</v>
      </c>
      <c r="B29" s="7" t="s">
        <v>63</v>
      </c>
      <c r="C29" s="7" t="s">
        <v>17</v>
      </c>
      <c r="D29" s="7"/>
      <c r="E29" s="7" t="s">
        <v>740</v>
      </c>
      <c r="F29" s="7" t="s">
        <v>19</v>
      </c>
      <c r="G29" s="7">
        <v>1</v>
      </c>
      <c r="H29" s="7" t="s">
        <v>17</v>
      </c>
      <c r="I29" s="7" t="s">
        <v>17</v>
      </c>
      <c r="J29" s="7" t="s">
        <v>761</v>
      </c>
    </row>
    <row r="30" spans="1:10" x14ac:dyDescent="0.25">
      <c r="A30" s="5" t="s">
        <v>19</v>
      </c>
      <c r="B30" s="6" t="s">
        <v>762</v>
      </c>
      <c r="C30" s="5" t="s">
        <v>17</v>
      </c>
      <c r="D30" s="5"/>
      <c r="E30" s="5" t="s">
        <v>763</v>
      </c>
      <c r="F30" s="5" t="s">
        <v>15</v>
      </c>
      <c r="G30" s="5" t="s">
        <v>17</v>
      </c>
      <c r="H30" s="5" t="s">
        <v>17</v>
      </c>
      <c r="I30" s="5" t="s">
        <v>17</v>
      </c>
      <c r="J30" s="5" t="s">
        <v>764</v>
      </c>
    </row>
    <row r="31" spans="1:10" x14ac:dyDescent="0.25" outlineLevel="1" collapsed="1">
      <c r="A31" s="7" t="s">
        <v>15</v>
      </c>
      <c r="B31" s="7" t="s">
        <v>291</v>
      </c>
      <c r="C31" s="7" t="s">
        <v>17</v>
      </c>
      <c r="D31" s="7"/>
      <c r="E31" s="7" t="s">
        <v>30</v>
      </c>
      <c r="F31" s="7" t="s">
        <v>19</v>
      </c>
      <c r="G31" s="7" t="s">
        <v>293</v>
      </c>
      <c r="H31" s="7" t="s">
        <v>17</v>
      </c>
      <c r="I31" s="7" t="s">
        <v>17</v>
      </c>
      <c r="J31" s="7" t="s">
        <v>734</v>
      </c>
    </row>
    <row r="32" spans="1:10" x14ac:dyDescent="0.25" outlineLevel="1" collapsed="1">
      <c r="A32" s="7" t="s">
        <v>15</v>
      </c>
      <c r="B32" s="7" t="s">
        <v>291</v>
      </c>
      <c r="C32" s="7" t="s">
        <v>17</v>
      </c>
      <c r="D32" s="7"/>
      <c r="E32" s="7" t="s">
        <v>33</v>
      </c>
      <c r="F32" s="7" t="s">
        <v>19</v>
      </c>
      <c r="G32" s="7" t="s">
        <v>293</v>
      </c>
      <c r="H32" s="7" t="s">
        <v>17</v>
      </c>
      <c r="I32" s="7" t="s">
        <v>17</v>
      </c>
      <c r="J32" s="7" t="s">
        <v>735</v>
      </c>
    </row>
    <row r="33" spans="1:10" x14ac:dyDescent="0.25" outlineLevel="1" collapsed="1">
      <c r="A33" s="7" t="s">
        <v>15</v>
      </c>
      <c r="B33" s="7" t="s">
        <v>63</v>
      </c>
      <c r="C33" s="7" t="s">
        <v>17</v>
      </c>
      <c r="D33" s="7"/>
      <c r="E33" s="7" t="s">
        <v>765</v>
      </c>
      <c r="F33" s="7" t="s">
        <v>19</v>
      </c>
      <c r="G33" s="7">
        <v>275.738</v>
      </c>
      <c r="H33" s="7" t="s">
        <v>17</v>
      </c>
      <c r="I33" s="7" t="s">
        <v>17</v>
      </c>
      <c r="J33" s="7" t="s">
        <v>743</v>
      </c>
    </row>
    <row r="34" spans="1:10" x14ac:dyDescent="0.25" outlineLevel="1" collapsed="1">
      <c r="A34" s="7" t="s">
        <v>15</v>
      </c>
      <c r="B34" s="7" t="s">
        <v>63</v>
      </c>
      <c r="C34" s="7" t="s">
        <v>17</v>
      </c>
      <c r="D34" s="7"/>
      <c r="E34" s="7" t="s">
        <v>766</v>
      </c>
      <c r="F34" s="7" t="s">
        <v>19</v>
      </c>
      <c r="G34" s="7">
        <v>0</v>
      </c>
      <c r="H34" s="7" t="s">
        <v>17</v>
      </c>
      <c r="I34" s="7" t="s">
        <v>17</v>
      </c>
      <c r="J34" s="7" t="s">
        <v>745</v>
      </c>
    </row>
    <row r="35" spans="1:10" x14ac:dyDescent="0.25" outlineLevel="1" collapsed="1">
      <c r="A35" s="7" t="s">
        <v>15</v>
      </c>
      <c r="B35" s="7" t="s">
        <v>63</v>
      </c>
      <c r="C35" s="7" t="s">
        <v>17</v>
      </c>
      <c r="D35" s="7"/>
      <c r="E35" s="7" t="s">
        <v>767</v>
      </c>
      <c r="F35" s="7" t="s">
        <v>19</v>
      </c>
      <c r="G35" s="7">
        <v>275.738</v>
      </c>
      <c r="H35" s="7" t="s">
        <v>17</v>
      </c>
      <c r="I35" s="7" t="s">
        <v>17</v>
      </c>
      <c r="J35" s="7" t="s">
        <v>747</v>
      </c>
    </row>
    <row r="36" spans="1:10" x14ac:dyDescent="0.25">
      <c r="A36" s="5" t="s">
        <v>19</v>
      </c>
      <c r="B36" s="5" t="s">
        <v>63</v>
      </c>
      <c r="C36" s="5" t="s">
        <v>17</v>
      </c>
      <c r="D36" s="5"/>
      <c r="E36" s="5" t="s">
        <v>768</v>
      </c>
      <c r="F36" s="5" t="s">
        <v>19</v>
      </c>
      <c r="G36" s="5">
        <v>1</v>
      </c>
      <c r="H36" s="5" t="s">
        <v>17</v>
      </c>
      <c r="I36" s="5" t="s">
        <v>17</v>
      </c>
      <c r="J36" s="5" t="s">
        <v>769</v>
      </c>
    </row>
  </sheetData>
  <mergeCells count="3">
    <mergeCell ref="A1:J1"/>
    <mergeCell ref="B2:J2"/>
    <mergeCell ref="B3:J3"/>
  </mergeCells>
  <hyperlinks>
    <hyperlink ref="B7" r:id="rId1" location="#'Achieved reductions by vintage'!A1"/>
    <hyperlink ref="B18" r:id="rId2" location="#'Buffer pool allocation by vint'!A1"/>
    <hyperlink ref="B30" r:id="rId3" location="#'Vintage summary row'!A1"/>
  </hyperlinks>
  <pageMargins left="0.7" right="0.7" top="0.75" bottom="0.75" header="0.3" footer="0.3"/>
  <pageSetup orientation="portrait" horizontalDpi="4294967295" verticalDpi="4294967295" scale="100" fitToWidth="1" fitToHeight="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773</v>
      </c>
      <c r="B1" s="1"/>
      <c r="C1" s="1"/>
      <c r="D1" s="1"/>
      <c r="E1" s="1"/>
      <c r="F1" s="1"/>
      <c r="G1" s="1"/>
      <c r="H1" s="1"/>
      <c r="I1" s="1"/>
      <c r="J1" s="1"/>
    </row>
    <row r="2" spans="1:10" x14ac:dyDescent="0.25">
      <c r="A2" s="2" t="s">
        <v>1</v>
      </c>
      <c r="B2" s="3" t="s">
        <v>3669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30</v>
      </c>
      <c r="F5" s="5" t="s">
        <v>19</v>
      </c>
      <c r="G5" s="5" t="s">
        <v>293</v>
      </c>
      <c r="H5" s="5" t="s">
        <v>17</v>
      </c>
      <c r="I5" s="5" t="s">
        <v>17</v>
      </c>
      <c r="J5" s="5" t="s">
        <v>734</v>
      </c>
    </row>
    <row r="6" spans="1:10" x14ac:dyDescent="0.25">
      <c r="A6" s="5" t="s">
        <v>15</v>
      </c>
      <c r="B6" s="5" t="s">
        <v>291</v>
      </c>
      <c r="C6" s="5" t="s">
        <v>17</v>
      </c>
      <c r="D6" s="5"/>
      <c r="E6" s="5" t="s">
        <v>33</v>
      </c>
      <c r="F6" s="5" t="s">
        <v>19</v>
      </c>
      <c r="G6" s="5" t="s">
        <v>293</v>
      </c>
      <c r="H6" s="5" t="s">
        <v>17</v>
      </c>
      <c r="I6" s="5" t="s">
        <v>17</v>
      </c>
      <c r="J6" s="5" t="s">
        <v>735</v>
      </c>
    </row>
    <row r="7" spans="1:10" x14ac:dyDescent="0.25">
      <c r="A7" s="5" t="s">
        <v>15</v>
      </c>
      <c r="B7" s="5" t="s">
        <v>63</v>
      </c>
      <c r="C7" s="5" t="s">
        <v>17</v>
      </c>
      <c r="D7" s="5"/>
      <c r="E7" s="5" t="s">
        <v>776</v>
      </c>
      <c r="F7" s="5" t="s">
        <v>19</v>
      </c>
      <c r="G7" s="5">
        <v>275.738</v>
      </c>
      <c r="H7" s="5" t="s">
        <v>17</v>
      </c>
      <c r="I7" s="5" t="s">
        <v>17</v>
      </c>
      <c r="J7" s="5" t="s">
        <v>777</v>
      </c>
    </row>
    <row r="8" spans="1:10" x14ac:dyDescent="0.25">
      <c r="A8" s="5" t="s">
        <v>15</v>
      </c>
      <c r="B8" s="5" t="s">
        <v>63</v>
      </c>
      <c r="C8" s="5" t="s">
        <v>17</v>
      </c>
      <c r="D8" s="5"/>
      <c r="E8" s="5" t="s">
        <v>778</v>
      </c>
      <c r="F8" s="5" t="s">
        <v>19</v>
      </c>
      <c r="G8" s="5">
        <v>275.738</v>
      </c>
      <c r="H8" s="5" t="s">
        <v>17</v>
      </c>
      <c r="I8" s="5" t="s">
        <v>17</v>
      </c>
      <c r="J8" s="5" t="s">
        <v>779</v>
      </c>
    </row>
    <row r="9" spans="1:10" x14ac:dyDescent="0.25">
      <c r="A9" s="5" t="s">
        <v>15</v>
      </c>
      <c r="B9" s="5" t="s">
        <v>63</v>
      </c>
      <c r="C9" s="5" t="s">
        <v>17</v>
      </c>
      <c r="D9" s="5"/>
      <c r="E9" s="5" t="s">
        <v>780</v>
      </c>
      <c r="F9" s="5" t="s">
        <v>19</v>
      </c>
      <c r="G9" s="5">
        <v>0</v>
      </c>
      <c r="H9" s="5" t="s">
        <v>17</v>
      </c>
      <c r="I9" s="5" t="s">
        <v>17</v>
      </c>
      <c r="J9" s="5" t="s">
        <v>781</v>
      </c>
    </row>
    <row r="10" spans="1:10" x14ac:dyDescent="0.25">
      <c r="A10" s="5" t="s">
        <v>19</v>
      </c>
      <c r="B10" s="5" t="s">
        <v>16</v>
      </c>
      <c r="C10" s="5" t="s">
        <v>17</v>
      </c>
      <c r="D10" s="5"/>
      <c r="E10" s="5" t="s">
        <v>782</v>
      </c>
      <c r="F10" s="5" t="s">
        <v>19</v>
      </c>
      <c r="G10" s="5" t="s">
        <v>31</v>
      </c>
      <c r="H10" s="5" t="s">
        <v>17</v>
      </c>
      <c r="I10" s="5" t="s">
        <v>17</v>
      </c>
      <c r="J10" s="5" t="s">
        <v>783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3670</v>
      </c>
      <c r="B1" s="1"/>
      <c r="C1" s="1"/>
      <c r="D1" s="1"/>
      <c r="E1" s="1"/>
      <c r="F1" s="1"/>
      <c r="G1" s="1"/>
      <c r="H1" s="1"/>
      <c r="I1" s="1"/>
      <c r="J1" s="1"/>
    </row>
    <row r="2" spans="1:10" x14ac:dyDescent="0.25">
      <c r="A2" s="2" t="s">
        <v>1</v>
      </c>
      <c r="B2" s="3" t="s">
        <v>1583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773</v>
      </c>
      <c r="C5" s="5" t="s">
        <v>17</v>
      </c>
      <c r="D5" s="5"/>
      <c r="E5" s="5" t="s">
        <v>774</v>
      </c>
      <c r="F5" s="5" t="s">
        <v>15</v>
      </c>
      <c r="G5" s="5" t="s">
        <v>17</v>
      </c>
      <c r="H5" s="5" t="s">
        <v>17</v>
      </c>
      <c r="I5" s="5" t="s">
        <v>17</v>
      </c>
      <c r="J5" s="5" t="s">
        <v>775</v>
      </c>
    </row>
    <row r="6" spans="1:10" x14ac:dyDescent="0.25" outlineLevel="1" collapsed="1">
      <c r="A6" s="7" t="s">
        <v>15</v>
      </c>
      <c r="B6" s="7" t="s">
        <v>291</v>
      </c>
      <c r="C6" s="7" t="s">
        <v>17</v>
      </c>
      <c r="D6" s="7"/>
      <c r="E6" s="7" t="s">
        <v>30</v>
      </c>
      <c r="F6" s="7" t="s">
        <v>19</v>
      </c>
      <c r="G6" s="7" t="s">
        <v>293</v>
      </c>
      <c r="H6" s="7" t="s">
        <v>17</v>
      </c>
      <c r="I6" s="7" t="s">
        <v>17</v>
      </c>
      <c r="J6" s="7" t="s">
        <v>734</v>
      </c>
    </row>
    <row r="7" spans="1:10" x14ac:dyDescent="0.25" outlineLevel="1" collapsed="1">
      <c r="A7" s="7" t="s">
        <v>15</v>
      </c>
      <c r="B7" s="7" t="s">
        <v>291</v>
      </c>
      <c r="C7" s="7" t="s">
        <v>17</v>
      </c>
      <c r="D7" s="7"/>
      <c r="E7" s="7" t="s">
        <v>33</v>
      </c>
      <c r="F7" s="7" t="s">
        <v>19</v>
      </c>
      <c r="G7" s="7" t="s">
        <v>293</v>
      </c>
      <c r="H7" s="7" t="s">
        <v>17</v>
      </c>
      <c r="I7" s="7" t="s">
        <v>17</v>
      </c>
      <c r="J7" s="7" t="s">
        <v>735</v>
      </c>
    </row>
    <row r="8" spans="1:10" x14ac:dyDescent="0.25" outlineLevel="1" collapsed="1">
      <c r="A8" s="7" t="s">
        <v>15</v>
      </c>
      <c r="B8" s="7" t="s">
        <v>63</v>
      </c>
      <c r="C8" s="7" t="s">
        <v>17</v>
      </c>
      <c r="D8" s="7"/>
      <c r="E8" s="7" t="s">
        <v>776</v>
      </c>
      <c r="F8" s="7" t="s">
        <v>19</v>
      </c>
      <c r="G8" s="7">
        <v>275.738</v>
      </c>
      <c r="H8" s="7" t="s">
        <v>17</v>
      </c>
      <c r="I8" s="7" t="s">
        <v>17</v>
      </c>
      <c r="J8" s="7" t="s">
        <v>777</v>
      </c>
    </row>
    <row r="9" spans="1:10" x14ac:dyDescent="0.25" outlineLevel="1" collapsed="1">
      <c r="A9" s="7" t="s">
        <v>15</v>
      </c>
      <c r="B9" s="7" t="s">
        <v>63</v>
      </c>
      <c r="C9" s="7" t="s">
        <v>17</v>
      </c>
      <c r="D9" s="7"/>
      <c r="E9" s="7" t="s">
        <v>778</v>
      </c>
      <c r="F9" s="7" t="s">
        <v>19</v>
      </c>
      <c r="G9" s="7">
        <v>275.738</v>
      </c>
      <c r="H9" s="7" t="s">
        <v>17</v>
      </c>
      <c r="I9" s="7" t="s">
        <v>17</v>
      </c>
      <c r="J9" s="7" t="s">
        <v>779</v>
      </c>
    </row>
    <row r="10" spans="1:10" x14ac:dyDescent="0.25" outlineLevel="1" collapsed="1">
      <c r="A10" s="7" t="s">
        <v>15</v>
      </c>
      <c r="B10" s="7" t="s">
        <v>63</v>
      </c>
      <c r="C10" s="7" t="s">
        <v>17</v>
      </c>
      <c r="D10" s="7"/>
      <c r="E10" s="7" t="s">
        <v>780</v>
      </c>
      <c r="F10" s="7" t="s">
        <v>19</v>
      </c>
      <c r="G10" s="7">
        <v>0</v>
      </c>
      <c r="H10" s="7" t="s">
        <v>17</v>
      </c>
      <c r="I10" s="7" t="s">
        <v>17</v>
      </c>
      <c r="J10" s="7" t="s">
        <v>781</v>
      </c>
    </row>
    <row r="11" spans="1:10" x14ac:dyDescent="0.25" outlineLevel="1" collapsed="1">
      <c r="A11" s="7" t="s">
        <v>19</v>
      </c>
      <c r="B11" s="7" t="s">
        <v>16</v>
      </c>
      <c r="C11" s="7" t="s">
        <v>17</v>
      </c>
      <c r="D11" s="7"/>
      <c r="E11" s="7" t="s">
        <v>782</v>
      </c>
      <c r="F11" s="7" t="s">
        <v>19</v>
      </c>
      <c r="G11" s="7" t="s">
        <v>31</v>
      </c>
      <c r="H11" s="7" t="s">
        <v>17</v>
      </c>
      <c r="I11" s="7" t="s">
        <v>17</v>
      </c>
      <c r="J11" s="7" t="s">
        <v>783</v>
      </c>
    </row>
  </sheetData>
  <mergeCells count="3">
    <mergeCell ref="A1:J1"/>
    <mergeCell ref="B2:J2"/>
    <mergeCell ref="B3:J3"/>
  </mergeCells>
  <hyperlinks>
    <hyperlink ref="B5" r:id="rId1" location="#'Ex-ante vs ex-post row'!A1"/>
  </hyperlinks>
  <pageMargins left="0.7" right="0.7" top="0.75" bottom="0.75" header="0.3" footer="0.3"/>
  <pageSetup orientation="portrait" horizontalDpi="4294967295" verticalDpi="4294967295" scale="100" fitToWidth="1" fitToHeight="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3671</v>
      </c>
      <c r="B1" s="1"/>
      <c r="C1" s="1"/>
      <c r="D1" s="1"/>
      <c r="E1" s="1"/>
      <c r="F1" s="1"/>
      <c r="G1" s="1"/>
      <c r="H1" s="1"/>
      <c r="I1" s="1"/>
      <c r="J1" s="1"/>
    </row>
    <row r="2" spans="1:10" x14ac:dyDescent="0.25">
      <c r="A2" s="2" t="s">
        <v>1</v>
      </c>
      <c r="B2" s="3" t="s">
        <v>3672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704</v>
      </c>
      <c r="C5" s="5" t="s">
        <v>17</v>
      </c>
      <c r="D5" s="5"/>
      <c r="E5" s="5" t="s">
        <v>705</v>
      </c>
      <c r="F5" s="5" t="s">
        <v>19</v>
      </c>
      <c r="G5" s="5" t="s">
        <v>17</v>
      </c>
      <c r="H5" s="5" t="s">
        <v>17</v>
      </c>
      <c r="I5" s="5" t="s">
        <v>17</v>
      </c>
      <c r="J5" s="5" t="s">
        <v>706</v>
      </c>
    </row>
    <row r="6" spans="1:10" x14ac:dyDescent="0.25" outlineLevel="1" collapsed="1">
      <c r="A6" s="7" t="s">
        <v>15</v>
      </c>
      <c r="B6" s="7" t="s">
        <v>291</v>
      </c>
      <c r="C6" s="7" t="s">
        <v>17</v>
      </c>
      <c r="D6" s="7"/>
      <c r="E6" s="7" t="s">
        <v>707</v>
      </c>
      <c r="F6" s="7" t="s">
        <v>19</v>
      </c>
      <c r="G6" s="7" t="s">
        <v>293</v>
      </c>
      <c r="H6" s="7" t="s">
        <v>17</v>
      </c>
      <c r="I6" s="7" t="s">
        <v>17</v>
      </c>
      <c r="J6" s="7" t="s">
        <v>708</v>
      </c>
    </row>
    <row r="7" spans="1:10" x14ac:dyDescent="0.25" outlineLevel="1" collapsed="1">
      <c r="A7" s="7" t="s">
        <v>15</v>
      </c>
      <c r="B7" s="7" t="s">
        <v>16</v>
      </c>
      <c r="C7" s="7" t="s">
        <v>17</v>
      </c>
      <c r="D7" s="7"/>
      <c r="E7" s="7" t="s">
        <v>288</v>
      </c>
      <c r="F7" s="7" t="s">
        <v>19</v>
      </c>
      <c r="G7" s="7" t="s">
        <v>289</v>
      </c>
      <c r="H7" s="7" t="s">
        <v>17</v>
      </c>
      <c r="I7" s="7" t="s">
        <v>17</v>
      </c>
      <c r="J7" s="7" t="s">
        <v>290</v>
      </c>
    </row>
    <row r="8" spans="1:10" x14ac:dyDescent="0.25" outlineLevel="1" collapsed="1">
      <c r="A8" s="7" t="s">
        <v>15</v>
      </c>
      <c r="B8" s="7" t="s">
        <v>16</v>
      </c>
      <c r="C8" s="7" t="s">
        <v>17</v>
      </c>
      <c r="D8" s="7"/>
      <c r="E8" s="7" t="s">
        <v>709</v>
      </c>
      <c r="F8" s="7" t="s">
        <v>19</v>
      </c>
      <c r="G8" s="7" t="s">
        <v>710</v>
      </c>
      <c r="H8" s="7" t="s">
        <v>17</v>
      </c>
      <c r="I8" s="7" t="s">
        <v>17</v>
      </c>
      <c r="J8" s="7" t="s">
        <v>711</v>
      </c>
    </row>
    <row r="9" spans="1:10" x14ac:dyDescent="0.25" outlineLevel="1" collapsed="1">
      <c r="A9" s="7" t="s">
        <v>15</v>
      </c>
      <c r="B9" s="7" t="s">
        <v>16</v>
      </c>
      <c r="C9" s="7" t="s">
        <v>17</v>
      </c>
      <c r="D9" s="7"/>
      <c r="E9" s="7" t="s">
        <v>712</v>
      </c>
      <c r="F9" s="7" t="s">
        <v>19</v>
      </c>
      <c r="G9" s="7" t="s">
        <v>31</v>
      </c>
      <c r="H9" s="7" t="s">
        <v>17</v>
      </c>
      <c r="I9" s="7" t="s">
        <v>17</v>
      </c>
      <c r="J9" s="7" t="s">
        <v>713</v>
      </c>
    </row>
    <row r="10" spans="1:10" x14ac:dyDescent="0.25" outlineLevel="1" collapsed="1">
      <c r="A10" s="7" t="s">
        <v>19</v>
      </c>
      <c r="B10" s="7" t="s">
        <v>16</v>
      </c>
      <c r="C10" s="7" t="s">
        <v>17</v>
      </c>
      <c r="D10" s="7"/>
      <c r="E10" s="7" t="s">
        <v>714</v>
      </c>
      <c r="F10" s="7" t="s">
        <v>19</v>
      </c>
      <c r="G10" s="7" t="s">
        <v>715</v>
      </c>
      <c r="H10" s="7" t="s">
        <v>17</v>
      </c>
      <c r="I10" s="7" t="s">
        <v>17</v>
      </c>
      <c r="J10" s="7" t="s">
        <v>716</v>
      </c>
    </row>
    <row r="11" spans="1:10" x14ac:dyDescent="0.25" outlineLevel="1" collapsed="1">
      <c r="A11" s="7" t="s">
        <v>15</v>
      </c>
      <c r="B11" s="7" t="s">
        <v>16</v>
      </c>
      <c r="C11" s="7" t="s">
        <v>17</v>
      </c>
      <c r="D11" s="7"/>
      <c r="E11" s="7" t="s">
        <v>717</v>
      </c>
      <c r="F11" s="7" t="s">
        <v>19</v>
      </c>
      <c r="G11" s="7" t="s">
        <v>718</v>
      </c>
      <c r="H11" s="7" t="s">
        <v>17</v>
      </c>
      <c r="I11" s="7" t="s">
        <v>17</v>
      </c>
      <c r="J11" s="7" t="s">
        <v>719</v>
      </c>
    </row>
    <row r="12" spans="1:10" x14ac:dyDescent="0.25">
      <c r="A12" s="5" t="s">
        <v>15</v>
      </c>
      <c r="B12" s="6" t="s">
        <v>720</v>
      </c>
      <c r="C12" s="5" t="s">
        <v>17</v>
      </c>
      <c r="D12" s="5"/>
      <c r="E12" s="5" t="s">
        <v>721</v>
      </c>
      <c r="F12" s="5" t="s">
        <v>19</v>
      </c>
      <c r="G12" s="5" t="s">
        <v>17</v>
      </c>
      <c r="H12" s="5" t="s">
        <v>17</v>
      </c>
      <c r="I12" s="5" t="s">
        <v>17</v>
      </c>
      <c r="J12" s="5" t="s">
        <v>722</v>
      </c>
    </row>
    <row r="13" spans="1:10" x14ac:dyDescent="0.25" outlineLevel="1" collapsed="1">
      <c r="A13" s="7" t="s">
        <v>15</v>
      </c>
      <c r="B13" s="7" t="s">
        <v>291</v>
      </c>
      <c r="C13" s="7" t="s">
        <v>17</v>
      </c>
      <c r="D13" s="7"/>
      <c r="E13" s="7" t="s">
        <v>723</v>
      </c>
      <c r="F13" s="7" t="s">
        <v>19</v>
      </c>
      <c r="G13" s="7" t="s">
        <v>293</v>
      </c>
      <c r="H13" s="7" t="s">
        <v>17</v>
      </c>
      <c r="I13" s="7" t="s">
        <v>17</v>
      </c>
      <c r="J13" s="7" t="s">
        <v>294</v>
      </c>
    </row>
    <row r="14" spans="1:10" x14ac:dyDescent="0.25" outlineLevel="1" collapsed="1">
      <c r="A14" s="7" t="s">
        <v>15</v>
      </c>
      <c r="B14" s="7" t="s">
        <v>291</v>
      </c>
      <c r="C14" s="7" t="s">
        <v>17</v>
      </c>
      <c r="D14" s="7"/>
      <c r="E14" s="7" t="s">
        <v>724</v>
      </c>
      <c r="F14" s="7" t="s">
        <v>19</v>
      </c>
      <c r="G14" s="7" t="s">
        <v>293</v>
      </c>
      <c r="H14" s="7" t="s">
        <v>17</v>
      </c>
      <c r="I14" s="7" t="s">
        <v>17</v>
      </c>
      <c r="J14" s="7" t="s">
        <v>296</v>
      </c>
    </row>
    <row r="15" spans="1:10" x14ac:dyDescent="0.25" outlineLevel="1" collapsed="1">
      <c r="A15" s="8" t="s">
        <v>19</v>
      </c>
      <c r="B15" s="9" t="s">
        <v>725</v>
      </c>
      <c r="C15" s="8" t="s">
        <v>17</v>
      </c>
      <c r="D15" s="8"/>
      <c r="E15" s="8" t="s">
        <v>726</v>
      </c>
      <c r="F15" s="8" t="s">
        <v>15</v>
      </c>
      <c r="G15" s="8" t="s">
        <v>17</v>
      </c>
      <c r="H15" s="8" t="s">
        <v>17</v>
      </c>
      <c r="I15" s="8" t="s">
        <v>17</v>
      </c>
      <c r="J15" s="8" t="s">
        <v>727</v>
      </c>
    </row>
    <row r="16" spans="1:10" x14ac:dyDescent="0.25" outlineLevel="2" collapsed="1">
      <c r="A16" s="7" t="s">
        <v>15</v>
      </c>
      <c r="B16" s="7" t="s">
        <v>16</v>
      </c>
      <c r="C16" s="7" t="s">
        <v>17</v>
      </c>
      <c r="D16" s="7"/>
      <c r="E16" s="7" t="s">
        <v>728</v>
      </c>
      <c r="F16" s="7" t="s">
        <v>19</v>
      </c>
      <c r="G16" s="7" t="s">
        <v>729</v>
      </c>
      <c r="H16" s="7" t="s">
        <v>17</v>
      </c>
      <c r="I16" s="7" t="s">
        <v>17</v>
      </c>
      <c r="J16" s="7" t="s">
        <v>730</v>
      </c>
    </row>
    <row r="17" spans="1:10" x14ac:dyDescent="0.25" outlineLevel="2" collapsed="1">
      <c r="A17" s="7" t="s">
        <v>15</v>
      </c>
      <c r="B17" s="7" t="s">
        <v>16</v>
      </c>
      <c r="C17" s="7" t="s">
        <v>17</v>
      </c>
      <c r="D17" s="7"/>
      <c r="E17" s="7" t="s">
        <v>731</v>
      </c>
      <c r="F17" s="7" t="s">
        <v>19</v>
      </c>
      <c r="G17" s="7" t="s">
        <v>732</v>
      </c>
      <c r="H17" s="7" t="s">
        <v>17</v>
      </c>
      <c r="I17" s="7" t="s">
        <v>17</v>
      </c>
      <c r="J17" s="7" t="s">
        <v>733</v>
      </c>
    </row>
    <row r="18" spans="1:10" x14ac:dyDescent="0.25" outlineLevel="2" collapsed="1">
      <c r="A18" s="7" t="s">
        <v>15</v>
      </c>
      <c r="B18" s="7" t="s">
        <v>291</v>
      </c>
      <c r="C18" s="7" t="s">
        <v>17</v>
      </c>
      <c r="D18" s="7"/>
      <c r="E18" s="7" t="s">
        <v>30</v>
      </c>
      <c r="F18" s="7" t="s">
        <v>19</v>
      </c>
      <c r="G18" s="7" t="s">
        <v>293</v>
      </c>
      <c r="H18" s="7" t="s">
        <v>17</v>
      </c>
      <c r="I18" s="7" t="s">
        <v>17</v>
      </c>
      <c r="J18" s="7" t="s">
        <v>734</v>
      </c>
    </row>
    <row r="19" spans="1:10" x14ac:dyDescent="0.25" outlineLevel="2" collapsed="1">
      <c r="A19" s="7" t="s">
        <v>15</v>
      </c>
      <c r="B19" s="7" t="s">
        <v>291</v>
      </c>
      <c r="C19" s="7" t="s">
        <v>17</v>
      </c>
      <c r="D19" s="7"/>
      <c r="E19" s="7" t="s">
        <v>33</v>
      </c>
      <c r="F19" s="7" t="s">
        <v>19</v>
      </c>
      <c r="G19" s="7" t="s">
        <v>293</v>
      </c>
      <c r="H19" s="7" t="s">
        <v>17</v>
      </c>
      <c r="I19" s="7" t="s">
        <v>17</v>
      </c>
      <c r="J19" s="7" t="s">
        <v>735</v>
      </c>
    </row>
    <row r="20" spans="1:10" x14ac:dyDescent="0.25" outlineLevel="2" collapsed="1">
      <c r="A20" s="7" t="s">
        <v>15</v>
      </c>
      <c r="B20" s="7" t="s">
        <v>63</v>
      </c>
      <c r="C20" s="7" t="s">
        <v>17</v>
      </c>
      <c r="D20" s="7"/>
      <c r="E20" s="7" t="s">
        <v>736</v>
      </c>
      <c r="F20" s="7" t="s">
        <v>19</v>
      </c>
      <c r="G20" s="7">
        <v>276.0886</v>
      </c>
      <c r="H20" s="7" t="s">
        <v>17</v>
      </c>
      <c r="I20" s="7" t="s">
        <v>17</v>
      </c>
      <c r="J20" s="7" t="s">
        <v>737</v>
      </c>
    </row>
    <row r="21" spans="1:10" x14ac:dyDescent="0.25" outlineLevel="2" collapsed="1">
      <c r="A21" s="7" t="s">
        <v>15</v>
      </c>
      <c r="B21" s="7" t="s">
        <v>63</v>
      </c>
      <c r="C21" s="7" t="s">
        <v>17</v>
      </c>
      <c r="D21" s="7"/>
      <c r="E21" s="7" t="s">
        <v>738</v>
      </c>
      <c r="F21" s="7" t="s">
        <v>19</v>
      </c>
      <c r="G21" s="7">
        <v>0.3504</v>
      </c>
      <c r="H21" s="7" t="s">
        <v>17</v>
      </c>
      <c r="I21" s="7" t="s">
        <v>17</v>
      </c>
      <c r="J21" s="7" t="s">
        <v>739</v>
      </c>
    </row>
    <row r="22" spans="1:10" x14ac:dyDescent="0.25" outlineLevel="2" collapsed="1">
      <c r="A22" s="7" t="s">
        <v>15</v>
      </c>
      <c r="B22" s="7" t="s">
        <v>63</v>
      </c>
      <c r="C22" s="7" t="s">
        <v>17</v>
      </c>
      <c r="D22" s="7"/>
      <c r="E22" s="7" t="s">
        <v>740</v>
      </c>
      <c r="F22" s="7" t="s">
        <v>19</v>
      </c>
      <c r="G22" s="7">
        <v>0</v>
      </c>
      <c r="H22" s="7" t="s">
        <v>17</v>
      </c>
      <c r="I22" s="7" t="s">
        <v>17</v>
      </c>
      <c r="J22" s="7" t="s">
        <v>741</v>
      </c>
    </row>
    <row r="23" spans="1:10" x14ac:dyDescent="0.25" outlineLevel="2" collapsed="1">
      <c r="A23" s="7" t="s">
        <v>15</v>
      </c>
      <c r="B23" s="7" t="s">
        <v>63</v>
      </c>
      <c r="C23" s="7" t="s">
        <v>17</v>
      </c>
      <c r="D23" s="7"/>
      <c r="E23" s="7" t="s">
        <v>742</v>
      </c>
      <c r="F23" s="7" t="s">
        <v>19</v>
      </c>
      <c r="G23" s="7">
        <v>275.738</v>
      </c>
      <c r="H23" s="7" t="s">
        <v>17</v>
      </c>
      <c r="I23" s="7" t="s">
        <v>17</v>
      </c>
      <c r="J23" s="7" t="s">
        <v>743</v>
      </c>
    </row>
    <row r="24" spans="1:10" x14ac:dyDescent="0.25" outlineLevel="2" collapsed="1">
      <c r="A24" s="7" t="s">
        <v>15</v>
      </c>
      <c r="B24" s="7" t="s">
        <v>63</v>
      </c>
      <c r="C24" s="7" t="s">
        <v>17</v>
      </c>
      <c r="D24" s="7"/>
      <c r="E24" s="7" t="s">
        <v>744</v>
      </c>
      <c r="F24" s="7" t="s">
        <v>19</v>
      </c>
      <c r="G24" s="7">
        <v>0</v>
      </c>
      <c r="H24" s="7" t="s">
        <v>17</v>
      </c>
      <c r="I24" s="7" t="s">
        <v>17</v>
      </c>
      <c r="J24" s="7" t="s">
        <v>745</v>
      </c>
    </row>
    <row r="25" spans="1:10" x14ac:dyDescent="0.25" outlineLevel="2" collapsed="1">
      <c r="A25" s="7" t="s">
        <v>15</v>
      </c>
      <c r="B25" s="7" t="s">
        <v>63</v>
      </c>
      <c r="C25" s="7" t="s">
        <v>17</v>
      </c>
      <c r="D25" s="7"/>
      <c r="E25" s="7" t="s">
        <v>746</v>
      </c>
      <c r="F25" s="7" t="s">
        <v>19</v>
      </c>
      <c r="G25" s="7">
        <v>275.738</v>
      </c>
      <c r="H25" s="7" t="s">
        <v>17</v>
      </c>
      <c r="I25" s="7" t="s">
        <v>17</v>
      </c>
      <c r="J25" s="7" t="s">
        <v>747</v>
      </c>
    </row>
    <row r="26" spans="1:10" x14ac:dyDescent="0.25" outlineLevel="1" collapsed="1">
      <c r="A26" s="8" t="s">
        <v>19</v>
      </c>
      <c r="B26" s="9" t="s">
        <v>748</v>
      </c>
      <c r="C26" s="8" t="s">
        <v>17</v>
      </c>
      <c r="D26" s="8"/>
      <c r="E26" s="8" t="s">
        <v>749</v>
      </c>
      <c r="F26" s="8" t="s">
        <v>15</v>
      </c>
      <c r="G26" s="8" t="s">
        <v>17</v>
      </c>
      <c r="H26" s="8" t="s">
        <v>17</v>
      </c>
      <c r="I26" s="8" t="s">
        <v>17</v>
      </c>
      <c r="J26" s="8" t="s">
        <v>750</v>
      </c>
    </row>
    <row r="27" spans="1:10" x14ac:dyDescent="0.25" outlineLevel="2" collapsed="1">
      <c r="A27" s="7" t="s">
        <v>19</v>
      </c>
      <c r="B27" s="7" t="s">
        <v>16</v>
      </c>
      <c r="C27" s="7" t="s">
        <v>17</v>
      </c>
      <c r="D27" s="7"/>
      <c r="E27" s="7" t="s">
        <v>728</v>
      </c>
      <c r="F27" s="7" t="s">
        <v>19</v>
      </c>
      <c r="G27" s="7" t="s">
        <v>729</v>
      </c>
      <c r="H27" s="7" t="s">
        <v>17</v>
      </c>
      <c r="I27" s="7" t="s">
        <v>17</v>
      </c>
      <c r="J27" s="7" t="s">
        <v>730</v>
      </c>
    </row>
    <row r="28" spans="1:10" x14ac:dyDescent="0.25" outlineLevel="2" collapsed="1">
      <c r="A28" s="7" t="s">
        <v>19</v>
      </c>
      <c r="B28" s="7" t="s">
        <v>16</v>
      </c>
      <c r="C28" s="7" t="s">
        <v>17</v>
      </c>
      <c r="D28" s="7"/>
      <c r="E28" s="7" t="s">
        <v>731</v>
      </c>
      <c r="F28" s="7" t="s">
        <v>19</v>
      </c>
      <c r="G28" s="7" t="s">
        <v>732</v>
      </c>
      <c r="H28" s="7" t="s">
        <v>17</v>
      </c>
      <c r="I28" s="7" t="s">
        <v>17</v>
      </c>
      <c r="J28" s="7" t="s">
        <v>733</v>
      </c>
    </row>
    <row r="29" spans="1:10" x14ac:dyDescent="0.25" outlineLevel="2" collapsed="1">
      <c r="A29" s="7" t="s">
        <v>19</v>
      </c>
      <c r="B29" s="7" t="s">
        <v>291</v>
      </c>
      <c r="C29" s="7" t="s">
        <v>17</v>
      </c>
      <c r="D29" s="7"/>
      <c r="E29" s="7" t="s">
        <v>30</v>
      </c>
      <c r="F29" s="7" t="s">
        <v>19</v>
      </c>
      <c r="G29" s="7" t="s">
        <v>293</v>
      </c>
      <c r="H29" s="7" t="s">
        <v>17</v>
      </c>
      <c r="I29" s="7" t="s">
        <v>17</v>
      </c>
      <c r="J29" s="7" t="s">
        <v>734</v>
      </c>
    </row>
    <row r="30" spans="1:10" x14ac:dyDescent="0.25" outlineLevel="2" collapsed="1">
      <c r="A30" s="7" t="s">
        <v>19</v>
      </c>
      <c r="B30" s="7" t="s">
        <v>291</v>
      </c>
      <c r="C30" s="7" t="s">
        <v>17</v>
      </c>
      <c r="D30" s="7"/>
      <c r="E30" s="7" t="s">
        <v>33</v>
      </c>
      <c r="F30" s="7" t="s">
        <v>19</v>
      </c>
      <c r="G30" s="7" t="s">
        <v>293</v>
      </c>
      <c r="H30" s="7" t="s">
        <v>17</v>
      </c>
      <c r="I30" s="7" t="s">
        <v>17</v>
      </c>
      <c r="J30" s="7" t="s">
        <v>735</v>
      </c>
    </row>
    <row r="31" spans="1:10" x14ac:dyDescent="0.25" outlineLevel="2" collapsed="1">
      <c r="A31" s="7" t="s">
        <v>19</v>
      </c>
      <c r="B31" s="7" t="s">
        <v>63</v>
      </c>
      <c r="C31" s="7" t="s">
        <v>17</v>
      </c>
      <c r="D31" s="7"/>
      <c r="E31" s="7" t="s">
        <v>751</v>
      </c>
      <c r="F31" s="7" t="s">
        <v>19</v>
      </c>
      <c r="G31" s="7">
        <v>0</v>
      </c>
      <c r="H31" s="7" t="s">
        <v>17</v>
      </c>
      <c r="I31" s="7" t="s">
        <v>17</v>
      </c>
      <c r="J31" s="7" t="s">
        <v>752</v>
      </c>
    </row>
    <row r="32" spans="1:10" x14ac:dyDescent="0.25" outlineLevel="2" collapsed="1">
      <c r="A32" s="7" t="s">
        <v>19</v>
      </c>
      <c r="B32" s="7" t="s">
        <v>63</v>
      </c>
      <c r="C32" s="7" t="s">
        <v>17</v>
      </c>
      <c r="D32" s="7"/>
      <c r="E32" s="7" t="s">
        <v>753</v>
      </c>
      <c r="F32" s="7" t="s">
        <v>19</v>
      </c>
      <c r="G32" s="7">
        <v>0</v>
      </c>
      <c r="H32" s="7" t="s">
        <v>17</v>
      </c>
      <c r="I32" s="7" t="s">
        <v>17</v>
      </c>
      <c r="J32" s="7" t="s">
        <v>754</v>
      </c>
    </row>
    <row r="33" spans="1:10" x14ac:dyDescent="0.25" outlineLevel="2" collapsed="1">
      <c r="A33" s="7" t="s">
        <v>19</v>
      </c>
      <c r="B33" s="7" t="s">
        <v>63</v>
      </c>
      <c r="C33" s="7" t="s">
        <v>17</v>
      </c>
      <c r="D33" s="7"/>
      <c r="E33" s="7" t="s">
        <v>755</v>
      </c>
      <c r="F33" s="7" t="s">
        <v>19</v>
      </c>
      <c r="G33" s="7">
        <v>0</v>
      </c>
      <c r="H33" s="7" t="s">
        <v>17</v>
      </c>
      <c r="I33" s="7" t="s">
        <v>17</v>
      </c>
      <c r="J33" s="7" t="s">
        <v>756</v>
      </c>
    </row>
    <row r="34" spans="1:10" x14ac:dyDescent="0.25" outlineLevel="2" collapsed="1">
      <c r="A34" s="7" t="s">
        <v>19</v>
      </c>
      <c r="B34" s="7" t="s">
        <v>63</v>
      </c>
      <c r="C34" s="7" t="s">
        <v>17</v>
      </c>
      <c r="D34" s="7"/>
      <c r="E34" s="7" t="s">
        <v>757</v>
      </c>
      <c r="F34" s="7" t="s">
        <v>19</v>
      </c>
      <c r="G34" s="7">
        <v>0</v>
      </c>
      <c r="H34" s="7" t="s">
        <v>17</v>
      </c>
      <c r="I34" s="7" t="s">
        <v>17</v>
      </c>
      <c r="J34" s="7" t="s">
        <v>758</v>
      </c>
    </row>
    <row r="35" spans="1:10" x14ac:dyDescent="0.25" outlineLevel="2" collapsed="1">
      <c r="A35" s="7" t="s">
        <v>19</v>
      </c>
      <c r="B35" s="7" t="s">
        <v>63</v>
      </c>
      <c r="C35" s="7" t="s">
        <v>17</v>
      </c>
      <c r="D35" s="7"/>
      <c r="E35" s="7" t="s">
        <v>736</v>
      </c>
      <c r="F35" s="7" t="s">
        <v>19</v>
      </c>
      <c r="G35" s="7">
        <v>1</v>
      </c>
      <c r="H35" s="7" t="s">
        <v>17</v>
      </c>
      <c r="I35" s="7" t="s">
        <v>17</v>
      </c>
      <c r="J35" s="7" t="s">
        <v>759</v>
      </c>
    </row>
    <row r="36" spans="1:10" x14ac:dyDescent="0.25" outlineLevel="2" collapsed="1">
      <c r="A36" s="7" t="s">
        <v>19</v>
      </c>
      <c r="B36" s="7" t="s">
        <v>63</v>
      </c>
      <c r="C36" s="7" t="s">
        <v>17</v>
      </c>
      <c r="D36" s="7"/>
      <c r="E36" s="7" t="s">
        <v>738</v>
      </c>
      <c r="F36" s="7" t="s">
        <v>19</v>
      </c>
      <c r="G36" s="7">
        <v>1</v>
      </c>
      <c r="H36" s="7" t="s">
        <v>17</v>
      </c>
      <c r="I36" s="7" t="s">
        <v>17</v>
      </c>
      <c r="J36" s="7" t="s">
        <v>760</v>
      </c>
    </row>
    <row r="37" spans="1:10" x14ac:dyDescent="0.25" outlineLevel="2" collapsed="1">
      <c r="A37" s="7" t="s">
        <v>19</v>
      </c>
      <c r="B37" s="7" t="s">
        <v>63</v>
      </c>
      <c r="C37" s="7" t="s">
        <v>17</v>
      </c>
      <c r="D37" s="7"/>
      <c r="E37" s="7" t="s">
        <v>740</v>
      </c>
      <c r="F37" s="7" t="s">
        <v>19</v>
      </c>
      <c r="G37" s="7">
        <v>1</v>
      </c>
      <c r="H37" s="7" t="s">
        <v>17</v>
      </c>
      <c r="I37" s="7" t="s">
        <v>17</v>
      </c>
      <c r="J37" s="7" t="s">
        <v>761</v>
      </c>
    </row>
    <row r="38" spans="1:10" x14ac:dyDescent="0.25" outlineLevel="1" collapsed="1">
      <c r="A38" s="8" t="s">
        <v>19</v>
      </c>
      <c r="B38" s="9" t="s">
        <v>762</v>
      </c>
      <c r="C38" s="8" t="s">
        <v>17</v>
      </c>
      <c r="D38" s="8"/>
      <c r="E38" s="8" t="s">
        <v>763</v>
      </c>
      <c r="F38" s="8" t="s">
        <v>15</v>
      </c>
      <c r="G38" s="8" t="s">
        <v>17</v>
      </c>
      <c r="H38" s="8" t="s">
        <v>17</v>
      </c>
      <c r="I38" s="8" t="s">
        <v>17</v>
      </c>
      <c r="J38" s="8" t="s">
        <v>764</v>
      </c>
    </row>
    <row r="39" spans="1:10" x14ac:dyDescent="0.25" outlineLevel="2" collapsed="1">
      <c r="A39" s="7" t="s">
        <v>15</v>
      </c>
      <c r="B39" s="7" t="s">
        <v>291</v>
      </c>
      <c r="C39" s="7" t="s">
        <v>17</v>
      </c>
      <c r="D39" s="7"/>
      <c r="E39" s="7" t="s">
        <v>30</v>
      </c>
      <c r="F39" s="7" t="s">
        <v>19</v>
      </c>
      <c r="G39" s="7" t="s">
        <v>293</v>
      </c>
      <c r="H39" s="7" t="s">
        <v>17</v>
      </c>
      <c r="I39" s="7" t="s">
        <v>17</v>
      </c>
      <c r="J39" s="7" t="s">
        <v>734</v>
      </c>
    </row>
    <row r="40" spans="1:10" x14ac:dyDescent="0.25" outlineLevel="2" collapsed="1">
      <c r="A40" s="7" t="s">
        <v>15</v>
      </c>
      <c r="B40" s="7" t="s">
        <v>291</v>
      </c>
      <c r="C40" s="7" t="s">
        <v>17</v>
      </c>
      <c r="D40" s="7"/>
      <c r="E40" s="7" t="s">
        <v>33</v>
      </c>
      <c r="F40" s="7" t="s">
        <v>19</v>
      </c>
      <c r="G40" s="7" t="s">
        <v>293</v>
      </c>
      <c r="H40" s="7" t="s">
        <v>17</v>
      </c>
      <c r="I40" s="7" t="s">
        <v>17</v>
      </c>
      <c r="J40" s="7" t="s">
        <v>735</v>
      </c>
    </row>
    <row r="41" spans="1:10" x14ac:dyDescent="0.25" outlineLevel="2" collapsed="1">
      <c r="A41" s="7" t="s">
        <v>15</v>
      </c>
      <c r="B41" s="7" t="s">
        <v>63</v>
      </c>
      <c r="C41" s="7" t="s">
        <v>17</v>
      </c>
      <c r="D41" s="7"/>
      <c r="E41" s="7" t="s">
        <v>765</v>
      </c>
      <c r="F41" s="7" t="s">
        <v>19</v>
      </c>
      <c r="G41" s="7">
        <v>275.738</v>
      </c>
      <c r="H41" s="7" t="s">
        <v>17</v>
      </c>
      <c r="I41" s="7" t="s">
        <v>17</v>
      </c>
      <c r="J41" s="7" t="s">
        <v>743</v>
      </c>
    </row>
    <row r="42" spans="1:10" x14ac:dyDescent="0.25" outlineLevel="2" collapsed="1">
      <c r="A42" s="7" t="s">
        <v>15</v>
      </c>
      <c r="B42" s="7" t="s">
        <v>63</v>
      </c>
      <c r="C42" s="7" t="s">
        <v>17</v>
      </c>
      <c r="D42" s="7"/>
      <c r="E42" s="7" t="s">
        <v>766</v>
      </c>
      <c r="F42" s="7" t="s">
        <v>19</v>
      </c>
      <c r="G42" s="7">
        <v>0</v>
      </c>
      <c r="H42" s="7" t="s">
        <v>17</v>
      </c>
      <c r="I42" s="7" t="s">
        <v>17</v>
      </c>
      <c r="J42" s="7" t="s">
        <v>745</v>
      </c>
    </row>
    <row r="43" spans="1:10" x14ac:dyDescent="0.25" outlineLevel="2" collapsed="1">
      <c r="A43" s="7" t="s">
        <v>15</v>
      </c>
      <c r="B43" s="7" t="s">
        <v>63</v>
      </c>
      <c r="C43" s="7" t="s">
        <v>17</v>
      </c>
      <c r="D43" s="7"/>
      <c r="E43" s="7" t="s">
        <v>767</v>
      </c>
      <c r="F43" s="7" t="s">
        <v>19</v>
      </c>
      <c r="G43" s="7">
        <v>275.738</v>
      </c>
      <c r="H43" s="7" t="s">
        <v>17</v>
      </c>
      <c r="I43" s="7" t="s">
        <v>17</v>
      </c>
      <c r="J43" s="7" t="s">
        <v>747</v>
      </c>
    </row>
    <row r="44" spans="1:10" x14ac:dyDescent="0.25" outlineLevel="1" collapsed="1">
      <c r="A44" s="7" t="s">
        <v>19</v>
      </c>
      <c r="B44" s="7" t="s">
        <v>63</v>
      </c>
      <c r="C44" s="7" t="s">
        <v>17</v>
      </c>
      <c r="D44" s="7"/>
      <c r="E44" s="7" t="s">
        <v>768</v>
      </c>
      <c r="F44" s="7" t="s">
        <v>19</v>
      </c>
      <c r="G44" s="7">
        <v>1</v>
      </c>
      <c r="H44" s="7" t="s">
        <v>17</v>
      </c>
      <c r="I44" s="7" t="s">
        <v>17</v>
      </c>
      <c r="J44" s="7" t="s">
        <v>769</v>
      </c>
    </row>
    <row r="45" spans="1:10" x14ac:dyDescent="0.25">
      <c r="A45" s="5" t="s">
        <v>15</v>
      </c>
      <c r="B45" s="6" t="s">
        <v>770</v>
      </c>
      <c r="C45" s="5" t="s">
        <v>17</v>
      </c>
      <c r="D45" s="5"/>
      <c r="E45" s="5" t="s">
        <v>771</v>
      </c>
      <c r="F45" s="5" t="s">
        <v>19</v>
      </c>
      <c r="G45" s="5" t="s">
        <v>17</v>
      </c>
      <c r="H45" s="5" t="s">
        <v>17</v>
      </c>
      <c r="I45" s="5" t="s">
        <v>17</v>
      </c>
      <c r="J45" s="5" t="s">
        <v>772</v>
      </c>
    </row>
    <row r="46" spans="1:10" x14ac:dyDescent="0.25" outlineLevel="1" collapsed="1">
      <c r="A46" s="8" t="s">
        <v>19</v>
      </c>
      <c r="B46" s="9" t="s">
        <v>773</v>
      </c>
      <c r="C46" s="8" t="s">
        <v>17</v>
      </c>
      <c r="D46" s="8"/>
      <c r="E46" s="8" t="s">
        <v>774</v>
      </c>
      <c r="F46" s="8" t="s">
        <v>15</v>
      </c>
      <c r="G46" s="8" t="s">
        <v>17</v>
      </c>
      <c r="H46" s="8" t="s">
        <v>17</v>
      </c>
      <c r="I46" s="8" t="s">
        <v>17</v>
      </c>
      <c r="J46" s="8" t="s">
        <v>775</v>
      </c>
    </row>
    <row r="47" spans="1:10" x14ac:dyDescent="0.25" outlineLevel="2" collapsed="1">
      <c r="A47" s="7" t="s">
        <v>15</v>
      </c>
      <c r="B47" s="7" t="s">
        <v>291</v>
      </c>
      <c r="C47" s="7" t="s">
        <v>17</v>
      </c>
      <c r="D47" s="7"/>
      <c r="E47" s="7" t="s">
        <v>30</v>
      </c>
      <c r="F47" s="7" t="s">
        <v>19</v>
      </c>
      <c r="G47" s="7" t="s">
        <v>293</v>
      </c>
      <c r="H47" s="7" t="s">
        <v>17</v>
      </c>
      <c r="I47" s="7" t="s">
        <v>17</v>
      </c>
      <c r="J47" s="7" t="s">
        <v>734</v>
      </c>
    </row>
    <row r="48" spans="1:10" x14ac:dyDescent="0.25" outlineLevel="2" collapsed="1">
      <c r="A48" s="7" t="s">
        <v>15</v>
      </c>
      <c r="B48" s="7" t="s">
        <v>291</v>
      </c>
      <c r="C48" s="7" t="s">
        <v>17</v>
      </c>
      <c r="D48" s="7"/>
      <c r="E48" s="7" t="s">
        <v>33</v>
      </c>
      <c r="F48" s="7" t="s">
        <v>19</v>
      </c>
      <c r="G48" s="7" t="s">
        <v>293</v>
      </c>
      <c r="H48" s="7" t="s">
        <v>17</v>
      </c>
      <c r="I48" s="7" t="s">
        <v>17</v>
      </c>
      <c r="J48" s="7" t="s">
        <v>735</v>
      </c>
    </row>
    <row r="49" spans="1:10" x14ac:dyDescent="0.25" outlineLevel="2" collapsed="1">
      <c r="A49" s="7" t="s">
        <v>15</v>
      </c>
      <c r="B49" s="7" t="s">
        <v>63</v>
      </c>
      <c r="C49" s="7" t="s">
        <v>17</v>
      </c>
      <c r="D49" s="7"/>
      <c r="E49" s="7" t="s">
        <v>776</v>
      </c>
      <c r="F49" s="7" t="s">
        <v>19</v>
      </c>
      <c r="G49" s="7">
        <v>275.738</v>
      </c>
      <c r="H49" s="7" t="s">
        <v>17</v>
      </c>
      <c r="I49" s="7" t="s">
        <v>17</v>
      </c>
      <c r="J49" s="7" t="s">
        <v>777</v>
      </c>
    </row>
    <row r="50" spans="1:10" x14ac:dyDescent="0.25" outlineLevel="2" collapsed="1">
      <c r="A50" s="7" t="s">
        <v>15</v>
      </c>
      <c r="B50" s="7" t="s">
        <v>63</v>
      </c>
      <c r="C50" s="7" t="s">
        <v>17</v>
      </c>
      <c r="D50" s="7"/>
      <c r="E50" s="7" t="s">
        <v>778</v>
      </c>
      <c r="F50" s="7" t="s">
        <v>19</v>
      </c>
      <c r="G50" s="7">
        <v>275.738</v>
      </c>
      <c r="H50" s="7" t="s">
        <v>17</v>
      </c>
      <c r="I50" s="7" t="s">
        <v>17</v>
      </c>
      <c r="J50" s="7" t="s">
        <v>779</v>
      </c>
    </row>
    <row r="51" spans="1:10" x14ac:dyDescent="0.25" outlineLevel="2" collapsed="1">
      <c r="A51" s="7" t="s">
        <v>15</v>
      </c>
      <c r="B51" s="7" t="s">
        <v>63</v>
      </c>
      <c r="C51" s="7" t="s">
        <v>17</v>
      </c>
      <c r="D51" s="7"/>
      <c r="E51" s="7" t="s">
        <v>780</v>
      </c>
      <c r="F51" s="7" t="s">
        <v>19</v>
      </c>
      <c r="G51" s="7">
        <v>0</v>
      </c>
      <c r="H51" s="7" t="s">
        <v>17</v>
      </c>
      <c r="I51" s="7" t="s">
        <v>17</v>
      </c>
      <c r="J51" s="7" t="s">
        <v>781</v>
      </c>
    </row>
    <row r="52" spans="1:10" x14ac:dyDescent="0.25" outlineLevel="2" collapsed="1">
      <c r="A52" s="7" t="s">
        <v>19</v>
      </c>
      <c r="B52" s="7" t="s">
        <v>16</v>
      </c>
      <c r="C52" s="7" t="s">
        <v>17</v>
      </c>
      <c r="D52" s="7"/>
      <c r="E52" s="7" t="s">
        <v>782</v>
      </c>
      <c r="F52" s="7" t="s">
        <v>19</v>
      </c>
      <c r="G52" s="7" t="s">
        <v>31</v>
      </c>
      <c r="H52" s="7" t="s">
        <v>17</v>
      </c>
      <c r="I52" s="7" t="s">
        <v>17</v>
      </c>
      <c r="J52" s="7" t="s">
        <v>783</v>
      </c>
    </row>
  </sheetData>
  <mergeCells count="3">
    <mergeCell ref="A1:J1"/>
    <mergeCell ref="B2:J2"/>
    <mergeCell ref="B3:J3"/>
  </mergeCells>
  <hyperlinks>
    <hyperlink ref="B5" r:id="rId1" location="#'5.1 Verification Conclusion Su'!A1"/>
    <hyperlink ref="B12" r:id="rId2" location="#'5.2 Conclusion on Achieved Red'!A1"/>
    <hyperlink ref="B15" r:id="rId3" location="#'Achieved reductions by vintage'!A1"/>
    <hyperlink ref="B26" r:id="rId4" location="#'Buffer pool allocation by vint'!A1"/>
    <hyperlink ref="B38" r:id="rId5" location="#'Vintage summary row'!A1"/>
    <hyperlink ref="B45" r:id="rId6" location="#'5.3 Ex-Ante vs Ex-Post Compari'!A1"/>
    <hyperlink ref="B46" r:id="rId7" location="#'Ex-ante vs ex-post row'!A1"/>
  </hyperlinks>
  <pageMargins left="0.7" right="0.7" top="0.75" bottom="0.75" header="0.3" footer="0.3"/>
  <pageSetup orientation="portrait" horizontalDpi="4294967295" verticalDpi="4294967295" scale="100" fitToWidth="1" fitToHeight="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3673</v>
      </c>
      <c r="B1" s="1"/>
      <c r="C1" s="1"/>
      <c r="D1" s="1"/>
      <c r="E1" s="1"/>
      <c r="F1" s="1"/>
      <c r="G1" s="1"/>
      <c r="H1" s="1"/>
      <c r="I1" s="1"/>
      <c r="J1" s="1"/>
    </row>
    <row r="2" spans="1:10" x14ac:dyDescent="0.25">
      <c r="A2" s="2" t="s">
        <v>1</v>
      </c>
      <c r="B2" s="3" t="s">
        <v>1048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794</v>
      </c>
      <c r="F5" s="5" t="s">
        <v>19</v>
      </c>
      <c r="G5" s="5" t="s">
        <v>795</v>
      </c>
      <c r="H5" s="5" t="s">
        <v>17</v>
      </c>
      <c r="I5" s="5" t="s">
        <v>17</v>
      </c>
      <c r="J5" s="5" t="s">
        <v>796</v>
      </c>
    </row>
    <row r="6" spans="1:10" x14ac:dyDescent="0.25">
      <c r="A6" s="5" t="s">
        <v>19</v>
      </c>
      <c r="B6" s="5" t="s">
        <v>16</v>
      </c>
      <c r="C6" s="5" t="s">
        <v>17</v>
      </c>
      <c r="D6" s="5"/>
      <c r="E6" s="5" t="s">
        <v>797</v>
      </c>
      <c r="F6" s="5" t="s">
        <v>19</v>
      </c>
      <c r="G6" s="5" t="s">
        <v>31</v>
      </c>
      <c r="H6" s="5" t="s">
        <v>17</v>
      </c>
      <c r="I6" s="5" t="s">
        <v>17</v>
      </c>
      <c r="J6" s="5" t="s">
        <v>798</v>
      </c>
    </row>
    <row r="7" spans="1:10" x14ac:dyDescent="0.25">
      <c r="A7" s="5" t="s">
        <v>19</v>
      </c>
      <c r="B7" s="5" t="s">
        <v>16</v>
      </c>
      <c r="C7" s="5" t="s">
        <v>17</v>
      </c>
      <c r="D7" s="5"/>
      <c r="E7" s="5" t="s">
        <v>799</v>
      </c>
      <c r="F7" s="5" t="s">
        <v>19</v>
      </c>
      <c r="G7" s="5" t="s">
        <v>31</v>
      </c>
      <c r="H7" s="5" t="s">
        <v>17</v>
      </c>
      <c r="I7" s="5" t="s">
        <v>17</v>
      </c>
      <c r="J7" s="5" t="s">
        <v>800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3674</v>
      </c>
      <c r="B1" s="1"/>
      <c r="C1" s="1"/>
      <c r="D1" s="1"/>
      <c r="E1" s="1"/>
      <c r="F1" s="1"/>
      <c r="G1" s="1"/>
      <c r="H1" s="1"/>
      <c r="I1" s="1"/>
      <c r="J1" s="1"/>
    </row>
    <row r="2" spans="1:10" x14ac:dyDescent="0.25">
      <c r="A2" s="2" t="s">
        <v>1</v>
      </c>
      <c r="B2" s="3" t="s">
        <v>3675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804</v>
      </c>
      <c r="F5" s="5" t="s">
        <v>19</v>
      </c>
      <c r="G5" s="5" t="s">
        <v>475</v>
      </c>
      <c r="H5" s="5" t="s">
        <v>17</v>
      </c>
      <c r="I5" s="5" t="s">
        <v>17</v>
      </c>
      <c r="J5" s="5" t="s">
        <v>805</v>
      </c>
    </row>
    <row r="6" spans="1:10" x14ac:dyDescent="0.25">
      <c r="A6" s="5" t="s">
        <v>19</v>
      </c>
      <c r="B6" s="5" t="s">
        <v>291</v>
      </c>
      <c r="C6" s="5" t="s">
        <v>17</v>
      </c>
      <c r="D6" s="5"/>
      <c r="E6" s="5" t="s">
        <v>806</v>
      </c>
      <c r="F6" s="5" t="s">
        <v>19</v>
      </c>
      <c r="G6" s="5" t="s">
        <v>293</v>
      </c>
      <c r="H6" s="5" t="s">
        <v>17</v>
      </c>
      <c r="I6" s="5" t="s">
        <v>17</v>
      </c>
      <c r="J6" s="5" t="s">
        <v>807</v>
      </c>
    </row>
    <row r="7" spans="1:10" x14ac:dyDescent="0.25">
      <c r="A7" s="5" t="s">
        <v>19</v>
      </c>
      <c r="B7" s="5" t="s">
        <v>16</v>
      </c>
      <c r="C7" s="5" t="s">
        <v>17</v>
      </c>
      <c r="D7" s="5"/>
      <c r="E7" s="5" t="s">
        <v>808</v>
      </c>
      <c r="F7" s="5" t="s">
        <v>19</v>
      </c>
      <c r="G7" s="5" t="s">
        <v>809</v>
      </c>
      <c r="H7" s="5" t="s">
        <v>17</v>
      </c>
      <c r="I7" s="5" t="s">
        <v>17</v>
      </c>
      <c r="J7" s="5" t="s">
        <v>810</v>
      </c>
    </row>
    <row r="8" spans="1:10" x14ac:dyDescent="0.25">
      <c r="A8" s="5" t="s">
        <v>15</v>
      </c>
      <c r="B8" s="5" t="s">
        <v>284</v>
      </c>
      <c r="C8" s="10" t="s">
        <v>811</v>
      </c>
      <c r="D8" s="5"/>
      <c r="E8" s="5" t="s">
        <v>812</v>
      </c>
      <c r="F8" s="5" t="s">
        <v>19</v>
      </c>
      <c r="G8" s="5" t="s">
        <v>479</v>
      </c>
      <c r="H8" s="5" t="s">
        <v>17</v>
      </c>
      <c r="I8" s="5" t="s">
        <v>17</v>
      </c>
      <c r="J8" s="5" t="s">
        <v>480</v>
      </c>
    </row>
    <row r="9" spans="1:10" x14ac:dyDescent="0.25">
      <c r="A9" s="5" t="s">
        <v>19</v>
      </c>
      <c r="B9" s="5" t="s">
        <v>16</v>
      </c>
      <c r="C9" s="5" t="s">
        <v>17</v>
      </c>
      <c r="D9" s="5"/>
      <c r="E9" s="5" t="s">
        <v>813</v>
      </c>
      <c r="F9" s="5" t="s">
        <v>19</v>
      </c>
      <c r="G9" s="5" t="s">
        <v>482</v>
      </c>
      <c r="H9" s="5" t="s">
        <v>17</v>
      </c>
      <c r="I9" s="5" t="s">
        <v>17</v>
      </c>
      <c r="J9" s="5" t="s">
        <v>814</v>
      </c>
    </row>
    <row r="10" spans="1:10" x14ac:dyDescent="0.25">
      <c r="A10" s="5" t="s">
        <v>19</v>
      </c>
      <c r="B10" s="5" t="s">
        <v>16</v>
      </c>
      <c r="C10" s="5" t="s">
        <v>17</v>
      </c>
      <c r="D10" s="5"/>
      <c r="E10" s="5" t="s">
        <v>815</v>
      </c>
      <c r="F10" s="5" t="s">
        <v>19</v>
      </c>
      <c r="G10" s="5" t="s">
        <v>31</v>
      </c>
      <c r="H10" s="5" t="s">
        <v>17</v>
      </c>
      <c r="I10" s="5" t="s">
        <v>17</v>
      </c>
      <c r="J10" s="5" t="s">
        <v>816</v>
      </c>
    </row>
    <row r="11" spans="1:10" x14ac:dyDescent="0.25">
      <c r="A11" s="5" t="s">
        <v>19</v>
      </c>
      <c r="B11" s="5" t="s">
        <v>16</v>
      </c>
      <c r="C11" s="5" t="s">
        <v>17</v>
      </c>
      <c r="D11" s="5"/>
      <c r="E11" s="5" t="s">
        <v>817</v>
      </c>
      <c r="F11" s="5" t="s">
        <v>19</v>
      </c>
      <c r="G11" s="5" t="s">
        <v>31</v>
      </c>
      <c r="H11" s="5" t="s">
        <v>17</v>
      </c>
      <c r="I11" s="5" t="s">
        <v>17</v>
      </c>
      <c r="J11" s="5" t="s">
        <v>818</v>
      </c>
    </row>
  </sheetData>
  <mergeCells count="3">
    <mergeCell ref="A1:J1"/>
    <mergeCell ref="B2:J2"/>
    <mergeCell ref="B3:J3"/>
  </mergeCells>
  <dataValidations count="1">
    <dataValidation type="list" allowBlank="1" sqref="G8:I8">
      <formula1>'Enums'!C790:C792</formula1>
    </dataValidation>
  </dataValidations>
  <pageMargins left="0.7" right="0.7" top="0.75" bottom="0.75" header="0.3" footer="0.3"/>
  <pageSetup orientation="portrait" horizontalDpi="4294967295" verticalDpi="4294967295" scale="100" fitToWidth="1" fitToHeight="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3676</v>
      </c>
      <c r="B1" s="1"/>
      <c r="C1" s="1"/>
      <c r="D1" s="1"/>
      <c r="E1" s="1"/>
      <c r="F1" s="1"/>
      <c r="G1" s="1"/>
      <c r="H1" s="1"/>
      <c r="I1" s="1"/>
      <c r="J1" s="1"/>
    </row>
    <row r="2" spans="1:10" x14ac:dyDescent="0.25">
      <c r="A2" s="2" t="s">
        <v>1</v>
      </c>
      <c r="B2" s="3" t="s">
        <v>3677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822</v>
      </c>
      <c r="F5" s="5" t="s">
        <v>19</v>
      </c>
      <c r="G5" s="5" t="s">
        <v>823</v>
      </c>
      <c r="H5" s="5" t="s">
        <v>17</v>
      </c>
      <c r="I5" s="5" t="s">
        <v>17</v>
      </c>
      <c r="J5" s="5" t="s">
        <v>824</v>
      </c>
    </row>
    <row r="6" spans="1:10" x14ac:dyDescent="0.25">
      <c r="A6" s="5" t="s">
        <v>15</v>
      </c>
      <c r="B6" s="5" t="s">
        <v>16</v>
      </c>
      <c r="C6" s="5" t="s">
        <v>17</v>
      </c>
      <c r="D6" s="5"/>
      <c r="E6" s="5" t="s">
        <v>825</v>
      </c>
      <c r="F6" s="5" t="s">
        <v>19</v>
      </c>
      <c r="G6" s="5" t="s">
        <v>826</v>
      </c>
      <c r="H6" s="5" t="s">
        <v>17</v>
      </c>
      <c r="I6" s="5" t="s">
        <v>17</v>
      </c>
      <c r="J6" s="5" t="s">
        <v>827</v>
      </c>
    </row>
    <row r="7" spans="1:10" x14ac:dyDescent="0.25">
      <c r="A7" s="5" t="s">
        <v>15</v>
      </c>
      <c r="B7" s="5" t="s">
        <v>16</v>
      </c>
      <c r="C7" s="5" t="s">
        <v>17</v>
      </c>
      <c r="D7" s="5"/>
      <c r="E7" s="5" t="s">
        <v>828</v>
      </c>
      <c r="F7" s="5" t="s">
        <v>19</v>
      </c>
      <c r="G7" s="5" t="s">
        <v>829</v>
      </c>
      <c r="H7" s="5" t="s">
        <v>17</v>
      </c>
      <c r="I7" s="5" t="s">
        <v>17</v>
      </c>
      <c r="J7" s="5" t="s">
        <v>830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2961</v>
      </c>
      <c r="B1" s="1"/>
      <c r="C1" s="1"/>
      <c r="D1" s="1"/>
      <c r="E1" s="1"/>
      <c r="F1" s="1"/>
      <c r="G1" s="1"/>
      <c r="H1" s="1"/>
      <c r="I1" s="1"/>
      <c r="J1" s="1"/>
    </row>
    <row r="2" spans="1:10" x14ac:dyDescent="0.25">
      <c r="A2" s="2" t="s">
        <v>1</v>
      </c>
      <c r="B2" s="3" t="s">
        <v>3678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2962</v>
      </c>
      <c r="F5" s="5" t="s">
        <v>19</v>
      </c>
      <c r="G5" s="5" t="s">
        <v>2963</v>
      </c>
      <c r="H5" s="5" t="s">
        <v>17</v>
      </c>
      <c r="I5" s="5" t="s">
        <v>17</v>
      </c>
      <c r="J5" s="5" t="s">
        <v>330</v>
      </c>
    </row>
    <row r="6" spans="1:10" x14ac:dyDescent="0.25">
      <c r="A6" s="5" t="s">
        <v>15</v>
      </c>
      <c r="B6" s="5" t="s">
        <v>16</v>
      </c>
      <c r="C6" s="5" t="s">
        <v>17</v>
      </c>
      <c r="D6" s="5"/>
      <c r="E6" s="5" t="s">
        <v>9</v>
      </c>
      <c r="F6" s="5" t="s">
        <v>19</v>
      </c>
      <c r="G6" s="5" t="s">
        <v>2964</v>
      </c>
      <c r="H6" s="5" t="s">
        <v>17</v>
      </c>
      <c r="I6" s="5" t="s">
        <v>17</v>
      </c>
      <c r="J6" s="5" t="s">
        <v>333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3679</v>
      </c>
      <c r="B1" s="1"/>
      <c r="C1" s="1"/>
      <c r="D1" s="1"/>
      <c r="E1" s="1"/>
      <c r="F1" s="1"/>
      <c r="G1" s="1"/>
      <c r="H1" s="1"/>
      <c r="I1" s="1"/>
      <c r="J1" s="1"/>
    </row>
    <row r="2" spans="1:10" x14ac:dyDescent="0.25">
      <c r="A2" s="2" t="s">
        <v>1</v>
      </c>
      <c r="B2" s="3" t="s">
        <v>3680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2968</v>
      </c>
      <c r="F5" s="5" t="s">
        <v>19</v>
      </c>
      <c r="G5" s="5" t="s">
        <v>2969</v>
      </c>
      <c r="H5" s="5" t="s">
        <v>17</v>
      </c>
      <c r="I5" s="5" t="s">
        <v>17</v>
      </c>
      <c r="J5" s="5" t="s">
        <v>342</v>
      </c>
    </row>
    <row r="6" spans="1:10" x14ac:dyDescent="0.25">
      <c r="A6" s="5" t="s">
        <v>15</v>
      </c>
      <c r="B6" s="5" t="s">
        <v>16</v>
      </c>
      <c r="C6" s="5" t="s">
        <v>17</v>
      </c>
      <c r="D6" s="5"/>
      <c r="E6" s="5" t="s">
        <v>2970</v>
      </c>
      <c r="F6" s="5" t="s">
        <v>19</v>
      </c>
      <c r="G6" s="5" t="s">
        <v>344</v>
      </c>
      <c r="H6" s="5" t="s">
        <v>17</v>
      </c>
      <c r="I6" s="5" t="s">
        <v>17</v>
      </c>
      <c r="J6" s="5" t="s">
        <v>345</v>
      </c>
    </row>
    <row r="7" spans="1:10" x14ac:dyDescent="0.25">
      <c r="A7" s="5" t="s">
        <v>15</v>
      </c>
      <c r="B7" s="5" t="s">
        <v>16</v>
      </c>
      <c r="C7" s="5" t="s">
        <v>17</v>
      </c>
      <c r="D7" s="5"/>
      <c r="E7" s="5" t="s">
        <v>2971</v>
      </c>
      <c r="F7" s="5" t="s">
        <v>19</v>
      </c>
      <c r="G7" s="5" t="s">
        <v>2972</v>
      </c>
      <c r="H7" s="5" t="s">
        <v>17</v>
      </c>
      <c r="I7" s="5" t="s">
        <v>17</v>
      </c>
      <c r="J7" s="5" t="s">
        <v>2973</v>
      </c>
    </row>
    <row r="8" spans="1:10" x14ac:dyDescent="0.25">
      <c r="A8" s="5" t="s">
        <v>15</v>
      </c>
      <c r="B8" s="5" t="s">
        <v>16</v>
      </c>
      <c r="C8" s="5" t="s">
        <v>17</v>
      </c>
      <c r="D8" s="5"/>
      <c r="E8" s="5" t="s">
        <v>353</v>
      </c>
      <c r="F8" s="5" t="s">
        <v>19</v>
      </c>
      <c r="G8" s="5" t="s">
        <v>2974</v>
      </c>
      <c r="H8" s="5" t="s">
        <v>17</v>
      </c>
      <c r="I8" s="5" t="s">
        <v>17</v>
      </c>
      <c r="J8" s="5" t="s">
        <v>355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3681</v>
      </c>
      <c r="B1" s="1"/>
      <c r="C1" s="1"/>
      <c r="D1" s="1"/>
      <c r="E1" s="1"/>
      <c r="F1" s="1"/>
      <c r="G1" s="1"/>
      <c r="H1" s="1"/>
      <c r="I1" s="1"/>
      <c r="J1" s="1"/>
    </row>
    <row r="2" spans="1:10" x14ac:dyDescent="0.25">
      <c r="A2" s="2" t="s">
        <v>1</v>
      </c>
      <c r="B2" s="3" t="s">
        <v>3682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367</v>
      </c>
      <c r="F5" s="5" t="s">
        <v>19</v>
      </c>
      <c r="G5" s="5" t="s">
        <v>368</v>
      </c>
      <c r="H5" s="5" t="s">
        <v>17</v>
      </c>
      <c r="I5" s="5" t="s">
        <v>17</v>
      </c>
      <c r="J5" s="5" t="s">
        <v>369</v>
      </c>
    </row>
    <row r="6" spans="1:10" x14ac:dyDescent="0.25">
      <c r="A6" s="5" t="s">
        <v>15</v>
      </c>
      <c r="B6" s="5" t="s">
        <v>291</v>
      </c>
      <c r="C6" s="5" t="s">
        <v>17</v>
      </c>
      <c r="D6" s="5"/>
      <c r="E6" s="5" t="s">
        <v>370</v>
      </c>
      <c r="F6" s="5" t="s">
        <v>19</v>
      </c>
      <c r="G6" s="5" t="s">
        <v>293</v>
      </c>
      <c r="H6" s="5" t="s">
        <v>17</v>
      </c>
      <c r="I6" s="5" t="s">
        <v>17</v>
      </c>
      <c r="J6" s="5" t="s">
        <v>371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3683</v>
      </c>
      <c r="B1" s="1"/>
      <c r="C1" s="1"/>
      <c r="D1" s="1"/>
      <c r="E1" s="1"/>
      <c r="F1" s="1"/>
      <c r="G1" s="1"/>
      <c r="H1" s="1"/>
      <c r="I1" s="1"/>
      <c r="J1" s="1"/>
    </row>
    <row r="2" spans="1:10" x14ac:dyDescent="0.25">
      <c r="A2" s="2" t="s">
        <v>1</v>
      </c>
      <c r="B2" s="3" t="s">
        <v>3684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360</v>
      </c>
      <c r="F5" s="5" t="s">
        <v>19</v>
      </c>
      <c r="G5" s="5" t="s">
        <v>2979</v>
      </c>
      <c r="H5" s="5" t="s">
        <v>17</v>
      </c>
      <c r="I5" s="5" t="s">
        <v>17</v>
      </c>
      <c r="J5" s="5" t="s">
        <v>361</v>
      </c>
    </row>
    <row r="6" spans="1:10" x14ac:dyDescent="0.25">
      <c r="A6" s="5" t="s">
        <v>19</v>
      </c>
      <c r="B6" s="6" t="s">
        <v>364</v>
      </c>
      <c r="C6" s="5" t="s">
        <v>17</v>
      </c>
      <c r="D6" s="5"/>
      <c r="E6" s="5" t="s">
        <v>2980</v>
      </c>
      <c r="F6" s="5" t="s">
        <v>15</v>
      </c>
      <c r="G6" s="5" t="s">
        <v>17</v>
      </c>
      <c r="H6" s="5" t="s">
        <v>17</v>
      </c>
      <c r="I6" s="5" t="s">
        <v>17</v>
      </c>
      <c r="J6" s="5" t="s">
        <v>366</v>
      </c>
    </row>
    <row r="7" spans="1:10" x14ac:dyDescent="0.25" outlineLevel="1" collapsed="1">
      <c r="A7" s="7" t="s">
        <v>15</v>
      </c>
      <c r="B7" s="7" t="s">
        <v>16</v>
      </c>
      <c r="C7" s="7" t="s">
        <v>17</v>
      </c>
      <c r="D7" s="7"/>
      <c r="E7" s="7" t="s">
        <v>367</v>
      </c>
      <c r="F7" s="7" t="s">
        <v>19</v>
      </c>
      <c r="G7" s="7" t="s">
        <v>368</v>
      </c>
      <c r="H7" s="7" t="s">
        <v>17</v>
      </c>
      <c r="I7" s="7" t="s">
        <v>17</v>
      </c>
      <c r="J7" s="7" t="s">
        <v>369</v>
      </c>
    </row>
    <row r="8" spans="1:10" x14ac:dyDescent="0.25" outlineLevel="1" collapsed="1">
      <c r="A8" s="7" t="s">
        <v>15</v>
      </c>
      <c r="B8" s="7" t="s">
        <v>291</v>
      </c>
      <c r="C8" s="7" t="s">
        <v>17</v>
      </c>
      <c r="D8" s="7"/>
      <c r="E8" s="7" t="s">
        <v>370</v>
      </c>
      <c r="F8" s="7" t="s">
        <v>19</v>
      </c>
      <c r="G8" s="7" t="s">
        <v>293</v>
      </c>
      <c r="H8" s="7" t="s">
        <v>17</v>
      </c>
      <c r="I8" s="7" t="s">
        <v>17</v>
      </c>
      <c r="J8" s="7" t="s">
        <v>371</v>
      </c>
    </row>
  </sheetData>
  <mergeCells count="3">
    <mergeCell ref="A1:J1"/>
    <mergeCell ref="B2:J2"/>
    <mergeCell ref="B3:J3"/>
  </mergeCells>
  <hyperlinks>
    <hyperlink ref="B6" r:id="rId1" location="#'Schedule milestone (Validation'!A1"/>
  </hyperlinks>
  <pageMargins left="0.7" right="0.7" top="0.75" bottom="0.75" header="0.3" footer="0.3"/>
  <pageSetup orientation="portrait" horizontalDpi="4294967295" verticalDpi="4294967295" scale="100" fitToWidth="1" fitToHeight="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3685</v>
      </c>
      <c r="B1" s="1"/>
      <c r="C1" s="1"/>
      <c r="D1" s="1"/>
      <c r="E1" s="1"/>
      <c r="F1" s="1"/>
      <c r="G1" s="1"/>
      <c r="H1" s="1"/>
      <c r="I1" s="1"/>
      <c r="J1" s="1"/>
    </row>
    <row r="2" spans="1:10" x14ac:dyDescent="0.25">
      <c r="A2" s="2" t="s">
        <v>1</v>
      </c>
      <c r="B2" s="3" t="s">
        <v>3686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378</v>
      </c>
      <c r="F5" s="5" t="s">
        <v>19</v>
      </c>
      <c r="G5" s="5" t="s">
        <v>293</v>
      </c>
      <c r="H5" s="5" t="s">
        <v>17</v>
      </c>
      <c r="I5" s="5" t="s">
        <v>17</v>
      </c>
      <c r="J5" s="5" t="s">
        <v>379</v>
      </c>
    </row>
    <row r="6" spans="1:10" x14ac:dyDescent="0.25">
      <c r="A6" s="5" t="s">
        <v>15</v>
      </c>
      <c r="B6" s="5" t="s">
        <v>291</v>
      </c>
      <c r="C6" s="5" t="s">
        <v>17</v>
      </c>
      <c r="D6" s="5"/>
      <c r="E6" s="5" t="s">
        <v>380</v>
      </c>
      <c r="F6" s="5" t="s">
        <v>19</v>
      </c>
      <c r="G6" s="5" t="s">
        <v>293</v>
      </c>
      <c r="H6" s="5" t="s">
        <v>17</v>
      </c>
      <c r="I6" s="5" t="s">
        <v>17</v>
      </c>
      <c r="J6" s="5" t="s">
        <v>381</v>
      </c>
    </row>
    <row r="7" spans="1:10" x14ac:dyDescent="0.25">
      <c r="A7" s="5" t="s">
        <v>15</v>
      </c>
      <c r="B7" s="5" t="s">
        <v>63</v>
      </c>
      <c r="C7" s="5" t="s">
        <v>17</v>
      </c>
      <c r="D7" s="5"/>
      <c r="E7" s="5" t="s">
        <v>382</v>
      </c>
      <c r="F7" s="5" t="s">
        <v>19</v>
      </c>
      <c r="G7" s="5">
        <v>5</v>
      </c>
      <c r="H7" s="5" t="s">
        <v>17</v>
      </c>
      <c r="I7" s="5" t="s">
        <v>17</v>
      </c>
      <c r="J7" s="5" t="s">
        <v>383</v>
      </c>
    </row>
    <row r="8" spans="1:10" x14ac:dyDescent="0.25">
      <c r="A8" s="5" t="s">
        <v>15</v>
      </c>
      <c r="B8" s="5" t="s">
        <v>16</v>
      </c>
      <c r="C8" s="5" t="s">
        <v>17</v>
      </c>
      <c r="D8" s="5"/>
      <c r="E8" s="5" t="s">
        <v>384</v>
      </c>
      <c r="F8" s="5" t="s">
        <v>19</v>
      </c>
      <c r="G8" s="5" t="s">
        <v>385</v>
      </c>
      <c r="H8" s="5" t="s">
        <v>17</v>
      </c>
      <c r="I8" s="5" t="s">
        <v>17</v>
      </c>
      <c r="J8" s="5" t="s">
        <v>386</v>
      </c>
    </row>
    <row r="9" spans="1:10" x14ac:dyDescent="0.25">
      <c r="A9" s="5" t="s">
        <v>15</v>
      </c>
      <c r="B9" s="5" t="s">
        <v>16</v>
      </c>
      <c r="C9" s="5" t="s">
        <v>17</v>
      </c>
      <c r="D9" s="5"/>
      <c r="E9" s="5" t="s">
        <v>387</v>
      </c>
      <c r="F9" s="5" t="s">
        <v>19</v>
      </c>
      <c r="G9" s="5" t="s">
        <v>388</v>
      </c>
      <c r="H9" s="5" t="s">
        <v>17</v>
      </c>
      <c r="I9" s="5" t="s">
        <v>17</v>
      </c>
      <c r="J9" s="5" t="s">
        <v>389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3687</v>
      </c>
      <c r="B1" s="1"/>
      <c r="C1" s="1"/>
      <c r="D1" s="1"/>
      <c r="E1" s="1"/>
      <c r="F1" s="1"/>
      <c r="G1" s="1"/>
      <c r="H1" s="1"/>
      <c r="I1" s="1"/>
      <c r="J1" s="1"/>
    </row>
    <row r="2" spans="1:10" x14ac:dyDescent="0.25">
      <c r="A2" s="2" t="s">
        <v>1</v>
      </c>
      <c r="B2" s="3" t="s">
        <v>391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5" t="s">
        <v>16</v>
      </c>
      <c r="C7" s="5" t="s">
        <v>17</v>
      </c>
      <c r="D7" s="5"/>
      <c r="E7" s="5" t="s">
        <v>399</v>
      </c>
      <c r="F7" s="5" t="s">
        <v>19</v>
      </c>
      <c r="G7" s="5" t="s">
        <v>400</v>
      </c>
      <c r="H7" s="5" t="s">
        <v>17</v>
      </c>
      <c r="I7" s="5" t="s">
        <v>17</v>
      </c>
      <c r="J7" s="5" t="s">
        <v>401</v>
      </c>
    </row>
    <row r="8" spans="1:10" x14ac:dyDescent="0.25">
      <c r="A8" s="5" t="s">
        <v>19</v>
      </c>
      <c r="B8" s="5" t="s">
        <v>291</v>
      </c>
      <c r="C8" s="5" t="s">
        <v>17</v>
      </c>
      <c r="D8" s="5"/>
      <c r="E8" s="5" t="s">
        <v>402</v>
      </c>
      <c r="F8" s="5" t="s">
        <v>19</v>
      </c>
      <c r="G8" s="5" t="s">
        <v>293</v>
      </c>
      <c r="H8" s="5" t="s">
        <v>17</v>
      </c>
      <c r="I8" s="5" t="s">
        <v>17</v>
      </c>
      <c r="J8" s="5" t="s">
        <v>403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3688</v>
      </c>
      <c r="B1" s="1"/>
      <c r="C1" s="1"/>
      <c r="D1" s="1"/>
      <c r="E1" s="1"/>
      <c r="F1" s="1"/>
      <c r="G1" s="1"/>
      <c r="H1" s="1"/>
      <c r="I1" s="1"/>
      <c r="J1" s="1"/>
    </row>
    <row r="2" spans="1:10" x14ac:dyDescent="0.25">
      <c r="A2" s="2" t="s">
        <v>1</v>
      </c>
      <c r="B2" s="3" t="s">
        <v>3606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375</v>
      </c>
      <c r="C5" s="5" t="s">
        <v>17</v>
      </c>
      <c r="D5" s="5"/>
      <c r="E5" s="5" t="s">
        <v>376</v>
      </c>
      <c r="F5" s="5" t="s">
        <v>19</v>
      </c>
      <c r="G5" s="5" t="s">
        <v>17</v>
      </c>
      <c r="H5" s="5" t="s">
        <v>17</v>
      </c>
      <c r="I5" s="5" t="s">
        <v>17</v>
      </c>
      <c r="J5" s="5" t="s">
        <v>377</v>
      </c>
    </row>
    <row r="6" spans="1:10" x14ac:dyDescent="0.25" outlineLevel="1" collapsed="1">
      <c r="A6" s="7" t="s">
        <v>15</v>
      </c>
      <c r="B6" s="7" t="s">
        <v>291</v>
      </c>
      <c r="C6" s="7" t="s">
        <v>17</v>
      </c>
      <c r="D6" s="7"/>
      <c r="E6" s="7" t="s">
        <v>378</v>
      </c>
      <c r="F6" s="7" t="s">
        <v>19</v>
      </c>
      <c r="G6" s="7" t="s">
        <v>293</v>
      </c>
      <c r="H6" s="7" t="s">
        <v>17</v>
      </c>
      <c r="I6" s="7" t="s">
        <v>17</v>
      </c>
      <c r="J6" s="7" t="s">
        <v>379</v>
      </c>
    </row>
    <row r="7" spans="1:10" x14ac:dyDescent="0.25" outlineLevel="1" collapsed="1">
      <c r="A7" s="7" t="s">
        <v>15</v>
      </c>
      <c r="B7" s="7" t="s">
        <v>291</v>
      </c>
      <c r="C7" s="7" t="s">
        <v>17</v>
      </c>
      <c r="D7" s="7"/>
      <c r="E7" s="7" t="s">
        <v>380</v>
      </c>
      <c r="F7" s="7" t="s">
        <v>19</v>
      </c>
      <c r="G7" s="7" t="s">
        <v>293</v>
      </c>
      <c r="H7" s="7" t="s">
        <v>17</v>
      </c>
      <c r="I7" s="7" t="s">
        <v>17</v>
      </c>
      <c r="J7" s="7" t="s">
        <v>381</v>
      </c>
    </row>
    <row r="8" spans="1:10" x14ac:dyDescent="0.25" outlineLevel="1" collapsed="1">
      <c r="A8" s="7" t="s">
        <v>15</v>
      </c>
      <c r="B8" s="7" t="s">
        <v>63</v>
      </c>
      <c r="C8" s="7" t="s">
        <v>17</v>
      </c>
      <c r="D8" s="7"/>
      <c r="E8" s="7" t="s">
        <v>382</v>
      </c>
      <c r="F8" s="7" t="s">
        <v>19</v>
      </c>
      <c r="G8" s="7">
        <v>5</v>
      </c>
      <c r="H8" s="7" t="s">
        <v>17</v>
      </c>
      <c r="I8" s="7" t="s">
        <v>17</v>
      </c>
      <c r="J8" s="7" t="s">
        <v>383</v>
      </c>
    </row>
    <row r="9" spans="1:10" x14ac:dyDescent="0.25" outlineLevel="1" collapsed="1">
      <c r="A9" s="7" t="s">
        <v>15</v>
      </c>
      <c r="B9" s="7" t="s">
        <v>16</v>
      </c>
      <c r="C9" s="7" t="s">
        <v>17</v>
      </c>
      <c r="D9" s="7"/>
      <c r="E9" s="7" t="s">
        <v>384</v>
      </c>
      <c r="F9" s="7" t="s">
        <v>19</v>
      </c>
      <c r="G9" s="7" t="s">
        <v>385</v>
      </c>
      <c r="H9" s="7" t="s">
        <v>17</v>
      </c>
      <c r="I9" s="7" t="s">
        <v>17</v>
      </c>
      <c r="J9" s="7" t="s">
        <v>386</v>
      </c>
    </row>
    <row r="10" spans="1:10" x14ac:dyDescent="0.25" outlineLevel="1" collapsed="1">
      <c r="A10" s="7" t="s">
        <v>15</v>
      </c>
      <c r="B10" s="7" t="s">
        <v>16</v>
      </c>
      <c r="C10" s="7" t="s">
        <v>17</v>
      </c>
      <c r="D10" s="7"/>
      <c r="E10" s="7" t="s">
        <v>387</v>
      </c>
      <c r="F10" s="7" t="s">
        <v>19</v>
      </c>
      <c r="G10" s="7" t="s">
        <v>388</v>
      </c>
      <c r="H10" s="7" t="s">
        <v>17</v>
      </c>
      <c r="I10" s="7" t="s">
        <v>17</v>
      </c>
      <c r="J10" s="7" t="s">
        <v>389</v>
      </c>
    </row>
    <row r="11" spans="1:10" x14ac:dyDescent="0.25">
      <c r="A11" s="5" t="s">
        <v>19</v>
      </c>
      <c r="B11" s="6" t="s">
        <v>390</v>
      </c>
      <c r="C11" s="5" t="s">
        <v>17</v>
      </c>
      <c r="D11" s="5"/>
      <c r="E11" s="5" t="s">
        <v>391</v>
      </c>
      <c r="F11" s="5" t="s">
        <v>15</v>
      </c>
      <c r="G11" s="5" t="s">
        <v>17</v>
      </c>
      <c r="H11" s="5" t="s">
        <v>17</v>
      </c>
      <c r="I11" s="5" t="s">
        <v>17</v>
      </c>
      <c r="J11" s="5" t="s">
        <v>392</v>
      </c>
    </row>
    <row r="12" spans="1:10" x14ac:dyDescent="0.25" outlineLevel="1" collapsed="1">
      <c r="A12" s="7" t="s">
        <v>15</v>
      </c>
      <c r="B12" s="7" t="s">
        <v>16</v>
      </c>
      <c r="C12" s="7" t="s">
        <v>17</v>
      </c>
      <c r="D12" s="7"/>
      <c r="E12" s="7" t="s">
        <v>393</v>
      </c>
      <c r="F12" s="7" t="s">
        <v>19</v>
      </c>
      <c r="G12" s="7" t="s">
        <v>394</v>
      </c>
      <c r="H12" s="7" t="s">
        <v>17</v>
      </c>
      <c r="I12" s="7" t="s">
        <v>17</v>
      </c>
      <c r="J12" s="7" t="s">
        <v>395</v>
      </c>
    </row>
    <row r="13" spans="1:10" x14ac:dyDescent="0.25" outlineLevel="1" collapsed="1">
      <c r="A13" s="7" t="s">
        <v>15</v>
      </c>
      <c r="B13" s="7" t="s">
        <v>16</v>
      </c>
      <c r="C13" s="7" t="s">
        <v>17</v>
      </c>
      <c r="D13" s="7"/>
      <c r="E13" s="7" t="s">
        <v>396</v>
      </c>
      <c r="F13" s="7" t="s">
        <v>19</v>
      </c>
      <c r="G13" s="7" t="s">
        <v>397</v>
      </c>
      <c r="H13" s="7" t="s">
        <v>17</v>
      </c>
      <c r="I13" s="7" t="s">
        <v>17</v>
      </c>
      <c r="J13" s="7" t="s">
        <v>398</v>
      </c>
    </row>
    <row r="14" spans="1:10" x14ac:dyDescent="0.25" outlineLevel="1" collapsed="1">
      <c r="A14" s="7" t="s">
        <v>19</v>
      </c>
      <c r="B14" s="7" t="s">
        <v>16</v>
      </c>
      <c r="C14" s="7" t="s">
        <v>17</v>
      </c>
      <c r="D14" s="7"/>
      <c r="E14" s="7" t="s">
        <v>399</v>
      </c>
      <c r="F14" s="7" t="s">
        <v>19</v>
      </c>
      <c r="G14" s="7" t="s">
        <v>400</v>
      </c>
      <c r="H14" s="7" t="s">
        <v>17</v>
      </c>
      <c r="I14" s="7" t="s">
        <v>17</v>
      </c>
      <c r="J14" s="7" t="s">
        <v>401</v>
      </c>
    </row>
    <row r="15" spans="1:10" x14ac:dyDescent="0.25" outlineLevel="1" collapsed="1">
      <c r="A15" s="7" t="s">
        <v>19</v>
      </c>
      <c r="B15" s="7" t="s">
        <v>291</v>
      </c>
      <c r="C15" s="7" t="s">
        <v>17</v>
      </c>
      <c r="D15" s="7"/>
      <c r="E15" s="7" t="s">
        <v>402</v>
      </c>
      <c r="F15" s="7" t="s">
        <v>19</v>
      </c>
      <c r="G15" s="7" t="s">
        <v>293</v>
      </c>
      <c r="H15" s="7" t="s">
        <v>17</v>
      </c>
      <c r="I15" s="7" t="s">
        <v>17</v>
      </c>
      <c r="J15" s="7" t="s">
        <v>403</v>
      </c>
    </row>
    <row r="16" spans="1:10" x14ac:dyDescent="0.25">
      <c r="A16" s="5" t="s">
        <v>19</v>
      </c>
      <c r="B16" s="6" t="s">
        <v>404</v>
      </c>
      <c r="C16" s="5" t="s">
        <v>17</v>
      </c>
      <c r="D16" s="5"/>
      <c r="E16" s="5" t="s">
        <v>405</v>
      </c>
      <c r="F16" s="5" t="s">
        <v>15</v>
      </c>
      <c r="G16" s="5" t="s">
        <v>17</v>
      </c>
      <c r="H16" s="5" t="s">
        <v>17</v>
      </c>
      <c r="I16" s="5" t="s">
        <v>17</v>
      </c>
      <c r="J16" s="5" t="s">
        <v>406</v>
      </c>
    </row>
    <row r="17" spans="1:10" x14ac:dyDescent="0.25" outlineLevel="1" collapsed="1">
      <c r="A17" s="7" t="s">
        <v>19</v>
      </c>
      <c r="B17" s="7" t="s">
        <v>16</v>
      </c>
      <c r="C17" s="7" t="s">
        <v>17</v>
      </c>
      <c r="D17" s="7"/>
      <c r="E17" s="7" t="s">
        <v>378</v>
      </c>
      <c r="F17" s="7" t="s">
        <v>19</v>
      </c>
      <c r="G17" s="7" t="s">
        <v>31</v>
      </c>
      <c r="H17" s="7" t="s">
        <v>17</v>
      </c>
      <c r="I17" s="7" t="s">
        <v>17</v>
      </c>
      <c r="J17" s="7" t="s">
        <v>379</v>
      </c>
    </row>
    <row r="18" spans="1:10" x14ac:dyDescent="0.25" outlineLevel="1" collapsed="1">
      <c r="A18" s="7" t="s">
        <v>19</v>
      </c>
      <c r="B18" s="7" t="s">
        <v>16</v>
      </c>
      <c r="C18" s="7" t="s">
        <v>17</v>
      </c>
      <c r="D18" s="7"/>
      <c r="E18" s="7" t="s">
        <v>380</v>
      </c>
      <c r="F18" s="7" t="s">
        <v>19</v>
      </c>
      <c r="G18" s="7" t="s">
        <v>31</v>
      </c>
      <c r="H18" s="7" t="s">
        <v>17</v>
      </c>
      <c r="I18" s="7" t="s">
        <v>17</v>
      </c>
      <c r="J18" s="7" t="s">
        <v>381</v>
      </c>
    </row>
    <row r="19" spans="1:10" x14ac:dyDescent="0.25" outlineLevel="1" collapsed="1">
      <c r="A19" s="7" t="s">
        <v>19</v>
      </c>
      <c r="B19" s="7" t="s">
        <v>63</v>
      </c>
      <c r="C19" s="7" t="s">
        <v>17</v>
      </c>
      <c r="D19" s="7"/>
      <c r="E19" s="7" t="s">
        <v>407</v>
      </c>
      <c r="F19" s="7" t="s">
        <v>19</v>
      </c>
      <c r="G19" s="7">
        <v>1</v>
      </c>
      <c r="H19" s="7" t="s">
        <v>17</v>
      </c>
      <c r="I19" s="7" t="s">
        <v>17</v>
      </c>
      <c r="J19" s="7" t="s">
        <v>408</v>
      </c>
    </row>
    <row r="20" spans="1:10" x14ac:dyDescent="0.25" outlineLevel="1" collapsed="1">
      <c r="A20" s="7" t="s">
        <v>19</v>
      </c>
      <c r="B20" s="7" t="s">
        <v>16</v>
      </c>
      <c r="C20" s="7" t="s">
        <v>17</v>
      </c>
      <c r="D20" s="7"/>
      <c r="E20" s="7" t="s">
        <v>409</v>
      </c>
      <c r="F20" s="7" t="s">
        <v>19</v>
      </c>
      <c r="G20" s="7" t="s">
        <v>31</v>
      </c>
      <c r="H20" s="7" t="s">
        <v>17</v>
      </c>
      <c r="I20" s="7" t="s">
        <v>17</v>
      </c>
      <c r="J20" s="7" t="s">
        <v>386</v>
      </c>
    </row>
    <row r="21" spans="1:10" x14ac:dyDescent="0.25" outlineLevel="1" collapsed="1">
      <c r="A21" s="7" t="s">
        <v>19</v>
      </c>
      <c r="B21" s="7" t="s">
        <v>16</v>
      </c>
      <c r="C21" s="7" t="s">
        <v>17</v>
      </c>
      <c r="D21" s="7"/>
      <c r="E21" s="7" t="s">
        <v>410</v>
      </c>
      <c r="F21" s="7" t="s">
        <v>19</v>
      </c>
      <c r="G21" s="7" t="s">
        <v>31</v>
      </c>
      <c r="H21" s="7" t="s">
        <v>17</v>
      </c>
      <c r="I21" s="7" t="s">
        <v>17</v>
      </c>
      <c r="J21" s="7" t="s">
        <v>411</v>
      </c>
    </row>
  </sheetData>
  <mergeCells count="3">
    <mergeCell ref="A1:J1"/>
    <mergeCell ref="B2:J2"/>
    <mergeCell ref="B3:J3"/>
  </mergeCells>
  <hyperlinks>
    <hyperlink ref="B5" r:id="rId1" location="#'Document review summary (Valid'!A1"/>
    <hyperlink ref="B11" r:id="rId2" location="#'Document list row (Validation'!A1"/>
    <hyperlink ref="B16" r:id="rId3" location="#'Document review details row (V'!A1"/>
  </hyperlinks>
  <pageMargins left="0.7" right="0.7" top="0.75" bottom="0.75" header="0.3" footer="0.3"/>
  <pageSetup orientation="portrait" horizontalDpi="4294967295" verticalDpi="4294967295" scale="100" fitToWidth="1" fitToHeight="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3689</v>
      </c>
      <c r="B1" s="1"/>
      <c r="C1" s="1"/>
      <c r="D1" s="1"/>
      <c r="E1" s="1"/>
      <c r="F1" s="1"/>
      <c r="G1" s="1"/>
      <c r="H1" s="1"/>
      <c r="I1" s="1"/>
      <c r="J1" s="1"/>
    </row>
    <row r="2" spans="1:10" x14ac:dyDescent="0.25">
      <c r="A2" s="2" t="s">
        <v>1</v>
      </c>
      <c r="B2" s="3" t="s">
        <v>3690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427</v>
      </c>
      <c r="F5" s="5" t="s">
        <v>19</v>
      </c>
      <c r="G5" s="5" t="s">
        <v>428</v>
      </c>
      <c r="H5" s="5" t="s">
        <v>17</v>
      </c>
      <c r="I5" s="5" t="s">
        <v>17</v>
      </c>
      <c r="J5" s="5" t="s">
        <v>429</v>
      </c>
    </row>
    <row r="6" spans="1:10" x14ac:dyDescent="0.25">
      <c r="A6" s="5" t="s">
        <v>15</v>
      </c>
      <c r="B6" s="5" t="s">
        <v>16</v>
      </c>
      <c r="C6" s="5" t="s">
        <v>17</v>
      </c>
      <c r="D6" s="5"/>
      <c r="E6" s="5" t="s">
        <v>430</v>
      </c>
      <c r="F6" s="5" t="s">
        <v>19</v>
      </c>
      <c r="G6" s="5" t="s">
        <v>431</v>
      </c>
      <c r="H6" s="5" t="s">
        <v>17</v>
      </c>
      <c r="I6" s="5" t="s">
        <v>17</v>
      </c>
      <c r="J6" s="5" t="s">
        <v>432</v>
      </c>
    </row>
    <row r="7" spans="1:10" x14ac:dyDescent="0.25">
      <c r="A7" s="5" t="s">
        <v>15</v>
      </c>
      <c r="B7" s="5" t="s">
        <v>16</v>
      </c>
      <c r="C7" s="5" t="s">
        <v>17</v>
      </c>
      <c r="D7" s="5"/>
      <c r="E7" s="5" t="s">
        <v>433</v>
      </c>
      <c r="F7" s="5" t="s">
        <v>19</v>
      </c>
      <c r="G7" s="5" t="s">
        <v>434</v>
      </c>
      <c r="H7" s="5" t="s">
        <v>17</v>
      </c>
      <c r="I7" s="5" t="s">
        <v>17</v>
      </c>
      <c r="J7" s="5" t="s">
        <v>435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2982</v>
      </c>
      <c r="B1" s="1"/>
      <c r="C1" s="1"/>
      <c r="D1" s="1"/>
      <c r="E1" s="1"/>
      <c r="F1" s="1"/>
      <c r="G1" s="1"/>
      <c r="H1" s="1"/>
      <c r="I1" s="1"/>
      <c r="J1" s="1"/>
    </row>
    <row r="2" spans="1:10" x14ac:dyDescent="0.25">
      <c r="A2" s="2" t="s">
        <v>1</v>
      </c>
      <c r="B2" s="3" t="s">
        <v>3607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415</v>
      </c>
      <c r="F5" s="5" t="s">
        <v>19</v>
      </c>
      <c r="G5" s="5" t="s">
        <v>416</v>
      </c>
      <c r="H5" s="5" t="s">
        <v>17</v>
      </c>
      <c r="I5" s="5" t="s">
        <v>17</v>
      </c>
      <c r="J5" s="5" t="s">
        <v>417</v>
      </c>
    </row>
    <row r="6" spans="1:10" x14ac:dyDescent="0.25">
      <c r="A6" s="5" t="s">
        <v>15</v>
      </c>
      <c r="B6" s="5" t="s">
        <v>16</v>
      </c>
      <c r="C6" s="5" t="s">
        <v>17</v>
      </c>
      <c r="D6" s="5"/>
      <c r="E6" s="5" t="s">
        <v>418</v>
      </c>
      <c r="F6" s="5" t="s">
        <v>19</v>
      </c>
      <c r="G6" s="5" t="s">
        <v>419</v>
      </c>
      <c r="H6" s="5" t="s">
        <v>17</v>
      </c>
      <c r="I6" s="5" t="s">
        <v>17</v>
      </c>
      <c r="J6" s="5" t="s">
        <v>420</v>
      </c>
    </row>
    <row r="7" spans="1:10" x14ac:dyDescent="0.25">
      <c r="A7" s="5" t="s">
        <v>19</v>
      </c>
      <c r="B7" s="5" t="s">
        <v>16</v>
      </c>
      <c r="C7" s="5" t="s">
        <v>17</v>
      </c>
      <c r="D7" s="5"/>
      <c r="E7" s="5" t="s">
        <v>421</v>
      </c>
      <c r="F7" s="5" t="s">
        <v>19</v>
      </c>
      <c r="G7" s="5" t="s">
        <v>422</v>
      </c>
      <c r="H7" s="5" t="s">
        <v>17</v>
      </c>
      <c r="I7" s="5" t="s">
        <v>17</v>
      </c>
      <c r="J7" s="5" t="s">
        <v>423</v>
      </c>
    </row>
    <row r="8" spans="1:10" x14ac:dyDescent="0.25">
      <c r="A8" s="5" t="s">
        <v>19</v>
      </c>
      <c r="B8" s="6" t="s">
        <v>424</v>
      </c>
      <c r="C8" s="5" t="s">
        <v>17</v>
      </c>
      <c r="D8" s="5"/>
      <c r="E8" s="5" t="s">
        <v>425</v>
      </c>
      <c r="F8" s="5" t="s">
        <v>15</v>
      </c>
      <c r="G8" s="5" t="s">
        <v>17</v>
      </c>
      <c r="H8" s="5" t="s">
        <v>17</v>
      </c>
      <c r="I8" s="5" t="s">
        <v>17</v>
      </c>
      <c r="J8" s="5" t="s">
        <v>426</v>
      </c>
    </row>
    <row r="9" spans="1:10" x14ac:dyDescent="0.25" outlineLevel="1" collapsed="1">
      <c r="A9" s="7" t="s">
        <v>15</v>
      </c>
      <c r="B9" s="7" t="s">
        <v>16</v>
      </c>
      <c r="C9" s="7" t="s">
        <v>17</v>
      </c>
      <c r="D9" s="7"/>
      <c r="E9" s="7" t="s">
        <v>427</v>
      </c>
      <c r="F9" s="7" t="s">
        <v>19</v>
      </c>
      <c r="G9" s="7" t="s">
        <v>428</v>
      </c>
      <c r="H9" s="7" t="s">
        <v>17</v>
      </c>
      <c r="I9" s="7" t="s">
        <v>17</v>
      </c>
      <c r="J9" s="7" t="s">
        <v>429</v>
      </c>
    </row>
    <row r="10" spans="1:10" x14ac:dyDescent="0.25" outlineLevel="1" collapsed="1">
      <c r="A10" s="7" t="s">
        <v>15</v>
      </c>
      <c r="B10" s="7" t="s">
        <v>16</v>
      </c>
      <c r="C10" s="7" t="s">
        <v>17</v>
      </c>
      <c r="D10" s="7"/>
      <c r="E10" s="7" t="s">
        <v>430</v>
      </c>
      <c r="F10" s="7" t="s">
        <v>19</v>
      </c>
      <c r="G10" s="7" t="s">
        <v>431</v>
      </c>
      <c r="H10" s="7" t="s">
        <v>17</v>
      </c>
      <c r="I10" s="7" t="s">
        <v>17</v>
      </c>
      <c r="J10" s="7" t="s">
        <v>432</v>
      </c>
    </row>
    <row r="11" spans="1:10" x14ac:dyDescent="0.25" outlineLevel="1" collapsed="1">
      <c r="A11" s="7" t="s">
        <v>15</v>
      </c>
      <c r="B11" s="7" t="s">
        <v>16</v>
      </c>
      <c r="C11" s="7" t="s">
        <v>17</v>
      </c>
      <c r="D11" s="7"/>
      <c r="E11" s="7" t="s">
        <v>433</v>
      </c>
      <c r="F11" s="7" t="s">
        <v>19</v>
      </c>
      <c r="G11" s="7" t="s">
        <v>434</v>
      </c>
      <c r="H11" s="7" t="s">
        <v>17</v>
      </c>
      <c r="I11" s="7" t="s">
        <v>17</v>
      </c>
      <c r="J11" s="7" t="s">
        <v>435</v>
      </c>
    </row>
  </sheetData>
  <mergeCells count="3">
    <mergeCell ref="A1:J1"/>
    <mergeCell ref="B2:J2"/>
    <mergeCell ref="B3:J3"/>
  </mergeCells>
  <hyperlinks>
    <hyperlink ref="B8" r:id="rId1" location="#'Interviewee row (Validation an'!A1"/>
  </hyperlinks>
  <pageMargins left="0.7" right="0.7" top="0.75" bottom="0.75" header="0.3" footer="0.3"/>
  <pageSetup orientation="portrait" horizontalDpi="4294967295" verticalDpi="4294967295" scale="100" fitToWidth="1" fitToHeight="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3691</v>
      </c>
      <c r="B1" s="1"/>
      <c r="C1" s="1"/>
      <c r="D1" s="1"/>
      <c r="E1" s="1"/>
      <c r="F1" s="1"/>
      <c r="G1" s="1"/>
      <c r="H1" s="1"/>
      <c r="I1" s="1"/>
      <c r="J1" s="1"/>
    </row>
    <row r="2" spans="1:10" x14ac:dyDescent="0.25">
      <c r="A2" s="2" t="s">
        <v>1</v>
      </c>
      <c r="B2" s="3" t="s">
        <v>3692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439</v>
      </c>
      <c r="F5" s="5" t="s">
        <v>19</v>
      </c>
      <c r="G5" s="5" t="s">
        <v>293</v>
      </c>
      <c r="H5" s="5" t="s">
        <v>17</v>
      </c>
      <c r="I5" s="5" t="s">
        <v>17</v>
      </c>
      <c r="J5" s="5" t="s">
        <v>440</v>
      </c>
    </row>
    <row r="6" spans="1:10" x14ac:dyDescent="0.25">
      <c r="A6" s="5" t="s">
        <v>15</v>
      </c>
      <c r="B6" s="5" t="s">
        <v>291</v>
      </c>
      <c r="C6" s="5" t="s">
        <v>17</v>
      </c>
      <c r="D6" s="5"/>
      <c r="E6" s="5" t="s">
        <v>441</v>
      </c>
      <c r="F6" s="5" t="s">
        <v>19</v>
      </c>
      <c r="G6" s="5" t="s">
        <v>293</v>
      </c>
      <c r="H6" s="5" t="s">
        <v>17</v>
      </c>
      <c r="I6" s="5" t="s">
        <v>17</v>
      </c>
      <c r="J6" s="5" t="s">
        <v>442</v>
      </c>
    </row>
    <row r="7" spans="1:10" x14ac:dyDescent="0.25">
      <c r="A7" s="5" t="s">
        <v>15</v>
      </c>
      <c r="B7" s="5" t="s">
        <v>159</v>
      </c>
      <c r="C7" s="5" t="s">
        <v>17</v>
      </c>
      <c r="D7" s="5"/>
      <c r="E7" s="5" t="s">
        <v>443</v>
      </c>
      <c r="F7" s="5" t="s">
        <v>19</v>
      </c>
      <c r="G7" s="5" t="b">
        <v>1</v>
      </c>
      <c r="H7" s="5" t="s">
        <v>17</v>
      </c>
      <c r="I7" s="5" t="s">
        <v>17</v>
      </c>
      <c r="J7" s="5" t="s">
        <v>444</v>
      </c>
    </row>
    <row r="8" spans="1:10" x14ac:dyDescent="0.25">
      <c r="A8" s="5" t="s">
        <v>19</v>
      </c>
      <c r="B8" s="5" t="s">
        <v>16</v>
      </c>
      <c r="C8" s="5" t="s">
        <v>17</v>
      </c>
      <c r="D8" s="5"/>
      <c r="E8" s="5" t="s">
        <v>445</v>
      </c>
      <c r="F8" s="5" t="s">
        <v>19</v>
      </c>
      <c r="G8" s="5" t="s">
        <v>31</v>
      </c>
      <c r="H8" s="5" t="s">
        <v>17</v>
      </c>
      <c r="I8" s="5" t="s">
        <v>17</v>
      </c>
      <c r="J8" s="5" t="s">
        <v>446</v>
      </c>
    </row>
    <row r="9" spans="1:10" x14ac:dyDescent="0.25">
      <c r="A9" s="5" t="s">
        <v>15</v>
      </c>
      <c r="B9" s="5" t="s">
        <v>16</v>
      </c>
      <c r="C9" s="5" t="s">
        <v>17</v>
      </c>
      <c r="D9" s="5"/>
      <c r="E9" s="5" t="s">
        <v>447</v>
      </c>
      <c r="F9" s="5" t="s">
        <v>19</v>
      </c>
      <c r="G9" s="5" t="s">
        <v>448</v>
      </c>
      <c r="H9" s="5" t="s">
        <v>17</v>
      </c>
      <c r="I9" s="5" t="s">
        <v>17</v>
      </c>
      <c r="J9" s="5" t="s">
        <v>449</v>
      </c>
    </row>
    <row r="10" spans="1:10" x14ac:dyDescent="0.25">
      <c r="A10" s="5" t="s">
        <v>15</v>
      </c>
      <c r="B10" s="5" t="s">
        <v>16</v>
      </c>
      <c r="C10" s="5" t="s">
        <v>17</v>
      </c>
      <c r="D10" s="5"/>
      <c r="E10" s="5" t="s">
        <v>450</v>
      </c>
      <c r="F10" s="5" t="s">
        <v>19</v>
      </c>
      <c r="G10" s="5" t="s">
        <v>451</v>
      </c>
      <c r="H10" s="5" t="s">
        <v>17</v>
      </c>
      <c r="I10" s="5" t="s">
        <v>17</v>
      </c>
      <c r="J10" s="5" t="s">
        <v>452</v>
      </c>
    </row>
    <row r="11" spans="1:10" x14ac:dyDescent="0.25">
      <c r="A11" s="5" t="s">
        <v>15</v>
      </c>
      <c r="B11" s="5" t="s">
        <v>16</v>
      </c>
      <c r="C11" s="5" t="s">
        <v>17</v>
      </c>
      <c r="D11" s="5"/>
      <c r="E11" s="5" t="s">
        <v>453</v>
      </c>
      <c r="F11" s="5" t="s">
        <v>19</v>
      </c>
      <c r="G11" s="5" t="s">
        <v>454</v>
      </c>
      <c r="H11" s="5" t="s">
        <v>17</v>
      </c>
      <c r="I11" s="5" t="s">
        <v>17</v>
      </c>
      <c r="J11" s="5" t="s">
        <v>324</v>
      </c>
    </row>
    <row r="12" spans="1:10" x14ac:dyDescent="0.25">
      <c r="A12" s="5" t="s">
        <v>19</v>
      </c>
      <c r="B12" s="5" t="s">
        <v>16</v>
      </c>
      <c r="C12" s="5" t="s">
        <v>17</v>
      </c>
      <c r="D12" s="5"/>
      <c r="E12" s="5" t="s">
        <v>455</v>
      </c>
      <c r="F12" s="5" t="s">
        <v>19</v>
      </c>
      <c r="G12" s="5" t="s">
        <v>31</v>
      </c>
      <c r="H12" s="5" t="s">
        <v>17</v>
      </c>
      <c r="I12" s="5" t="s">
        <v>17</v>
      </c>
      <c r="J12" s="5" t="s">
        <v>456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3693</v>
      </c>
      <c r="B1" s="1"/>
      <c r="C1" s="1"/>
      <c r="D1" s="1"/>
      <c r="E1" s="1"/>
      <c r="F1" s="1"/>
      <c r="G1" s="1"/>
      <c r="H1" s="1"/>
      <c r="I1" s="1"/>
      <c r="J1" s="1"/>
    </row>
    <row r="2" spans="1:10" x14ac:dyDescent="0.25">
      <c r="A2" s="2" t="s">
        <v>1</v>
      </c>
      <c r="B2" s="3" t="s">
        <v>3694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474</v>
      </c>
      <c r="F5" s="5" t="s">
        <v>19</v>
      </c>
      <c r="G5" s="5" t="s">
        <v>475</v>
      </c>
      <c r="H5" s="5" t="s">
        <v>17</v>
      </c>
      <c r="I5" s="5" t="s">
        <v>17</v>
      </c>
      <c r="J5" s="5" t="s">
        <v>476</v>
      </c>
    </row>
    <row r="6" spans="1:10" x14ac:dyDescent="0.25">
      <c r="A6" s="5" t="s">
        <v>15</v>
      </c>
      <c r="B6" s="5" t="s">
        <v>284</v>
      </c>
      <c r="C6" s="10" t="s">
        <v>477</v>
      </c>
      <c r="D6" s="5"/>
      <c r="E6" s="5" t="s">
        <v>478</v>
      </c>
      <c r="F6" s="5" t="s">
        <v>19</v>
      </c>
      <c r="G6" s="5" t="s">
        <v>479</v>
      </c>
      <c r="H6" s="5" t="s">
        <v>17</v>
      </c>
      <c r="I6" s="5" t="s">
        <v>17</v>
      </c>
      <c r="J6" s="5" t="s">
        <v>480</v>
      </c>
    </row>
    <row r="7" spans="1:10" x14ac:dyDescent="0.25">
      <c r="A7" s="5" t="s">
        <v>15</v>
      </c>
      <c r="B7" s="5" t="s">
        <v>16</v>
      </c>
      <c r="C7" s="5" t="s">
        <v>17</v>
      </c>
      <c r="D7" s="5"/>
      <c r="E7" s="5" t="s">
        <v>481</v>
      </c>
      <c r="F7" s="5" t="s">
        <v>19</v>
      </c>
      <c r="G7" s="5" t="s">
        <v>482</v>
      </c>
      <c r="H7" s="5" t="s">
        <v>17</v>
      </c>
      <c r="I7" s="5" t="s">
        <v>17</v>
      </c>
      <c r="J7" s="5" t="s">
        <v>483</v>
      </c>
    </row>
  </sheetData>
  <mergeCells count="3">
    <mergeCell ref="A1:J1"/>
    <mergeCell ref="B2:J2"/>
    <mergeCell ref="B3:J3"/>
  </mergeCells>
  <dataValidations count="1">
    <dataValidation type="list" allowBlank="1" sqref="G6:I6">
      <formula1>'Enums'!C799:C801</formula1>
    </dataValidation>
  </dataValidations>
  <pageMargins left="0.7" right="0.7" top="0.75" bottom="0.75" header="0.3" footer="0.3"/>
  <pageSetup orientation="portrait" horizontalDpi="4294967295" verticalDpi="4294967295" scale="100" fitToWidth="1" fitToHeight="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3695</v>
      </c>
      <c r="B1" s="1"/>
      <c r="C1" s="1"/>
      <c r="D1" s="1"/>
      <c r="E1" s="1"/>
      <c r="F1" s="1"/>
      <c r="G1" s="1"/>
      <c r="H1" s="1"/>
      <c r="I1" s="1"/>
      <c r="J1" s="1"/>
    </row>
    <row r="2" spans="1:10" x14ac:dyDescent="0.25">
      <c r="A2" s="2" t="s">
        <v>1</v>
      </c>
      <c r="B2" s="3" t="s">
        <v>3609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460</v>
      </c>
      <c r="F5" s="5" t="s">
        <v>19</v>
      </c>
      <c r="G5" s="5" t="s">
        <v>461</v>
      </c>
      <c r="H5" s="5" t="s">
        <v>17</v>
      </c>
      <c r="I5" s="5" t="s">
        <v>17</v>
      </c>
      <c r="J5" s="5" t="s">
        <v>462</v>
      </c>
    </row>
    <row r="6" spans="1:10" x14ac:dyDescent="0.25">
      <c r="A6" s="5" t="s">
        <v>15</v>
      </c>
      <c r="B6" s="5" t="s">
        <v>63</v>
      </c>
      <c r="C6" s="5" t="s">
        <v>17</v>
      </c>
      <c r="D6" s="5"/>
      <c r="E6" s="5" t="s">
        <v>463</v>
      </c>
      <c r="F6" s="5" t="s">
        <v>19</v>
      </c>
      <c r="G6" s="5">
        <v>0</v>
      </c>
      <c r="H6" s="5" t="s">
        <v>17</v>
      </c>
      <c r="I6" s="5" t="s">
        <v>17</v>
      </c>
      <c r="J6" s="5" t="s">
        <v>464</v>
      </c>
    </row>
    <row r="7" spans="1:10" x14ac:dyDescent="0.25">
      <c r="A7" s="5" t="s">
        <v>15</v>
      </c>
      <c r="B7" s="5" t="s">
        <v>63</v>
      </c>
      <c r="C7" s="5" t="s">
        <v>17</v>
      </c>
      <c r="D7" s="5"/>
      <c r="E7" s="5" t="s">
        <v>465</v>
      </c>
      <c r="F7" s="5" t="s">
        <v>19</v>
      </c>
      <c r="G7" s="5">
        <v>0</v>
      </c>
      <c r="H7" s="5" t="s">
        <v>17</v>
      </c>
      <c r="I7" s="5" t="s">
        <v>17</v>
      </c>
      <c r="J7" s="5" t="s">
        <v>466</v>
      </c>
    </row>
    <row r="8" spans="1:10" x14ac:dyDescent="0.25">
      <c r="A8" s="5" t="s">
        <v>15</v>
      </c>
      <c r="B8" s="5" t="s">
        <v>63</v>
      </c>
      <c r="C8" s="5" t="s">
        <v>17</v>
      </c>
      <c r="D8" s="5"/>
      <c r="E8" s="5" t="s">
        <v>467</v>
      </c>
      <c r="F8" s="5" t="s">
        <v>19</v>
      </c>
      <c r="G8" s="5">
        <v>0</v>
      </c>
      <c r="H8" s="5" t="s">
        <v>17</v>
      </c>
      <c r="I8" s="5" t="s">
        <v>17</v>
      </c>
      <c r="J8" s="5" t="s">
        <v>468</v>
      </c>
    </row>
    <row r="9" spans="1:10" x14ac:dyDescent="0.25">
      <c r="A9" s="5" t="s">
        <v>15</v>
      </c>
      <c r="B9" s="5" t="s">
        <v>63</v>
      </c>
      <c r="C9" s="5" t="s">
        <v>17</v>
      </c>
      <c r="D9" s="5"/>
      <c r="E9" s="5" t="s">
        <v>469</v>
      </c>
      <c r="F9" s="5" t="s">
        <v>19</v>
      </c>
      <c r="G9" s="5">
        <v>0</v>
      </c>
      <c r="H9" s="5" t="s">
        <v>17</v>
      </c>
      <c r="I9" s="5" t="s">
        <v>17</v>
      </c>
      <c r="J9" s="5" t="s">
        <v>470</v>
      </c>
    </row>
    <row r="10" spans="1:10" x14ac:dyDescent="0.25">
      <c r="A10" s="5" t="s">
        <v>19</v>
      </c>
      <c r="B10" s="6" t="s">
        <v>471</v>
      </c>
      <c r="C10" s="5" t="s">
        <v>17</v>
      </c>
      <c r="D10" s="5"/>
      <c r="E10" s="5" t="s">
        <v>472</v>
      </c>
      <c r="F10" s="5" t="s">
        <v>15</v>
      </c>
      <c r="G10" s="5" t="s">
        <v>17</v>
      </c>
      <c r="H10" s="5" t="s">
        <v>17</v>
      </c>
      <c r="I10" s="5" t="s">
        <v>17</v>
      </c>
      <c r="J10" s="5" t="s">
        <v>473</v>
      </c>
    </row>
    <row r="11" spans="1:10" x14ac:dyDescent="0.25" outlineLevel="1" collapsed="1">
      <c r="A11" s="7" t="s">
        <v>15</v>
      </c>
      <c r="B11" s="7" t="s">
        <v>16</v>
      </c>
      <c r="C11" s="7" t="s">
        <v>17</v>
      </c>
      <c r="D11" s="7"/>
      <c r="E11" s="7" t="s">
        <v>474</v>
      </c>
      <c r="F11" s="7" t="s">
        <v>19</v>
      </c>
      <c r="G11" s="7" t="s">
        <v>475</v>
      </c>
      <c r="H11" s="7" t="s">
        <v>17</v>
      </c>
      <c r="I11" s="7" t="s">
        <v>17</v>
      </c>
      <c r="J11" s="7" t="s">
        <v>476</v>
      </c>
    </row>
    <row r="12" spans="1:10" x14ac:dyDescent="0.25" outlineLevel="1" collapsed="1">
      <c r="A12" s="7" t="s">
        <v>15</v>
      </c>
      <c r="B12" s="7" t="s">
        <v>284</v>
      </c>
      <c r="C12" s="11" t="s">
        <v>477</v>
      </c>
      <c r="D12" s="7"/>
      <c r="E12" s="7" t="s">
        <v>478</v>
      </c>
      <c r="F12" s="7" t="s">
        <v>19</v>
      </c>
      <c r="G12" s="7" t="s">
        <v>479</v>
      </c>
      <c r="H12" s="7" t="s">
        <v>17</v>
      </c>
      <c r="I12" s="7" t="s">
        <v>17</v>
      </c>
      <c r="J12" s="7" t="s">
        <v>480</v>
      </c>
    </row>
    <row r="13" spans="1:10" x14ac:dyDescent="0.25" outlineLevel="1" collapsed="1">
      <c r="A13" s="7" t="s">
        <v>15</v>
      </c>
      <c r="B13" s="7" t="s">
        <v>16</v>
      </c>
      <c r="C13" s="7" t="s">
        <v>17</v>
      </c>
      <c r="D13" s="7"/>
      <c r="E13" s="7" t="s">
        <v>481</v>
      </c>
      <c r="F13" s="7" t="s">
        <v>19</v>
      </c>
      <c r="G13" s="7" t="s">
        <v>482</v>
      </c>
      <c r="H13" s="7" t="s">
        <v>17</v>
      </c>
      <c r="I13" s="7" t="s">
        <v>17</v>
      </c>
      <c r="J13" s="7" t="s">
        <v>483</v>
      </c>
    </row>
  </sheetData>
  <mergeCells count="3">
    <mergeCell ref="A1:J1"/>
    <mergeCell ref="B2:J2"/>
    <mergeCell ref="B3:J3"/>
  </mergeCells>
  <dataValidations count="1">
    <dataValidation type="list" allowBlank="1" sqref="G12:I12">
      <formula1>'Enums'!C799:C801</formula1>
    </dataValidation>
  </dataValidations>
  <hyperlinks>
    <hyperlink ref="B10" r:id="rId1" location="#'CARCLFAR reference row (Valida'!A1"/>
  </hyperlinks>
  <pageMargins left="0.7" right="0.7" top="0.75" bottom="0.75" header="0.3" footer="0.3"/>
  <pageSetup orientation="portrait" horizontalDpi="4294967295" verticalDpi="4294967295" scale="100" fitToWidth="1" fitToHeight="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3696</v>
      </c>
      <c r="B1" s="1"/>
      <c r="C1" s="1"/>
      <c r="D1" s="1"/>
      <c r="E1" s="1"/>
      <c r="F1" s="1"/>
      <c r="G1" s="1"/>
      <c r="H1" s="1"/>
      <c r="I1" s="1"/>
      <c r="J1" s="1"/>
    </row>
    <row r="2" spans="1:10" x14ac:dyDescent="0.25">
      <c r="A2" s="2" t="s">
        <v>1</v>
      </c>
      <c r="B2" s="3" t="s">
        <v>3697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2978</v>
      </c>
      <c r="C5" s="5" t="s">
        <v>17</v>
      </c>
      <c r="D5" s="5"/>
      <c r="E5" s="5" t="s">
        <v>360</v>
      </c>
      <c r="F5" s="5" t="s">
        <v>19</v>
      </c>
      <c r="G5" s="5" t="s">
        <v>17</v>
      </c>
      <c r="H5" s="5" t="s">
        <v>17</v>
      </c>
      <c r="I5" s="5" t="s">
        <v>17</v>
      </c>
      <c r="J5" s="5" t="s">
        <v>361</v>
      </c>
    </row>
    <row r="6" spans="1:10" x14ac:dyDescent="0.25" outlineLevel="1" collapsed="1">
      <c r="A6" s="7" t="s">
        <v>15</v>
      </c>
      <c r="B6" s="7" t="s">
        <v>16</v>
      </c>
      <c r="C6" s="7" t="s">
        <v>17</v>
      </c>
      <c r="D6" s="7"/>
      <c r="E6" s="7" t="s">
        <v>360</v>
      </c>
      <c r="F6" s="7" t="s">
        <v>19</v>
      </c>
      <c r="G6" s="7" t="s">
        <v>2979</v>
      </c>
      <c r="H6" s="7" t="s">
        <v>17</v>
      </c>
      <c r="I6" s="7" t="s">
        <v>17</v>
      </c>
      <c r="J6" s="7" t="s">
        <v>361</v>
      </c>
    </row>
    <row r="7" spans="1:10" x14ac:dyDescent="0.25" outlineLevel="1" collapsed="1">
      <c r="A7" s="8" t="s">
        <v>19</v>
      </c>
      <c r="B7" s="9" t="s">
        <v>364</v>
      </c>
      <c r="C7" s="8" t="s">
        <v>17</v>
      </c>
      <c r="D7" s="8"/>
      <c r="E7" s="8" t="s">
        <v>2980</v>
      </c>
      <c r="F7" s="8" t="s">
        <v>15</v>
      </c>
      <c r="G7" s="8" t="s">
        <v>17</v>
      </c>
      <c r="H7" s="8" t="s">
        <v>17</v>
      </c>
      <c r="I7" s="8" t="s">
        <v>17</v>
      </c>
      <c r="J7" s="8" t="s">
        <v>366</v>
      </c>
    </row>
    <row r="8" spans="1:10" x14ac:dyDescent="0.25" outlineLevel="2" collapsed="1">
      <c r="A8" s="7" t="s">
        <v>15</v>
      </c>
      <c r="B8" s="7" t="s">
        <v>16</v>
      </c>
      <c r="C8" s="7" t="s">
        <v>17</v>
      </c>
      <c r="D8" s="7"/>
      <c r="E8" s="7" t="s">
        <v>367</v>
      </c>
      <c r="F8" s="7" t="s">
        <v>19</v>
      </c>
      <c r="G8" s="7" t="s">
        <v>368</v>
      </c>
      <c r="H8" s="7" t="s">
        <v>17</v>
      </c>
      <c r="I8" s="7" t="s">
        <v>17</v>
      </c>
      <c r="J8" s="7" t="s">
        <v>369</v>
      </c>
    </row>
    <row r="9" spans="1:10" x14ac:dyDescent="0.25" outlineLevel="2" collapsed="1">
      <c r="A9" s="7" t="s">
        <v>15</v>
      </c>
      <c r="B9" s="7" t="s">
        <v>291</v>
      </c>
      <c r="C9" s="7" t="s">
        <v>17</v>
      </c>
      <c r="D9" s="7"/>
      <c r="E9" s="7" t="s">
        <v>370</v>
      </c>
      <c r="F9" s="7" t="s">
        <v>19</v>
      </c>
      <c r="G9" s="7" t="s">
        <v>293</v>
      </c>
      <c r="H9" s="7" t="s">
        <v>17</v>
      </c>
      <c r="I9" s="7" t="s">
        <v>17</v>
      </c>
      <c r="J9" s="7" t="s">
        <v>371</v>
      </c>
    </row>
    <row r="10" spans="1:10" x14ac:dyDescent="0.25">
      <c r="A10" s="5" t="s">
        <v>15</v>
      </c>
      <c r="B10" s="6" t="s">
        <v>2981</v>
      </c>
      <c r="C10" s="5" t="s">
        <v>17</v>
      </c>
      <c r="D10" s="5"/>
      <c r="E10" s="5" t="s">
        <v>373</v>
      </c>
      <c r="F10" s="5" t="s">
        <v>19</v>
      </c>
      <c r="G10" s="5" t="s">
        <v>17</v>
      </c>
      <c r="H10" s="5" t="s">
        <v>17</v>
      </c>
      <c r="I10" s="5" t="s">
        <v>17</v>
      </c>
      <c r="J10" s="5" t="s">
        <v>374</v>
      </c>
    </row>
    <row r="11" spans="1:10" x14ac:dyDescent="0.25" outlineLevel="1" collapsed="1">
      <c r="A11" s="8" t="s">
        <v>15</v>
      </c>
      <c r="B11" s="9" t="s">
        <v>375</v>
      </c>
      <c r="C11" s="8" t="s">
        <v>17</v>
      </c>
      <c r="D11" s="8"/>
      <c r="E11" s="8" t="s">
        <v>376</v>
      </c>
      <c r="F11" s="8" t="s">
        <v>19</v>
      </c>
      <c r="G11" s="8" t="s">
        <v>17</v>
      </c>
      <c r="H11" s="8" t="s">
        <v>17</v>
      </c>
      <c r="I11" s="8" t="s">
        <v>17</v>
      </c>
      <c r="J11" s="8" t="s">
        <v>377</v>
      </c>
    </row>
    <row r="12" spans="1:10" x14ac:dyDescent="0.25" outlineLevel="2" collapsed="1">
      <c r="A12" s="7" t="s">
        <v>15</v>
      </c>
      <c r="B12" s="7" t="s">
        <v>291</v>
      </c>
      <c r="C12" s="7" t="s">
        <v>17</v>
      </c>
      <c r="D12" s="7"/>
      <c r="E12" s="7" t="s">
        <v>378</v>
      </c>
      <c r="F12" s="7" t="s">
        <v>19</v>
      </c>
      <c r="G12" s="7" t="s">
        <v>293</v>
      </c>
      <c r="H12" s="7" t="s">
        <v>17</v>
      </c>
      <c r="I12" s="7" t="s">
        <v>17</v>
      </c>
      <c r="J12" s="7" t="s">
        <v>379</v>
      </c>
    </row>
    <row r="13" spans="1:10" x14ac:dyDescent="0.25" outlineLevel="2" collapsed="1">
      <c r="A13" s="7" t="s">
        <v>15</v>
      </c>
      <c r="B13" s="7" t="s">
        <v>291</v>
      </c>
      <c r="C13" s="7" t="s">
        <v>17</v>
      </c>
      <c r="D13" s="7"/>
      <c r="E13" s="7" t="s">
        <v>380</v>
      </c>
      <c r="F13" s="7" t="s">
        <v>19</v>
      </c>
      <c r="G13" s="7" t="s">
        <v>293</v>
      </c>
      <c r="H13" s="7" t="s">
        <v>17</v>
      </c>
      <c r="I13" s="7" t="s">
        <v>17</v>
      </c>
      <c r="J13" s="7" t="s">
        <v>381</v>
      </c>
    </row>
    <row r="14" spans="1:10" x14ac:dyDescent="0.25" outlineLevel="2" collapsed="1">
      <c r="A14" s="7" t="s">
        <v>15</v>
      </c>
      <c r="B14" s="7" t="s">
        <v>63</v>
      </c>
      <c r="C14" s="7" t="s">
        <v>17</v>
      </c>
      <c r="D14" s="7"/>
      <c r="E14" s="7" t="s">
        <v>382</v>
      </c>
      <c r="F14" s="7" t="s">
        <v>19</v>
      </c>
      <c r="G14" s="7">
        <v>5</v>
      </c>
      <c r="H14" s="7" t="s">
        <v>17</v>
      </c>
      <c r="I14" s="7" t="s">
        <v>17</v>
      </c>
      <c r="J14" s="7" t="s">
        <v>383</v>
      </c>
    </row>
    <row r="15" spans="1:10" x14ac:dyDescent="0.25" outlineLevel="2" collapsed="1">
      <c r="A15" s="7" t="s">
        <v>15</v>
      </c>
      <c r="B15" s="7" t="s">
        <v>16</v>
      </c>
      <c r="C15" s="7" t="s">
        <v>17</v>
      </c>
      <c r="D15" s="7"/>
      <c r="E15" s="7" t="s">
        <v>384</v>
      </c>
      <c r="F15" s="7" t="s">
        <v>19</v>
      </c>
      <c r="G15" s="7" t="s">
        <v>385</v>
      </c>
      <c r="H15" s="7" t="s">
        <v>17</v>
      </c>
      <c r="I15" s="7" t="s">
        <v>17</v>
      </c>
      <c r="J15" s="7" t="s">
        <v>386</v>
      </c>
    </row>
    <row r="16" spans="1:10" x14ac:dyDescent="0.25" outlineLevel="2" collapsed="1">
      <c r="A16" s="7" t="s">
        <v>15</v>
      </c>
      <c r="B16" s="7" t="s">
        <v>16</v>
      </c>
      <c r="C16" s="7" t="s">
        <v>17</v>
      </c>
      <c r="D16" s="7"/>
      <c r="E16" s="7" t="s">
        <v>387</v>
      </c>
      <c r="F16" s="7" t="s">
        <v>19</v>
      </c>
      <c r="G16" s="7" t="s">
        <v>388</v>
      </c>
      <c r="H16" s="7" t="s">
        <v>17</v>
      </c>
      <c r="I16" s="7" t="s">
        <v>17</v>
      </c>
      <c r="J16" s="7" t="s">
        <v>389</v>
      </c>
    </row>
    <row r="17" spans="1:10" x14ac:dyDescent="0.25" outlineLevel="1" collapsed="1">
      <c r="A17" s="8" t="s">
        <v>19</v>
      </c>
      <c r="B17" s="9" t="s">
        <v>390</v>
      </c>
      <c r="C17" s="8" t="s">
        <v>17</v>
      </c>
      <c r="D17" s="8"/>
      <c r="E17" s="8" t="s">
        <v>391</v>
      </c>
      <c r="F17" s="8" t="s">
        <v>15</v>
      </c>
      <c r="G17" s="8" t="s">
        <v>17</v>
      </c>
      <c r="H17" s="8" t="s">
        <v>17</v>
      </c>
      <c r="I17" s="8" t="s">
        <v>17</v>
      </c>
      <c r="J17" s="8" t="s">
        <v>392</v>
      </c>
    </row>
    <row r="18" spans="1:10" x14ac:dyDescent="0.25" outlineLevel="2" collapsed="1">
      <c r="A18" s="7" t="s">
        <v>15</v>
      </c>
      <c r="B18" s="7" t="s">
        <v>16</v>
      </c>
      <c r="C18" s="7" t="s">
        <v>17</v>
      </c>
      <c r="D18" s="7"/>
      <c r="E18" s="7" t="s">
        <v>393</v>
      </c>
      <c r="F18" s="7" t="s">
        <v>19</v>
      </c>
      <c r="G18" s="7" t="s">
        <v>394</v>
      </c>
      <c r="H18" s="7" t="s">
        <v>17</v>
      </c>
      <c r="I18" s="7" t="s">
        <v>17</v>
      </c>
      <c r="J18" s="7" t="s">
        <v>395</v>
      </c>
    </row>
    <row r="19" spans="1:10" x14ac:dyDescent="0.25" outlineLevel="2" collapsed="1">
      <c r="A19" s="7" t="s">
        <v>15</v>
      </c>
      <c r="B19" s="7" t="s">
        <v>16</v>
      </c>
      <c r="C19" s="7" t="s">
        <v>17</v>
      </c>
      <c r="D19" s="7"/>
      <c r="E19" s="7" t="s">
        <v>396</v>
      </c>
      <c r="F19" s="7" t="s">
        <v>19</v>
      </c>
      <c r="G19" s="7" t="s">
        <v>397</v>
      </c>
      <c r="H19" s="7" t="s">
        <v>17</v>
      </c>
      <c r="I19" s="7" t="s">
        <v>17</v>
      </c>
      <c r="J19" s="7" t="s">
        <v>398</v>
      </c>
    </row>
    <row r="20" spans="1:10" x14ac:dyDescent="0.25" outlineLevel="2" collapsed="1">
      <c r="A20" s="7" t="s">
        <v>19</v>
      </c>
      <c r="B20" s="7" t="s">
        <v>16</v>
      </c>
      <c r="C20" s="7" t="s">
        <v>17</v>
      </c>
      <c r="D20" s="7"/>
      <c r="E20" s="7" t="s">
        <v>399</v>
      </c>
      <c r="F20" s="7" t="s">
        <v>19</v>
      </c>
      <c r="G20" s="7" t="s">
        <v>400</v>
      </c>
      <c r="H20" s="7" t="s">
        <v>17</v>
      </c>
      <c r="I20" s="7" t="s">
        <v>17</v>
      </c>
      <c r="J20" s="7" t="s">
        <v>401</v>
      </c>
    </row>
    <row r="21" spans="1:10" x14ac:dyDescent="0.25" outlineLevel="2" collapsed="1">
      <c r="A21" s="7" t="s">
        <v>19</v>
      </c>
      <c r="B21" s="7" t="s">
        <v>291</v>
      </c>
      <c r="C21" s="7" t="s">
        <v>17</v>
      </c>
      <c r="D21" s="7"/>
      <c r="E21" s="7" t="s">
        <v>402</v>
      </c>
      <c r="F21" s="7" t="s">
        <v>19</v>
      </c>
      <c r="G21" s="7" t="s">
        <v>293</v>
      </c>
      <c r="H21" s="7" t="s">
        <v>17</v>
      </c>
      <c r="I21" s="7" t="s">
        <v>17</v>
      </c>
      <c r="J21" s="7" t="s">
        <v>403</v>
      </c>
    </row>
    <row r="22" spans="1:10" x14ac:dyDescent="0.25" outlineLevel="1" collapsed="1">
      <c r="A22" s="8" t="s">
        <v>19</v>
      </c>
      <c r="B22" s="9" t="s">
        <v>404</v>
      </c>
      <c r="C22" s="8" t="s">
        <v>17</v>
      </c>
      <c r="D22" s="8"/>
      <c r="E22" s="8" t="s">
        <v>405</v>
      </c>
      <c r="F22" s="8" t="s">
        <v>15</v>
      </c>
      <c r="G22" s="8" t="s">
        <v>17</v>
      </c>
      <c r="H22" s="8" t="s">
        <v>17</v>
      </c>
      <c r="I22" s="8" t="s">
        <v>17</v>
      </c>
      <c r="J22" s="8" t="s">
        <v>406</v>
      </c>
    </row>
    <row r="23" spans="1:10" x14ac:dyDescent="0.25" outlineLevel="2" collapsed="1">
      <c r="A23" s="7" t="s">
        <v>19</v>
      </c>
      <c r="B23" s="7" t="s">
        <v>16</v>
      </c>
      <c r="C23" s="7" t="s">
        <v>17</v>
      </c>
      <c r="D23" s="7"/>
      <c r="E23" s="7" t="s">
        <v>378</v>
      </c>
      <c r="F23" s="7" t="s">
        <v>19</v>
      </c>
      <c r="G23" s="7" t="s">
        <v>31</v>
      </c>
      <c r="H23" s="7" t="s">
        <v>17</v>
      </c>
      <c r="I23" s="7" t="s">
        <v>17</v>
      </c>
      <c r="J23" s="7" t="s">
        <v>379</v>
      </c>
    </row>
    <row r="24" spans="1:10" x14ac:dyDescent="0.25" outlineLevel="2" collapsed="1">
      <c r="A24" s="7" t="s">
        <v>19</v>
      </c>
      <c r="B24" s="7" t="s">
        <v>16</v>
      </c>
      <c r="C24" s="7" t="s">
        <v>17</v>
      </c>
      <c r="D24" s="7"/>
      <c r="E24" s="7" t="s">
        <v>380</v>
      </c>
      <c r="F24" s="7" t="s">
        <v>19</v>
      </c>
      <c r="G24" s="7" t="s">
        <v>31</v>
      </c>
      <c r="H24" s="7" t="s">
        <v>17</v>
      </c>
      <c r="I24" s="7" t="s">
        <v>17</v>
      </c>
      <c r="J24" s="7" t="s">
        <v>381</v>
      </c>
    </row>
    <row r="25" spans="1:10" x14ac:dyDescent="0.25" outlineLevel="2" collapsed="1">
      <c r="A25" s="7" t="s">
        <v>19</v>
      </c>
      <c r="B25" s="7" t="s">
        <v>63</v>
      </c>
      <c r="C25" s="7" t="s">
        <v>17</v>
      </c>
      <c r="D25" s="7"/>
      <c r="E25" s="7" t="s">
        <v>407</v>
      </c>
      <c r="F25" s="7" t="s">
        <v>19</v>
      </c>
      <c r="G25" s="7">
        <v>1</v>
      </c>
      <c r="H25" s="7" t="s">
        <v>17</v>
      </c>
      <c r="I25" s="7" t="s">
        <v>17</v>
      </c>
      <c r="J25" s="7" t="s">
        <v>408</v>
      </c>
    </row>
    <row r="26" spans="1:10" x14ac:dyDescent="0.25" outlineLevel="2" collapsed="1">
      <c r="A26" s="7" t="s">
        <v>19</v>
      </c>
      <c r="B26" s="7" t="s">
        <v>16</v>
      </c>
      <c r="C26" s="7" t="s">
        <v>17</v>
      </c>
      <c r="D26" s="7"/>
      <c r="E26" s="7" t="s">
        <v>409</v>
      </c>
      <c r="F26" s="7" t="s">
        <v>19</v>
      </c>
      <c r="G26" s="7" t="s">
        <v>31</v>
      </c>
      <c r="H26" s="7" t="s">
        <v>17</v>
      </c>
      <c r="I26" s="7" t="s">
        <v>17</v>
      </c>
      <c r="J26" s="7" t="s">
        <v>386</v>
      </c>
    </row>
    <row r="27" spans="1:10" x14ac:dyDescent="0.25" outlineLevel="2" collapsed="1">
      <c r="A27" s="7" t="s">
        <v>19</v>
      </c>
      <c r="B27" s="7" t="s">
        <v>16</v>
      </c>
      <c r="C27" s="7" t="s">
        <v>17</v>
      </c>
      <c r="D27" s="7"/>
      <c r="E27" s="7" t="s">
        <v>410</v>
      </c>
      <c r="F27" s="7" t="s">
        <v>19</v>
      </c>
      <c r="G27" s="7" t="s">
        <v>31</v>
      </c>
      <c r="H27" s="7" t="s">
        <v>17</v>
      </c>
      <c r="I27" s="7" t="s">
        <v>17</v>
      </c>
      <c r="J27" s="7" t="s">
        <v>411</v>
      </c>
    </row>
    <row r="28" spans="1:10" x14ac:dyDescent="0.25">
      <c r="A28" s="5" t="s">
        <v>15</v>
      </c>
      <c r="B28" s="6" t="s">
        <v>2982</v>
      </c>
      <c r="C28" s="5" t="s">
        <v>17</v>
      </c>
      <c r="D28" s="5"/>
      <c r="E28" s="5" t="s">
        <v>413</v>
      </c>
      <c r="F28" s="5" t="s">
        <v>19</v>
      </c>
      <c r="G28" s="5" t="s">
        <v>17</v>
      </c>
      <c r="H28" s="5" t="s">
        <v>17</v>
      </c>
      <c r="I28" s="5" t="s">
        <v>17</v>
      </c>
      <c r="J28" s="5" t="s">
        <v>414</v>
      </c>
    </row>
    <row r="29" spans="1:10" x14ac:dyDescent="0.25" outlineLevel="1" collapsed="1">
      <c r="A29" s="7" t="s">
        <v>15</v>
      </c>
      <c r="B29" s="7" t="s">
        <v>16</v>
      </c>
      <c r="C29" s="7" t="s">
        <v>17</v>
      </c>
      <c r="D29" s="7"/>
      <c r="E29" s="7" t="s">
        <v>415</v>
      </c>
      <c r="F29" s="7" t="s">
        <v>19</v>
      </c>
      <c r="G29" s="7" t="s">
        <v>416</v>
      </c>
      <c r="H29" s="7" t="s">
        <v>17</v>
      </c>
      <c r="I29" s="7" t="s">
        <v>17</v>
      </c>
      <c r="J29" s="7" t="s">
        <v>417</v>
      </c>
    </row>
    <row r="30" spans="1:10" x14ac:dyDescent="0.25" outlineLevel="1" collapsed="1">
      <c r="A30" s="7" t="s">
        <v>15</v>
      </c>
      <c r="B30" s="7" t="s">
        <v>16</v>
      </c>
      <c r="C30" s="7" t="s">
        <v>17</v>
      </c>
      <c r="D30" s="7"/>
      <c r="E30" s="7" t="s">
        <v>418</v>
      </c>
      <c r="F30" s="7" t="s">
        <v>19</v>
      </c>
      <c r="G30" s="7" t="s">
        <v>419</v>
      </c>
      <c r="H30" s="7" t="s">
        <v>17</v>
      </c>
      <c r="I30" s="7" t="s">
        <v>17</v>
      </c>
      <c r="J30" s="7" t="s">
        <v>420</v>
      </c>
    </row>
    <row r="31" spans="1:10" x14ac:dyDescent="0.25" outlineLevel="1" collapsed="1">
      <c r="A31" s="7" t="s">
        <v>19</v>
      </c>
      <c r="B31" s="7" t="s">
        <v>16</v>
      </c>
      <c r="C31" s="7" t="s">
        <v>17</v>
      </c>
      <c r="D31" s="7"/>
      <c r="E31" s="7" t="s">
        <v>421</v>
      </c>
      <c r="F31" s="7" t="s">
        <v>19</v>
      </c>
      <c r="G31" s="7" t="s">
        <v>422</v>
      </c>
      <c r="H31" s="7" t="s">
        <v>17</v>
      </c>
      <c r="I31" s="7" t="s">
        <v>17</v>
      </c>
      <c r="J31" s="7" t="s">
        <v>423</v>
      </c>
    </row>
    <row r="32" spans="1:10" x14ac:dyDescent="0.25" outlineLevel="1" collapsed="1">
      <c r="A32" s="8" t="s">
        <v>19</v>
      </c>
      <c r="B32" s="9" t="s">
        <v>424</v>
      </c>
      <c r="C32" s="8" t="s">
        <v>17</v>
      </c>
      <c r="D32" s="8"/>
      <c r="E32" s="8" t="s">
        <v>425</v>
      </c>
      <c r="F32" s="8" t="s">
        <v>15</v>
      </c>
      <c r="G32" s="8" t="s">
        <v>17</v>
      </c>
      <c r="H32" s="8" t="s">
        <v>17</v>
      </c>
      <c r="I32" s="8" t="s">
        <v>17</v>
      </c>
      <c r="J32" s="8" t="s">
        <v>426</v>
      </c>
    </row>
    <row r="33" spans="1:10" x14ac:dyDescent="0.25" outlineLevel="2" collapsed="1">
      <c r="A33" s="7" t="s">
        <v>15</v>
      </c>
      <c r="B33" s="7" t="s">
        <v>16</v>
      </c>
      <c r="C33" s="7" t="s">
        <v>17</v>
      </c>
      <c r="D33" s="7"/>
      <c r="E33" s="7" t="s">
        <v>427</v>
      </c>
      <c r="F33" s="7" t="s">
        <v>19</v>
      </c>
      <c r="G33" s="7" t="s">
        <v>428</v>
      </c>
      <c r="H33" s="7" t="s">
        <v>17</v>
      </c>
      <c r="I33" s="7" t="s">
        <v>17</v>
      </c>
      <c r="J33" s="7" t="s">
        <v>429</v>
      </c>
    </row>
    <row r="34" spans="1:10" x14ac:dyDescent="0.25" outlineLevel="2" collapsed="1">
      <c r="A34" s="7" t="s">
        <v>15</v>
      </c>
      <c r="B34" s="7" t="s">
        <v>16</v>
      </c>
      <c r="C34" s="7" t="s">
        <v>17</v>
      </c>
      <c r="D34" s="7"/>
      <c r="E34" s="7" t="s">
        <v>430</v>
      </c>
      <c r="F34" s="7" t="s">
        <v>19</v>
      </c>
      <c r="G34" s="7" t="s">
        <v>431</v>
      </c>
      <c r="H34" s="7" t="s">
        <v>17</v>
      </c>
      <c r="I34" s="7" t="s">
        <v>17</v>
      </c>
      <c r="J34" s="7" t="s">
        <v>432</v>
      </c>
    </row>
    <row r="35" spans="1:10" x14ac:dyDescent="0.25" outlineLevel="2" collapsed="1">
      <c r="A35" s="7" t="s">
        <v>15</v>
      </c>
      <c r="B35" s="7" t="s">
        <v>16</v>
      </c>
      <c r="C35" s="7" t="s">
        <v>17</v>
      </c>
      <c r="D35" s="7"/>
      <c r="E35" s="7" t="s">
        <v>433</v>
      </c>
      <c r="F35" s="7" t="s">
        <v>19</v>
      </c>
      <c r="G35" s="7" t="s">
        <v>434</v>
      </c>
      <c r="H35" s="7" t="s">
        <v>17</v>
      </c>
      <c r="I35" s="7" t="s">
        <v>17</v>
      </c>
      <c r="J35" s="7" t="s">
        <v>435</v>
      </c>
    </row>
    <row r="36" spans="1:10" x14ac:dyDescent="0.25">
      <c r="A36" s="5" t="s">
        <v>15</v>
      </c>
      <c r="B36" s="6" t="s">
        <v>436</v>
      </c>
      <c r="C36" s="5" t="s">
        <v>17</v>
      </c>
      <c r="D36" s="5"/>
      <c r="E36" s="5" t="s">
        <v>437</v>
      </c>
      <c r="F36" s="5" t="s">
        <v>19</v>
      </c>
      <c r="G36" s="5" t="s">
        <v>17</v>
      </c>
      <c r="H36" s="5" t="s">
        <v>17</v>
      </c>
      <c r="I36" s="5" t="s">
        <v>17</v>
      </c>
      <c r="J36" s="5" t="s">
        <v>438</v>
      </c>
    </row>
    <row r="37" spans="1:10" x14ac:dyDescent="0.25" outlineLevel="1" collapsed="1">
      <c r="A37" s="7" t="s">
        <v>15</v>
      </c>
      <c r="B37" s="7" t="s">
        <v>291</v>
      </c>
      <c r="C37" s="7" t="s">
        <v>17</v>
      </c>
      <c r="D37" s="7"/>
      <c r="E37" s="7" t="s">
        <v>439</v>
      </c>
      <c r="F37" s="7" t="s">
        <v>19</v>
      </c>
      <c r="G37" s="7" t="s">
        <v>293</v>
      </c>
      <c r="H37" s="7" t="s">
        <v>17</v>
      </c>
      <c r="I37" s="7" t="s">
        <v>17</v>
      </c>
      <c r="J37" s="7" t="s">
        <v>440</v>
      </c>
    </row>
    <row r="38" spans="1:10" x14ac:dyDescent="0.25" outlineLevel="1" collapsed="1">
      <c r="A38" s="7" t="s">
        <v>15</v>
      </c>
      <c r="B38" s="7" t="s">
        <v>291</v>
      </c>
      <c r="C38" s="7" t="s">
        <v>17</v>
      </c>
      <c r="D38" s="7"/>
      <c r="E38" s="7" t="s">
        <v>441</v>
      </c>
      <c r="F38" s="7" t="s">
        <v>19</v>
      </c>
      <c r="G38" s="7" t="s">
        <v>293</v>
      </c>
      <c r="H38" s="7" t="s">
        <v>17</v>
      </c>
      <c r="I38" s="7" t="s">
        <v>17</v>
      </c>
      <c r="J38" s="7" t="s">
        <v>442</v>
      </c>
    </row>
    <row r="39" spans="1:10" x14ac:dyDescent="0.25" outlineLevel="1" collapsed="1">
      <c r="A39" s="7" t="s">
        <v>15</v>
      </c>
      <c r="B39" s="7" t="s">
        <v>159</v>
      </c>
      <c r="C39" s="7" t="s">
        <v>17</v>
      </c>
      <c r="D39" s="7"/>
      <c r="E39" s="7" t="s">
        <v>443</v>
      </c>
      <c r="F39" s="7" t="s">
        <v>19</v>
      </c>
      <c r="G39" s="7" t="b">
        <v>1</v>
      </c>
      <c r="H39" s="7" t="s">
        <v>17</v>
      </c>
      <c r="I39" s="7" t="s">
        <v>17</v>
      </c>
      <c r="J39" s="7" t="s">
        <v>444</v>
      </c>
    </row>
    <row r="40" spans="1:10" x14ac:dyDescent="0.25" outlineLevel="1" collapsed="1">
      <c r="A40" s="7" t="s">
        <v>19</v>
      </c>
      <c r="B40" s="7" t="s">
        <v>16</v>
      </c>
      <c r="C40" s="7" t="s">
        <v>17</v>
      </c>
      <c r="D40" s="7"/>
      <c r="E40" s="7" t="s">
        <v>445</v>
      </c>
      <c r="F40" s="7" t="s">
        <v>19</v>
      </c>
      <c r="G40" s="7" t="s">
        <v>31</v>
      </c>
      <c r="H40" s="7" t="s">
        <v>17</v>
      </c>
      <c r="I40" s="7" t="s">
        <v>17</v>
      </c>
      <c r="J40" s="7" t="s">
        <v>446</v>
      </c>
    </row>
    <row r="41" spans="1:10" x14ac:dyDescent="0.25" outlineLevel="1" collapsed="1">
      <c r="A41" s="7" t="s">
        <v>15</v>
      </c>
      <c r="B41" s="7" t="s">
        <v>16</v>
      </c>
      <c r="C41" s="7" t="s">
        <v>17</v>
      </c>
      <c r="D41" s="7"/>
      <c r="E41" s="7" t="s">
        <v>447</v>
      </c>
      <c r="F41" s="7" t="s">
        <v>19</v>
      </c>
      <c r="G41" s="7" t="s">
        <v>448</v>
      </c>
      <c r="H41" s="7" t="s">
        <v>17</v>
      </c>
      <c r="I41" s="7" t="s">
        <v>17</v>
      </c>
      <c r="J41" s="7" t="s">
        <v>449</v>
      </c>
    </row>
    <row r="42" spans="1:10" x14ac:dyDescent="0.25" outlineLevel="1" collapsed="1">
      <c r="A42" s="7" t="s">
        <v>15</v>
      </c>
      <c r="B42" s="7" t="s">
        <v>16</v>
      </c>
      <c r="C42" s="7" t="s">
        <v>17</v>
      </c>
      <c r="D42" s="7"/>
      <c r="E42" s="7" t="s">
        <v>450</v>
      </c>
      <c r="F42" s="7" t="s">
        <v>19</v>
      </c>
      <c r="G42" s="7" t="s">
        <v>451</v>
      </c>
      <c r="H42" s="7" t="s">
        <v>17</v>
      </c>
      <c r="I42" s="7" t="s">
        <v>17</v>
      </c>
      <c r="J42" s="7" t="s">
        <v>452</v>
      </c>
    </row>
    <row r="43" spans="1:10" x14ac:dyDescent="0.25" outlineLevel="1" collapsed="1">
      <c r="A43" s="7" t="s">
        <v>15</v>
      </c>
      <c r="B43" s="7" t="s">
        <v>16</v>
      </c>
      <c r="C43" s="7" t="s">
        <v>17</v>
      </c>
      <c r="D43" s="7"/>
      <c r="E43" s="7" t="s">
        <v>453</v>
      </c>
      <c r="F43" s="7" t="s">
        <v>19</v>
      </c>
      <c r="G43" s="7" t="s">
        <v>454</v>
      </c>
      <c r="H43" s="7" t="s">
        <v>17</v>
      </c>
      <c r="I43" s="7" t="s">
        <v>17</v>
      </c>
      <c r="J43" s="7" t="s">
        <v>324</v>
      </c>
    </row>
    <row r="44" spans="1:10" x14ac:dyDescent="0.25" outlineLevel="1" collapsed="1">
      <c r="A44" s="7" t="s">
        <v>19</v>
      </c>
      <c r="B44" s="7" t="s">
        <v>16</v>
      </c>
      <c r="C44" s="7" t="s">
        <v>17</v>
      </c>
      <c r="D44" s="7"/>
      <c r="E44" s="7" t="s">
        <v>455</v>
      </c>
      <c r="F44" s="7" t="s">
        <v>19</v>
      </c>
      <c r="G44" s="7" t="s">
        <v>31</v>
      </c>
      <c r="H44" s="7" t="s">
        <v>17</v>
      </c>
      <c r="I44" s="7" t="s">
        <v>17</v>
      </c>
      <c r="J44" s="7" t="s">
        <v>456</v>
      </c>
    </row>
    <row r="45" spans="1:10" x14ac:dyDescent="0.25">
      <c r="A45" s="5" t="s">
        <v>15</v>
      </c>
      <c r="B45" s="6" t="s">
        <v>2983</v>
      </c>
      <c r="C45" s="5" t="s">
        <v>17</v>
      </c>
      <c r="D45" s="5"/>
      <c r="E45" s="5" t="s">
        <v>458</v>
      </c>
      <c r="F45" s="5" t="s">
        <v>19</v>
      </c>
      <c r="G45" s="5" t="s">
        <v>17</v>
      </c>
      <c r="H45" s="5" t="s">
        <v>17</v>
      </c>
      <c r="I45" s="5" t="s">
        <v>17</v>
      </c>
      <c r="J45" s="5" t="s">
        <v>459</v>
      </c>
    </row>
    <row r="46" spans="1:10" x14ac:dyDescent="0.25" outlineLevel="1" collapsed="1">
      <c r="A46" s="7" t="s">
        <v>15</v>
      </c>
      <c r="B46" s="7" t="s">
        <v>16</v>
      </c>
      <c r="C46" s="7" t="s">
        <v>17</v>
      </c>
      <c r="D46" s="7"/>
      <c r="E46" s="7" t="s">
        <v>460</v>
      </c>
      <c r="F46" s="7" t="s">
        <v>19</v>
      </c>
      <c r="G46" s="7" t="s">
        <v>461</v>
      </c>
      <c r="H46" s="7" t="s">
        <v>17</v>
      </c>
      <c r="I46" s="7" t="s">
        <v>17</v>
      </c>
      <c r="J46" s="7" t="s">
        <v>462</v>
      </c>
    </row>
    <row r="47" spans="1:10" x14ac:dyDescent="0.25" outlineLevel="1" collapsed="1">
      <c r="A47" s="7" t="s">
        <v>15</v>
      </c>
      <c r="B47" s="7" t="s">
        <v>63</v>
      </c>
      <c r="C47" s="7" t="s">
        <v>17</v>
      </c>
      <c r="D47" s="7"/>
      <c r="E47" s="7" t="s">
        <v>463</v>
      </c>
      <c r="F47" s="7" t="s">
        <v>19</v>
      </c>
      <c r="G47" s="7">
        <v>0</v>
      </c>
      <c r="H47" s="7" t="s">
        <v>17</v>
      </c>
      <c r="I47" s="7" t="s">
        <v>17</v>
      </c>
      <c r="J47" s="7" t="s">
        <v>464</v>
      </c>
    </row>
    <row r="48" spans="1:10" x14ac:dyDescent="0.25" outlineLevel="1" collapsed="1">
      <c r="A48" s="7" t="s">
        <v>15</v>
      </c>
      <c r="B48" s="7" t="s">
        <v>63</v>
      </c>
      <c r="C48" s="7" t="s">
        <v>17</v>
      </c>
      <c r="D48" s="7"/>
      <c r="E48" s="7" t="s">
        <v>465</v>
      </c>
      <c r="F48" s="7" t="s">
        <v>19</v>
      </c>
      <c r="G48" s="7">
        <v>0</v>
      </c>
      <c r="H48" s="7" t="s">
        <v>17</v>
      </c>
      <c r="I48" s="7" t="s">
        <v>17</v>
      </c>
      <c r="J48" s="7" t="s">
        <v>466</v>
      </c>
    </row>
    <row r="49" spans="1:10" x14ac:dyDescent="0.25" outlineLevel="1" collapsed="1">
      <c r="A49" s="7" t="s">
        <v>15</v>
      </c>
      <c r="B49" s="7" t="s">
        <v>63</v>
      </c>
      <c r="C49" s="7" t="s">
        <v>17</v>
      </c>
      <c r="D49" s="7"/>
      <c r="E49" s="7" t="s">
        <v>467</v>
      </c>
      <c r="F49" s="7" t="s">
        <v>19</v>
      </c>
      <c r="G49" s="7">
        <v>0</v>
      </c>
      <c r="H49" s="7" t="s">
        <v>17</v>
      </c>
      <c r="I49" s="7" t="s">
        <v>17</v>
      </c>
      <c r="J49" s="7" t="s">
        <v>468</v>
      </c>
    </row>
    <row r="50" spans="1:10" x14ac:dyDescent="0.25" outlineLevel="1" collapsed="1">
      <c r="A50" s="7" t="s">
        <v>15</v>
      </c>
      <c r="B50" s="7" t="s">
        <v>63</v>
      </c>
      <c r="C50" s="7" t="s">
        <v>17</v>
      </c>
      <c r="D50" s="7"/>
      <c r="E50" s="7" t="s">
        <v>469</v>
      </c>
      <c r="F50" s="7" t="s">
        <v>19</v>
      </c>
      <c r="G50" s="7">
        <v>0</v>
      </c>
      <c r="H50" s="7" t="s">
        <v>17</v>
      </c>
      <c r="I50" s="7" t="s">
        <v>17</v>
      </c>
      <c r="J50" s="7" t="s">
        <v>470</v>
      </c>
    </row>
    <row r="51" spans="1:10" x14ac:dyDescent="0.25" outlineLevel="1" collapsed="1">
      <c r="A51" s="8" t="s">
        <v>19</v>
      </c>
      <c r="B51" s="9" t="s">
        <v>471</v>
      </c>
      <c r="C51" s="8" t="s">
        <v>17</v>
      </c>
      <c r="D51" s="8"/>
      <c r="E51" s="8" t="s">
        <v>472</v>
      </c>
      <c r="F51" s="8" t="s">
        <v>15</v>
      </c>
      <c r="G51" s="8" t="s">
        <v>17</v>
      </c>
      <c r="H51" s="8" t="s">
        <v>17</v>
      </c>
      <c r="I51" s="8" t="s">
        <v>17</v>
      </c>
      <c r="J51" s="8" t="s">
        <v>473</v>
      </c>
    </row>
    <row r="52" spans="1:10" x14ac:dyDescent="0.25" outlineLevel="2" collapsed="1">
      <c r="A52" s="7" t="s">
        <v>15</v>
      </c>
      <c r="B52" s="7" t="s">
        <v>16</v>
      </c>
      <c r="C52" s="7" t="s">
        <v>17</v>
      </c>
      <c r="D52" s="7"/>
      <c r="E52" s="7" t="s">
        <v>474</v>
      </c>
      <c r="F52" s="7" t="s">
        <v>19</v>
      </c>
      <c r="G52" s="7" t="s">
        <v>475</v>
      </c>
      <c r="H52" s="7" t="s">
        <v>17</v>
      </c>
      <c r="I52" s="7" t="s">
        <v>17</v>
      </c>
      <c r="J52" s="7" t="s">
        <v>476</v>
      </c>
    </row>
    <row r="53" spans="1:10" x14ac:dyDescent="0.25" outlineLevel="2" collapsed="1">
      <c r="A53" s="7" t="s">
        <v>15</v>
      </c>
      <c r="B53" s="7" t="s">
        <v>284</v>
      </c>
      <c r="C53" s="11" t="s">
        <v>477</v>
      </c>
      <c r="D53" s="7"/>
      <c r="E53" s="7" t="s">
        <v>478</v>
      </c>
      <c r="F53" s="7" t="s">
        <v>19</v>
      </c>
      <c r="G53" s="7" t="s">
        <v>479</v>
      </c>
      <c r="H53" s="7" t="s">
        <v>17</v>
      </c>
      <c r="I53" s="7" t="s">
        <v>17</v>
      </c>
      <c r="J53" s="7" t="s">
        <v>480</v>
      </c>
    </row>
    <row r="54" spans="1:10" x14ac:dyDescent="0.25" outlineLevel="2" collapsed="1">
      <c r="A54" s="7" t="s">
        <v>15</v>
      </c>
      <c r="B54" s="7" t="s">
        <v>16</v>
      </c>
      <c r="C54" s="7" t="s">
        <v>17</v>
      </c>
      <c r="D54" s="7"/>
      <c r="E54" s="7" t="s">
        <v>481</v>
      </c>
      <c r="F54" s="7" t="s">
        <v>19</v>
      </c>
      <c r="G54" s="7" t="s">
        <v>482</v>
      </c>
      <c r="H54" s="7" t="s">
        <v>17</v>
      </c>
      <c r="I54" s="7" t="s">
        <v>17</v>
      </c>
      <c r="J54" s="7" t="s">
        <v>483</v>
      </c>
    </row>
  </sheetData>
  <mergeCells count="3">
    <mergeCell ref="A1:J1"/>
    <mergeCell ref="B2:J2"/>
    <mergeCell ref="B3:J3"/>
  </mergeCells>
  <dataValidations count="1">
    <dataValidation type="list" allowBlank="1" sqref="G53:I53">
      <formula1>'Enums'!C799:C801</formula1>
    </dataValidation>
  </dataValidations>
  <hyperlinks>
    <hyperlink ref="B5" r:id="rId1" location="#'2.1 Method and Criteria (VC 2'!A1"/>
    <hyperlink ref="B7" r:id="rId2" location="#'Schedule milestone (Validation'!A1"/>
    <hyperlink ref="B10" r:id="rId3" location="#'2.2 Document Review (VCS Valid'!A1"/>
    <hyperlink ref="B11" r:id="rId4" location="#'Document review summary (Valid'!A1"/>
    <hyperlink ref="B17" r:id="rId5" location="#'Document list row (Validation'!A1"/>
    <hyperlink ref="B22" r:id="rId6" location="#'Document review details row (V'!A1"/>
    <hyperlink ref="B28" r:id="rId7" location="#'Interviews (Validation)'!A1"/>
    <hyperlink ref="B32" r:id="rId8" location="#'Interviewee row (Validation an'!A1"/>
    <hyperlink ref="B36" r:id="rId9" location="#'Site visits (Validation and Ve'!A1"/>
    <hyperlink ref="B45" r:id="rId10" location="#'Resolution of CARs CLs and  2'!A1"/>
    <hyperlink ref="B51" r:id="rId11" location="#'CARCLFAR reference row (Valida'!A1"/>
  </hyperlinks>
  <pageMargins left="0.7" right="0.7" top="0.75" bottom="0.75" header="0.3" footer="0.3"/>
  <pageSetup orientation="portrait" horizontalDpi="4294967295" verticalDpi="4294967295" scale="100" fitToWidth="1" fitToHeight="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2988</v>
      </c>
      <c r="B1" s="1"/>
      <c r="C1" s="1"/>
      <c r="D1" s="1"/>
      <c r="E1" s="1"/>
      <c r="F1" s="1"/>
      <c r="G1" s="1"/>
      <c r="H1" s="1"/>
      <c r="I1" s="1"/>
      <c r="J1" s="1"/>
    </row>
    <row r="2" spans="1:10" x14ac:dyDescent="0.25">
      <c r="A2" s="2" t="s">
        <v>1</v>
      </c>
      <c r="B2" s="3" t="s">
        <v>3698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2989</v>
      </c>
      <c r="B1" s="1"/>
      <c r="C1" s="1"/>
      <c r="D1" s="1"/>
      <c r="E1" s="1"/>
      <c r="F1" s="1"/>
      <c r="G1" s="1"/>
      <c r="H1" s="1"/>
      <c r="I1" s="1"/>
      <c r="J1" s="1"/>
    </row>
    <row r="2" spans="1:10" x14ac:dyDescent="0.25">
      <c r="A2" s="2" t="s">
        <v>1</v>
      </c>
      <c r="B2" s="3" t="s">
        <v>3699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5" t="s">
        <v>16</v>
      </c>
      <c r="C7" s="5" t="s">
        <v>17</v>
      </c>
      <c r="D7" s="5"/>
      <c r="E7" s="5" t="s">
        <v>539</v>
      </c>
      <c r="F7" s="5" t="s">
        <v>19</v>
      </c>
      <c r="G7" s="5" t="s">
        <v>31</v>
      </c>
      <c r="H7" s="5" t="s">
        <v>17</v>
      </c>
      <c r="I7" s="5" t="s">
        <v>17</v>
      </c>
      <c r="J7" s="5" t="s">
        <v>540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2991</v>
      </c>
      <c r="B1" s="1"/>
      <c r="C1" s="1"/>
      <c r="D1" s="1"/>
      <c r="E1" s="1"/>
      <c r="F1" s="1"/>
      <c r="G1" s="1"/>
      <c r="H1" s="1"/>
      <c r="I1" s="1"/>
      <c r="J1" s="1"/>
    </row>
    <row r="2" spans="1:10" x14ac:dyDescent="0.25">
      <c r="A2" s="2" t="s">
        <v>1</v>
      </c>
      <c r="B2" s="3" t="s">
        <v>3700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2992</v>
      </c>
      <c r="B1" s="1"/>
      <c r="C1" s="1"/>
      <c r="D1" s="1"/>
      <c r="E1" s="1"/>
      <c r="F1" s="1"/>
      <c r="G1" s="1"/>
      <c r="H1" s="1"/>
      <c r="I1" s="1"/>
      <c r="J1" s="1"/>
    </row>
    <row r="2" spans="1:10" x14ac:dyDescent="0.25">
      <c r="A2" s="2" t="s">
        <v>1</v>
      </c>
      <c r="B2" s="3" t="s">
        <v>3701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2993</v>
      </c>
      <c r="C5" s="5" t="s">
        <v>17</v>
      </c>
      <c r="D5" s="5"/>
      <c r="E5" s="5" t="s">
        <v>2994</v>
      </c>
      <c r="F5" s="5" t="s">
        <v>19</v>
      </c>
      <c r="G5" s="5" t="s">
        <v>17</v>
      </c>
      <c r="H5" s="5" t="s">
        <v>17</v>
      </c>
      <c r="I5" s="5" t="s">
        <v>17</v>
      </c>
      <c r="J5" s="5" t="s">
        <v>2293</v>
      </c>
    </row>
    <row r="6" spans="1:10" x14ac:dyDescent="0.25" outlineLevel="1" collapsed="1">
      <c r="A6" s="7" t="s">
        <v>19</v>
      </c>
      <c r="B6" s="7" t="s">
        <v>159</v>
      </c>
      <c r="C6" s="7" t="s">
        <v>17</v>
      </c>
      <c r="D6" s="7"/>
      <c r="E6" s="7" t="s">
        <v>2995</v>
      </c>
      <c r="F6" s="7" t="s">
        <v>19</v>
      </c>
      <c r="G6" s="7" t="b">
        <v>1</v>
      </c>
      <c r="H6" s="7" t="s">
        <v>17</v>
      </c>
      <c r="I6" s="7" t="s">
        <v>17</v>
      </c>
      <c r="J6" s="7" t="s">
        <v>2996</v>
      </c>
    </row>
    <row r="7" spans="1:10" x14ac:dyDescent="0.25" outlineLevel="1" collapsed="1">
      <c r="A7" s="7" t="s">
        <v>19</v>
      </c>
      <c r="B7" s="7" t="s">
        <v>159</v>
      </c>
      <c r="C7" s="7" t="s">
        <v>17</v>
      </c>
      <c r="D7" s="7"/>
      <c r="E7" s="7" t="s">
        <v>2997</v>
      </c>
      <c r="F7" s="7" t="s">
        <v>19</v>
      </c>
      <c r="G7" s="7" t="b">
        <v>1</v>
      </c>
      <c r="H7" s="7" t="s">
        <v>17</v>
      </c>
      <c r="I7" s="7" t="s">
        <v>17</v>
      </c>
      <c r="J7" s="7" t="s">
        <v>2998</v>
      </c>
    </row>
    <row r="8" spans="1:10" x14ac:dyDescent="0.25" outlineLevel="1" collapsed="1">
      <c r="A8" s="7" t="s">
        <v>19</v>
      </c>
      <c r="B8" s="7" t="s">
        <v>159</v>
      </c>
      <c r="C8" s="7" t="s">
        <v>17</v>
      </c>
      <c r="D8" s="7"/>
      <c r="E8" s="7" t="s">
        <v>2999</v>
      </c>
      <c r="F8" s="7" t="s">
        <v>19</v>
      </c>
      <c r="G8" s="7" t="b">
        <v>1</v>
      </c>
      <c r="H8" s="7" t="s">
        <v>17</v>
      </c>
      <c r="I8" s="7" t="s">
        <v>17</v>
      </c>
      <c r="J8" s="7" t="s">
        <v>3000</v>
      </c>
    </row>
    <row r="9" spans="1:10" x14ac:dyDescent="0.25" outlineLevel="1" collapsed="1">
      <c r="A9" s="7" t="s">
        <v>15</v>
      </c>
      <c r="B9" s="7" t="s">
        <v>16</v>
      </c>
      <c r="C9" s="7" t="s">
        <v>17</v>
      </c>
      <c r="D9" s="7"/>
      <c r="E9" s="7" t="s">
        <v>3001</v>
      </c>
      <c r="F9" s="7" t="s">
        <v>19</v>
      </c>
      <c r="G9" s="7" t="s">
        <v>31</v>
      </c>
      <c r="H9" s="7" t="s">
        <v>17</v>
      </c>
      <c r="I9" s="7" t="s">
        <v>17</v>
      </c>
      <c r="J9" s="7" t="s">
        <v>494</v>
      </c>
    </row>
    <row r="10" spans="1:10" x14ac:dyDescent="0.25" outlineLevel="1" collapsed="1">
      <c r="A10" s="7" t="s">
        <v>15</v>
      </c>
      <c r="B10" s="7" t="s">
        <v>16</v>
      </c>
      <c r="C10" s="7" t="s">
        <v>17</v>
      </c>
      <c r="D10" s="7"/>
      <c r="E10" s="7" t="s">
        <v>3002</v>
      </c>
      <c r="F10" s="7" t="s">
        <v>19</v>
      </c>
      <c r="G10" s="7" t="s">
        <v>31</v>
      </c>
      <c r="H10" s="7" t="s">
        <v>17</v>
      </c>
      <c r="I10" s="7" t="s">
        <v>17</v>
      </c>
      <c r="J10" s="7" t="s">
        <v>497</v>
      </c>
    </row>
    <row r="11" spans="1:10" x14ac:dyDescent="0.25">
      <c r="A11" s="5" t="s">
        <v>19</v>
      </c>
      <c r="B11" s="6" t="s">
        <v>3003</v>
      </c>
      <c r="C11" s="5" t="s">
        <v>17</v>
      </c>
      <c r="D11" s="5"/>
      <c r="E11" s="5" t="s">
        <v>3004</v>
      </c>
      <c r="F11" s="5" t="s">
        <v>19</v>
      </c>
      <c r="G11" s="5" t="s">
        <v>17</v>
      </c>
      <c r="H11" s="5" t="s">
        <v>17</v>
      </c>
      <c r="I11" s="5" t="s">
        <v>17</v>
      </c>
      <c r="J11" s="5" t="s">
        <v>3005</v>
      </c>
    </row>
    <row r="12" spans="1:10" x14ac:dyDescent="0.25" outlineLevel="1" collapsed="1">
      <c r="A12" s="7" t="s">
        <v>15</v>
      </c>
      <c r="B12" s="7" t="s">
        <v>16</v>
      </c>
      <c r="C12" s="7" t="s">
        <v>17</v>
      </c>
      <c r="D12" s="7"/>
      <c r="E12" s="7" t="s">
        <v>3006</v>
      </c>
      <c r="F12" s="7" t="s">
        <v>19</v>
      </c>
      <c r="G12" s="7" t="s">
        <v>31</v>
      </c>
      <c r="H12" s="7" t="s">
        <v>17</v>
      </c>
      <c r="I12" s="7" t="s">
        <v>17</v>
      </c>
      <c r="J12" s="7" t="s">
        <v>494</v>
      </c>
    </row>
    <row r="13" spans="1:10" x14ac:dyDescent="0.25" outlineLevel="1" collapsed="1">
      <c r="A13" s="7" t="s">
        <v>15</v>
      </c>
      <c r="B13" s="7" t="s">
        <v>16</v>
      </c>
      <c r="C13" s="7" t="s">
        <v>17</v>
      </c>
      <c r="D13" s="7"/>
      <c r="E13" s="7" t="s">
        <v>3007</v>
      </c>
      <c r="F13" s="7" t="s">
        <v>19</v>
      </c>
      <c r="G13" s="7" t="s">
        <v>31</v>
      </c>
      <c r="H13" s="7" t="s">
        <v>17</v>
      </c>
      <c r="I13" s="7" t="s">
        <v>17</v>
      </c>
      <c r="J13" s="7" t="s">
        <v>497</v>
      </c>
    </row>
    <row r="14" spans="1:10" x14ac:dyDescent="0.25">
      <c r="A14" s="5" t="s">
        <v>19</v>
      </c>
      <c r="B14" s="6" t="s">
        <v>3008</v>
      </c>
      <c r="C14" s="5" t="s">
        <v>17</v>
      </c>
      <c r="D14" s="5"/>
      <c r="E14" s="5" t="s">
        <v>3009</v>
      </c>
      <c r="F14" s="5" t="s">
        <v>19</v>
      </c>
      <c r="G14" s="5" t="s">
        <v>17</v>
      </c>
      <c r="H14" s="5" t="s">
        <v>17</v>
      </c>
      <c r="I14" s="5" t="s">
        <v>17</v>
      </c>
      <c r="J14" s="5" t="s">
        <v>3010</v>
      </c>
    </row>
    <row r="15" spans="1:10" x14ac:dyDescent="0.25" outlineLevel="1" collapsed="1">
      <c r="A15" s="7" t="s">
        <v>19</v>
      </c>
      <c r="B15" s="7" t="s">
        <v>159</v>
      </c>
      <c r="C15" s="7" t="s">
        <v>17</v>
      </c>
      <c r="D15" s="7"/>
      <c r="E15" s="7" t="s">
        <v>3011</v>
      </c>
      <c r="F15" s="7" t="s">
        <v>19</v>
      </c>
      <c r="G15" s="7" t="b">
        <v>1</v>
      </c>
      <c r="H15" s="7" t="s">
        <v>17</v>
      </c>
      <c r="I15" s="7" t="s">
        <v>17</v>
      </c>
      <c r="J15" s="7" t="s">
        <v>2996</v>
      </c>
    </row>
    <row r="16" spans="1:10" x14ac:dyDescent="0.25" outlineLevel="1" collapsed="1">
      <c r="A16" s="7" t="s">
        <v>19</v>
      </c>
      <c r="B16" s="7" t="s">
        <v>159</v>
      </c>
      <c r="C16" s="7" t="s">
        <v>17</v>
      </c>
      <c r="D16" s="7"/>
      <c r="E16" s="7" t="s">
        <v>3012</v>
      </c>
      <c r="F16" s="7" t="s">
        <v>19</v>
      </c>
      <c r="G16" s="7" t="b">
        <v>1</v>
      </c>
      <c r="H16" s="7" t="s">
        <v>17</v>
      </c>
      <c r="I16" s="7" t="s">
        <v>17</v>
      </c>
      <c r="J16" s="7" t="s">
        <v>2998</v>
      </c>
    </row>
    <row r="17" spans="1:10" x14ac:dyDescent="0.25" outlineLevel="1" collapsed="1">
      <c r="A17" s="7" t="s">
        <v>19</v>
      </c>
      <c r="B17" s="7" t="s">
        <v>159</v>
      </c>
      <c r="C17" s="7" t="s">
        <v>17</v>
      </c>
      <c r="D17" s="7"/>
      <c r="E17" s="7" t="s">
        <v>3013</v>
      </c>
      <c r="F17" s="7" t="s">
        <v>19</v>
      </c>
      <c r="G17" s="7" t="b">
        <v>1</v>
      </c>
      <c r="H17" s="7" t="s">
        <v>17</v>
      </c>
      <c r="I17" s="7" t="s">
        <v>17</v>
      </c>
      <c r="J17" s="7" t="s">
        <v>3000</v>
      </c>
    </row>
    <row r="18" spans="1:10" x14ac:dyDescent="0.25" outlineLevel="1" collapsed="1">
      <c r="A18" s="7" t="s">
        <v>19</v>
      </c>
      <c r="B18" s="7" t="s">
        <v>159</v>
      </c>
      <c r="C18" s="7" t="s">
        <v>17</v>
      </c>
      <c r="D18" s="7"/>
      <c r="E18" s="7" t="s">
        <v>3014</v>
      </c>
      <c r="F18" s="7" t="s">
        <v>19</v>
      </c>
      <c r="G18" s="7" t="b">
        <v>1</v>
      </c>
      <c r="H18" s="7" t="s">
        <v>17</v>
      </c>
      <c r="I18" s="7" t="s">
        <v>17</v>
      </c>
      <c r="J18" s="7" t="s">
        <v>3015</v>
      </c>
    </row>
    <row r="19" spans="1:10" x14ac:dyDescent="0.25" outlineLevel="1" collapsed="1">
      <c r="A19" s="7" t="s">
        <v>15</v>
      </c>
      <c r="B19" s="7" t="s">
        <v>16</v>
      </c>
      <c r="C19" s="7" t="s">
        <v>17</v>
      </c>
      <c r="D19" s="7"/>
      <c r="E19" s="7" t="s">
        <v>3016</v>
      </c>
      <c r="F19" s="7" t="s">
        <v>19</v>
      </c>
      <c r="G19" s="7" t="s">
        <v>31</v>
      </c>
      <c r="H19" s="7" t="s">
        <v>17</v>
      </c>
      <c r="I19" s="7" t="s">
        <v>17</v>
      </c>
      <c r="J19" s="7" t="s">
        <v>494</v>
      </c>
    </row>
    <row r="20" spans="1:10" x14ac:dyDescent="0.25" outlineLevel="1" collapsed="1">
      <c r="A20" s="7" t="s">
        <v>15</v>
      </c>
      <c r="B20" s="7" t="s">
        <v>16</v>
      </c>
      <c r="C20" s="7" t="s">
        <v>17</v>
      </c>
      <c r="D20" s="7"/>
      <c r="E20" s="7" t="s">
        <v>3017</v>
      </c>
      <c r="F20" s="7" t="s">
        <v>19</v>
      </c>
      <c r="G20" s="7" t="s">
        <v>31</v>
      </c>
      <c r="H20" s="7" t="s">
        <v>17</v>
      </c>
      <c r="I20" s="7" t="s">
        <v>17</v>
      </c>
      <c r="J20" s="7" t="s">
        <v>497</v>
      </c>
    </row>
    <row r="21" spans="1:10" x14ac:dyDescent="0.25">
      <c r="A21" s="5" t="s">
        <v>19</v>
      </c>
      <c r="B21" s="6" t="s">
        <v>3018</v>
      </c>
      <c r="C21" s="5" t="s">
        <v>17</v>
      </c>
      <c r="D21" s="5"/>
      <c r="E21" s="5" t="s">
        <v>3019</v>
      </c>
      <c r="F21" s="5" t="s">
        <v>19</v>
      </c>
      <c r="G21" s="5" t="s">
        <v>17</v>
      </c>
      <c r="H21" s="5" t="s">
        <v>17</v>
      </c>
      <c r="I21" s="5" t="s">
        <v>17</v>
      </c>
      <c r="J21" s="5" t="s">
        <v>972</v>
      </c>
    </row>
    <row r="22" spans="1:10" x14ac:dyDescent="0.25" outlineLevel="1" collapsed="1">
      <c r="A22" s="7" t="s">
        <v>15</v>
      </c>
      <c r="B22" s="7" t="s">
        <v>16</v>
      </c>
      <c r="C22" s="7" t="s">
        <v>17</v>
      </c>
      <c r="D22" s="7"/>
      <c r="E22" s="7" t="s">
        <v>3020</v>
      </c>
      <c r="F22" s="7" t="s">
        <v>19</v>
      </c>
      <c r="G22" s="7" t="s">
        <v>31</v>
      </c>
      <c r="H22" s="7" t="s">
        <v>17</v>
      </c>
      <c r="I22" s="7" t="s">
        <v>17</v>
      </c>
      <c r="J22" s="7" t="s">
        <v>494</v>
      </c>
    </row>
    <row r="23" spans="1:10" x14ac:dyDescent="0.25" outlineLevel="1" collapsed="1">
      <c r="A23" s="7" t="s">
        <v>15</v>
      </c>
      <c r="B23" s="7" t="s">
        <v>16</v>
      </c>
      <c r="C23" s="7" t="s">
        <v>17</v>
      </c>
      <c r="D23" s="7"/>
      <c r="E23" s="7" t="s">
        <v>3021</v>
      </c>
      <c r="F23" s="7" t="s">
        <v>19</v>
      </c>
      <c r="G23" s="7" t="s">
        <v>31</v>
      </c>
      <c r="H23" s="7" t="s">
        <v>17</v>
      </c>
      <c r="I23" s="7" t="s">
        <v>17</v>
      </c>
      <c r="J23" s="7" t="s">
        <v>497</v>
      </c>
    </row>
    <row r="24" spans="1:10" x14ac:dyDescent="0.25">
      <c r="A24" s="5" t="s">
        <v>19</v>
      </c>
      <c r="B24" s="6" t="s">
        <v>502</v>
      </c>
      <c r="C24" s="5" t="s">
        <v>17</v>
      </c>
      <c r="D24" s="5"/>
      <c r="E24" s="5" t="s">
        <v>503</v>
      </c>
      <c r="F24" s="5" t="s">
        <v>15</v>
      </c>
      <c r="G24" s="5" t="s">
        <v>17</v>
      </c>
      <c r="H24" s="5" t="s">
        <v>17</v>
      </c>
      <c r="I24" s="5" t="s">
        <v>17</v>
      </c>
      <c r="J24" s="5" t="s">
        <v>504</v>
      </c>
    </row>
    <row r="25" spans="1:10" x14ac:dyDescent="0.25" outlineLevel="1" collapsed="1">
      <c r="A25" s="7" t="s">
        <v>19</v>
      </c>
      <c r="B25" s="7" t="s">
        <v>16</v>
      </c>
      <c r="C25" s="7" t="s">
        <v>17</v>
      </c>
      <c r="D25" s="7"/>
      <c r="E25" s="7" t="s">
        <v>505</v>
      </c>
      <c r="F25" s="7" t="s">
        <v>19</v>
      </c>
      <c r="G25" s="7" t="s">
        <v>31</v>
      </c>
      <c r="H25" s="7" t="s">
        <v>17</v>
      </c>
      <c r="I25" s="7" t="s">
        <v>17</v>
      </c>
      <c r="J25" s="7" t="s">
        <v>506</v>
      </c>
    </row>
    <row r="26" spans="1:10" x14ac:dyDescent="0.25" outlineLevel="1" collapsed="1">
      <c r="A26" s="7" t="s">
        <v>19</v>
      </c>
      <c r="B26" s="7" t="s">
        <v>16</v>
      </c>
      <c r="C26" s="7" t="s">
        <v>17</v>
      </c>
      <c r="D26" s="7"/>
      <c r="E26" s="7" t="s">
        <v>501</v>
      </c>
      <c r="F26" s="7" t="s">
        <v>19</v>
      </c>
      <c r="G26" s="7" t="s">
        <v>31</v>
      </c>
      <c r="H26" s="7" t="s">
        <v>17</v>
      </c>
      <c r="I26" s="7" t="s">
        <v>17</v>
      </c>
      <c r="J26" s="7" t="s">
        <v>497</v>
      </c>
    </row>
  </sheetData>
  <mergeCells count="3">
    <mergeCell ref="A1:J1"/>
    <mergeCell ref="B2:J2"/>
    <mergeCell ref="B3:J3"/>
  </mergeCells>
  <hyperlinks>
    <hyperlink ref="B5" r:id="rId1" location="#'3.1.4.1 Deadlines for Particip'!A1"/>
    <hyperlink ref="B11" r:id="rId2" location="#'3.1.4.2 AFOLU Project Eligibil'!A1"/>
    <hyperlink ref="B14" r:id="rId3" location="#'3.1.4.3 Eligibility of Project'!A1"/>
    <hyperlink ref="B21" r:id="rId4" location="#'3.1.4.4 Capacity Limit Eligibi'!A1"/>
    <hyperlink ref="B24" r:id="rId5" location="#'Deadlines for Participation ro'!A1"/>
  </hyperlinks>
  <pageMargins left="0.7" right="0.7" top="0.75" bottom="0.75" header="0.3" footer="0.3"/>
  <pageSetup orientation="portrait" horizontalDpi="4294967295" verticalDpi="4294967295" scale="100" fitToWidth="1" fitToHeight="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3023</v>
      </c>
      <c r="B1" s="1"/>
      <c r="C1" s="1"/>
      <c r="D1" s="1"/>
      <c r="E1" s="1"/>
      <c r="F1" s="1"/>
      <c r="G1" s="1"/>
      <c r="H1" s="1"/>
      <c r="I1" s="1"/>
      <c r="J1" s="1"/>
    </row>
    <row r="2" spans="1:10" x14ac:dyDescent="0.25">
      <c r="A2" s="2" t="s">
        <v>1</v>
      </c>
      <c r="B2" s="3" t="s">
        <v>3702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3025</v>
      </c>
      <c r="B1" s="1"/>
      <c r="C1" s="1"/>
      <c r="D1" s="1"/>
      <c r="E1" s="1"/>
      <c r="F1" s="1"/>
      <c r="G1" s="1"/>
      <c r="H1" s="1"/>
      <c r="I1" s="1"/>
      <c r="J1" s="1"/>
    </row>
    <row r="2" spans="1:10" x14ac:dyDescent="0.25">
      <c r="A2" s="2" t="s">
        <v>1</v>
      </c>
      <c r="B2" s="3" t="s">
        <v>3703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3027</v>
      </c>
      <c r="B1" s="1"/>
      <c r="C1" s="1"/>
      <c r="D1" s="1"/>
      <c r="E1" s="1"/>
      <c r="F1" s="1"/>
      <c r="G1" s="1"/>
      <c r="H1" s="1"/>
      <c r="I1" s="1"/>
      <c r="J1" s="1"/>
    </row>
    <row r="2" spans="1:10" x14ac:dyDescent="0.25">
      <c r="A2" s="2" t="s">
        <v>1</v>
      </c>
      <c r="B2" s="3" t="s">
        <v>3704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3028</v>
      </c>
      <c r="B1" s="1"/>
      <c r="C1" s="1"/>
      <c r="D1" s="1"/>
      <c r="E1" s="1"/>
      <c r="F1" s="1"/>
      <c r="G1" s="1"/>
      <c r="H1" s="1"/>
      <c r="I1" s="1"/>
      <c r="J1" s="1"/>
    </row>
    <row r="2" spans="1:10" x14ac:dyDescent="0.25">
      <c r="A2" s="2" t="s">
        <v>1</v>
      </c>
      <c r="B2" s="3" t="s">
        <v>3705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3030</v>
      </c>
      <c r="B1" s="1"/>
      <c r="C1" s="1"/>
      <c r="D1" s="1"/>
      <c r="E1" s="1"/>
      <c r="F1" s="1"/>
      <c r="G1" s="1"/>
      <c r="H1" s="1"/>
      <c r="I1" s="1"/>
      <c r="J1" s="1"/>
    </row>
    <row r="2" spans="1:10" x14ac:dyDescent="0.25">
      <c r="A2" s="2" t="s">
        <v>1</v>
      </c>
      <c r="B2" s="3" t="s">
        <v>3706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3033</v>
      </c>
      <c r="B1" s="1"/>
      <c r="C1" s="1"/>
      <c r="D1" s="1"/>
      <c r="E1" s="1"/>
      <c r="F1" s="1"/>
      <c r="G1" s="1"/>
      <c r="H1" s="1"/>
      <c r="I1" s="1"/>
      <c r="J1" s="1"/>
    </row>
    <row r="2" spans="1:10" x14ac:dyDescent="0.25">
      <c r="A2" s="2" t="s">
        <v>1</v>
      </c>
      <c r="B2" s="3" t="s">
        <v>3707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3035</v>
      </c>
      <c r="B1" s="1"/>
      <c r="C1" s="1"/>
      <c r="D1" s="1"/>
      <c r="E1" s="1"/>
      <c r="F1" s="1"/>
      <c r="G1" s="1"/>
      <c r="H1" s="1"/>
      <c r="I1" s="1"/>
      <c r="J1" s="1"/>
    </row>
    <row r="2" spans="1:10" x14ac:dyDescent="0.25">
      <c r="A2" s="2" t="s">
        <v>1</v>
      </c>
      <c r="B2" s="3" t="s">
        <v>3708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3037</v>
      </c>
      <c r="B1" s="1"/>
      <c r="C1" s="1"/>
      <c r="D1" s="1"/>
      <c r="E1" s="1"/>
      <c r="F1" s="1"/>
      <c r="G1" s="1"/>
      <c r="H1" s="1"/>
      <c r="I1" s="1"/>
      <c r="J1" s="1"/>
    </row>
    <row r="2" spans="1:10" x14ac:dyDescent="0.25">
      <c r="A2" s="2" t="s">
        <v>1</v>
      </c>
      <c r="B2" s="3" t="s">
        <v>3709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3039</v>
      </c>
      <c r="B1" s="1"/>
      <c r="C1" s="1"/>
      <c r="D1" s="1"/>
      <c r="E1" s="1"/>
      <c r="F1" s="1"/>
      <c r="G1" s="1"/>
      <c r="H1" s="1"/>
      <c r="I1" s="1"/>
      <c r="J1" s="1"/>
    </row>
    <row r="2" spans="1:10" x14ac:dyDescent="0.25">
      <c r="A2" s="2" t="s">
        <v>1</v>
      </c>
      <c r="B2" s="3" t="s">
        <v>3710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3040</v>
      </c>
      <c r="C5" s="5" t="s">
        <v>17</v>
      </c>
      <c r="D5" s="5"/>
      <c r="E5" s="5" t="s">
        <v>3041</v>
      </c>
      <c r="F5" s="5" t="s">
        <v>19</v>
      </c>
      <c r="G5" s="5" t="s">
        <v>17</v>
      </c>
      <c r="H5" s="5" t="s">
        <v>17</v>
      </c>
      <c r="I5" s="5" t="s">
        <v>17</v>
      </c>
      <c r="J5" s="5" t="s">
        <v>550</v>
      </c>
    </row>
    <row r="6" spans="1:10" x14ac:dyDescent="0.25" outlineLevel="1" collapsed="1">
      <c r="A6" s="7" t="s">
        <v>15</v>
      </c>
      <c r="B6" s="7" t="s">
        <v>16</v>
      </c>
      <c r="C6" s="7" t="s">
        <v>17</v>
      </c>
      <c r="D6" s="7"/>
      <c r="E6" s="7" t="s">
        <v>3042</v>
      </c>
      <c r="F6" s="7" t="s">
        <v>19</v>
      </c>
      <c r="G6" s="7" t="s">
        <v>31</v>
      </c>
      <c r="H6" s="7" t="s">
        <v>17</v>
      </c>
      <c r="I6" s="7" t="s">
        <v>17</v>
      </c>
      <c r="J6" s="7" t="s">
        <v>494</v>
      </c>
    </row>
    <row r="7" spans="1:10" x14ac:dyDescent="0.25" outlineLevel="1" collapsed="1">
      <c r="A7" s="7" t="s">
        <v>15</v>
      </c>
      <c r="B7" s="7" t="s">
        <v>16</v>
      </c>
      <c r="C7" s="7" t="s">
        <v>17</v>
      </c>
      <c r="D7" s="7"/>
      <c r="E7" s="7" t="s">
        <v>3043</v>
      </c>
      <c r="F7" s="7" t="s">
        <v>19</v>
      </c>
      <c r="G7" s="7" t="s">
        <v>31</v>
      </c>
      <c r="H7" s="7" t="s">
        <v>17</v>
      </c>
      <c r="I7" s="7" t="s">
        <v>17</v>
      </c>
      <c r="J7" s="7" t="s">
        <v>497</v>
      </c>
    </row>
    <row r="8" spans="1:10" x14ac:dyDescent="0.25">
      <c r="A8" s="5" t="s">
        <v>19</v>
      </c>
      <c r="B8" s="6" t="s">
        <v>3044</v>
      </c>
      <c r="C8" s="5" t="s">
        <v>17</v>
      </c>
      <c r="D8" s="5"/>
      <c r="E8" s="5" t="s">
        <v>3045</v>
      </c>
      <c r="F8" s="5" t="s">
        <v>19</v>
      </c>
      <c r="G8" s="5" t="s">
        <v>17</v>
      </c>
      <c r="H8" s="5" t="s">
        <v>17</v>
      </c>
      <c r="I8" s="5" t="s">
        <v>17</v>
      </c>
      <c r="J8" s="5" t="s">
        <v>3046</v>
      </c>
    </row>
    <row r="9" spans="1:10" x14ac:dyDescent="0.25" outlineLevel="1" collapsed="1">
      <c r="A9" s="7" t="s">
        <v>15</v>
      </c>
      <c r="B9" s="7" t="s">
        <v>16</v>
      </c>
      <c r="C9" s="7" t="s">
        <v>17</v>
      </c>
      <c r="D9" s="7"/>
      <c r="E9" s="7" t="s">
        <v>3047</v>
      </c>
      <c r="F9" s="7" t="s">
        <v>19</v>
      </c>
      <c r="G9" s="7" t="s">
        <v>31</v>
      </c>
      <c r="H9" s="7" t="s">
        <v>17</v>
      </c>
      <c r="I9" s="7" t="s">
        <v>17</v>
      </c>
      <c r="J9" s="7" t="s">
        <v>494</v>
      </c>
    </row>
    <row r="10" spans="1:10" x14ac:dyDescent="0.25" outlineLevel="1" collapsed="1">
      <c r="A10" s="7" t="s">
        <v>15</v>
      </c>
      <c r="B10" s="7" t="s">
        <v>16</v>
      </c>
      <c r="C10" s="7" t="s">
        <v>17</v>
      </c>
      <c r="D10" s="7"/>
      <c r="E10" s="7" t="s">
        <v>3048</v>
      </c>
      <c r="F10" s="7" t="s">
        <v>19</v>
      </c>
      <c r="G10" s="7" t="s">
        <v>31</v>
      </c>
      <c r="H10" s="7" t="s">
        <v>17</v>
      </c>
      <c r="I10" s="7" t="s">
        <v>17</v>
      </c>
      <c r="J10" s="7" t="s">
        <v>497</v>
      </c>
    </row>
    <row r="11" spans="1:10" x14ac:dyDescent="0.25">
      <c r="A11" s="5" t="s">
        <v>19</v>
      </c>
      <c r="B11" s="6" t="s">
        <v>3049</v>
      </c>
      <c r="C11" s="5" t="s">
        <v>17</v>
      </c>
      <c r="D11" s="5"/>
      <c r="E11" s="5" t="s">
        <v>3050</v>
      </c>
      <c r="F11" s="5" t="s">
        <v>19</v>
      </c>
      <c r="G11" s="5" t="s">
        <v>17</v>
      </c>
      <c r="H11" s="5" t="s">
        <v>17</v>
      </c>
      <c r="I11" s="5" t="s">
        <v>17</v>
      </c>
      <c r="J11" s="5" t="s">
        <v>3051</v>
      </c>
    </row>
    <row r="12" spans="1:10" x14ac:dyDescent="0.25" outlineLevel="1" collapsed="1">
      <c r="A12" s="7" t="s">
        <v>15</v>
      </c>
      <c r="B12" s="7" t="s">
        <v>16</v>
      </c>
      <c r="C12" s="7" t="s">
        <v>17</v>
      </c>
      <c r="D12" s="7"/>
      <c r="E12" s="7" t="s">
        <v>3052</v>
      </c>
      <c r="F12" s="7" t="s">
        <v>19</v>
      </c>
      <c r="G12" s="7" t="s">
        <v>31</v>
      </c>
      <c r="H12" s="7" t="s">
        <v>17</v>
      </c>
      <c r="I12" s="7" t="s">
        <v>17</v>
      </c>
      <c r="J12" s="7" t="s">
        <v>494</v>
      </c>
    </row>
    <row r="13" spans="1:10" x14ac:dyDescent="0.25" outlineLevel="1" collapsed="1">
      <c r="A13" s="7" t="s">
        <v>15</v>
      </c>
      <c r="B13" s="7" t="s">
        <v>16</v>
      </c>
      <c r="C13" s="7" t="s">
        <v>17</v>
      </c>
      <c r="D13" s="7"/>
      <c r="E13" s="7" t="s">
        <v>3053</v>
      </c>
      <c r="F13" s="7" t="s">
        <v>19</v>
      </c>
      <c r="G13" s="7" t="s">
        <v>31</v>
      </c>
      <c r="H13" s="7" t="s">
        <v>17</v>
      </c>
      <c r="I13" s="7" t="s">
        <v>17</v>
      </c>
      <c r="J13" s="7" t="s">
        <v>497</v>
      </c>
    </row>
  </sheetData>
  <mergeCells count="3">
    <mergeCell ref="A1:J1"/>
    <mergeCell ref="B2:J2"/>
    <mergeCell ref="B3:J3"/>
  </mergeCells>
  <hyperlinks>
    <hyperlink ref="B5" r:id="rId1" location="#'3.1.14.1 No Double Issuance (V'!A1"/>
    <hyperlink ref="B8" r:id="rId2" location="#'3.1.14.2 Registration with Oth'!A1"/>
    <hyperlink ref="B11" r:id="rId3" location="#'3.1.14.3 Projects Rejected by'!A1"/>
  </hyperlinks>
  <pageMargins left="0.7" right="0.7" top="0.75" bottom="0.75" header="0.3" footer="0.3"/>
  <pageSetup orientation="portrait" horizontalDpi="4294967295" verticalDpi="4294967295" scale="100" fitToWidth="1" fitToHeight="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3055</v>
      </c>
      <c r="B1" s="1"/>
      <c r="C1" s="1"/>
      <c r="D1" s="1"/>
      <c r="E1" s="1"/>
      <c r="F1" s="1"/>
      <c r="G1" s="1"/>
      <c r="H1" s="1"/>
      <c r="I1" s="1"/>
      <c r="J1" s="1"/>
    </row>
    <row r="2" spans="1:10" x14ac:dyDescent="0.25">
      <c r="A2" s="2" t="s">
        <v>1</v>
      </c>
      <c r="B2" s="3" t="s">
        <v>3711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3056</v>
      </c>
      <c r="C5" s="5" t="s">
        <v>17</v>
      </c>
      <c r="D5" s="5"/>
      <c r="E5" s="5" t="s">
        <v>3057</v>
      </c>
      <c r="F5" s="5" t="s">
        <v>19</v>
      </c>
      <c r="G5" s="5" t="s">
        <v>17</v>
      </c>
      <c r="H5" s="5" t="s">
        <v>17</v>
      </c>
      <c r="I5" s="5" t="s">
        <v>17</v>
      </c>
      <c r="J5" s="5" t="s">
        <v>3058</v>
      </c>
    </row>
    <row r="6" spans="1:10" x14ac:dyDescent="0.25" outlineLevel="1" collapsed="1">
      <c r="A6" s="7" t="s">
        <v>15</v>
      </c>
      <c r="B6" s="7" t="s">
        <v>16</v>
      </c>
      <c r="C6" s="7" t="s">
        <v>17</v>
      </c>
      <c r="D6" s="7"/>
      <c r="E6" s="7" t="s">
        <v>3059</v>
      </c>
      <c r="F6" s="7" t="s">
        <v>19</v>
      </c>
      <c r="G6" s="7" t="s">
        <v>31</v>
      </c>
      <c r="H6" s="7" t="s">
        <v>17</v>
      </c>
      <c r="I6" s="7" t="s">
        <v>17</v>
      </c>
      <c r="J6" s="7" t="s">
        <v>494</v>
      </c>
    </row>
    <row r="7" spans="1:10" x14ac:dyDescent="0.25" outlineLevel="1" collapsed="1">
      <c r="A7" s="7" t="s">
        <v>15</v>
      </c>
      <c r="B7" s="7" t="s">
        <v>16</v>
      </c>
      <c r="C7" s="7" t="s">
        <v>17</v>
      </c>
      <c r="D7" s="7"/>
      <c r="E7" s="7" t="s">
        <v>3060</v>
      </c>
      <c r="F7" s="7" t="s">
        <v>19</v>
      </c>
      <c r="G7" s="7" t="s">
        <v>31</v>
      </c>
      <c r="H7" s="7" t="s">
        <v>17</v>
      </c>
      <c r="I7" s="7" t="s">
        <v>17</v>
      </c>
      <c r="J7" s="7" t="s">
        <v>497</v>
      </c>
    </row>
    <row r="8" spans="1:10" x14ac:dyDescent="0.25">
      <c r="A8" s="5" t="s">
        <v>15</v>
      </c>
      <c r="B8" s="6" t="s">
        <v>3061</v>
      </c>
      <c r="C8" s="5" t="s">
        <v>17</v>
      </c>
      <c r="D8" s="5"/>
      <c r="E8" s="5" t="s">
        <v>3062</v>
      </c>
      <c r="F8" s="5" t="s">
        <v>19</v>
      </c>
      <c r="G8" s="5" t="s">
        <v>17</v>
      </c>
      <c r="H8" s="5" t="s">
        <v>17</v>
      </c>
      <c r="I8" s="5" t="s">
        <v>17</v>
      </c>
      <c r="J8" s="5" t="s">
        <v>3063</v>
      </c>
    </row>
    <row r="9" spans="1:10" x14ac:dyDescent="0.25" outlineLevel="1" collapsed="1">
      <c r="A9" s="7" t="s">
        <v>15</v>
      </c>
      <c r="B9" s="7" t="s">
        <v>16</v>
      </c>
      <c r="C9" s="7" t="s">
        <v>17</v>
      </c>
      <c r="D9" s="7"/>
      <c r="E9" s="7" t="s">
        <v>3064</v>
      </c>
      <c r="F9" s="7" t="s">
        <v>19</v>
      </c>
      <c r="G9" s="7" t="s">
        <v>31</v>
      </c>
      <c r="H9" s="7" t="s">
        <v>17</v>
      </c>
      <c r="I9" s="7" t="s">
        <v>17</v>
      </c>
      <c r="J9" s="7" t="s">
        <v>494</v>
      </c>
    </row>
    <row r="10" spans="1:10" x14ac:dyDescent="0.25" outlineLevel="1" collapsed="1">
      <c r="A10" s="7" t="s">
        <v>15</v>
      </c>
      <c r="B10" s="7" t="s">
        <v>16</v>
      </c>
      <c r="C10" s="7" t="s">
        <v>17</v>
      </c>
      <c r="D10" s="7"/>
      <c r="E10" s="7" t="s">
        <v>3065</v>
      </c>
      <c r="F10" s="7" t="s">
        <v>19</v>
      </c>
      <c r="G10" s="7" t="s">
        <v>31</v>
      </c>
      <c r="H10" s="7" t="s">
        <v>17</v>
      </c>
      <c r="I10" s="7" t="s">
        <v>17</v>
      </c>
      <c r="J10" s="7" t="s">
        <v>497</v>
      </c>
    </row>
    <row r="11" spans="1:10" x14ac:dyDescent="0.25">
      <c r="A11" s="5" t="s">
        <v>15</v>
      </c>
      <c r="B11" s="6" t="s">
        <v>3066</v>
      </c>
      <c r="C11" s="5" t="s">
        <v>17</v>
      </c>
      <c r="D11" s="5"/>
      <c r="E11" s="5" t="s">
        <v>3067</v>
      </c>
      <c r="F11" s="5" t="s">
        <v>19</v>
      </c>
      <c r="G11" s="5" t="s">
        <v>17</v>
      </c>
      <c r="H11" s="5" t="s">
        <v>17</v>
      </c>
      <c r="I11" s="5" t="s">
        <v>17</v>
      </c>
      <c r="J11" s="5" t="s">
        <v>597</v>
      </c>
    </row>
    <row r="12" spans="1:10" x14ac:dyDescent="0.25" outlineLevel="1" collapsed="1">
      <c r="A12" s="7" t="s">
        <v>15</v>
      </c>
      <c r="B12" s="7" t="s">
        <v>16</v>
      </c>
      <c r="C12" s="7" t="s">
        <v>17</v>
      </c>
      <c r="D12" s="7"/>
      <c r="E12" s="7" t="s">
        <v>3068</v>
      </c>
      <c r="F12" s="7" t="s">
        <v>19</v>
      </c>
      <c r="G12" s="7" t="s">
        <v>31</v>
      </c>
      <c r="H12" s="7" t="s">
        <v>17</v>
      </c>
      <c r="I12" s="7" t="s">
        <v>17</v>
      </c>
      <c r="J12" s="7" t="s">
        <v>494</v>
      </c>
    </row>
    <row r="13" spans="1:10" x14ac:dyDescent="0.25" outlineLevel="1" collapsed="1">
      <c r="A13" s="7" t="s">
        <v>15</v>
      </c>
      <c r="B13" s="7" t="s">
        <v>16</v>
      </c>
      <c r="C13" s="7" t="s">
        <v>17</v>
      </c>
      <c r="D13" s="7"/>
      <c r="E13" s="7" t="s">
        <v>3069</v>
      </c>
      <c r="F13" s="7" t="s">
        <v>19</v>
      </c>
      <c r="G13" s="7" t="s">
        <v>31</v>
      </c>
      <c r="H13" s="7" t="s">
        <v>17</v>
      </c>
      <c r="I13" s="7" t="s">
        <v>17</v>
      </c>
      <c r="J13" s="7" t="s">
        <v>497</v>
      </c>
    </row>
    <row r="14" spans="1:10" x14ac:dyDescent="0.25">
      <c r="A14" s="5" t="s">
        <v>19</v>
      </c>
      <c r="B14" s="6" t="s">
        <v>502</v>
      </c>
      <c r="C14" s="5" t="s">
        <v>17</v>
      </c>
      <c r="D14" s="5"/>
      <c r="E14" s="5" t="s">
        <v>503</v>
      </c>
      <c r="F14" s="5" t="s">
        <v>15</v>
      </c>
      <c r="G14" s="5" t="s">
        <v>17</v>
      </c>
      <c r="H14" s="5" t="s">
        <v>17</v>
      </c>
      <c r="I14" s="5" t="s">
        <v>17</v>
      </c>
      <c r="J14" s="5" t="s">
        <v>504</v>
      </c>
    </row>
    <row r="15" spans="1:10" x14ac:dyDescent="0.25" outlineLevel="1" collapsed="1">
      <c r="A15" s="7" t="s">
        <v>19</v>
      </c>
      <c r="B15" s="7" t="s">
        <v>16</v>
      </c>
      <c r="C15" s="7" t="s">
        <v>17</v>
      </c>
      <c r="D15" s="7"/>
      <c r="E15" s="7" t="s">
        <v>505</v>
      </c>
      <c r="F15" s="7" t="s">
        <v>19</v>
      </c>
      <c r="G15" s="7" t="s">
        <v>31</v>
      </c>
      <c r="H15" s="7" t="s">
        <v>17</v>
      </c>
      <c r="I15" s="7" t="s">
        <v>17</v>
      </c>
      <c r="J15" s="7" t="s">
        <v>506</v>
      </c>
    </row>
    <row r="16" spans="1:10" x14ac:dyDescent="0.25" outlineLevel="1" collapsed="1">
      <c r="A16" s="7" t="s">
        <v>19</v>
      </c>
      <c r="B16" s="7" t="s">
        <v>16</v>
      </c>
      <c r="C16" s="7" t="s">
        <v>17</v>
      </c>
      <c r="D16" s="7"/>
      <c r="E16" s="7" t="s">
        <v>501</v>
      </c>
      <c r="F16" s="7" t="s">
        <v>19</v>
      </c>
      <c r="G16" s="7" t="s">
        <v>31</v>
      </c>
      <c r="H16" s="7" t="s">
        <v>17</v>
      </c>
      <c r="I16" s="7" t="s">
        <v>17</v>
      </c>
      <c r="J16" s="7" t="s">
        <v>497</v>
      </c>
    </row>
  </sheetData>
  <mergeCells count="3">
    <mergeCell ref="A1:J1"/>
    <mergeCell ref="B2:J2"/>
    <mergeCell ref="B3:J3"/>
  </mergeCells>
  <hyperlinks>
    <hyperlink ref="B5" r:id="rId1" location="#'3.1.15.1 No Double Claiming wi'!A1"/>
    <hyperlink ref="B8" r:id="rId2" location="#'3.1.15.2 No Double Claiming wi'!A1"/>
    <hyperlink ref="B11" r:id="rId3" location="#'3.1.15.3 Supply Chain (Scope 3'!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3071</v>
      </c>
      <c r="B1" s="1"/>
      <c r="C1" s="1"/>
      <c r="D1" s="1"/>
      <c r="E1" s="1"/>
      <c r="F1" s="1"/>
      <c r="G1" s="1"/>
      <c r="H1" s="1"/>
      <c r="I1" s="1"/>
      <c r="J1" s="1"/>
    </row>
    <row r="2" spans="1:10" x14ac:dyDescent="0.25">
      <c r="A2" s="2" t="s">
        <v>1</v>
      </c>
      <c r="B2" s="3" t="s">
        <v>3712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3072</v>
      </c>
      <c r="B1" s="1"/>
      <c r="C1" s="1"/>
      <c r="D1" s="1"/>
      <c r="E1" s="1"/>
      <c r="F1" s="1"/>
      <c r="G1" s="1"/>
      <c r="H1" s="1"/>
      <c r="I1" s="1"/>
      <c r="J1" s="1"/>
    </row>
    <row r="2" spans="1:10" x14ac:dyDescent="0.25">
      <c r="A2" s="2" t="s">
        <v>1</v>
      </c>
      <c r="B2" s="3" t="s">
        <v>3713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3073</v>
      </c>
      <c r="C5" s="5" t="s">
        <v>17</v>
      </c>
      <c r="D5" s="5"/>
      <c r="E5" s="5" t="s">
        <v>3074</v>
      </c>
      <c r="F5" s="5" t="s">
        <v>19</v>
      </c>
      <c r="G5" s="5" t="s">
        <v>17</v>
      </c>
      <c r="H5" s="5" t="s">
        <v>17</v>
      </c>
      <c r="I5" s="5" t="s">
        <v>17</v>
      </c>
      <c r="J5" s="5" t="s">
        <v>2466</v>
      </c>
    </row>
    <row r="6" spans="1:10" x14ac:dyDescent="0.25" outlineLevel="1" collapsed="1">
      <c r="A6" s="7" t="s">
        <v>15</v>
      </c>
      <c r="B6" s="7" t="s">
        <v>16</v>
      </c>
      <c r="C6" s="7" t="s">
        <v>17</v>
      </c>
      <c r="D6" s="7"/>
      <c r="E6" s="7" t="s">
        <v>3075</v>
      </c>
      <c r="F6" s="7" t="s">
        <v>19</v>
      </c>
      <c r="G6" s="7" t="s">
        <v>31</v>
      </c>
      <c r="H6" s="7" t="s">
        <v>17</v>
      </c>
      <c r="I6" s="7" t="s">
        <v>17</v>
      </c>
      <c r="J6" s="7" t="s">
        <v>494</v>
      </c>
    </row>
    <row r="7" spans="1:10" x14ac:dyDescent="0.25">
      <c r="A7" s="5" t="s">
        <v>15</v>
      </c>
      <c r="B7" s="6" t="s">
        <v>3076</v>
      </c>
      <c r="C7" s="5" t="s">
        <v>17</v>
      </c>
      <c r="D7" s="5"/>
      <c r="E7" s="5" t="s">
        <v>3076</v>
      </c>
      <c r="F7" s="5" t="s">
        <v>19</v>
      </c>
      <c r="G7" s="5" t="s">
        <v>17</v>
      </c>
      <c r="H7" s="5" t="s">
        <v>17</v>
      </c>
      <c r="I7" s="5" t="s">
        <v>17</v>
      </c>
      <c r="J7" s="5" t="s">
        <v>573</v>
      </c>
    </row>
    <row r="8" spans="1:10" x14ac:dyDescent="0.25" outlineLevel="1" collapsed="1">
      <c r="A8" s="7" t="s">
        <v>15</v>
      </c>
      <c r="B8" s="7" t="s">
        <v>16</v>
      </c>
      <c r="C8" s="7" t="s">
        <v>17</v>
      </c>
      <c r="D8" s="7"/>
      <c r="E8" s="7" t="s">
        <v>3077</v>
      </c>
      <c r="F8" s="7" t="s">
        <v>19</v>
      </c>
      <c r="G8" s="7" t="s">
        <v>31</v>
      </c>
      <c r="H8" s="7" t="s">
        <v>17</v>
      </c>
      <c r="I8" s="7" t="s">
        <v>17</v>
      </c>
      <c r="J8" s="7" t="s">
        <v>494</v>
      </c>
    </row>
    <row r="9" spans="1:10" x14ac:dyDescent="0.25">
      <c r="A9" s="5" t="s">
        <v>15</v>
      </c>
      <c r="B9" s="6" t="s">
        <v>3078</v>
      </c>
      <c r="C9" s="5" t="s">
        <v>17</v>
      </c>
      <c r="D9" s="5"/>
      <c r="E9" s="5" t="s">
        <v>3079</v>
      </c>
      <c r="F9" s="5" t="s">
        <v>19</v>
      </c>
      <c r="G9" s="5" t="s">
        <v>17</v>
      </c>
      <c r="H9" s="5" t="s">
        <v>17</v>
      </c>
      <c r="I9" s="5" t="s">
        <v>17</v>
      </c>
      <c r="J9" s="5" t="s">
        <v>2472</v>
      </c>
    </row>
    <row r="10" spans="1:10" x14ac:dyDescent="0.25" outlineLevel="1" collapsed="1">
      <c r="A10" s="7" t="s">
        <v>15</v>
      </c>
      <c r="B10" s="7" t="s">
        <v>16</v>
      </c>
      <c r="C10" s="7" t="s">
        <v>17</v>
      </c>
      <c r="D10" s="7"/>
      <c r="E10" s="7" t="s">
        <v>3080</v>
      </c>
      <c r="F10" s="7" t="s">
        <v>19</v>
      </c>
      <c r="G10" s="7" t="s">
        <v>31</v>
      </c>
      <c r="H10" s="7" t="s">
        <v>17</v>
      </c>
      <c r="I10" s="7" t="s">
        <v>17</v>
      </c>
      <c r="J10" s="7" t="s">
        <v>494</v>
      </c>
    </row>
  </sheetData>
  <mergeCells count="3">
    <mergeCell ref="A1:J1"/>
    <mergeCell ref="B2:J2"/>
    <mergeCell ref="B3:J3"/>
  </mergeCells>
  <hyperlinks>
    <hyperlink ref="B5" r:id="rId1" location="#'3.1.17.1 Leakage Management (V'!A1"/>
    <hyperlink ref="B7" r:id="rId2" location="#'3.1.17.2 Sensitive Information'!A1"/>
    <hyperlink ref="B9" r:id="rId3" location="#'3.1.17.3 Further Information ('!A1"/>
  </hyperlinks>
  <pageMargins left="0.7" right="0.7" top="0.75" bottom="0.75" header="0.3" footer="0.3"/>
  <pageSetup orientation="portrait" horizontalDpi="4294967295" verticalDpi="4294967295" scale="100" fitToWidth="1" fitToHeight="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3714</v>
      </c>
      <c r="B1" s="1"/>
      <c r="C1" s="1"/>
      <c r="D1" s="1"/>
      <c r="E1" s="1"/>
      <c r="F1" s="1"/>
      <c r="G1" s="1"/>
      <c r="H1" s="1"/>
      <c r="I1" s="1"/>
      <c r="J1" s="1"/>
    </row>
    <row r="2" spans="1:10" x14ac:dyDescent="0.25">
      <c r="A2" s="2" t="s">
        <v>1</v>
      </c>
      <c r="B2" s="3" t="s">
        <v>3641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2987</v>
      </c>
      <c r="C5" s="5" t="s">
        <v>17</v>
      </c>
      <c r="D5" s="5"/>
      <c r="E5" s="5" t="s">
        <v>2988</v>
      </c>
      <c r="F5" s="5" t="s">
        <v>19</v>
      </c>
      <c r="G5" s="5" t="s">
        <v>17</v>
      </c>
      <c r="H5" s="5" t="s">
        <v>17</v>
      </c>
      <c r="I5" s="5" t="s">
        <v>17</v>
      </c>
      <c r="J5" s="5" t="s">
        <v>355</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2989</v>
      </c>
      <c r="C8" s="5" t="s">
        <v>17</v>
      </c>
      <c r="D8" s="5"/>
      <c r="E8" s="5" t="s">
        <v>2989</v>
      </c>
      <c r="F8" s="5" t="s">
        <v>19</v>
      </c>
      <c r="G8" s="5" t="s">
        <v>17</v>
      </c>
      <c r="H8" s="5" t="s">
        <v>17</v>
      </c>
      <c r="I8" s="5" t="s">
        <v>17</v>
      </c>
      <c r="J8" s="5" t="s">
        <v>536</v>
      </c>
    </row>
    <row r="9" spans="1:10" x14ac:dyDescent="0.25" outlineLevel="1" collapsed="1">
      <c r="A9" s="7" t="s">
        <v>15</v>
      </c>
      <c r="B9" s="7" t="s">
        <v>16</v>
      </c>
      <c r="C9" s="7" t="s">
        <v>17</v>
      </c>
      <c r="D9" s="7"/>
      <c r="E9" s="7" t="s">
        <v>492</v>
      </c>
      <c r="F9" s="7" t="s">
        <v>19</v>
      </c>
      <c r="G9" s="7" t="s">
        <v>493</v>
      </c>
      <c r="H9" s="7" t="s">
        <v>17</v>
      </c>
      <c r="I9" s="7" t="s">
        <v>17</v>
      </c>
      <c r="J9" s="7" t="s">
        <v>494</v>
      </c>
    </row>
    <row r="10" spans="1:10" x14ac:dyDescent="0.25" outlineLevel="1" collapsed="1">
      <c r="A10" s="7" t="s">
        <v>15</v>
      </c>
      <c r="B10" s="7" t="s">
        <v>16</v>
      </c>
      <c r="C10" s="7" t="s">
        <v>17</v>
      </c>
      <c r="D10" s="7"/>
      <c r="E10" s="7" t="s">
        <v>495</v>
      </c>
      <c r="F10" s="7" t="s">
        <v>19</v>
      </c>
      <c r="G10" s="7" t="s">
        <v>496</v>
      </c>
      <c r="H10" s="7" t="s">
        <v>17</v>
      </c>
      <c r="I10" s="7" t="s">
        <v>17</v>
      </c>
      <c r="J10" s="7" t="s">
        <v>497</v>
      </c>
    </row>
    <row r="11" spans="1:10" x14ac:dyDescent="0.25" outlineLevel="1" collapsed="1">
      <c r="A11" s="7" t="s">
        <v>19</v>
      </c>
      <c r="B11" s="7" t="s">
        <v>16</v>
      </c>
      <c r="C11" s="7" t="s">
        <v>17</v>
      </c>
      <c r="D11" s="7"/>
      <c r="E11" s="7" t="s">
        <v>539</v>
      </c>
      <c r="F11" s="7" t="s">
        <v>19</v>
      </c>
      <c r="G11" s="7" t="s">
        <v>31</v>
      </c>
      <c r="H11" s="7" t="s">
        <v>17</v>
      </c>
      <c r="I11" s="7" t="s">
        <v>17</v>
      </c>
      <c r="J11" s="7" t="s">
        <v>540</v>
      </c>
    </row>
    <row r="12" spans="1:10" x14ac:dyDescent="0.25">
      <c r="A12" s="5" t="s">
        <v>15</v>
      </c>
      <c r="B12" s="6" t="s">
        <v>2990</v>
      </c>
      <c r="C12" s="5" t="s">
        <v>17</v>
      </c>
      <c r="D12" s="5"/>
      <c r="E12" s="5" t="s">
        <v>2991</v>
      </c>
      <c r="F12" s="5" t="s">
        <v>19</v>
      </c>
      <c r="G12" s="5" t="s">
        <v>17</v>
      </c>
      <c r="H12" s="5" t="s">
        <v>17</v>
      </c>
      <c r="I12" s="5" t="s">
        <v>17</v>
      </c>
      <c r="J12" s="5" t="s">
        <v>543</v>
      </c>
    </row>
    <row r="13" spans="1:10" x14ac:dyDescent="0.25" outlineLevel="1" collapsed="1">
      <c r="A13" s="7" t="s">
        <v>15</v>
      </c>
      <c r="B13" s="7" t="s">
        <v>16</v>
      </c>
      <c r="C13" s="7" t="s">
        <v>17</v>
      </c>
      <c r="D13" s="7"/>
      <c r="E13" s="7" t="s">
        <v>492</v>
      </c>
      <c r="F13" s="7" t="s">
        <v>19</v>
      </c>
      <c r="G13" s="7" t="s">
        <v>493</v>
      </c>
      <c r="H13" s="7" t="s">
        <v>17</v>
      </c>
      <c r="I13" s="7" t="s">
        <v>17</v>
      </c>
      <c r="J13" s="7" t="s">
        <v>494</v>
      </c>
    </row>
    <row r="14" spans="1:10" x14ac:dyDescent="0.25" outlineLevel="1" collapsed="1">
      <c r="A14" s="7" t="s">
        <v>15</v>
      </c>
      <c r="B14" s="7" t="s">
        <v>16</v>
      </c>
      <c r="C14" s="7" t="s">
        <v>17</v>
      </c>
      <c r="D14" s="7"/>
      <c r="E14" s="7" t="s">
        <v>495</v>
      </c>
      <c r="F14" s="7" t="s">
        <v>19</v>
      </c>
      <c r="G14" s="7" t="s">
        <v>496</v>
      </c>
      <c r="H14" s="7" t="s">
        <v>17</v>
      </c>
      <c r="I14" s="7" t="s">
        <v>17</v>
      </c>
      <c r="J14" s="7" t="s">
        <v>497</v>
      </c>
    </row>
    <row r="15" spans="1:10" x14ac:dyDescent="0.25">
      <c r="A15" s="5" t="s">
        <v>15</v>
      </c>
      <c r="B15" s="6" t="s">
        <v>2992</v>
      </c>
      <c r="C15" s="5" t="s">
        <v>17</v>
      </c>
      <c r="D15" s="5"/>
      <c r="E15" s="5" t="s">
        <v>2992</v>
      </c>
      <c r="F15" s="5" t="s">
        <v>19</v>
      </c>
      <c r="G15" s="5" t="s">
        <v>17</v>
      </c>
      <c r="H15" s="5" t="s">
        <v>17</v>
      </c>
      <c r="I15" s="5" t="s">
        <v>17</v>
      </c>
      <c r="J15" s="5" t="s">
        <v>2290</v>
      </c>
    </row>
    <row r="16" spans="1:10" x14ac:dyDescent="0.25" outlineLevel="1" collapsed="1">
      <c r="A16" s="8" t="s">
        <v>15</v>
      </c>
      <c r="B16" s="9" t="s">
        <v>2993</v>
      </c>
      <c r="C16" s="8" t="s">
        <v>17</v>
      </c>
      <c r="D16" s="8"/>
      <c r="E16" s="8" t="s">
        <v>2994</v>
      </c>
      <c r="F16" s="8" t="s">
        <v>19</v>
      </c>
      <c r="G16" s="8" t="s">
        <v>17</v>
      </c>
      <c r="H16" s="8" t="s">
        <v>17</v>
      </c>
      <c r="I16" s="8" t="s">
        <v>17</v>
      </c>
      <c r="J16" s="8" t="s">
        <v>2293</v>
      </c>
    </row>
    <row r="17" spans="1:10" x14ac:dyDescent="0.25" outlineLevel="2" collapsed="1">
      <c r="A17" s="7" t="s">
        <v>19</v>
      </c>
      <c r="B17" s="7" t="s">
        <v>159</v>
      </c>
      <c r="C17" s="7" t="s">
        <v>17</v>
      </c>
      <c r="D17" s="7"/>
      <c r="E17" s="7" t="s">
        <v>2995</v>
      </c>
      <c r="F17" s="7" t="s">
        <v>19</v>
      </c>
      <c r="G17" s="7" t="b">
        <v>1</v>
      </c>
      <c r="H17" s="7" t="s">
        <v>17</v>
      </c>
      <c r="I17" s="7" t="s">
        <v>17</v>
      </c>
      <c r="J17" s="7" t="s">
        <v>2996</v>
      </c>
    </row>
    <row r="18" spans="1:10" x14ac:dyDescent="0.25" outlineLevel="2" collapsed="1">
      <c r="A18" s="7" t="s">
        <v>19</v>
      </c>
      <c r="B18" s="7" t="s">
        <v>159</v>
      </c>
      <c r="C18" s="7" t="s">
        <v>17</v>
      </c>
      <c r="D18" s="7"/>
      <c r="E18" s="7" t="s">
        <v>2997</v>
      </c>
      <c r="F18" s="7" t="s">
        <v>19</v>
      </c>
      <c r="G18" s="7" t="b">
        <v>1</v>
      </c>
      <c r="H18" s="7" t="s">
        <v>17</v>
      </c>
      <c r="I18" s="7" t="s">
        <v>17</v>
      </c>
      <c r="J18" s="7" t="s">
        <v>2998</v>
      </c>
    </row>
    <row r="19" spans="1:10" x14ac:dyDescent="0.25" outlineLevel="2" collapsed="1">
      <c r="A19" s="7" t="s">
        <v>19</v>
      </c>
      <c r="B19" s="7" t="s">
        <v>159</v>
      </c>
      <c r="C19" s="7" t="s">
        <v>17</v>
      </c>
      <c r="D19" s="7"/>
      <c r="E19" s="7" t="s">
        <v>2999</v>
      </c>
      <c r="F19" s="7" t="s">
        <v>19</v>
      </c>
      <c r="G19" s="7" t="b">
        <v>1</v>
      </c>
      <c r="H19" s="7" t="s">
        <v>17</v>
      </c>
      <c r="I19" s="7" t="s">
        <v>17</v>
      </c>
      <c r="J19" s="7" t="s">
        <v>3000</v>
      </c>
    </row>
    <row r="20" spans="1:10" x14ac:dyDescent="0.25" outlineLevel="2" collapsed="1">
      <c r="A20" s="7" t="s">
        <v>15</v>
      </c>
      <c r="B20" s="7" t="s">
        <v>16</v>
      </c>
      <c r="C20" s="7" t="s">
        <v>17</v>
      </c>
      <c r="D20" s="7"/>
      <c r="E20" s="7" t="s">
        <v>3001</v>
      </c>
      <c r="F20" s="7" t="s">
        <v>19</v>
      </c>
      <c r="G20" s="7" t="s">
        <v>31</v>
      </c>
      <c r="H20" s="7" t="s">
        <v>17</v>
      </c>
      <c r="I20" s="7" t="s">
        <v>17</v>
      </c>
      <c r="J20" s="7" t="s">
        <v>494</v>
      </c>
    </row>
    <row r="21" spans="1:10" x14ac:dyDescent="0.25" outlineLevel="2" collapsed="1">
      <c r="A21" s="7" t="s">
        <v>15</v>
      </c>
      <c r="B21" s="7" t="s">
        <v>16</v>
      </c>
      <c r="C21" s="7" t="s">
        <v>17</v>
      </c>
      <c r="D21" s="7"/>
      <c r="E21" s="7" t="s">
        <v>3002</v>
      </c>
      <c r="F21" s="7" t="s">
        <v>19</v>
      </c>
      <c r="G21" s="7" t="s">
        <v>31</v>
      </c>
      <c r="H21" s="7" t="s">
        <v>17</v>
      </c>
      <c r="I21" s="7" t="s">
        <v>17</v>
      </c>
      <c r="J21" s="7" t="s">
        <v>497</v>
      </c>
    </row>
    <row r="22" spans="1:10" x14ac:dyDescent="0.25" outlineLevel="1" collapsed="1">
      <c r="A22" s="8" t="s">
        <v>19</v>
      </c>
      <c r="B22" s="9" t="s">
        <v>3003</v>
      </c>
      <c r="C22" s="8" t="s">
        <v>17</v>
      </c>
      <c r="D22" s="8"/>
      <c r="E22" s="8" t="s">
        <v>3004</v>
      </c>
      <c r="F22" s="8" t="s">
        <v>19</v>
      </c>
      <c r="G22" s="8" t="s">
        <v>17</v>
      </c>
      <c r="H22" s="8" t="s">
        <v>17</v>
      </c>
      <c r="I22" s="8" t="s">
        <v>17</v>
      </c>
      <c r="J22" s="8" t="s">
        <v>3005</v>
      </c>
    </row>
    <row r="23" spans="1:10" x14ac:dyDescent="0.25" outlineLevel="2" collapsed="1">
      <c r="A23" s="7" t="s">
        <v>15</v>
      </c>
      <c r="B23" s="7" t="s">
        <v>16</v>
      </c>
      <c r="C23" s="7" t="s">
        <v>17</v>
      </c>
      <c r="D23" s="7"/>
      <c r="E23" s="7" t="s">
        <v>3006</v>
      </c>
      <c r="F23" s="7" t="s">
        <v>19</v>
      </c>
      <c r="G23" s="7" t="s">
        <v>31</v>
      </c>
      <c r="H23" s="7" t="s">
        <v>17</v>
      </c>
      <c r="I23" s="7" t="s">
        <v>17</v>
      </c>
      <c r="J23" s="7" t="s">
        <v>494</v>
      </c>
    </row>
    <row r="24" spans="1:10" x14ac:dyDescent="0.25" outlineLevel="2" collapsed="1">
      <c r="A24" s="7" t="s">
        <v>15</v>
      </c>
      <c r="B24" s="7" t="s">
        <v>16</v>
      </c>
      <c r="C24" s="7" t="s">
        <v>17</v>
      </c>
      <c r="D24" s="7"/>
      <c r="E24" s="7" t="s">
        <v>3007</v>
      </c>
      <c r="F24" s="7" t="s">
        <v>19</v>
      </c>
      <c r="G24" s="7" t="s">
        <v>31</v>
      </c>
      <c r="H24" s="7" t="s">
        <v>17</v>
      </c>
      <c r="I24" s="7" t="s">
        <v>17</v>
      </c>
      <c r="J24" s="7" t="s">
        <v>497</v>
      </c>
    </row>
    <row r="25" spans="1:10" x14ac:dyDescent="0.25" outlineLevel="1" collapsed="1">
      <c r="A25" s="8" t="s">
        <v>19</v>
      </c>
      <c r="B25" s="9" t="s">
        <v>3008</v>
      </c>
      <c r="C25" s="8" t="s">
        <v>17</v>
      </c>
      <c r="D25" s="8"/>
      <c r="E25" s="8" t="s">
        <v>3009</v>
      </c>
      <c r="F25" s="8" t="s">
        <v>19</v>
      </c>
      <c r="G25" s="8" t="s">
        <v>17</v>
      </c>
      <c r="H25" s="8" t="s">
        <v>17</v>
      </c>
      <c r="I25" s="8" t="s">
        <v>17</v>
      </c>
      <c r="J25" s="8" t="s">
        <v>3010</v>
      </c>
    </row>
    <row r="26" spans="1:10" x14ac:dyDescent="0.25" outlineLevel="2" collapsed="1">
      <c r="A26" s="7" t="s">
        <v>19</v>
      </c>
      <c r="B26" s="7" t="s">
        <v>159</v>
      </c>
      <c r="C26" s="7" t="s">
        <v>17</v>
      </c>
      <c r="D26" s="7"/>
      <c r="E26" s="7" t="s">
        <v>3011</v>
      </c>
      <c r="F26" s="7" t="s">
        <v>19</v>
      </c>
      <c r="G26" s="7" t="b">
        <v>1</v>
      </c>
      <c r="H26" s="7" t="s">
        <v>17</v>
      </c>
      <c r="I26" s="7" t="s">
        <v>17</v>
      </c>
      <c r="J26" s="7" t="s">
        <v>2996</v>
      </c>
    </row>
    <row r="27" spans="1:10" x14ac:dyDescent="0.25" outlineLevel="2" collapsed="1">
      <c r="A27" s="7" t="s">
        <v>19</v>
      </c>
      <c r="B27" s="7" t="s">
        <v>159</v>
      </c>
      <c r="C27" s="7" t="s">
        <v>17</v>
      </c>
      <c r="D27" s="7"/>
      <c r="E27" s="7" t="s">
        <v>3012</v>
      </c>
      <c r="F27" s="7" t="s">
        <v>19</v>
      </c>
      <c r="G27" s="7" t="b">
        <v>1</v>
      </c>
      <c r="H27" s="7" t="s">
        <v>17</v>
      </c>
      <c r="I27" s="7" t="s">
        <v>17</v>
      </c>
      <c r="J27" s="7" t="s">
        <v>2998</v>
      </c>
    </row>
    <row r="28" spans="1:10" x14ac:dyDescent="0.25" outlineLevel="2" collapsed="1">
      <c r="A28" s="7" t="s">
        <v>19</v>
      </c>
      <c r="B28" s="7" t="s">
        <v>159</v>
      </c>
      <c r="C28" s="7" t="s">
        <v>17</v>
      </c>
      <c r="D28" s="7"/>
      <c r="E28" s="7" t="s">
        <v>3013</v>
      </c>
      <c r="F28" s="7" t="s">
        <v>19</v>
      </c>
      <c r="G28" s="7" t="b">
        <v>1</v>
      </c>
      <c r="H28" s="7" t="s">
        <v>17</v>
      </c>
      <c r="I28" s="7" t="s">
        <v>17</v>
      </c>
      <c r="J28" s="7" t="s">
        <v>3000</v>
      </c>
    </row>
    <row r="29" spans="1:10" x14ac:dyDescent="0.25" outlineLevel="2" collapsed="1">
      <c r="A29" s="7" t="s">
        <v>19</v>
      </c>
      <c r="B29" s="7" t="s">
        <v>159</v>
      </c>
      <c r="C29" s="7" t="s">
        <v>17</v>
      </c>
      <c r="D29" s="7"/>
      <c r="E29" s="7" t="s">
        <v>3014</v>
      </c>
      <c r="F29" s="7" t="s">
        <v>19</v>
      </c>
      <c r="G29" s="7" t="b">
        <v>1</v>
      </c>
      <c r="H29" s="7" t="s">
        <v>17</v>
      </c>
      <c r="I29" s="7" t="s">
        <v>17</v>
      </c>
      <c r="J29" s="7" t="s">
        <v>3015</v>
      </c>
    </row>
    <row r="30" spans="1:10" x14ac:dyDescent="0.25" outlineLevel="2" collapsed="1">
      <c r="A30" s="7" t="s">
        <v>15</v>
      </c>
      <c r="B30" s="7" t="s">
        <v>16</v>
      </c>
      <c r="C30" s="7" t="s">
        <v>17</v>
      </c>
      <c r="D30" s="7"/>
      <c r="E30" s="7" t="s">
        <v>3016</v>
      </c>
      <c r="F30" s="7" t="s">
        <v>19</v>
      </c>
      <c r="G30" s="7" t="s">
        <v>31</v>
      </c>
      <c r="H30" s="7" t="s">
        <v>17</v>
      </c>
      <c r="I30" s="7" t="s">
        <v>17</v>
      </c>
      <c r="J30" s="7" t="s">
        <v>494</v>
      </c>
    </row>
    <row r="31" spans="1:10" x14ac:dyDescent="0.25" outlineLevel="2" collapsed="1">
      <c r="A31" s="7" t="s">
        <v>15</v>
      </c>
      <c r="B31" s="7" t="s">
        <v>16</v>
      </c>
      <c r="C31" s="7" t="s">
        <v>17</v>
      </c>
      <c r="D31" s="7"/>
      <c r="E31" s="7" t="s">
        <v>3017</v>
      </c>
      <c r="F31" s="7" t="s">
        <v>19</v>
      </c>
      <c r="G31" s="7" t="s">
        <v>31</v>
      </c>
      <c r="H31" s="7" t="s">
        <v>17</v>
      </c>
      <c r="I31" s="7" t="s">
        <v>17</v>
      </c>
      <c r="J31" s="7" t="s">
        <v>497</v>
      </c>
    </row>
    <row r="32" spans="1:10" x14ac:dyDescent="0.25" outlineLevel="1" collapsed="1">
      <c r="A32" s="8" t="s">
        <v>19</v>
      </c>
      <c r="B32" s="9" t="s">
        <v>3018</v>
      </c>
      <c r="C32" s="8" t="s">
        <v>17</v>
      </c>
      <c r="D32" s="8"/>
      <c r="E32" s="8" t="s">
        <v>3019</v>
      </c>
      <c r="F32" s="8" t="s">
        <v>19</v>
      </c>
      <c r="G32" s="8" t="s">
        <v>17</v>
      </c>
      <c r="H32" s="8" t="s">
        <v>17</v>
      </c>
      <c r="I32" s="8" t="s">
        <v>17</v>
      </c>
      <c r="J32" s="8" t="s">
        <v>972</v>
      </c>
    </row>
    <row r="33" spans="1:10" x14ac:dyDescent="0.25" outlineLevel="2" collapsed="1">
      <c r="A33" s="7" t="s">
        <v>15</v>
      </c>
      <c r="B33" s="7" t="s">
        <v>16</v>
      </c>
      <c r="C33" s="7" t="s">
        <v>17</v>
      </c>
      <c r="D33" s="7"/>
      <c r="E33" s="7" t="s">
        <v>3020</v>
      </c>
      <c r="F33" s="7" t="s">
        <v>19</v>
      </c>
      <c r="G33" s="7" t="s">
        <v>31</v>
      </c>
      <c r="H33" s="7" t="s">
        <v>17</v>
      </c>
      <c r="I33" s="7" t="s">
        <v>17</v>
      </c>
      <c r="J33" s="7" t="s">
        <v>494</v>
      </c>
    </row>
    <row r="34" spans="1:10" x14ac:dyDescent="0.25" outlineLevel="2" collapsed="1">
      <c r="A34" s="7" t="s">
        <v>15</v>
      </c>
      <c r="B34" s="7" t="s">
        <v>16</v>
      </c>
      <c r="C34" s="7" t="s">
        <v>17</v>
      </c>
      <c r="D34" s="7"/>
      <c r="E34" s="7" t="s">
        <v>3021</v>
      </c>
      <c r="F34" s="7" t="s">
        <v>19</v>
      </c>
      <c r="G34" s="7" t="s">
        <v>31</v>
      </c>
      <c r="H34" s="7" t="s">
        <v>17</v>
      </c>
      <c r="I34" s="7" t="s">
        <v>17</v>
      </c>
      <c r="J34" s="7" t="s">
        <v>497</v>
      </c>
    </row>
    <row r="35" spans="1:10" x14ac:dyDescent="0.25" outlineLevel="1" collapsed="1">
      <c r="A35" s="8" t="s">
        <v>19</v>
      </c>
      <c r="B35" s="9" t="s">
        <v>502</v>
      </c>
      <c r="C35" s="8" t="s">
        <v>17</v>
      </c>
      <c r="D35" s="8"/>
      <c r="E35" s="8" t="s">
        <v>503</v>
      </c>
      <c r="F35" s="8" t="s">
        <v>15</v>
      </c>
      <c r="G35" s="8" t="s">
        <v>17</v>
      </c>
      <c r="H35" s="8" t="s">
        <v>17</v>
      </c>
      <c r="I35" s="8" t="s">
        <v>17</v>
      </c>
      <c r="J35" s="8" t="s">
        <v>504</v>
      </c>
    </row>
    <row r="36" spans="1:10" x14ac:dyDescent="0.25" outlineLevel="2" collapsed="1">
      <c r="A36" s="7" t="s">
        <v>19</v>
      </c>
      <c r="B36" s="7" t="s">
        <v>16</v>
      </c>
      <c r="C36" s="7" t="s">
        <v>17</v>
      </c>
      <c r="D36" s="7"/>
      <c r="E36" s="7" t="s">
        <v>505</v>
      </c>
      <c r="F36" s="7" t="s">
        <v>19</v>
      </c>
      <c r="G36" s="7" t="s">
        <v>31</v>
      </c>
      <c r="H36" s="7" t="s">
        <v>17</v>
      </c>
      <c r="I36" s="7" t="s">
        <v>17</v>
      </c>
      <c r="J36" s="7" t="s">
        <v>506</v>
      </c>
    </row>
    <row r="37" spans="1:10" x14ac:dyDescent="0.25" outlineLevel="2" collapsed="1">
      <c r="A37" s="7" t="s">
        <v>19</v>
      </c>
      <c r="B37" s="7" t="s">
        <v>16</v>
      </c>
      <c r="C37" s="7" t="s">
        <v>17</v>
      </c>
      <c r="D37" s="7"/>
      <c r="E37" s="7" t="s">
        <v>501</v>
      </c>
      <c r="F37" s="7" t="s">
        <v>19</v>
      </c>
      <c r="G37" s="7" t="s">
        <v>31</v>
      </c>
      <c r="H37" s="7" t="s">
        <v>17</v>
      </c>
      <c r="I37" s="7" t="s">
        <v>17</v>
      </c>
      <c r="J37" s="7" t="s">
        <v>497</v>
      </c>
    </row>
    <row r="38" spans="1:10" x14ac:dyDescent="0.25">
      <c r="A38" s="5" t="s">
        <v>15</v>
      </c>
      <c r="B38" s="6" t="s">
        <v>3022</v>
      </c>
      <c r="C38" s="5" t="s">
        <v>17</v>
      </c>
      <c r="D38" s="5"/>
      <c r="E38" s="5" t="s">
        <v>3023</v>
      </c>
      <c r="F38" s="5" t="s">
        <v>19</v>
      </c>
      <c r="G38" s="5" t="s">
        <v>17</v>
      </c>
      <c r="H38" s="5" t="s">
        <v>17</v>
      </c>
      <c r="I38" s="5" t="s">
        <v>17</v>
      </c>
      <c r="J38" s="5" t="s">
        <v>3024</v>
      </c>
    </row>
    <row r="39" spans="1:10" x14ac:dyDescent="0.25" outlineLevel="1" collapsed="1">
      <c r="A39" s="7" t="s">
        <v>15</v>
      </c>
      <c r="B39" s="7" t="s">
        <v>16</v>
      </c>
      <c r="C39" s="7" t="s">
        <v>17</v>
      </c>
      <c r="D39" s="7"/>
      <c r="E39" s="7" t="s">
        <v>492</v>
      </c>
      <c r="F39" s="7" t="s">
        <v>19</v>
      </c>
      <c r="G39" s="7" t="s">
        <v>493</v>
      </c>
      <c r="H39" s="7" t="s">
        <v>17</v>
      </c>
      <c r="I39" s="7" t="s">
        <v>17</v>
      </c>
      <c r="J39" s="7" t="s">
        <v>494</v>
      </c>
    </row>
    <row r="40" spans="1:10" x14ac:dyDescent="0.25" outlineLevel="1" collapsed="1">
      <c r="A40" s="7" t="s">
        <v>15</v>
      </c>
      <c r="B40" s="7" t="s">
        <v>16</v>
      </c>
      <c r="C40" s="7" t="s">
        <v>17</v>
      </c>
      <c r="D40" s="7"/>
      <c r="E40" s="7" t="s">
        <v>495</v>
      </c>
      <c r="F40" s="7" t="s">
        <v>19</v>
      </c>
      <c r="G40" s="7" t="s">
        <v>496</v>
      </c>
      <c r="H40" s="7" t="s">
        <v>17</v>
      </c>
      <c r="I40" s="7" t="s">
        <v>17</v>
      </c>
      <c r="J40" s="7" t="s">
        <v>497</v>
      </c>
    </row>
    <row r="41" spans="1:10" x14ac:dyDescent="0.25" outlineLevel="1" collapsed="1">
      <c r="A41" s="8" t="s">
        <v>19</v>
      </c>
      <c r="B41" s="9" t="s">
        <v>502</v>
      </c>
      <c r="C41" s="8" t="s">
        <v>17</v>
      </c>
      <c r="D41" s="8"/>
      <c r="E41" s="8" t="s">
        <v>503</v>
      </c>
      <c r="F41" s="8" t="s">
        <v>15</v>
      </c>
      <c r="G41" s="8" t="s">
        <v>17</v>
      </c>
      <c r="H41" s="8" t="s">
        <v>17</v>
      </c>
      <c r="I41" s="8" t="s">
        <v>17</v>
      </c>
      <c r="J41" s="8" t="s">
        <v>504</v>
      </c>
    </row>
    <row r="42" spans="1:10" x14ac:dyDescent="0.25" outlineLevel="2" collapsed="1">
      <c r="A42" s="7" t="s">
        <v>19</v>
      </c>
      <c r="B42" s="7" t="s">
        <v>16</v>
      </c>
      <c r="C42" s="7" t="s">
        <v>17</v>
      </c>
      <c r="D42" s="7"/>
      <c r="E42" s="7" t="s">
        <v>505</v>
      </c>
      <c r="F42" s="7" t="s">
        <v>19</v>
      </c>
      <c r="G42" s="7" t="s">
        <v>31</v>
      </c>
      <c r="H42" s="7" t="s">
        <v>17</v>
      </c>
      <c r="I42" s="7" t="s">
        <v>17</v>
      </c>
      <c r="J42" s="7" t="s">
        <v>506</v>
      </c>
    </row>
    <row r="43" spans="1:10" x14ac:dyDescent="0.25" outlineLevel="2" collapsed="1">
      <c r="A43" s="7" t="s">
        <v>19</v>
      </c>
      <c r="B43" s="7" t="s">
        <v>16</v>
      </c>
      <c r="C43" s="7" t="s">
        <v>17</v>
      </c>
      <c r="D43" s="7"/>
      <c r="E43" s="7" t="s">
        <v>501</v>
      </c>
      <c r="F43" s="7" t="s">
        <v>19</v>
      </c>
      <c r="G43" s="7" t="s">
        <v>31</v>
      </c>
      <c r="H43" s="7" t="s">
        <v>17</v>
      </c>
      <c r="I43" s="7" t="s">
        <v>17</v>
      </c>
      <c r="J43" s="7" t="s">
        <v>497</v>
      </c>
    </row>
    <row r="44" spans="1:10" x14ac:dyDescent="0.25">
      <c r="A44" s="5" t="s">
        <v>15</v>
      </c>
      <c r="B44" s="6" t="s">
        <v>3025</v>
      </c>
      <c r="C44" s="5" t="s">
        <v>17</v>
      </c>
      <c r="D44" s="5"/>
      <c r="E44" s="5" t="s">
        <v>3025</v>
      </c>
      <c r="F44" s="5" t="s">
        <v>19</v>
      </c>
      <c r="G44" s="5" t="s">
        <v>17</v>
      </c>
      <c r="H44" s="5" t="s">
        <v>17</v>
      </c>
      <c r="I44" s="5" t="s">
        <v>17</v>
      </c>
      <c r="J44" s="5" t="s">
        <v>3026</v>
      </c>
    </row>
    <row r="45" spans="1:10" x14ac:dyDescent="0.25" outlineLevel="1" collapsed="1">
      <c r="A45" s="7" t="s">
        <v>15</v>
      </c>
      <c r="B45" s="7" t="s">
        <v>16</v>
      </c>
      <c r="C45" s="7" t="s">
        <v>17</v>
      </c>
      <c r="D45" s="7"/>
      <c r="E45" s="7" t="s">
        <v>492</v>
      </c>
      <c r="F45" s="7" t="s">
        <v>19</v>
      </c>
      <c r="G45" s="7" t="s">
        <v>493</v>
      </c>
      <c r="H45" s="7" t="s">
        <v>17</v>
      </c>
      <c r="I45" s="7" t="s">
        <v>17</v>
      </c>
      <c r="J45" s="7" t="s">
        <v>494</v>
      </c>
    </row>
    <row r="46" spans="1:10" x14ac:dyDescent="0.25" outlineLevel="1" collapsed="1">
      <c r="A46" s="7" t="s">
        <v>15</v>
      </c>
      <c r="B46" s="7" t="s">
        <v>16</v>
      </c>
      <c r="C46" s="7" t="s">
        <v>17</v>
      </c>
      <c r="D46" s="7"/>
      <c r="E46" s="7" t="s">
        <v>495</v>
      </c>
      <c r="F46" s="7" t="s">
        <v>19</v>
      </c>
      <c r="G46" s="7" t="s">
        <v>496</v>
      </c>
      <c r="H46" s="7" t="s">
        <v>17</v>
      </c>
      <c r="I46" s="7" t="s">
        <v>17</v>
      </c>
      <c r="J46" s="7" t="s">
        <v>497</v>
      </c>
    </row>
    <row r="47" spans="1:10" x14ac:dyDescent="0.25">
      <c r="A47" s="5" t="s">
        <v>15</v>
      </c>
      <c r="B47" s="6" t="s">
        <v>3027</v>
      </c>
      <c r="C47" s="5" t="s">
        <v>17</v>
      </c>
      <c r="D47" s="5"/>
      <c r="E47" s="5" t="s">
        <v>3027</v>
      </c>
      <c r="F47" s="5" t="s">
        <v>19</v>
      </c>
      <c r="G47" s="5" t="s">
        <v>17</v>
      </c>
      <c r="H47" s="5" t="s">
        <v>17</v>
      </c>
      <c r="I47" s="5" t="s">
        <v>17</v>
      </c>
      <c r="J47" s="5" t="s">
        <v>59</v>
      </c>
    </row>
    <row r="48" spans="1:10" x14ac:dyDescent="0.25" outlineLevel="1" collapsed="1">
      <c r="A48" s="7" t="s">
        <v>15</v>
      </c>
      <c r="B48" s="7" t="s">
        <v>16</v>
      </c>
      <c r="C48" s="7" t="s">
        <v>17</v>
      </c>
      <c r="D48" s="7"/>
      <c r="E48" s="7" t="s">
        <v>492</v>
      </c>
      <c r="F48" s="7" t="s">
        <v>19</v>
      </c>
      <c r="G48" s="7" t="s">
        <v>493</v>
      </c>
      <c r="H48" s="7" t="s">
        <v>17</v>
      </c>
      <c r="I48" s="7" t="s">
        <v>17</v>
      </c>
      <c r="J48" s="7" t="s">
        <v>494</v>
      </c>
    </row>
    <row r="49" spans="1:10" x14ac:dyDescent="0.25" outlineLevel="1" collapsed="1">
      <c r="A49" s="7" t="s">
        <v>15</v>
      </c>
      <c r="B49" s="7" t="s">
        <v>16</v>
      </c>
      <c r="C49" s="7" t="s">
        <v>17</v>
      </c>
      <c r="D49" s="7"/>
      <c r="E49" s="7" t="s">
        <v>495</v>
      </c>
      <c r="F49" s="7" t="s">
        <v>19</v>
      </c>
      <c r="G49" s="7" t="s">
        <v>496</v>
      </c>
      <c r="H49" s="7" t="s">
        <v>17</v>
      </c>
      <c r="I49" s="7" t="s">
        <v>17</v>
      </c>
      <c r="J49" s="7" t="s">
        <v>497</v>
      </c>
    </row>
    <row r="50" spans="1:10" x14ac:dyDescent="0.25">
      <c r="A50" s="5" t="s">
        <v>15</v>
      </c>
      <c r="B50" s="6" t="s">
        <v>3028</v>
      </c>
      <c r="C50" s="5" t="s">
        <v>17</v>
      </c>
      <c r="D50" s="5"/>
      <c r="E50" s="5" t="s">
        <v>3028</v>
      </c>
      <c r="F50" s="5" t="s">
        <v>19</v>
      </c>
      <c r="G50" s="5" t="s">
        <v>17</v>
      </c>
      <c r="H50" s="5" t="s">
        <v>17</v>
      </c>
      <c r="I50" s="5" t="s">
        <v>17</v>
      </c>
      <c r="J50" s="5" t="s">
        <v>2383</v>
      </c>
    </row>
    <row r="51" spans="1:10" x14ac:dyDescent="0.25" outlineLevel="1" collapsed="1">
      <c r="A51" s="7" t="s">
        <v>15</v>
      </c>
      <c r="B51" s="7" t="s">
        <v>16</v>
      </c>
      <c r="C51" s="7" t="s">
        <v>17</v>
      </c>
      <c r="D51" s="7"/>
      <c r="E51" s="7" t="s">
        <v>492</v>
      </c>
      <c r="F51" s="7" t="s">
        <v>19</v>
      </c>
      <c r="G51" s="7" t="s">
        <v>493</v>
      </c>
      <c r="H51" s="7" t="s">
        <v>17</v>
      </c>
      <c r="I51" s="7" t="s">
        <v>17</v>
      </c>
      <c r="J51" s="7" t="s">
        <v>494</v>
      </c>
    </row>
    <row r="52" spans="1:10" x14ac:dyDescent="0.25" outlineLevel="1" collapsed="1">
      <c r="A52" s="7" t="s">
        <v>15</v>
      </c>
      <c r="B52" s="7" t="s">
        <v>16</v>
      </c>
      <c r="C52" s="7" t="s">
        <v>17</v>
      </c>
      <c r="D52" s="7"/>
      <c r="E52" s="7" t="s">
        <v>495</v>
      </c>
      <c r="F52" s="7" t="s">
        <v>19</v>
      </c>
      <c r="G52" s="7" t="s">
        <v>496</v>
      </c>
      <c r="H52" s="7" t="s">
        <v>17</v>
      </c>
      <c r="I52" s="7" t="s">
        <v>17</v>
      </c>
      <c r="J52" s="7" t="s">
        <v>497</v>
      </c>
    </row>
    <row r="53" spans="1:10" x14ac:dyDescent="0.25" outlineLevel="1" collapsed="1">
      <c r="A53" s="8" t="s">
        <v>19</v>
      </c>
      <c r="B53" s="9" t="s">
        <v>502</v>
      </c>
      <c r="C53" s="8" t="s">
        <v>17</v>
      </c>
      <c r="D53" s="8"/>
      <c r="E53" s="8" t="s">
        <v>503</v>
      </c>
      <c r="F53" s="8" t="s">
        <v>15</v>
      </c>
      <c r="G53" s="8" t="s">
        <v>17</v>
      </c>
      <c r="H53" s="8" t="s">
        <v>17</v>
      </c>
      <c r="I53" s="8" t="s">
        <v>17</v>
      </c>
      <c r="J53" s="8" t="s">
        <v>504</v>
      </c>
    </row>
    <row r="54" spans="1:10" x14ac:dyDescent="0.25" outlineLevel="2" collapsed="1">
      <c r="A54" s="7" t="s">
        <v>19</v>
      </c>
      <c r="B54" s="7" t="s">
        <v>16</v>
      </c>
      <c r="C54" s="7" t="s">
        <v>17</v>
      </c>
      <c r="D54" s="7"/>
      <c r="E54" s="7" t="s">
        <v>505</v>
      </c>
      <c r="F54" s="7" t="s">
        <v>19</v>
      </c>
      <c r="G54" s="7" t="s">
        <v>31</v>
      </c>
      <c r="H54" s="7" t="s">
        <v>17</v>
      </c>
      <c r="I54" s="7" t="s">
        <v>17</v>
      </c>
      <c r="J54" s="7" t="s">
        <v>506</v>
      </c>
    </row>
    <row r="55" spans="1:10" x14ac:dyDescent="0.25" outlineLevel="2" collapsed="1">
      <c r="A55" s="7" t="s">
        <v>19</v>
      </c>
      <c r="B55" s="7" t="s">
        <v>16</v>
      </c>
      <c r="C55" s="7" t="s">
        <v>17</v>
      </c>
      <c r="D55" s="7"/>
      <c r="E55" s="7" t="s">
        <v>501</v>
      </c>
      <c r="F55" s="7" t="s">
        <v>19</v>
      </c>
      <c r="G55" s="7" t="s">
        <v>31</v>
      </c>
      <c r="H55" s="7" t="s">
        <v>17</v>
      </c>
      <c r="I55" s="7" t="s">
        <v>17</v>
      </c>
      <c r="J55" s="7" t="s">
        <v>497</v>
      </c>
    </row>
    <row r="56" spans="1:10" x14ac:dyDescent="0.25">
      <c r="A56" s="5" t="s">
        <v>15</v>
      </c>
      <c r="B56" s="6" t="s">
        <v>3029</v>
      </c>
      <c r="C56" s="5" t="s">
        <v>17</v>
      </c>
      <c r="D56" s="5"/>
      <c r="E56" s="5" t="s">
        <v>3030</v>
      </c>
      <c r="F56" s="5" t="s">
        <v>19</v>
      </c>
      <c r="G56" s="5" t="s">
        <v>17</v>
      </c>
      <c r="H56" s="5" t="s">
        <v>17</v>
      </c>
      <c r="I56" s="5" t="s">
        <v>17</v>
      </c>
      <c r="J56" s="5" t="s">
        <v>3031</v>
      </c>
    </row>
    <row r="57" spans="1:10" x14ac:dyDescent="0.25" outlineLevel="1" collapsed="1">
      <c r="A57" s="7" t="s">
        <v>15</v>
      </c>
      <c r="B57" s="7" t="s">
        <v>16</v>
      </c>
      <c r="C57" s="7" t="s">
        <v>17</v>
      </c>
      <c r="D57" s="7"/>
      <c r="E57" s="7" t="s">
        <v>492</v>
      </c>
      <c r="F57" s="7" t="s">
        <v>19</v>
      </c>
      <c r="G57" s="7" t="s">
        <v>493</v>
      </c>
      <c r="H57" s="7" t="s">
        <v>17</v>
      </c>
      <c r="I57" s="7" t="s">
        <v>17</v>
      </c>
      <c r="J57" s="7" t="s">
        <v>494</v>
      </c>
    </row>
    <row r="58" spans="1:10" x14ac:dyDescent="0.25" outlineLevel="1" collapsed="1">
      <c r="A58" s="7" t="s">
        <v>15</v>
      </c>
      <c r="B58" s="7" t="s">
        <v>16</v>
      </c>
      <c r="C58" s="7" t="s">
        <v>17</v>
      </c>
      <c r="D58" s="7"/>
      <c r="E58" s="7" t="s">
        <v>495</v>
      </c>
      <c r="F58" s="7" t="s">
        <v>19</v>
      </c>
      <c r="G58" s="7" t="s">
        <v>496</v>
      </c>
      <c r="H58" s="7" t="s">
        <v>17</v>
      </c>
      <c r="I58" s="7" t="s">
        <v>17</v>
      </c>
      <c r="J58" s="7" t="s">
        <v>497</v>
      </c>
    </row>
    <row r="59" spans="1:10" x14ac:dyDescent="0.25" outlineLevel="1" collapsed="1">
      <c r="A59" s="8" t="s">
        <v>19</v>
      </c>
      <c r="B59" s="9" t="s">
        <v>502</v>
      </c>
      <c r="C59" s="8" t="s">
        <v>17</v>
      </c>
      <c r="D59" s="8"/>
      <c r="E59" s="8" t="s">
        <v>503</v>
      </c>
      <c r="F59" s="8" t="s">
        <v>15</v>
      </c>
      <c r="G59" s="8" t="s">
        <v>17</v>
      </c>
      <c r="H59" s="8" t="s">
        <v>17</v>
      </c>
      <c r="I59" s="8" t="s">
        <v>17</v>
      </c>
      <c r="J59" s="8" t="s">
        <v>504</v>
      </c>
    </row>
    <row r="60" spans="1:10" x14ac:dyDescent="0.25" outlineLevel="2" collapsed="1">
      <c r="A60" s="7" t="s">
        <v>19</v>
      </c>
      <c r="B60" s="7" t="s">
        <v>16</v>
      </c>
      <c r="C60" s="7" t="s">
        <v>17</v>
      </c>
      <c r="D60" s="7"/>
      <c r="E60" s="7" t="s">
        <v>505</v>
      </c>
      <c r="F60" s="7" t="s">
        <v>19</v>
      </c>
      <c r="G60" s="7" t="s">
        <v>31</v>
      </c>
      <c r="H60" s="7" t="s">
        <v>17</v>
      </c>
      <c r="I60" s="7" t="s">
        <v>17</v>
      </c>
      <c r="J60" s="7" t="s">
        <v>506</v>
      </c>
    </row>
    <row r="61" spans="1:10" x14ac:dyDescent="0.25" outlineLevel="2" collapsed="1">
      <c r="A61" s="7" t="s">
        <v>19</v>
      </c>
      <c r="B61" s="7" t="s">
        <v>16</v>
      </c>
      <c r="C61" s="7" t="s">
        <v>17</v>
      </c>
      <c r="D61" s="7"/>
      <c r="E61" s="7" t="s">
        <v>501</v>
      </c>
      <c r="F61" s="7" t="s">
        <v>19</v>
      </c>
      <c r="G61" s="7" t="s">
        <v>31</v>
      </c>
      <c r="H61" s="7" t="s">
        <v>17</v>
      </c>
      <c r="I61" s="7" t="s">
        <v>17</v>
      </c>
      <c r="J61" s="7" t="s">
        <v>497</v>
      </c>
    </row>
    <row r="62" spans="1:10" x14ac:dyDescent="0.25">
      <c r="A62" s="5" t="s">
        <v>15</v>
      </c>
      <c r="B62" s="6" t="s">
        <v>3032</v>
      </c>
      <c r="C62" s="5" t="s">
        <v>17</v>
      </c>
      <c r="D62" s="5"/>
      <c r="E62" s="5" t="s">
        <v>3033</v>
      </c>
      <c r="F62" s="5" t="s">
        <v>19</v>
      </c>
      <c r="G62" s="5" t="s">
        <v>17</v>
      </c>
      <c r="H62" s="5" t="s">
        <v>17</v>
      </c>
      <c r="I62" s="5" t="s">
        <v>17</v>
      </c>
      <c r="J62" s="5" t="s">
        <v>3034</v>
      </c>
    </row>
    <row r="63" spans="1:10" x14ac:dyDescent="0.25" outlineLevel="1" collapsed="1">
      <c r="A63" s="7" t="s">
        <v>15</v>
      </c>
      <c r="B63" s="7" t="s">
        <v>16</v>
      </c>
      <c r="C63" s="7" t="s">
        <v>17</v>
      </c>
      <c r="D63" s="7"/>
      <c r="E63" s="7" t="s">
        <v>492</v>
      </c>
      <c r="F63" s="7" t="s">
        <v>19</v>
      </c>
      <c r="G63" s="7" t="s">
        <v>493</v>
      </c>
      <c r="H63" s="7" t="s">
        <v>17</v>
      </c>
      <c r="I63" s="7" t="s">
        <v>17</v>
      </c>
      <c r="J63" s="7" t="s">
        <v>494</v>
      </c>
    </row>
    <row r="64" spans="1:10" x14ac:dyDescent="0.25" outlineLevel="1" collapsed="1">
      <c r="A64" s="7" t="s">
        <v>15</v>
      </c>
      <c r="B64" s="7" t="s">
        <v>16</v>
      </c>
      <c r="C64" s="7" t="s">
        <v>17</v>
      </c>
      <c r="D64" s="7"/>
      <c r="E64" s="7" t="s">
        <v>495</v>
      </c>
      <c r="F64" s="7" t="s">
        <v>19</v>
      </c>
      <c r="G64" s="7" t="s">
        <v>496</v>
      </c>
      <c r="H64" s="7" t="s">
        <v>17</v>
      </c>
      <c r="I64" s="7" t="s">
        <v>17</v>
      </c>
      <c r="J64" s="7" t="s">
        <v>497</v>
      </c>
    </row>
    <row r="65" spans="1:10" x14ac:dyDescent="0.25" outlineLevel="1" collapsed="1">
      <c r="A65" s="8" t="s">
        <v>19</v>
      </c>
      <c r="B65" s="9" t="s">
        <v>502</v>
      </c>
      <c r="C65" s="8" t="s">
        <v>17</v>
      </c>
      <c r="D65" s="8"/>
      <c r="E65" s="8" t="s">
        <v>503</v>
      </c>
      <c r="F65" s="8" t="s">
        <v>15</v>
      </c>
      <c r="G65" s="8" t="s">
        <v>17</v>
      </c>
      <c r="H65" s="8" t="s">
        <v>17</v>
      </c>
      <c r="I65" s="8" t="s">
        <v>17</v>
      </c>
      <c r="J65" s="8" t="s">
        <v>504</v>
      </c>
    </row>
    <row r="66" spans="1:10" x14ac:dyDescent="0.25" outlineLevel="2" collapsed="1">
      <c r="A66" s="7" t="s">
        <v>19</v>
      </c>
      <c r="B66" s="7" t="s">
        <v>16</v>
      </c>
      <c r="C66" s="7" t="s">
        <v>17</v>
      </c>
      <c r="D66" s="7"/>
      <c r="E66" s="7" t="s">
        <v>505</v>
      </c>
      <c r="F66" s="7" t="s">
        <v>19</v>
      </c>
      <c r="G66" s="7" t="s">
        <v>31</v>
      </c>
      <c r="H66" s="7" t="s">
        <v>17</v>
      </c>
      <c r="I66" s="7" t="s">
        <v>17</v>
      </c>
      <c r="J66" s="7" t="s">
        <v>506</v>
      </c>
    </row>
    <row r="67" spans="1:10" x14ac:dyDescent="0.25" outlineLevel="2" collapsed="1">
      <c r="A67" s="7" t="s">
        <v>19</v>
      </c>
      <c r="B67" s="7" t="s">
        <v>16</v>
      </c>
      <c r="C67" s="7" t="s">
        <v>17</v>
      </c>
      <c r="D67" s="7"/>
      <c r="E67" s="7" t="s">
        <v>501</v>
      </c>
      <c r="F67" s="7" t="s">
        <v>19</v>
      </c>
      <c r="G67" s="7" t="s">
        <v>31</v>
      </c>
      <c r="H67" s="7" t="s">
        <v>17</v>
      </c>
      <c r="I67" s="7" t="s">
        <v>17</v>
      </c>
      <c r="J67" s="7" t="s">
        <v>497</v>
      </c>
    </row>
    <row r="68" spans="1:10" x14ac:dyDescent="0.25">
      <c r="A68" s="5" t="s">
        <v>15</v>
      </c>
      <c r="B68" s="6" t="s">
        <v>3035</v>
      </c>
      <c r="C68" s="5" t="s">
        <v>17</v>
      </c>
      <c r="D68" s="5"/>
      <c r="E68" s="5" t="s">
        <v>3035</v>
      </c>
      <c r="F68" s="5" t="s">
        <v>19</v>
      </c>
      <c r="G68" s="5" t="s">
        <v>17</v>
      </c>
      <c r="H68" s="5" t="s">
        <v>17</v>
      </c>
      <c r="I68" s="5" t="s">
        <v>17</v>
      </c>
      <c r="J68" s="5" t="s">
        <v>545</v>
      </c>
    </row>
    <row r="69" spans="1:10" x14ac:dyDescent="0.25" outlineLevel="1" collapsed="1">
      <c r="A69" s="7" t="s">
        <v>15</v>
      </c>
      <c r="B69" s="7" t="s">
        <v>16</v>
      </c>
      <c r="C69" s="7" t="s">
        <v>17</v>
      </c>
      <c r="D69" s="7"/>
      <c r="E69" s="7" t="s">
        <v>492</v>
      </c>
      <c r="F69" s="7" t="s">
        <v>19</v>
      </c>
      <c r="G69" s="7" t="s">
        <v>493</v>
      </c>
      <c r="H69" s="7" t="s">
        <v>17</v>
      </c>
      <c r="I69" s="7" t="s">
        <v>17</v>
      </c>
      <c r="J69" s="7" t="s">
        <v>494</v>
      </c>
    </row>
    <row r="70" spans="1:10" x14ac:dyDescent="0.25" outlineLevel="1" collapsed="1">
      <c r="A70" s="7" t="s">
        <v>15</v>
      </c>
      <c r="B70" s="7" t="s">
        <v>16</v>
      </c>
      <c r="C70" s="7" t="s">
        <v>17</v>
      </c>
      <c r="D70" s="7"/>
      <c r="E70" s="7" t="s">
        <v>495</v>
      </c>
      <c r="F70" s="7" t="s">
        <v>19</v>
      </c>
      <c r="G70" s="7" t="s">
        <v>496</v>
      </c>
      <c r="H70" s="7" t="s">
        <v>17</v>
      </c>
      <c r="I70" s="7" t="s">
        <v>17</v>
      </c>
      <c r="J70" s="7" t="s">
        <v>497</v>
      </c>
    </row>
    <row r="71" spans="1:10" x14ac:dyDescent="0.25" outlineLevel="1" collapsed="1">
      <c r="A71" s="8" t="s">
        <v>19</v>
      </c>
      <c r="B71" s="9" t="s">
        <v>502</v>
      </c>
      <c r="C71" s="8" t="s">
        <v>17</v>
      </c>
      <c r="D71" s="8"/>
      <c r="E71" s="8" t="s">
        <v>503</v>
      </c>
      <c r="F71" s="8" t="s">
        <v>15</v>
      </c>
      <c r="G71" s="8" t="s">
        <v>17</v>
      </c>
      <c r="H71" s="8" t="s">
        <v>17</v>
      </c>
      <c r="I71" s="8" t="s">
        <v>17</v>
      </c>
      <c r="J71" s="8" t="s">
        <v>504</v>
      </c>
    </row>
    <row r="72" spans="1:10" x14ac:dyDescent="0.25" outlineLevel="2" collapsed="1">
      <c r="A72" s="7" t="s">
        <v>19</v>
      </c>
      <c r="B72" s="7" t="s">
        <v>16</v>
      </c>
      <c r="C72" s="7" t="s">
        <v>17</v>
      </c>
      <c r="D72" s="7"/>
      <c r="E72" s="7" t="s">
        <v>505</v>
      </c>
      <c r="F72" s="7" t="s">
        <v>19</v>
      </c>
      <c r="G72" s="7" t="s">
        <v>31</v>
      </c>
      <c r="H72" s="7" t="s">
        <v>17</v>
      </c>
      <c r="I72" s="7" t="s">
        <v>17</v>
      </c>
      <c r="J72" s="7" t="s">
        <v>506</v>
      </c>
    </row>
    <row r="73" spans="1:10" x14ac:dyDescent="0.25" outlineLevel="2" collapsed="1">
      <c r="A73" s="7" t="s">
        <v>19</v>
      </c>
      <c r="B73" s="7" t="s">
        <v>16</v>
      </c>
      <c r="C73" s="7" t="s">
        <v>17</v>
      </c>
      <c r="D73" s="7"/>
      <c r="E73" s="7" t="s">
        <v>501</v>
      </c>
      <c r="F73" s="7" t="s">
        <v>19</v>
      </c>
      <c r="G73" s="7" t="s">
        <v>31</v>
      </c>
      <c r="H73" s="7" t="s">
        <v>17</v>
      </c>
      <c r="I73" s="7" t="s">
        <v>17</v>
      </c>
      <c r="J73" s="7" t="s">
        <v>497</v>
      </c>
    </row>
    <row r="74" spans="1:10" x14ac:dyDescent="0.25">
      <c r="A74" s="5" t="s">
        <v>15</v>
      </c>
      <c r="B74" s="6" t="s">
        <v>3036</v>
      </c>
      <c r="C74" s="5" t="s">
        <v>17</v>
      </c>
      <c r="D74" s="5"/>
      <c r="E74" s="5" t="s">
        <v>3037</v>
      </c>
      <c r="F74" s="5" t="s">
        <v>19</v>
      </c>
      <c r="G74" s="5" t="s">
        <v>17</v>
      </c>
      <c r="H74" s="5" t="s">
        <v>17</v>
      </c>
      <c r="I74" s="5" t="s">
        <v>17</v>
      </c>
      <c r="J74" s="5" t="s">
        <v>2422</v>
      </c>
    </row>
    <row r="75" spans="1:10" x14ac:dyDescent="0.25" outlineLevel="1" collapsed="1">
      <c r="A75" s="7" t="s">
        <v>15</v>
      </c>
      <c r="B75" s="7" t="s">
        <v>16</v>
      </c>
      <c r="C75" s="7" t="s">
        <v>17</v>
      </c>
      <c r="D75" s="7"/>
      <c r="E75" s="7" t="s">
        <v>492</v>
      </c>
      <c r="F75" s="7" t="s">
        <v>19</v>
      </c>
      <c r="G75" s="7" t="s">
        <v>493</v>
      </c>
      <c r="H75" s="7" t="s">
        <v>17</v>
      </c>
      <c r="I75" s="7" t="s">
        <v>17</v>
      </c>
      <c r="J75" s="7" t="s">
        <v>494</v>
      </c>
    </row>
    <row r="76" spans="1:10" x14ac:dyDescent="0.25" outlineLevel="1" collapsed="1">
      <c r="A76" s="7" t="s">
        <v>15</v>
      </c>
      <c r="B76" s="7" t="s">
        <v>16</v>
      </c>
      <c r="C76" s="7" t="s">
        <v>17</v>
      </c>
      <c r="D76" s="7"/>
      <c r="E76" s="7" t="s">
        <v>495</v>
      </c>
      <c r="F76" s="7" t="s">
        <v>19</v>
      </c>
      <c r="G76" s="7" t="s">
        <v>496</v>
      </c>
      <c r="H76" s="7" t="s">
        <v>17</v>
      </c>
      <c r="I76" s="7" t="s">
        <v>17</v>
      </c>
      <c r="J76" s="7" t="s">
        <v>497</v>
      </c>
    </row>
    <row r="77" spans="1:10" x14ac:dyDescent="0.25" outlineLevel="1" collapsed="1">
      <c r="A77" s="8" t="s">
        <v>19</v>
      </c>
      <c r="B77" s="9" t="s">
        <v>502</v>
      </c>
      <c r="C77" s="8" t="s">
        <v>17</v>
      </c>
      <c r="D77" s="8"/>
      <c r="E77" s="8" t="s">
        <v>503</v>
      </c>
      <c r="F77" s="8" t="s">
        <v>15</v>
      </c>
      <c r="G77" s="8" t="s">
        <v>17</v>
      </c>
      <c r="H77" s="8" t="s">
        <v>17</v>
      </c>
      <c r="I77" s="8" t="s">
        <v>17</v>
      </c>
      <c r="J77" s="8" t="s">
        <v>504</v>
      </c>
    </row>
    <row r="78" spans="1:10" x14ac:dyDescent="0.25" outlineLevel="2" collapsed="1">
      <c r="A78" s="7" t="s">
        <v>19</v>
      </c>
      <c r="B78" s="7" t="s">
        <v>16</v>
      </c>
      <c r="C78" s="7" t="s">
        <v>17</v>
      </c>
      <c r="D78" s="7"/>
      <c r="E78" s="7" t="s">
        <v>505</v>
      </c>
      <c r="F78" s="7" t="s">
        <v>19</v>
      </c>
      <c r="G78" s="7" t="s">
        <v>31</v>
      </c>
      <c r="H78" s="7" t="s">
        <v>17</v>
      </c>
      <c r="I78" s="7" t="s">
        <v>17</v>
      </c>
      <c r="J78" s="7" t="s">
        <v>506</v>
      </c>
    </row>
    <row r="79" spans="1:10" x14ac:dyDescent="0.25" outlineLevel="2" collapsed="1">
      <c r="A79" s="7" t="s">
        <v>19</v>
      </c>
      <c r="B79" s="7" t="s">
        <v>16</v>
      </c>
      <c r="C79" s="7" t="s">
        <v>17</v>
      </c>
      <c r="D79" s="7"/>
      <c r="E79" s="7" t="s">
        <v>501</v>
      </c>
      <c r="F79" s="7" t="s">
        <v>19</v>
      </c>
      <c r="G79" s="7" t="s">
        <v>31</v>
      </c>
      <c r="H79" s="7" t="s">
        <v>17</v>
      </c>
      <c r="I79" s="7" t="s">
        <v>17</v>
      </c>
      <c r="J79" s="7" t="s">
        <v>497</v>
      </c>
    </row>
    <row r="80" spans="1:10" x14ac:dyDescent="0.25">
      <c r="A80" s="5" t="s">
        <v>15</v>
      </c>
      <c r="B80" s="6" t="s">
        <v>3038</v>
      </c>
      <c r="C80" s="5" t="s">
        <v>17</v>
      </c>
      <c r="D80" s="5"/>
      <c r="E80" s="5" t="s">
        <v>3039</v>
      </c>
      <c r="F80" s="5" t="s">
        <v>19</v>
      </c>
      <c r="G80" s="5" t="s">
        <v>17</v>
      </c>
      <c r="H80" s="5" t="s">
        <v>17</v>
      </c>
      <c r="I80" s="5" t="s">
        <v>17</v>
      </c>
      <c r="J80" s="5" t="s">
        <v>548</v>
      </c>
    </row>
    <row r="81" spans="1:10" x14ac:dyDescent="0.25" outlineLevel="1" collapsed="1">
      <c r="A81" s="8" t="s">
        <v>15</v>
      </c>
      <c r="B81" s="9" t="s">
        <v>3040</v>
      </c>
      <c r="C81" s="8" t="s">
        <v>17</v>
      </c>
      <c r="D81" s="8"/>
      <c r="E81" s="8" t="s">
        <v>3041</v>
      </c>
      <c r="F81" s="8" t="s">
        <v>19</v>
      </c>
      <c r="G81" s="8" t="s">
        <v>17</v>
      </c>
      <c r="H81" s="8" t="s">
        <v>17</v>
      </c>
      <c r="I81" s="8" t="s">
        <v>17</v>
      </c>
      <c r="J81" s="8" t="s">
        <v>550</v>
      </c>
    </row>
    <row r="82" spans="1:10" x14ac:dyDescent="0.25" outlineLevel="2" collapsed="1">
      <c r="A82" s="7" t="s">
        <v>15</v>
      </c>
      <c r="B82" s="7" t="s">
        <v>16</v>
      </c>
      <c r="C82" s="7" t="s">
        <v>17</v>
      </c>
      <c r="D82" s="7"/>
      <c r="E82" s="7" t="s">
        <v>3042</v>
      </c>
      <c r="F82" s="7" t="s">
        <v>19</v>
      </c>
      <c r="G82" s="7" t="s">
        <v>31</v>
      </c>
      <c r="H82" s="7" t="s">
        <v>17</v>
      </c>
      <c r="I82" s="7" t="s">
        <v>17</v>
      </c>
      <c r="J82" s="7" t="s">
        <v>494</v>
      </c>
    </row>
    <row r="83" spans="1:10" x14ac:dyDescent="0.25" outlineLevel="2" collapsed="1">
      <c r="A83" s="7" t="s">
        <v>15</v>
      </c>
      <c r="B83" s="7" t="s">
        <v>16</v>
      </c>
      <c r="C83" s="7" t="s">
        <v>17</v>
      </c>
      <c r="D83" s="7"/>
      <c r="E83" s="7" t="s">
        <v>3043</v>
      </c>
      <c r="F83" s="7" t="s">
        <v>19</v>
      </c>
      <c r="G83" s="7" t="s">
        <v>31</v>
      </c>
      <c r="H83" s="7" t="s">
        <v>17</v>
      </c>
      <c r="I83" s="7" t="s">
        <v>17</v>
      </c>
      <c r="J83" s="7" t="s">
        <v>497</v>
      </c>
    </row>
    <row r="84" spans="1:10" x14ac:dyDescent="0.25" outlineLevel="1" collapsed="1">
      <c r="A84" s="8" t="s">
        <v>19</v>
      </c>
      <c r="B84" s="9" t="s">
        <v>3044</v>
      </c>
      <c r="C84" s="8" t="s">
        <v>17</v>
      </c>
      <c r="D84" s="8"/>
      <c r="E84" s="8" t="s">
        <v>3045</v>
      </c>
      <c r="F84" s="8" t="s">
        <v>19</v>
      </c>
      <c r="G84" s="8" t="s">
        <v>17</v>
      </c>
      <c r="H84" s="8" t="s">
        <v>17</v>
      </c>
      <c r="I84" s="8" t="s">
        <v>17</v>
      </c>
      <c r="J84" s="8" t="s">
        <v>3046</v>
      </c>
    </row>
    <row r="85" spans="1:10" x14ac:dyDescent="0.25" outlineLevel="2" collapsed="1">
      <c r="A85" s="7" t="s">
        <v>15</v>
      </c>
      <c r="B85" s="7" t="s">
        <v>16</v>
      </c>
      <c r="C85" s="7" t="s">
        <v>17</v>
      </c>
      <c r="D85" s="7"/>
      <c r="E85" s="7" t="s">
        <v>3047</v>
      </c>
      <c r="F85" s="7" t="s">
        <v>19</v>
      </c>
      <c r="G85" s="7" t="s">
        <v>31</v>
      </c>
      <c r="H85" s="7" t="s">
        <v>17</v>
      </c>
      <c r="I85" s="7" t="s">
        <v>17</v>
      </c>
      <c r="J85" s="7" t="s">
        <v>494</v>
      </c>
    </row>
    <row r="86" spans="1:10" x14ac:dyDescent="0.25" outlineLevel="2" collapsed="1">
      <c r="A86" s="7" t="s">
        <v>15</v>
      </c>
      <c r="B86" s="7" t="s">
        <v>16</v>
      </c>
      <c r="C86" s="7" t="s">
        <v>17</v>
      </c>
      <c r="D86" s="7"/>
      <c r="E86" s="7" t="s">
        <v>3048</v>
      </c>
      <c r="F86" s="7" t="s">
        <v>19</v>
      </c>
      <c r="G86" s="7" t="s">
        <v>31</v>
      </c>
      <c r="H86" s="7" t="s">
        <v>17</v>
      </c>
      <c r="I86" s="7" t="s">
        <v>17</v>
      </c>
      <c r="J86" s="7" t="s">
        <v>497</v>
      </c>
    </row>
    <row r="87" spans="1:10" x14ac:dyDescent="0.25" outlineLevel="1" collapsed="1">
      <c r="A87" s="8" t="s">
        <v>19</v>
      </c>
      <c r="B87" s="9" t="s">
        <v>3049</v>
      </c>
      <c r="C87" s="8" t="s">
        <v>17</v>
      </c>
      <c r="D87" s="8"/>
      <c r="E87" s="8" t="s">
        <v>3050</v>
      </c>
      <c r="F87" s="8" t="s">
        <v>19</v>
      </c>
      <c r="G87" s="8" t="s">
        <v>17</v>
      </c>
      <c r="H87" s="8" t="s">
        <v>17</v>
      </c>
      <c r="I87" s="8" t="s">
        <v>17</v>
      </c>
      <c r="J87" s="8" t="s">
        <v>3051</v>
      </c>
    </row>
    <row r="88" spans="1:10" x14ac:dyDescent="0.25" outlineLevel="2" collapsed="1">
      <c r="A88" s="7" t="s">
        <v>15</v>
      </c>
      <c r="B88" s="7" t="s">
        <v>16</v>
      </c>
      <c r="C88" s="7" t="s">
        <v>17</v>
      </c>
      <c r="D88" s="7"/>
      <c r="E88" s="7" t="s">
        <v>3052</v>
      </c>
      <c r="F88" s="7" t="s">
        <v>19</v>
      </c>
      <c r="G88" s="7" t="s">
        <v>31</v>
      </c>
      <c r="H88" s="7" t="s">
        <v>17</v>
      </c>
      <c r="I88" s="7" t="s">
        <v>17</v>
      </c>
      <c r="J88" s="7" t="s">
        <v>494</v>
      </c>
    </row>
    <row r="89" spans="1:10" x14ac:dyDescent="0.25" outlineLevel="2" collapsed="1">
      <c r="A89" s="7" t="s">
        <v>15</v>
      </c>
      <c r="B89" s="7" t="s">
        <v>16</v>
      </c>
      <c r="C89" s="7" t="s">
        <v>17</v>
      </c>
      <c r="D89" s="7"/>
      <c r="E89" s="7" t="s">
        <v>3053</v>
      </c>
      <c r="F89" s="7" t="s">
        <v>19</v>
      </c>
      <c r="G89" s="7" t="s">
        <v>31</v>
      </c>
      <c r="H89" s="7" t="s">
        <v>17</v>
      </c>
      <c r="I89" s="7" t="s">
        <v>17</v>
      </c>
      <c r="J89" s="7" t="s">
        <v>497</v>
      </c>
    </row>
    <row r="90" spans="1:10" x14ac:dyDescent="0.25">
      <c r="A90" s="5" t="s">
        <v>15</v>
      </c>
      <c r="B90" s="6" t="s">
        <v>3054</v>
      </c>
      <c r="C90" s="5" t="s">
        <v>17</v>
      </c>
      <c r="D90" s="5"/>
      <c r="E90" s="5" t="s">
        <v>3055</v>
      </c>
      <c r="F90" s="5" t="s">
        <v>19</v>
      </c>
      <c r="G90" s="5" t="s">
        <v>17</v>
      </c>
      <c r="H90" s="5" t="s">
        <v>17</v>
      </c>
      <c r="I90" s="5" t="s">
        <v>17</v>
      </c>
      <c r="J90" s="5" t="s">
        <v>556</v>
      </c>
    </row>
    <row r="91" spans="1:10" x14ac:dyDescent="0.25" outlineLevel="1" collapsed="1">
      <c r="A91" s="8" t="s">
        <v>15</v>
      </c>
      <c r="B91" s="9" t="s">
        <v>3056</v>
      </c>
      <c r="C91" s="8" t="s">
        <v>17</v>
      </c>
      <c r="D91" s="8"/>
      <c r="E91" s="8" t="s">
        <v>3057</v>
      </c>
      <c r="F91" s="8" t="s">
        <v>19</v>
      </c>
      <c r="G91" s="8" t="s">
        <v>17</v>
      </c>
      <c r="H91" s="8" t="s">
        <v>17</v>
      </c>
      <c r="I91" s="8" t="s">
        <v>17</v>
      </c>
      <c r="J91" s="8" t="s">
        <v>3058</v>
      </c>
    </row>
    <row r="92" spans="1:10" x14ac:dyDescent="0.25" outlineLevel="2" collapsed="1">
      <c r="A92" s="7" t="s">
        <v>15</v>
      </c>
      <c r="B92" s="7" t="s">
        <v>16</v>
      </c>
      <c r="C92" s="7" t="s">
        <v>17</v>
      </c>
      <c r="D92" s="7"/>
      <c r="E92" s="7" t="s">
        <v>3059</v>
      </c>
      <c r="F92" s="7" t="s">
        <v>19</v>
      </c>
      <c r="G92" s="7" t="s">
        <v>31</v>
      </c>
      <c r="H92" s="7" t="s">
        <v>17</v>
      </c>
      <c r="I92" s="7" t="s">
        <v>17</v>
      </c>
      <c r="J92" s="7" t="s">
        <v>494</v>
      </c>
    </row>
    <row r="93" spans="1:10" x14ac:dyDescent="0.25" outlineLevel="2" collapsed="1">
      <c r="A93" s="7" t="s">
        <v>15</v>
      </c>
      <c r="B93" s="7" t="s">
        <v>16</v>
      </c>
      <c r="C93" s="7" t="s">
        <v>17</v>
      </c>
      <c r="D93" s="7"/>
      <c r="E93" s="7" t="s">
        <v>3060</v>
      </c>
      <c r="F93" s="7" t="s">
        <v>19</v>
      </c>
      <c r="G93" s="7" t="s">
        <v>31</v>
      </c>
      <c r="H93" s="7" t="s">
        <v>17</v>
      </c>
      <c r="I93" s="7" t="s">
        <v>17</v>
      </c>
      <c r="J93" s="7" t="s">
        <v>497</v>
      </c>
    </row>
    <row r="94" spans="1:10" x14ac:dyDescent="0.25" outlineLevel="1" collapsed="1">
      <c r="A94" s="8" t="s">
        <v>15</v>
      </c>
      <c r="B94" s="9" t="s">
        <v>3061</v>
      </c>
      <c r="C94" s="8" t="s">
        <v>17</v>
      </c>
      <c r="D94" s="8"/>
      <c r="E94" s="8" t="s">
        <v>3062</v>
      </c>
      <c r="F94" s="8" t="s">
        <v>19</v>
      </c>
      <c r="G94" s="8" t="s">
        <v>17</v>
      </c>
      <c r="H94" s="8" t="s">
        <v>17</v>
      </c>
      <c r="I94" s="8" t="s">
        <v>17</v>
      </c>
      <c r="J94" s="8" t="s">
        <v>3063</v>
      </c>
    </row>
    <row r="95" spans="1:10" x14ac:dyDescent="0.25" outlineLevel="2" collapsed="1">
      <c r="A95" s="7" t="s">
        <v>15</v>
      </c>
      <c r="B95" s="7" t="s">
        <v>16</v>
      </c>
      <c r="C95" s="7" t="s">
        <v>17</v>
      </c>
      <c r="D95" s="7"/>
      <c r="E95" s="7" t="s">
        <v>3064</v>
      </c>
      <c r="F95" s="7" t="s">
        <v>19</v>
      </c>
      <c r="G95" s="7" t="s">
        <v>31</v>
      </c>
      <c r="H95" s="7" t="s">
        <v>17</v>
      </c>
      <c r="I95" s="7" t="s">
        <v>17</v>
      </c>
      <c r="J95" s="7" t="s">
        <v>494</v>
      </c>
    </row>
    <row r="96" spans="1:10" x14ac:dyDescent="0.25" outlineLevel="2" collapsed="1">
      <c r="A96" s="7" t="s">
        <v>15</v>
      </c>
      <c r="B96" s="7" t="s">
        <v>16</v>
      </c>
      <c r="C96" s="7" t="s">
        <v>17</v>
      </c>
      <c r="D96" s="7"/>
      <c r="E96" s="7" t="s">
        <v>3065</v>
      </c>
      <c r="F96" s="7" t="s">
        <v>19</v>
      </c>
      <c r="G96" s="7" t="s">
        <v>31</v>
      </c>
      <c r="H96" s="7" t="s">
        <v>17</v>
      </c>
      <c r="I96" s="7" t="s">
        <v>17</v>
      </c>
      <c r="J96" s="7" t="s">
        <v>497</v>
      </c>
    </row>
    <row r="97" spans="1:10" x14ac:dyDescent="0.25" outlineLevel="1" collapsed="1">
      <c r="A97" s="8" t="s">
        <v>15</v>
      </c>
      <c r="B97" s="9" t="s">
        <v>3066</v>
      </c>
      <c r="C97" s="8" t="s">
        <v>17</v>
      </c>
      <c r="D97" s="8"/>
      <c r="E97" s="8" t="s">
        <v>3067</v>
      </c>
      <c r="F97" s="8" t="s">
        <v>19</v>
      </c>
      <c r="G97" s="8" t="s">
        <v>17</v>
      </c>
      <c r="H97" s="8" t="s">
        <v>17</v>
      </c>
      <c r="I97" s="8" t="s">
        <v>17</v>
      </c>
      <c r="J97" s="8" t="s">
        <v>597</v>
      </c>
    </row>
    <row r="98" spans="1:10" x14ac:dyDescent="0.25" outlineLevel="2" collapsed="1">
      <c r="A98" s="7" t="s">
        <v>15</v>
      </c>
      <c r="B98" s="7" t="s">
        <v>16</v>
      </c>
      <c r="C98" s="7" t="s">
        <v>17</v>
      </c>
      <c r="D98" s="7"/>
      <c r="E98" s="7" t="s">
        <v>3068</v>
      </c>
      <c r="F98" s="7" t="s">
        <v>19</v>
      </c>
      <c r="G98" s="7" t="s">
        <v>31</v>
      </c>
      <c r="H98" s="7" t="s">
        <v>17</v>
      </c>
      <c r="I98" s="7" t="s">
        <v>17</v>
      </c>
      <c r="J98" s="7" t="s">
        <v>494</v>
      </c>
    </row>
    <row r="99" spans="1:10" x14ac:dyDescent="0.25" outlineLevel="2" collapsed="1">
      <c r="A99" s="7" t="s">
        <v>15</v>
      </c>
      <c r="B99" s="7" t="s">
        <v>16</v>
      </c>
      <c r="C99" s="7" t="s">
        <v>17</v>
      </c>
      <c r="D99" s="7"/>
      <c r="E99" s="7" t="s">
        <v>3069</v>
      </c>
      <c r="F99" s="7" t="s">
        <v>19</v>
      </c>
      <c r="G99" s="7" t="s">
        <v>31</v>
      </c>
      <c r="H99" s="7" t="s">
        <v>17</v>
      </c>
      <c r="I99" s="7" t="s">
        <v>17</v>
      </c>
      <c r="J99" s="7" t="s">
        <v>497</v>
      </c>
    </row>
    <row r="100" spans="1:10" x14ac:dyDescent="0.25" outlineLevel="1" collapsed="1">
      <c r="A100" s="8" t="s">
        <v>19</v>
      </c>
      <c r="B100" s="9" t="s">
        <v>502</v>
      </c>
      <c r="C100" s="8" t="s">
        <v>17</v>
      </c>
      <c r="D100" s="8"/>
      <c r="E100" s="8" t="s">
        <v>503</v>
      </c>
      <c r="F100" s="8" t="s">
        <v>15</v>
      </c>
      <c r="G100" s="8" t="s">
        <v>17</v>
      </c>
      <c r="H100" s="8" t="s">
        <v>17</v>
      </c>
      <c r="I100" s="8" t="s">
        <v>17</v>
      </c>
      <c r="J100" s="8" t="s">
        <v>504</v>
      </c>
    </row>
    <row r="101" spans="1:10" x14ac:dyDescent="0.25" outlineLevel="2" collapsed="1">
      <c r="A101" s="7" t="s">
        <v>19</v>
      </c>
      <c r="B101" s="7" t="s">
        <v>16</v>
      </c>
      <c r="C101" s="7" t="s">
        <v>17</v>
      </c>
      <c r="D101" s="7"/>
      <c r="E101" s="7" t="s">
        <v>505</v>
      </c>
      <c r="F101" s="7" t="s">
        <v>19</v>
      </c>
      <c r="G101" s="7" t="s">
        <v>31</v>
      </c>
      <c r="H101" s="7" t="s">
        <v>17</v>
      </c>
      <c r="I101" s="7" t="s">
        <v>17</v>
      </c>
      <c r="J101" s="7" t="s">
        <v>506</v>
      </c>
    </row>
    <row r="102" spans="1:10" x14ac:dyDescent="0.25" outlineLevel="2" collapsed="1">
      <c r="A102" s="7" t="s">
        <v>19</v>
      </c>
      <c r="B102" s="7" t="s">
        <v>16</v>
      </c>
      <c r="C102" s="7" t="s">
        <v>17</v>
      </c>
      <c r="D102" s="7"/>
      <c r="E102" s="7" t="s">
        <v>501</v>
      </c>
      <c r="F102" s="7" t="s">
        <v>19</v>
      </c>
      <c r="G102" s="7" t="s">
        <v>31</v>
      </c>
      <c r="H102" s="7" t="s">
        <v>17</v>
      </c>
      <c r="I102" s="7" t="s">
        <v>17</v>
      </c>
      <c r="J102" s="7" t="s">
        <v>497</v>
      </c>
    </row>
    <row r="103" spans="1:10" x14ac:dyDescent="0.25">
      <c r="A103" s="5" t="s">
        <v>15</v>
      </c>
      <c r="B103" s="6" t="s">
        <v>3070</v>
      </c>
      <c r="C103" s="5" t="s">
        <v>17</v>
      </c>
      <c r="D103" s="5"/>
      <c r="E103" s="5" t="s">
        <v>3071</v>
      </c>
      <c r="F103" s="5" t="s">
        <v>19</v>
      </c>
      <c r="G103" s="5" t="s">
        <v>17</v>
      </c>
      <c r="H103" s="5" t="s">
        <v>17</v>
      </c>
      <c r="I103" s="5" t="s">
        <v>17</v>
      </c>
      <c r="J103" s="5" t="s">
        <v>568</v>
      </c>
    </row>
    <row r="104" spans="1:10" x14ac:dyDescent="0.25" outlineLevel="1" collapsed="1">
      <c r="A104" s="7" t="s">
        <v>15</v>
      </c>
      <c r="B104" s="7" t="s">
        <v>16</v>
      </c>
      <c r="C104" s="7" t="s">
        <v>17</v>
      </c>
      <c r="D104" s="7"/>
      <c r="E104" s="7" t="s">
        <v>492</v>
      </c>
      <c r="F104" s="7" t="s">
        <v>19</v>
      </c>
      <c r="G104" s="7" t="s">
        <v>493</v>
      </c>
      <c r="H104" s="7" t="s">
        <v>17</v>
      </c>
      <c r="I104" s="7" t="s">
        <v>17</v>
      </c>
      <c r="J104" s="7" t="s">
        <v>494</v>
      </c>
    </row>
    <row r="105" spans="1:10" x14ac:dyDescent="0.25" outlineLevel="1" collapsed="1">
      <c r="A105" s="7" t="s">
        <v>15</v>
      </c>
      <c r="B105" s="7" t="s">
        <v>16</v>
      </c>
      <c r="C105" s="7" t="s">
        <v>17</v>
      </c>
      <c r="D105" s="7"/>
      <c r="E105" s="7" t="s">
        <v>495</v>
      </c>
      <c r="F105" s="7" t="s">
        <v>19</v>
      </c>
      <c r="G105" s="7" t="s">
        <v>496</v>
      </c>
      <c r="H105" s="7" t="s">
        <v>17</v>
      </c>
      <c r="I105" s="7" t="s">
        <v>17</v>
      </c>
      <c r="J105" s="7" t="s">
        <v>497</v>
      </c>
    </row>
    <row r="106" spans="1:10" x14ac:dyDescent="0.25" outlineLevel="1" collapsed="1">
      <c r="A106" s="8" t="s">
        <v>19</v>
      </c>
      <c r="B106" s="9" t="s">
        <v>502</v>
      </c>
      <c r="C106" s="8" t="s">
        <v>17</v>
      </c>
      <c r="D106" s="8"/>
      <c r="E106" s="8" t="s">
        <v>503</v>
      </c>
      <c r="F106" s="8" t="s">
        <v>15</v>
      </c>
      <c r="G106" s="8" t="s">
        <v>17</v>
      </c>
      <c r="H106" s="8" t="s">
        <v>17</v>
      </c>
      <c r="I106" s="8" t="s">
        <v>17</v>
      </c>
      <c r="J106" s="8" t="s">
        <v>504</v>
      </c>
    </row>
    <row r="107" spans="1:10" x14ac:dyDescent="0.25" outlineLevel="2" collapsed="1">
      <c r="A107" s="7" t="s">
        <v>19</v>
      </c>
      <c r="B107" s="7" t="s">
        <v>16</v>
      </c>
      <c r="C107" s="7" t="s">
        <v>17</v>
      </c>
      <c r="D107" s="7"/>
      <c r="E107" s="7" t="s">
        <v>505</v>
      </c>
      <c r="F107" s="7" t="s">
        <v>19</v>
      </c>
      <c r="G107" s="7" t="s">
        <v>31</v>
      </c>
      <c r="H107" s="7" t="s">
        <v>17</v>
      </c>
      <c r="I107" s="7" t="s">
        <v>17</v>
      </c>
      <c r="J107" s="7" t="s">
        <v>506</v>
      </c>
    </row>
    <row r="108" spans="1:10" x14ac:dyDescent="0.25" outlineLevel="2" collapsed="1">
      <c r="A108" s="7" t="s">
        <v>19</v>
      </c>
      <c r="B108" s="7" t="s">
        <v>16</v>
      </c>
      <c r="C108" s="7" t="s">
        <v>17</v>
      </c>
      <c r="D108" s="7"/>
      <c r="E108" s="7" t="s">
        <v>501</v>
      </c>
      <c r="F108" s="7" t="s">
        <v>19</v>
      </c>
      <c r="G108" s="7" t="s">
        <v>31</v>
      </c>
      <c r="H108" s="7" t="s">
        <v>17</v>
      </c>
      <c r="I108" s="7" t="s">
        <v>17</v>
      </c>
      <c r="J108" s="7" t="s">
        <v>497</v>
      </c>
    </row>
    <row r="109" spans="1:10" x14ac:dyDescent="0.25">
      <c r="A109" s="5" t="s">
        <v>15</v>
      </c>
      <c r="B109" s="6" t="s">
        <v>3072</v>
      </c>
      <c r="C109" s="5" t="s">
        <v>17</v>
      </c>
      <c r="D109" s="5"/>
      <c r="E109" s="5" t="s">
        <v>3072</v>
      </c>
      <c r="F109" s="5" t="s">
        <v>19</v>
      </c>
      <c r="G109" s="5" t="s">
        <v>17</v>
      </c>
      <c r="H109" s="5" t="s">
        <v>17</v>
      </c>
      <c r="I109" s="5" t="s">
        <v>17</v>
      </c>
      <c r="J109" s="5" t="s">
        <v>571</v>
      </c>
    </row>
    <row r="110" spans="1:10" x14ac:dyDescent="0.25" outlineLevel="1" collapsed="1">
      <c r="A110" s="8" t="s">
        <v>15</v>
      </c>
      <c r="B110" s="9" t="s">
        <v>3073</v>
      </c>
      <c r="C110" s="8" t="s">
        <v>17</v>
      </c>
      <c r="D110" s="8"/>
      <c r="E110" s="8" t="s">
        <v>3074</v>
      </c>
      <c r="F110" s="8" t="s">
        <v>19</v>
      </c>
      <c r="G110" s="8" t="s">
        <v>17</v>
      </c>
      <c r="H110" s="8" t="s">
        <v>17</v>
      </c>
      <c r="I110" s="8" t="s">
        <v>17</v>
      </c>
      <c r="J110" s="8" t="s">
        <v>2466</v>
      </c>
    </row>
    <row r="111" spans="1:10" x14ac:dyDescent="0.25" outlineLevel="2" collapsed="1">
      <c r="A111" s="7" t="s">
        <v>15</v>
      </c>
      <c r="B111" s="7" t="s">
        <v>16</v>
      </c>
      <c r="C111" s="7" t="s">
        <v>17</v>
      </c>
      <c r="D111" s="7"/>
      <c r="E111" s="7" t="s">
        <v>3075</v>
      </c>
      <c r="F111" s="7" t="s">
        <v>19</v>
      </c>
      <c r="G111" s="7" t="s">
        <v>31</v>
      </c>
      <c r="H111" s="7" t="s">
        <v>17</v>
      </c>
      <c r="I111" s="7" t="s">
        <v>17</v>
      </c>
      <c r="J111" s="7" t="s">
        <v>494</v>
      </c>
    </row>
    <row r="112" spans="1:10" x14ac:dyDescent="0.25" outlineLevel="1" collapsed="1">
      <c r="A112" s="8" t="s">
        <v>15</v>
      </c>
      <c r="B112" s="9" t="s">
        <v>3076</v>
      </c>
      <c r="C112" s="8" t="s">
        <v>17</v>
      </c>
      <c r="D112" s="8"/>
      <c r="E112" s="8" t="s">
        <v>3076</v>
      </c>
      <c r="F112" s="8" t="s">
        <v>19</v>
      </c>
      <c r="G112" s="8" t="s">
        <v>17</v>
      </c>
      <c r="H112" s="8" t="s">
        <v>17</v>
      </c>
      <c r="I112" s="8" t="s">
        <v>17</v>
      </c>
      <c r="J112" s="8" t="s">
        <v>573</v>
      </c>
    </row>
    <row r="113" spans="1:10" x14ac:dyDescent="0.25" outlineLevel="2" collapsed="1">
      <c r="A113" s="7" t="s">
        <v>15</v>
      </c>
      <c r="B113" s="7" t="s">
        <v>16</v>
      </c>
      <c r="C113" s="7" t="s">
        <v>17</v>
      </c>
      <c r="D113" s="7"/>
      <c r="E113" s="7" t="s">
        <v>3077</v>
      </c>
      <c r="F113" s="7" t="s">
        <v>19</v>
      </c>
      <c r="G113" s="7" t="s">
        <v>31</v>
      </c>
      <c r="H113" s="7" t="s">
        <v>17</v>
      </c>
      <c r="I113" s="7" t="s">
        <v>17</v>
      </c>
      <c r="J113" s="7" t="s">
        <v>494</v>
      </c>
    </row>
    <row r="114" spans="1:10" x14ac:dyDescent="0.25" outlineLevel="1" collapsed="1">
      <c r="A114" s="8" t="s">
        <v>15</v>
      </c>
      <c r="B114" s="9" t="s">
        <v>3078</v>
      </c>
      <c r="C114" s="8" t="s">
        <v>17</v>
      </c>
      <c r="D114" s="8"/>
      <c r="E114" s="8" t="s">
        <v>3079</v>
      </c>
      <c r="F114" s="8" t="s">
        <v>19</v>
      </c>
      <c r="G114" s="8" t="s">
        <v>17</v>
      </c>
      <c r="H114" s="8" t="s">
        <v>17</v>
      </c>
      <c r="I114" s="8" t="s">
        <v>17</v>
      </c>
      <c r="J114" s="8" t="s">
        <v>2472</v>
      </c>
    </row>
    <row r="115" spans="1:10" x14ac:dyDescent="0.25" outlineLevel="2" collapsed="1">
      <c r="A115" s="7" t="s">
        <v>15</v>
      </c>
      <c r="B115" s="7" t="s">
        <v>16</v>
      </c>
      <c r="C115" s="7" t="s">
        <v>17</v>
      </c>
      <c r="D115" s="7"/>
      <c r="E115" s="7" t="s">
        <v>3080</v>
      </c>
      <c r="F115" s="7" t="s">
        <v>19</v>
      </c>
      <c r="G115" s="7" t="s">
        <v>31</v>
      </c>
      <c r="H115" s="7" t="s">
        <v>17</v>
      </c>
      <c r="I115" s="7" t="s">
        <v>17</v>
      </c>
      <c r="J115" s="7" t="s">
        <v>494</v>
      </c>
    </row>
    <row r="116" spans="1:10" x14ac:dyDescent="0.25">
      <c r="A116" s="5" t="s">
        <v>19</v>
      </c>
      <c r="B116" s="6" t="s">
        <v>3081</v>
      </c>
      <c r="C116" s="5" t="s">
        <v>17</v>
      </c>
      <c r="D116" s="5"/>
      <c r="E116" s="5" t="s">
        <v>3082</v>
      </c>
      <c r="F116" s="5" t="s">
        <v>19</v>
      </c>
      <c r="G116" s="5" t="s">
        <v>17</v>
      </c>
      <c r="H116" s="5" t="s">
        <v>17</v>
      </c>
      <c r="I116" s="5" t="s">
        <v>17</v>
      </c>
      <c r="J116" s="5" t="s">
        <v>2466</v>
      </c>
    </row>
    <row r="117" spans="1:10" x14ac:dyDescent="0.25" outlineLevel="1" collapsed="1">
      <c r="A117" s="7" t="s">
        <v>19</v>
      </c>
      <c r="B117" s="7" t="s">
        <v>16</v>
      </c>
      <c r="C117" s="7" t="s">
        <v>17</v>
      </c>
      <c r="D117" s="7"/>
      <c r="E117" s="7" t="s">
        <v>500</v>
      </c>
      <c r="F117" s="7" t="s">
        <v>19</v>
      </c>
      <c r="G117" s="7" t="s">
        <v>31</v>
      </c>
      <c r="H117" s="7" t="s">
        <v>17</v>
      </c>
      <c r="I117" s="7" t="s">
        <v>17</v>
      </c>
      <c r="J117" s="7" t="s">
        <v>494</v>
      </c>
    </row>
    <row r="118" spans="1:10" x14ac:dyDescent="0.25">
      <c r="A118" s="5" t="s">
        <v>19</v>
      </c>
      <c r="B118" s="6" t="s">
        <v>3083</v>
      </c>
      <c r="C118" s="5" t="s">
        <v>17</v>
      </c>
      <c r="D118" s="5"/>
      <c r="E118" s="5" t="s">
        <v>581</v>
      </c>
      <c r="F118" s="5" t="s">
        <v>19</v>
      </c>
      <c r="G118" s="5" t="s">
        <v>17</v>
      </c>
      <c r="H118" s="5" t="s">
        <v>17</v>
      </c>
      <c r="I118" s="5" t="s">
        <v>17</v>
      </c>
      <c r="J118" s="5" t="s">
        <v>573</v>
      </c>
    </row>
    <row r="119" spans="1:10" x14ac:dyDescent="0.25" outlineLevel="1" collapsed="1">
      <c r="A119" s="7" t="s">
        <v>19</v>
      </c>
      <c r="B119" s="7" t="s">
        <v>16</v>
      </c>
      <c r="C119" s="7" t="s">
        <v>17</v>
      </c>
      <c r="D119" s="7"/>
      <c r="E119" s="7" t="s">
        <v>500</v>
      </c>
      <c r="F119" s="7" t="s">
        <v>19</v>
      </c>
      <c r="G119" s="7" t="s">
        <v>31</v>
      </c>
      <c r="H119" s="7" t="s">
        <v>17</v>
      </c>
      <c r="I119" s="7" t="s">
        <v>17</v>
      </c>
      <c r="J119" s="7" t="s">
        <v>494</v>
      </c>
    </row>
    <row r="120" spans="1:10" x14ac:dyDescent="0.25">
      <c r="A120" s="5" t="s">
        <v>19</v>
      </c>
      <c r="B120" s="6" t="s">
        <v>3084</v>
      </c>
      <c r="C120" s="5" t="s">
        <v>17</v>
      </c>
      <c r="D120" s="5"/>
      <c r="E120" s="5" t="s">
        <v>3085</v>
      </c>
      <c r="F120" s="5" t="s">
        <v>19</v>
      </c>
      <c r="G120" s="5" t="s">
        <v>17</v>
      </c>
      <c r="H120" s="5" t="s">
        <v>17</v>
      </c>
      <c r="I120" s="5" t="s">
        <v>17</v>
      </c>
      <c r="J120" s="5" t="s">
        <v>2472</v>
      </c>
    </row>
    <row r="121" spans="1:10" x14ac:dyDescent="0.25" outlineLevel="1" collapsed="1">
      <c r="A121" s="7" t="s">
        <v>19</v>
      </c>
      <c r="B121" s="7" t="s">
        <v>16</v>
      </c>
      <c r="C121" s="7" t="s">
        <v>17</v>
      </c>
      <c r="D121" s="7"/>
      <c r="E121" s="7" t="s">
        <v>500</v>
      </c>
      <c r="F121" s="7" t="s">
        <v>19</v>
      </c>
      <c r="G121" s="7" t="s">
        <v>31</v>
      </c>
      <c r="H121" s="7" t="s">
        <v>17</v>
      </c>
      <c r="I121" s="7" t="s">
        <v>17</v>
      </c>
      <c r="J121" s="7" t="s">
        <v>494</v>
      </c>
    </row>
    <row r="122" spans="1:10" x14ac:dyDescent="0.25">
      <c r="A122" s="5" t="s">
        <v>19</v>
      </c>
      <c r="B122" s="6" t="s">
        <v>3086</v>
      </c>
      <c r="C122" s="5" t="s">
        <v>17</v>
      </c>
      <c r="D122" s="5"/>
      <c r="E122" s="5" t="s">
        <v>3087</v>
      </c>
      <c r="F122" s="5" t="s">
        <v>19</v>
      </c>
      <c r="G122" s="5" t="s">
        <v>17</v>
      </c>
      <c r="H122" s="5" t="s">
        <v>17</v>
      </c>
      <c r="I122" s="5" t="s">
        <v>17</v>
      </c>
      <c r="J122" s="5" t="s">
        <v>2293</v>
      </c>
    </row>
    <row r="123" spans="1:10" x14ac:dyDescent="0.25" outlineLevel="1" collapsed="1">
      <c r="A123" s="7" t="s">
        <v>19</v>
      </c>
      <c r="B123" s="7" t="s">
        <v>16</v>
      </c>
      <c r="C123" s="7" t="s">
        <v>17</v>
      </c>
      <c r="D123" s="7"/>
      <c r="E123" s="7" t="s">
        <v>500</v>
      </c>
      <c r="F123" s="7" t="s">
        <v>19</v>
      </c>
      <c r="G123" s="7" t="s">
        <v>31</v>
      </c>
      <c r="H123" s="7" t="s">
        <v>17</v>
      </c>
      <c r="I123" s="7" t="s">
        <v>17</v>
      </c>
      <c r="J123" s="7" t="s">
        <v>494</v>
      </c>
    </row>
    <row r="124" spans="1:10" x14ac:dyDescent="0.25" outlineLevel="1" collapsed="1">
      <c r="A124" s="7" t="s">
        <v>19</v>
      </c>
      <c r="B124" s="7" t="s">
        <v>16</v>
      </c>
      <c r="C124" s="7" t="s">
        <v>17</v>
      </c>
      <c r="D124" s="7"/>
      <c r="E124" s="7" t="s">
        <v>501</v>
      </c>
      <c r="F124" s="7" t="s">
        <v>19</v>
      </c>
      <c r="G124" s="7" t="s">
        <v>31</v>
      </c>
      <c r="H124" s="7" t="s">
        <v>17</v>
      </c>
      <c r="I124" s="7" t="s">
        <v>17</v>
      </c>
      <c r="J124" s="7" t="s">
        <v>497</v>
      </c>
    </row>
    <row r="125" spans="1:10" x14ac:dyDescent="0.25" outlineLevel="1" collapsed="1">
      <c r="A125" s="8" t="s">
        <v>19</v>
      </c>
      <c r="B125" s="9" t="s">
        <v>502</v>
      </c>
      <c r="C125" s="8" t="s">
        <v>17</v>
      </c>
      <c r="D125" s="8"/>
      <c r="E125" s="8" t="s">
        <v>503</v>
      </c>
      <c r="F125" s="8" t="s">
        <v>15</v>
      </c>
      <c r="G125" s="8" t="s">
        <v>17</v>
      </c>
      <c r="H125" s="8" t="s">
        <v>17</v>
      </c>
      <c r="I125" s="8" t="s">
        <v>17</v>
      </c>
      <c r="J125" s="8" t="s">
        <v>504</v>
      </c>
    </row>
    <row r="126" spans="1:10" x14ac:dyDescent="0.25" outlineLevel="2" collapsed="1">
      <c r="A126" s="7" t="s">
        <v>19</v>
      </c>
      <c r="B126" s="7" t="s">
        <v>16</v>
      </c>
      <c r="C126" s="7" t="s">
        <v>17</v>
      </c>
      <c r="D126" s="7"/>
      <c r="E126" s="7" t="s">
        <v>505</v>
      </c>
      <c r="F126" s="7" t="s">
        <v>19</v>
      </c>
      <c r="G126" s="7" t="s">
        <v>31</v>
      </c>
      <c r="H126" s="7" t="s">
        <v>17</v>
      </c>
      <c r="I126" s="7" t="s">
        <v>17</v>
      </c>
      <c r="J126" s="7" t="s">
        <v>506</v>
      </c>
    </row>
    <row r="127" spans="1:10" x14ac:dyDescent="0.25" outlineLevel="2" collapsed="1">
      <c r="A127" s="7" t="s">
        <v>19</v>
      </c>
      <c r="B127" s="7" t="s">
        <v>16</v>
      </c>
      <c r="C127" s="7" t="s">
        <v>17</v>
      </c>
      <c r="D127" s="7"/>
      <c r="E127" s="7" t="s">
        <v>501</v>
      </c>
      <c r="F127" s="7" t="s">
        <v>19</v>
      </c>
      <c r="G127" s="7" t="s">
        <v>31</v>
      </c>
      <c r="H127" s="7" t="s">
        <v>17</v>
      </c>
      <c r="I127" s="7" t="s">
        <v>17</v>
      </c>
      <c r="J127" s="7" t="s">
        <v>497</v>
      </c>
    </row>
    <row r="128" spans="1:10" x14ac:dyDescent="0.25">
      <c r="A128" s="5" t="s">
        <v>19</v>
      </c>
      <c r="B128" s="6" t="s">
        <v>3088</v>
      </c>
      <c r="C128" s="5" t="s">
        <v>17</v>
      </c>
      <c r="D128" s="5"/>
      <c r="E128" s="5" t="s">
        <v>3089</v>
      </c>
      <c r="F128" s="5" t="s">
        <v>19</v>
      </c>
      <c r="G128" s="5" t="s">
        <v>17</v>
      </c>
      <c r="H128" s="5" t="s">
        <v>17</v>
      </c>
      <c r="I128" s="5" t="s">
        <v>17</v>
      </c>
      <c r="J128" s="5" t="s">
        <v>3090</v>
      </c>
    </row>
    <row r="129" spans="1:10" x14ac:dyDescent="0.25" outlineLevel="1" collapsed="1">
      <c r="A129" s="7" t="s">
        <v>19</v>
      </c>
      <c r="B129" s="7" t="s">
        <v>16</v>
      </c>
      <c r="C129" s="7" t="s">
        <v>17</v>
      </c>
      <c r="D129" s="7"/>
      <c r="E129" s="7" t="s">
        <v>500</v>
      </c>
      <c r="F129" s="7" t="s">
        <v>19</v>
      </c>
      <c r="G129" s="7" t="s">
        <v>31</v>
      </c>
      <c r="H129" s="7" t="s">
        <v>17</v>
      </c>
      <c r="I129" s="7" t="s">
        <v>17</v>
      </c>
      <c r="J129" s="7" t="s">
        <v>494</v>
      </c>
    </row>
    <row r="130" spans="1:10" x14ac:dyDescent="0.25" outlineLevel="1" collapsed="1">
      <c r="A130" s="7" t="s">
        <v>19</v>
      </c>
      <c r="B130" s="7" t="s">
        <v>16</v>
      </c>
      <c r="C130" s="7" t="s">
        <v>17</v>
      </c>
      <c r="D130" s="7"/>
      <c r="E130" s="7" t="s">
        <v>501</v>
      </c>
      <c r="F130" s="7" t="s">
        <v>19</v>
      </c>
      <c r="G130" s="7" t="s">
        <v>31</v>
      </c>
      <c r="H130" s="7" t="s">
        <v>17</v>
      </c>
      <c r="I130" s="7" t="s">
        <v>17</v>
      </c>
      <c r="J130" s="7" t="s">
        <v>497</v>
      </c>
    </row>
    <row r="131" spans="1:10" x14ac:dyDescent="0.25" outlineLevel="1" collapsed="1">
      <c r="A131" s="8" t="s">
        <v>19</v>
      </c>
      <c r="B131" s="9" t="s">
        <v>502</v>
      </c>
      <c r="C131" s="8" t="s">
        <v>17</v>
      </c>
      <c r="D131" s="8"/>
      <c r="E131" s="8" t="s">
        <v>503</v>
      </c>
      <c r="F131" s="8" t="s">
        <v>15</v>
      </c>
      <c r="G131" s="8" t="s">
        <v>17</v>
      </c>
      <c r="H131" s="8" t="s">
        <v>17</v>
      </c>
      <c r="I131" s="8" t="s">
        <v>17</v>
      </c>
      <c r="J131" s="8" t="s">
        <v>504</v>
      </c>
    </row>
    <row r="132" spans="1:10" x14ac:dyDescent="0.25" outlineLevel="2" collapsed="1">
      <c r="A132" s="7" t="s">
        <v>19</v>
      </c>
      <c r="B132" s="7" t="s">
        <v>16</v>
      </c>
      <c r="C132" s="7" t="s">
        <v>17</v>
      </c>
      <c r="D132" s="7"/>
      <c r="E132" s="7" t="s">
        <v>505</v>
      </c>
      <c r="F132" s="7" t="s">
        <v>19</v>
      </c>
      <c r="G132" s="7" t="s">
        <v>31</v>
      </c>
      <c r="H132" s="7" t="s">
        <v>17</v>
      </c>
      <c r="I132" s="7" t="s">
        <v>17</v>
      </c>
      <c r="J132" s="7" t="s">
        <v>506</v>
      </c>
    </row>
    <row r="133" spans="1:10" x14ac:dyDescent="0.25" outlineLevel="2" collapsed="1">
      <c r="A133" s="7" t="s">
        <v>19</v>
      </c>
      <c r="B133" s="7" t="s">
        <v>16</v>
      </c>
      <c r="C133" s="7" t="s">
        <v>17</v>
      </c>
      <c r="D133" s="7"/>
      <c r="E133" s="7" t="s">
        <v>501</v>
      </c>
      <c r="F133" s="7" t="s">
        <v>19</v>
      </c>
      <c r="G133" s="7" t="s">
        <v>31</v>
      </c>
      <c r="H133" s="7" t="s">
        <v>17</v>
      </c>
      <c r="I133" s="7" t="s">
        <v>17</v>
      </c>
      <c r="J133" s="7" t="s">
        <v>497</v>
      </c>
    </row>
    <row r="134" spans="1:10" x14ac:dyDescent="0.25">
      <c r="A134" s="5" t="s">
        <v>19</v>
      </c>
      <c r="B134" s="6" t="s">
        <v>3091</v>
      </c>
      <c r="C134" s="5" t="s">
        <v>17</v>
      </c>
      <c r="D134" s="5"/>
      <c r="E134" s="5" t="s">
        <v>3092</v>
      </c>
      <c r="F134" s="5" t="s">
        <v>19</v>
      </c>
      <c r="G134" s="5" t="s">
        <v>17</v>
      </c>
      <c r="H134" s="5" t="s">
        <v>17</v>
      </c>
      <c r="I134" s="5" t="s">
        <v>17</v>
      </c>
      <c r="J134" s="5" t="s">
        <v>972</v>
      </c>
    </row>
    <row r="135" spans="1:10" x14ac:dyDescent="0.25" outlineLevel="1" collapsed="1">
      <c r="A135" s="7" t="s">
        <v>19</v>
      </c>
      <c r="B135" s="7" t="s">
        <v>16</v>
      </c>
      <c r="C135" s="7" t="s">
        <v>17</v>
      </c>
      <c r="D135" s="7"/>
      <c r="E135" s="7" t="s">
        <v>500</v>
      </c>
      <c r="F135" s="7" t="s">
        <v>19</v>
      </c>
      <c r="G135" s="7" t="s">
        <v>31</v>
      </c>
      <c r="H135" s="7" t="s">
        <v>17</v>
      </c>
      <c r="I135" s="7" t="s">
        <v>17</v>
      </c>
      <c r="J135" s="7" t="s">
        <v>494</v>
      </c>
    </row>
    <row r="136" spans="1:10" x14ac:dyDescent="0.25" outlineLevel="1" collapsed="1">
      <c r="A136" s="7" t="s">
        <v>19</v>
      </c>
      <c r="B136" s="7" t="s">
        <v>16</v>
      </c>
      <c r="C136" s="7" t="s">
        <v>17</v>
      </c>
      <c r="D136" s="7"/>
      <c r="E136" s="7" t="s">
        <v>501</v>
      </c>
      <c r="F136" s="7" t="s">
        <v>19</v>
      </c>
      <c r="G136" s="7" t="s">
        <v>31</v>
      </c>
      <c r="H136" s="7" t="s">
        <v>17</v>
      </c>
      <c r="I136" s="7" t="s">
        <v>17</v>
      </c>
      <c r="J136" s="7" t="s">
        <v>497</v>
      </c>
    </row>
    <row r="137" spans="1:10" x14ac:dyDescent="0.25" outlineLevel="1" collapsed="1">
      <c r="A137" s="8" t="s">
        <v>19</v>
      </c>
      <c r="B137" s="9" t="s">
        <v>502</v>
      </c>
      <c r="C137" s="8" t="s">
        <v>17</v>
      </c>
      <c r="D137" s="8"/>
      <c r="E137" s="8" t="s">
        <v>503</v>
      </c>
      <c r="F137" s="8" t="s">
        <v>15</v>
      </c>
      <c r="G137" s="8" t="s">
        <v>17</v>
      </c>
      <c r="H137" s="8" t="s">
        <v>17</v>
      </c>
      <c r="I137" s="8" t="s">
        <v>17</v>
      </c>
      <c r="J137" s="8" t="s">
        <v>504</v>
      </c>
    </row>
    <row r="138" spans="1:10" x14ac:dyDescent="0.25" outlineLevel="2" collapsed="1">
      <c r="A138" s="7" t="s">
        <v>19</v>
      </c>
      <c r="B138" s="7" t="s">
        <v>16</v>
      </c>
      <c r="C138" s="7" t="s">
        <v>17</v>
      </c>
      <c r="D138" s="7"/>
      <c r="E138" s="7" t="s">
        <v>505</v>
      </c>
      <c r="F138" s="7" t="s">
        <v>19</v>
      </c>
      <c r="G138" s="7" t="s">
        <v>31</v>
      </c>
      <c r="H138" s="7" t="s">
        <v>17</v>
      </c>
      <c r="I138" s="7" t="s">
        <v>17</v>
      </c>
      <c r="J138" s="7" t="s">
        <v>506</v>
      </c>
    </row>
    <row r="139" spans="1:10" x14ac:dyDescent="0.25" outlineLevel="2" collapsed="1">
      <c r="A139" s="7" t="s">
        <v>19</v>
      </c>
      <c r="B139" s="7" t="s">
        <v>16</v>
      </c>
      <c r="C139" s="7" t="s">
        <v>17</v>
      </c>
      <c r="D139" s="7"/>
      <c r="E139" s="7" t="s">
        <v>501</v>
      </c>
      <c r="F139" s="7" t="s">
        <v>19</v>
      </c>
      <c r="G139" s="7" t="s">
        <v>31</v>
      </c>
      <c r="H139" s="7" t="s">
        <v>17</v>
      </c>
      <c r="I139" s="7" t="s">
        <v>17</v>
      </c>
      <c r="J139" s="7" t="s">
        <v>497</v>
      </c>
    </row>
    <row r="140" spans="1:10" x14ac:dyDescent="0.25">
      <c r="A140" s="5" t="s">
        <v>19</v>
      </c>
      <c r="B140" s="6" t="s">
        <v>3093</v>
      </c>
      <c r="C140" s="5" t="s">
        <v>17</v>
      </c>
      <c r="D140" s="5"/>
      <c r="E140" s="5" t="s">
        <v>599</v>
      </c>
      <c r="F140" s="5" t="s">
        <v>19</v>
      </c>
      <c r="G140" s="5" t="s">
        <v>17</v>
      </c>
      <c r="H140" s="5" t="s">
        <v>17</v>
      </c>
      <c r="I140" s="5" t="s">
        <v>17</v>
      </c>
      <c r="J140" s="5" t="s">
        <v>600</v>
      </c>
    </row>
    <row r="141" spans="1:10" x14ac:dyDescent="0.25" outlineLevel="1" collapsed="1">
      <c r="A141" s="7" t="s">
        <v>19</v>
      </c>
      <c r="B141" s="7" t="s">
        <v>16</v>
      </c>
      <c r="C141" s="7" t="s">
        <v>17</v>
      </c>
      <c r="D141" s="7"/>
      <c r="E141" s="7" t="s">
        <v>500</v>
      </c>
      <c r="F141" s="7" t="s">
        <v>19</v>
      </c>
      <c r="G141" s="7" t="s">
        <v>31</v>
      </c>
      <c r="H141" s="7" t="s">
        <v>17</v>
      </c>
      <c r="I141" s="7" t="s">
        <v>17</v>
      </c>
      <c r="J141" s="7" t="s">
        <v>494</v>
      </c>
    </row>
    <row r="142" spans="1:10" x14ac:dyDescent="0.25" outlineLevel="1" collapsed="1">
      <c r="A142" s="7" t="s">
        <v>19</v>
      </c>
      <c r="B142" s="7" t="s">
        <v>16</v>
      </c>
      <c r="C142" s="7" t="s">
        <v>17</v>
      </c>
      <c r="D142" s="7"/>
      <c r="E142" s="7" t="s">
        <v>501</v>
      </c>
      <c r="F142" s="7" t="s">
        <v>19</v>
      </c>
      <c r="G142" s="7" t="s">
        <v>31</v>
      </c>
      <c r="H142" s="7" t="s">
        <v>17</v>
      </c>
      <c r="I142" s="7" t="s">
        <v>17</v>
      </c>
      <c r="J142" s="7" t="s">
        <v>497</v>
      </c>
    </row>
    <row r="143" spans="1:10" x14ac:dyDescent="0.25" outlineLevel="1" collapsed="1">
      <c r="A143" s="8" t="s">
        <v>19</v>
      </c>
      <c r="B143" s="9" t="s">
        <v>502</v>
      </c>
      <c r="C143" s="8" t="s">
        <v>17</v>
      </c>
      <c r="D143" s="8"/>
      <c r="E143" s="8" t="s">
        <v>503</v>
      </c>
      <c r="F143" s="8" t="s">
        <v>15</v>
      </c>
      <c r="G143" s="8" t="s">
        <v>17</v>
      </c>
      <c r="H143" s="8" t="s">
        <v>17</v>
      </c>
      <c r="I143" s="8" t="s">
        <v>17</v>
      </c>
      <c r="J143" s="8" t="s">
        <v>504</v>
      </c>
    </row>
    <row r="144" spans="1:10" x14ac:dyDescent="0.25" outlineLevel="2" collapsed="1">
      <c r="A144" s="7" t="s">
        <v>19</v>
      </c>
      <c r="B144" s="7" t="s">
        <v>16</v>
      </c>
      <c r="C144" s="7" t="s">
        <v>17</v>
      </c>
      <c r="D144" s="7"/>
      <c r="E144" s="7" t="s">
        <v>505</v>
      </c>
      <c r="F144" s="7" t="s">
        <v>19</v>
      </c>
      <c r="G144" s="7" t="s">
        <v>31</v>
      </c>
      <c r="H144" s="7" t="s">
        <v>17</v>
      </c>
      <c r="I144" s="7" t="s">
        <v>17</v>
      </c>
      <c r="J144" s="7" t="s">
        <v>506</v>
      </c>
    </row>
    <row r="145" spans="1:10" x14ac:dyDescent="0.25" outlineLevel="2" collapsed="1">
      <c r="A145" s="7" t="s">
        <v>19</v>
      </c>
      <c r="B145" s="7" t="s">
        <v>16</v>
      </c>
      <c r="C145" s="7" t="s">
        <v>17</v>
      </c>
      <c r="D145" s="7"/>
      <c r="E145" s="7" t="s">
        <v>501</v>
      </c>
      <c r="F145" s="7" t="s">
        <v>19</v>
      </c>
      <c r="G145" s="7" t="s">
        <v>31</v>
      </c>
      <c r="H145" s="7" t="s">
        <v>17</v>
      </c>
      <c r="I145" s="7" t="s">
        <v>17</v>
      </c>
      <c r="J145" s="7" t="s">
        <v>497</v>
      </c>
    </row>
    <row r="146" spans="1:10" x14ac:dyDescent="0.25">
      <c r="A146" s="5" t="s">
        <v>19</v>
      </c>
      <c r="B146" s="6" t="s">
        <v>3094</v>
      </c>
      <c r="C146" s="5" t="s">
        <v>17</v>
      </c>
      <c r="D146" s="5"/>
      <c r="E146" s="5" t="s">
        <v>602</v>
      </c>
      <c r="F146" s="5" t="s">
        <v>19</v>
      </c>
      <c r="G146" s="5" t="s">
        <v>17</v>
      </c>
      <c r="H146" s="5" t="s">
        <v>17</v>
      </c>
      <c r="I146" s="5" t="s">
        <v>17</v>
      </c>
      <c r="J146" s="5" t="s">
        <v>603</v>
      </c>
    </row>
    <row r="147" spans="1:10" x14ac:dyDescent="0.25" outlineLevel="1" collapsed="1">
      <c r="A147" s="7" t="s">
        <v>19</v>
      </c>
      <c r="B147" s="7" t="s">
        <v>16</v>
      </c>
      <c r="C147" s="7" t="s">
        <v>17</v>
      </c>
      <c r="D147" s="7"/>
      <c r="E147" s="7" t="s">
        <v>500</v>
      </c>
      <c r="F147" s="7" t="s">
        <v>19</v>
      </c>
      <c r="G147" s="7" t="s">
        <v>31</v>
      </c>
      <c r="H147" s="7" t="s">
        <v>17</v>
      </c>
      <c r="I147" s="7" t="s">
        <v>17</v>
      </c>
      <c r="J147" s="7" t="s">
        <v>494</v>
      </c>
    </row>
    <row r="148" spans="1:10" x14ac:dyDescent="0.25" outlineLevel="1" collapsed="1">
      <c r="A148" s="7" t="s">
        <v>19</v>
      </c>
      <c r="B148" s="7" t="s">
        <v>16</v>
      </c>
      <c r="C148" s="7" t="s">
        <v>17</v>
      </c>
      <c r="D148" s="7"/>
      <c r="E148" s="7" t="s">
        <v>501</v>
      </c>
      <c r="F148" s="7" t="s">
        <v>19</v>
      </c>
      <c r="G148" s="7" t="s">
        <v>31</v>
      </c>
      <c r="H148" s="7" t="s">
        <v>17</v>
      </c>
      <c r="I148" s="7" t="s">
        <v>17</v>
      </c>
      <c r="J148" s="7" t="s">
        <v>497</v>
      </c>
    </row>
    <row r="149" spans="1:10" x14ac:dyDescent="0.25" outlineLevel="1" collapsed="1">
      <c r="A149" s="8" t="s">
        <v>19</v>
      </c>
      <c r="B149" s="9" t="s">
        <v>502</v>
      </c>
      <c r="C149" s="8" t="s">
        <v>17</v>
      </c>
      <c r="D149" s="8"/>
      <c r="E149" s="8" t="s">
        <v>503</v>
      </c>
      <c r="F149" s="8" t="s">
        <v>15</v>
      </c>
      <c r="G149" s="8" t="s">
        <v>17</v>
      </c>
      <c r="H149" s="8" t="s">
        <v>17</v>
      </c>
      <c r="I149" s="8" t="s">
        <v>17</v>
      </c>
      <c r="J149" s="8" t="s">
        <v>504</v>
      </c>
    </row>
    <row r="150" spans="1:10" x14ac:dyDescent="0.25" outlineLevel="2" collapsed="1">
      <c r="A150" s="7" t="s">
        <v>19</v>
      </c>
      <c r="B150" s="7" t="s">
        <v>16</v>
      </c>
      <c r="C150" s="7" t="s">
        <v>17</v>
      </c>
      <c r="D150" s="7"/>
      <c r="E150" s="7" t="s">
        <v>505</v>
      </c>
      <c r="F150" s="7" t="s">
        <v>19</v>
      </c>
      <c r="G150" s="7" t="s">
        <v>31</v>
      </c>
      <c r="H150" s="7" t="s">
        <v>17</v>
      </c>
      <c r="I150" s="7" t="s">
        <v>17</v>
      </c>
      <c r="J150" s="7" t="s">
        <v>506</v>
      </c>
    </row>
    <row r="151" spans="1:10" x14ac:dyDescent="0.25" outlineLevel="2" collapsed="1">
      <c r="A151" s="7" t="s">
        <v>19</v>
      </c>
      <c r="B151" s="7" t="s">
        <v>16</v>
      </c>
      <c r="C151" s="7" t="s">
        <v>17</v>
      </c>
      <c r="D151" s="7"/>
      <c r="E151" s="7" t="s">
        <v>501</v>
      </c>
      <c r="F151" s="7" t="s">
        <v>19</v>
      </c>
      <c r="G151" s="7" t="s">
        <v>31</v>
      </c>
      <c r="H151" s="7" t="s">
        <v>17</v>
      </c>
      <c r="I151" s="7" t="s">
        <v>17</v>
      </c>
      <c r="J151" s="7" t="s">
        <v>497</v>
      </c>
    </row>
    <row r="152" spans="1:10" x14ac:dyDescent="0.25">
      <c r="A152" s="5" t="s">
        <v>19</v>
      </c>
      <c r="B152" s="6" t="s">
        <v>3095</v>
      </c>
      <c r="C152" s="5" t="s">
        <v>17</v>
      </c>
      <c r="D152" s="5"/>
      <c r="E152" s="5" t="s">
        <v>588</v>
      </c>
      <c r="F152" s="5" t="s">
        <v>19</v>
      </c>
      <c r="G152" s="5" t="s">
        <v>17</v>
      </c>
      <c r="H152" s="5" t="s">
        <v>17</v>
      </c>
      <c r="I152" s="5" t="s">
        <v>17</v>
      </c>
      <c r="J152" s="5" t="s">
        <v>550</v>
      </c>
    </row>
    <row r="153" spans="1:10" x14ac:dyDescent="0.25" outlineLevel="1" collapsed="1">
      <c r="A153" s="7" t="s">
        <v>19</v>
      </c>
      <c r="B153" s="7" t="s">
        <v>16</v>
      </c>
      <c r="C153" s="7" t="s">
        <v>17</v>
      </c>
      <c r="D153" s="7"/>
      <c r="E153" s="7" t="s">
        <v>500</v>
      </c>
      <c r="F153" s="7" t="s">
        <v>19</v>
      </c>
      <c r="G153" s="7" t="s">
        <v>31</v>
      </c>
      <c r="H153" s="7" t="s">
        <v>17</v>
      </c>
      <c r="I153" s="7" t="s">
        <v>17</v>
      </c>
      <c r="J153" s="7" t="s">
        <v>494</v>
      </c>
    </row>
    <row r="154" spans="1:10" x14ac:dyDescent="0.25" outlineLevel="1" collapsed="1">
      <c r="A154" s="7" t="s">
        <v>19</v>
      </c>
      <c r="B154" s="7" t="s">
        <v>16</v>
      </c>
      <c r="C154" s="7" t="s">
        <v>17</v>
      </c>
      <c r="D154" s="7"/>
      <c r="E154" s="7" t="s">
        <v>501</v>
      </c>
      <c r="F154" s="7" t="s">
        <v>19</v>
      </c>
      <c r="G154" s="7" t="s">
        <v>31</v>
      </c>
      <c r="H154" s="7" t="s">
        <v>17</v>
      </c>
      <c r="I154" s="7" t="s">
        <v>17</v>
      </c>
      <c r="J154" s="7" t="s">
        <v>497</v>
      </c>
    </row>
    <row r="155" spans="1:10" x14ac:dyDescent="0.25" outlineLevel="1" collapsed="1">
      <c r="A155" s="8" t="s">
        <v>19</v>
      </c>
      <c r="B155" s="9" t="s">
        <v>502</v>
      </c>
      <c r="C155" s="8" t="s">
        <v>17</v>
      </c>
      <c r="D155" s="8"/>
      <c r="E155" s="8" t="s">
        <v>503</v>
      </c>
      <c r="F155" s="8" t="s">
        <v>15</v>
      </c>
      <c r="G155" s="8" t="s">
        <v>17</v>
      </c>
      <c r="H155" s="8" t="s">
        <v>17</v>
      </c>
      <c r="I155" s="8" t="s">
        <v>17</v>
      </c>
      <c r="J155" s="8" t="s">
        <v>504</v>
      </c>
    </row>
    <row r="156" spans="1:10" x14ac:dyDescent="0.25" outlineLevel="2" collapsed="1">
      <c r="A156" s="7" t="s">
        <v>19</v>
      </c>
      <c r="B156" s="7" t="s">
        <v>16</v>
      </c>
      <c r="C156" s="7" t="s">
        <v>17</v>
      </c>
      <c r="D156" s="7"/>
      <c r="E156" s="7" t="s">
        <v>505</v>
      </c>
      <c r="F156" s="7" t="s">
        <v>19</v>
      </c>
      <c r="G156" s="7" t="s">
        <v>31</v>
      </c>
      <c r="H156" s="7" t="s">
        <v>17</v>
      </c>
      <c r="I156" s="7" t="s">
        <v>17</v>
      </c>
      <c r="J156" s="7" t="s">
        <v>506</v>
      </c>
    </row>
    <row r="157" spans="1:10" x14ac:dyDescent="0.25" outlineLevel="2" collapsed="1">
      <c r="A157" s="7" t="s">
        <v>19</v>
      </c>
      <c r="B157" s="7" t="s">
        <v>16</v>
      </c>
      <c r="C157" s="7" t="s">
        <v>17</v>
      </c>
      <c r="D157" s="7"/>
      <c r="E157" s="7" t="s">
        <v>501</v>
      </c>
      <c r="F157" s="7" t="s">
        <v>19</v>
      </c>
      <c r="G157" s="7" t="s">
        <v>31</v>
      </c>
      <c r="H157" s="7" t="s">
        <v>17</v>
      </c>
      <c r="I157" s="7" t="s">
        <v>17</v>
      </c>
      <c r="J157" s="7" t="s">
        <v>497</v>
      </c>
    </row>
    <row r="158" spans="1:10" x14ac:dyDescent="0.25">
      <c r="A158" s="5" t="s">
        <v>19</v>
      </c>
      <c r="B158" s="6" t="s">
        <v>3096</v>
      </c>
      <c r="C158" s="5" t="s">
        <v>17</v>
      </c>
      <c r="D158" s="5"/>
      <c r="E158" s="5" t="s">
        <v>590</v>
      </c>
      <c r="F158" s="5" t="s">
        <v>19</v>
      </c>
      <c r="G158" s="5" t="s">
        <v>17</v>
      </c>
      <c r="H158" s="5" t="s">
        <v>17</v>
      </c>
      <c r="I158" s="5" t="s">
        <v>17</v>
      </c>
      <c r="J158" s="5" t="s">
        <v>591</v>
      </c>
    </row>
    <row r="159" spans="1:10" x14ac:dyDescent="0.25" outlineLevel="1" collapsed="1">
      <c r="A159" s="7" t="s">
        <v>19</v>
      </c>
      <c r="B159" s="7" t="s">
        <v>16</v>
      </c>
      <c r="C159" s="7" t="s">
        <v>17</v>
      </c>
      <c r="D159" s="7"/>
      <c r="E159" s="7" t="s">
        <v>500</v>
      </c>
      <c r="F159" s="7" t="s">
        <v>19</v>
      </c>
      <c r="G159" s="7" t="s">
        <v>31</v>
      </c>
      <c r="H159" s="7" t="s">
        <v>17</v>
      </c>
      <c r="I159" s="7" t="s">
        <v>17</v>
      </c>
      <c r="J159" s="7" t="s">
        <v>494</v>
      </c>
    </row>
    <row r="160" spans="1:10" x14ac:dyDescent="0.25" outlineLevel="1" collapsed="1">
      <c r="A160" s="7" t="s">
        <v>19</v>
      </c>
      <c r="B160" s="7" t="s">
        <v>16</v>
      </c>
      <c r="C160" s="7" t="s">
        <v>17</v>
      </c>
      <c r="D160" s="7"/>
      <c r="E160" s="7" t="s">
        <v>501</v>
      </c>
      <c r="F160" s="7" t="s">
        <v>19</v>
      </c>
      <c r="G160" s="7" t="s">
        <v>31</v>
      </c>
      <c r="H160" s="7" t="s">
        <v>17</v>
      </c>
      <c r="I160" s="7" t="s">
        <v>17</v>
      </c>
      <c r="J160" s="7" t="s">
        <v>497</v>
      </c>
    </row>
    <row r="161" spans="1:10" x14ac:dyDescent="0.25" outlineLevel="1" collapsed="1">
      <c r="A161" s="8" t="s">
        <v>19</v>
      </c>
      <c r="B161" s="9" t="s">
        <v>502</v>
      </c>
      <c r="C161" s="8" t="s">
        <v>17</v>
      </c>
      <c r="D161" s="8"/>
      <c r="E161" s="8" t="s">
        <v>503</v>
      </c>
      <c r="F161" s="8" t="s">
        <v>15</v>
      </c>
      <c r="G161" s="8" t="s">
        <v>17</v>
      </c>
      <c r="H161" s="8" t="s">
        <v>17</v>
      </c>
      <c r="I161" s="8" t="s">
        <v>17</v>
      </c>
      <c r="J161" s="8" t="s">
        <v>504</v>
      </c>
    </row>
    <row r="162" spans="1:10" x14ac:dyDescent="0.25" outlineLevel="2" collapsed="1">
      <c r="A162" s="7" t="s">
        <v>19</v>
      </c>
      <c r="B162" s="7" t="s">
        <v>16</v>
      </c>
      <c r="C162" s="7" t="s">
        <v>17</v>
      </c>
      <c r="D162" s="7"/>
      <c r="E162" s="7" t="s">
        <v>505</v>
      </c>
      <c r="F162" s="7" t="s">
        <v>19</v>
      </c>
      <c r="G162" s="7" t="s">
        <v>31</v>
      </c>
      <c r="H162" s="7" t="s">
        <v>17</v>
      </c>
      <c r="I162" s="7" t="s">
        <v>17</v>
      </c>
      <c r="J162" s="7" t="s">
        <v>506</v>
      </c>
    </row>
    <row r="163" spans="1:10" x14ac:dyDescent="0.25" outlineLevel="2" collapsed="1">
      <c r="A163" s="7" t="s">
        <v>19</v>
      </c>
      <c r="B163" s="7" t="s">
        <v>16</v>
      </c>
      <c r="C163" s="7" t="s">
        <v>17</v>
      </c>
      <c r="D163" s="7"/>
      <c r="E163" s="7" t="s">
        <v>501</v>
      </c>
      <c r="F163" s="7" t="s">
        <v>19</v>
      </c>
      <c r="G163" s="7" t="s">
        <v>31</v>
      </c>
      <c r="H163" s="7" t="s">
        <v>17</v>
      </c>
      <c r="I163" s="7" t="s">
        <v>17</v>
      </c>
      <c r="J163" s="7" t="s">
        <v>497</v>
      </c>
    </row>
    <row r="164" spans="1:10" x14ac:dyDescent="0.25">
      <c r="A164" s="5" t="s">
        <v>19</v>
      </c>
      <c r="B164" s="6" t="s">
        <v>3097</v>
      </c>
      <c r="C164" s="5" t="s">
        <v>17</v>
      </c>
      <c r="D164" s="5"/>
      <c r="E164" s="5" t="s">
        <v>593</v>
      </c>
      <c r="F164" s="5" t="s">
        <v>19</v>
      </c>
      <c r="G164" s="5" t="s">
        <v>17</v>
      </c>
      <c r="H164" s="5" t="s">
        <v>17</v>
      </c>
      <c r="I164" s="5" t="s">
        <v>17</v>
      </c>
      <c r="J164" s="5" t="s">
        <v>594</v>
      </c>
    </row>
    <row r="165" spans="1:10" x14ac:dyDescent="0.25" outlineLevel="1" collapsed="1">
      <c r="A165" s="7" t="s">
        <v>19</v>
      </c>
      <c r="B165" s="7" t="s">
        <v>16</v>
      </c>
      <c r="C165" s="7" t="s">
        <v>17</v>
      </c>
      <c r="D165" s="7"/>
      <c r="E165" s="7" t="s">
        <v>500</v>
      </c>
      <c r="F165" s="7" t="s">
        <v>19</v>
      </c>
      <c r="G165" s="7" t="s">
        <v>31</v>
      </c>
      <c r="H165" s="7" t="s">
        <v>17</v>
      </c>
      <c r="I165" s="7" t="s">
        <v>17</v>
      </c>
      <c r="J165" s="7" t="s">
        <v>494</v>
      </c>
    </row>
    <row r="166" spans="1:10" x14ac:dyDescent="0.25" outlineLevel="1" collapsed="1">
      <c r="A166" s="7" t="s">
        <v>19</v>
      </c>
      <c r="B166" s="7" t="s">
        <v>16</v>
      </c>
      <c r="C166" s="7" t="s">
        <v>17</v>
      </c>
      <c r="D166" s="7"/>
      <c r="E166" s="7" t="s">
        <v>501</v>
      </c>
      <c r="F166" s="7" t="s">
        <v>19</v>
      </c>
      <c r="G166" s="7" t="s">
        <v>31</v>
      </c>
      <c r="H166" s="7" t="s">
        <v>17</v>
      </c>
      <c r="I166" s="7" t="s">
        <v>17</v>
      </c>
      <c r="J166" s="7" t="s">
        <v>497</v>
      </c>
    </row>
    <row r="167" spans="1:10" x14ac:dyDescent="0.25" outlineLevel="1" collapsed="1">
      <c r="A167" s="8" t="s">
        <v>19</v>
      </c>
      <c r="B167" s="9" t="s">
        <v>502</v>
      </c>
      <c r="C167" s="8" t="s">
        <v>17</v>
      </c>
      <c r="D167" s="8"/>
      <c r="E167" s="8" t="s">
        <v>503</v>
      </c>
      <c r="F167" s="8" t="s">
        <v>15</v>
      </c>
      <c r="G167" s="8" t="s">
        <v>17</v>
      </c>
      <c r="H167" s="8" t="s">
        <v>17</v>
      </c>
      <c r="I167" s="8" t="s">
        <v>17</v>
      </c>
      <c r="J167" s="8" t="s">
        <v>504</v>
      </c>
    </row>
    <row r="168" spans="1:10" x14ac:dyDescent="0.25" outlineLevel="2" collapsed="1">
      <c r="A168" s="7" t="s">
        <v>19</v>
      </c>
      <c r="B168" s="7" t="s">
        <v>16</v>
      </c>
      <c r="C168" s="7" t="s">
        <v>17</v>
      </c>
      <c r="D168" s="7"/>
      <c r="E168" s="7" t="s">
        <v>505</v>
      </c>
      <c r="F168" s="7" t="s">
        <v>19</v>
      </c>
      <c r="G168" s="7" t="s">
        <v>31</v>
      </c>
      <c r="H168" s="7" t="s">
        <v>17</v>
      </c>
      <c r="I168" s="7" t="s">
        <v>17</v>
      </c>
      <c r="J168" s="7" t="s">
        <v>506</v>
      </c>
    </row>
    <row r="169" spans="1:10" x14ac:dyDescent="0.25" outlineLevel="2" collapsed="1">
      <c r="A169" s="7" t="s">
        <v>19</v>
      </c>
      <c r="B169" s="7" t="s">
        <v>16</v>
      </c>
      <c r="C169" s="7" t="s">
        <v>17</v>
      </c>
      <c r="D169" s="7"/>
      <c r="E169" s="7" t="s">
        <v>501</v>
      </c>
      <c r="F169" s="7" t="s">
        <v>19</v>
      </c>
      <c r="G169" s="7" t="s">
        <v>31</v>
      </c>
      <c r="H169" s="7" t="s">
        <v>17</v>
      </c>
      <c r="I169" s="7" t="s">
        <v>17</v>
      </c>
      <c r="J169" s="7" t="s">
        <v>497</v>
      </c>
    </row>
    <row r="170" spans="1:10" x14ac:dyDescent="0.25">
      <c r="A170" s="5" t="s">
        <v>19</v>
      </c>
      <c r="B170" s="6" t="s">
        <v>3098</v>
      </c>
      <c r="C170" s="5" t="s">
        <v>17</v>
      </c>
      <c r="D170" s="5"/>
      <c r="E170" s="5" t="s">
        <v>596</v>
      </c>
      <c r="F170" s="5" t="s">
        <v>19</v>
      </c>
      <c r="G170" s="5" t="s">
        <v>17</v>
      </c>
      <c r="H170" s="5" t="s">
        <v>17</v>
      </c>
      <c r="I170" s="5" t="s">
        <v>17</v>
      </c>
      <c r="J170" s="5" t="s">
        <v>597</v>
      </c>
    </row>
    <row r="171" spans="1:10" x14ac:dyDescent="0.25" outlineLevel="1" collapsed="1">
      <c r="A171" s="7" t="s">
        <v>19</v>
      </c>
      <c r="B171" s="7" t="s">
        <v>16</v>
      </c>
      <c r="C171" s="7" t="s">
        <v>17</v>
      </c>
      <c r="D171" s="7"/>
      <c r="E171" s="7" t="s">
        <v>500</v>
      </c>
      <c r="F171" s="7" t="s">
        <v>19</v>
      </c>
      <c r="G171" s="7" t="s">
        <v>31</v>
      </c>
      <c r="H171" s="7" t="s">
        <v>17</v>
      </c>
      <c r="I171" s="7" t="s">
        <v>17</v>
      </c>
      <c r="J171" s="7" t="s">
        <v>494</v>
      </c>
    </row>
    <row r="172" spans="1:10" x14ac:dyDescent="0.25" outlineLevel="1" collapsed="1">
      <c r="A172" s="7" t="s">
        <v>19</v>
      </c>
      <c r="B172" s="7" t="s">
        <v>16</v>
      </c>
      <c r="C172" s="7" t="s">
        <v>17</v>
      </c>
      <c r="D172" s="7"/>
      <c r="E172" s="7" t="s">
        <v>501</v>
      </c>
      <c r="F172" s="7" t="s">
        <v>19</v>
      </c>
      <c r="G172" s="7" t="s">
        <v>31</v>
      </c>
      <c r="H172" s="7" t="s">
        <v>17</v>
      </c>
      <c r="I172" s="7" t="s">
        <v>17</v>
      </c>
      <c r="J172" s="7" t="s">
        <v>497</v>
      </c>
    </row>
    <row r="173" spans="1:10" x14ac:dyDescent="0.25" outlineLevel="1" collapsed="1">
      <c r="A173" s="8" t="s">
        <v>19</v>
      </c>
      <c r="B173" s="9" t="s">
        <v>502</v>
      </c>
      <c r="C173" s="8" t="s">
        <v>17</v>
      </c>
      <c r="D173" s="8"/>
      <c r="E173" s="8" t="s">
        <v>503</v>
      </c>
      <c r="F173" s="8" t="s">
        <v>15</v>
      </c>
      <c r="G173" s="8" t="s">
        <v>17</v>
      </c>
      <c r="H173" s="8" t="s">
        <v>17</v>
      </c>
      <c r="I173" s="8" t="s">
        <v>17</v>
      </c>
      <c r="J173" s="8" t="s">
        <v>504</v>
      </c>
    </row>
    <row r="174" spans="1:10" x14ac:dyDescent="0.25" outlineLevel="2" collapsed="1">
      <c r="A174" s="7" t="s">
        <v>19</v>
      </c>
      <c r="B174" s="7" t="s">
        <v>16</v>
      </c>
      <c r="C174" s="7" t="s">
        <v>17</v>
      </c>
      <c r="D174" s="7"/>
      <c r="E174" s="7" t="s">
        <v>505</v>
      </c>
      <c r="F174" s="7" t="s">
        <v>19</v>
      </c>
      <c r="G174" s="7" t="s">
        <v>31</v>
      </c>
      <c r="H174" s="7" t="s">
        <v>17</v>
      </c>
      <c r="I174" s="7" t="s">
        <v>17</v>
      </c>
      <c r="J174" s="7" t="s">
        <v>506</v>
      </c>
    </row>
    <row r="175" spans="1:10" x14ac:dyDescent="0.25" outlineLevel="2" collapsed="1">
      <c r="A175" s="7" t="s">
        <v>19</v>
      </c>
      <c r="B175" s="7" t="s">
        <v>16</v>
      </c>
      <c r="C175" s="7" t="s">
        <v>17</v>
      </c>
      <c r="D175" s="7"/>
      <c r="E175" s="7" t="s">
        <v>501</v>
      </c>
      <c r="F175" s="7" t="s">
        <v>19</v>
      </c>
      <c r="G175" s="7" t="s">
        <v>31</v>
      </c>
      <c r="H175" s="7" t="s">
        <v>17</v>
      </c>
      <c r="I175" s="7" t="s">
        <v>17</v>
      </c>
      <c r="J175" s="7" t="s">
        <v>497</v>
      </c>
    </row>
  </sheetData>
  <mergeCells count="3">
    <mergeCell ref="A1:J1"/>
    <mergeCell ref="B2:J2"/>
    <mergeCell ref="B3:J3"/>
  </mergeCells>
  <hyperlinks>
    <hyperlink ref="B5" r:id="rId1" location="#'3.1.1 Summary Description of P'!A1"/>
    <hyperlink ref="B8" r:id="rId2" location="#'3.1.2 Audit History'!A1"/>
    <hyperlink ref="B12" r:id="rId3" location="#'3.1.3 Sectoral Scope and Proje'!A1"/>
    <hyperlink ref="B15" r:id="rId4" location="#'3.1.4 Project Eligibility'!A1"/>
    <hyperlink ref="B16" r:id="rId5" location="#'3.1.4.1 Deadlines for Particip'!A1"/>
    <hyperlink ref="B22" r:id="rId6" location="#'3.1.4.2 AFOLU Project Eligibil'!A1"/>
    <hyperlink ref="B25" r:id="rId7" location="#'3.1.4.3 Eligibility of Project'!A1"/>
    <hyperlink ref="B32" r:id="rId8" location="#'3.1.4.4 Capacity Limit Eligibi'!A1"/>
    <hyperlink ref="B35" r:id="rId9" location="#'Deadlines for Participation ro'!A1"/>
    <hyperlink ref="B38" r:id="rId10" location="#'3.1.6 Project Start Date and I'!A1"/>
    <hyperlink ref="B41" r:id="rId11" location="#'Deadlines for Participation ro'!A1"/>
    <hyperlink ref="B44" r:id="rId12" location="#'3.1.7 Project Crediting Period'!A1"/>
    <hyperlink ref="B47" r:id="rId13" location="#'3.1.8 Project Scale'!A1"/>
    <hyperlink ref="B50" r:id="rId14" location="#'3.1.9 Project Design'!A1"/>
    <hyperlink ref="B53" r:id="rId15" location="#'Deadlines for Participation ro'!A1"/>
    <hyperlink ref="B56" r:id="rId16" location="#'3.1.10 Conditions Prior to Pro'!A1"/>
    <hyperlink ref="B59" r:id="rId17" location="#'Deadlines for Participation ro'!A1"/>
    <hyperlink ref="B62" r:id="rId18" location="#'3.1.11 Description of the Proj'!A1"/>
    <hyperlink ref="B65" r:id="rId19" location="#'Deadlines for Participation ro'!A1"/>
    <hyperlink ref="B68" r:id="rId20" location="#'3.1.12 Project Location'!A1"/>
    <hyperlink ref="B71" r:id="rId21" location="#'Deadlines for Participation ro'!A1"/>
    <hyperlink ref="B74" r:id="rId22" location="#'3.1.13 Compliance with Laws an'!A1"/>
    <hyperlink ref="B77" r:id="rId23" location="#'Deadlines for Participation ro'!A1"/>
    <hyperlink ref="B80" r:id="rId24" location="#'3.1.14 Double Counting and Par'!A1"/>
    <hyperlink ref="B81" r:id="rId25" location="#'3.1.14.1 No Double Issuance (V'!A1"/>
    <hyperlink ref="B84" r:id="rId26" location="#'3.1.14.2 Registration with Oth'!A1"/>
    <hyperlink ref="B87" r:id="rId27" location="#'3.1.14.3 Projects Rejected by'!A1"/>
    <hyperlink ref="B90" r:id="rId28" location="#'3.1.15 Double Claiming Other F'!A1"/>
    <hyperlink ref="B91" r:id="rId29" location="#'3.1.15.1 No Double Claiming wi'!A1"/>
    <hyperlink ref="B94" r:id="rId30" location="#'3.1.15.2 No Double Claiming wi'!A1"/>
    <hyperlink ref="B97" r:id="rId31" location="#'3.1.15.3 Supply Chain (Scope 3'!A1"/>
    <hyperlink ref="B100" r:id="rId32" location="#'Deadlines for Participation ro'!A1"/>
    <hyperlink ref="B103" r:id="rId33" location="#'3.1.16 Sustainable Development'!A1"/>
    <hyperlink ref="B106" r:id="rId34" location="#'Deadlines for Participation ro'!A1"/>
    <hyperlink ref="B109" r:id="rId35" location="#'3.1.17 Additional Information'!A1"/>
    <hyperlink ref="B110" r:id="rId36" location="#'3.1.17.1 Leakage Management (V'!A1"/>
    <hyperlink ref="B112" r:id="rId37" location="#'3.1.17.2 Sensitive Information'!A1"/>
    <hyperlink ref="B114" r:id="rId38" location="#'3.1.17.3 Further Information ('!A1"/>
    <hyperlink ref="B116" r:id="rId39" location="#'Leakage Management (VCS Valida'!A1"/>
    <hyperlink ref="B118" r:id="rId40" location="#'Sensitive Information (VCS Val'!A1"/>
    <hyperlink ref="B120" r:id="rId41" location="#'Further Information (VCS Valid'!A1"/>
    <hyperlink ref="B122" r:id="rId42" location="#'Deadlines for Participation (V'!A1"/>
    <hyperlink ref="B125" r:id="rId43" location="#'Deadlines for Participation ro'!A1"/>
    <hyperlink ref="B128" r:id="rId44" location="#'Eligibility of Projects Regist'!A1"/>
    <hyperlink ref="B131" r:id="rId45" location="#'Deadlines for Participation ro'!A1"/>
    <hyperlink ref="B134" r:id="rId46" location="#'Capacity Limit Eligibility (VC'!A1"/>
    <hyperlink ref="B137" r:id="rId47" location="#'Deadlines for Participation ro'!A1"/>
    <hyperlink ref="B140" r:id="rId48" location="#'Right to Operate and Right to'!A1"/>
    <hyperlink ref="B143" r:id="rId49" location="#'Deadlines for Participation ro'!A1"/>
    <hyperlink ref="B146" r:id="rId50" location="#'Land or Resource Rights Analys'!A1"/>
    <hyperlink ref="B149" r:id="rId51" location="#'Deadlines for Participation ro'!A1"/>
    <hyperlink ref="B152" r:id="rId52" location="#'No Double Issuance (VCS Valida'!A1"/>
    <hyperlink ref="B155" r:id="rId53" location="#'Deadlines for Participation ro'!A1"/>
    <hyperlink ref="B158" r:id="rId54" location="#'Registration with Other GHG 2'!A1"/>
    <hyperlink ref="B161" r:id="rId55" location="#'Deadlines for Participation ro'!A1"/>
    <hyperlink ref="B164" r:id="rId56" location="#'No Double Claiming with Emi 2'!A1"/>
    <hyperlink ref="B167" r:id="rId57" location="#'Deadlines for Participation ro'!A1"/>
    <hyperlink ref="B170" r:id="rId58" location="#'Supply Chain (Scope 3) Emissio'!A1"/>
    <hyperlink ref="B173" r:id="rId59" location="#'Deadlines for Participation ro'!A1"/>
  </hyperlinks>
  <pageMargins left="0.7" right="0.7" top="0.75" bottom="0.75" header="0.3" footer="0.3"/>
  <pageSetup orientation="portrait" horizontalDpi="4294967295" verticalDpi="4294967295" scale="100" fitToWidth="1" fitToHeight="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3101</v>
      </c>
      <c r="B1" s="1"/>
      <c r="C1" s="1"/>
      <c r="D1" s="1"/>
      <c r="E1" s="1"/>
      <c r="F1" s="1"/>
      <c r="G1" s="1"/>
      <c r="H1" s="1"/>
      <c r="I1" s="1"/>
      <c r="J1" s="1"/>
    </row>
    <row r="2" spans="1:10" x14ac:dyDescent="0.25">
      <c r="A2" s="2" t="s">
        <v>1</v>
      </c>
      <c r="B2" s="3" t="s">
        <v>3715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3103</v>
      </c>
      <c r="B1" s="1"/>
      <c r="C1" s="1"/>
      <c r="D1" s="1"/>
      <c r="E1" s="1"/>
      <c r="F1" s="1"/>
      <c r="G1" s="1"/>
      <c r="H1" s="1"/>
      <c r="I1" s="1"/>
      <c r="J1" s="1"/>
    </row>
    <row r="2" spans="1:10" x14ac:dyDescent="0.25">
      <c r="A2" s="2" t="s">
        <v>1</v>
      </c>
      <c r="B2" s="3" t="s">
        <v>3716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3105</v>
      </c>
      <c r="C5" s="5" t="s">
        <v>17</v>
      </c>
      <c r="D5" s="5"/>
      <c r="E5" s="5" t="s">
        <v>3106</v>
      </c>
      <c r="F5" s="5" t="s">
        <v>19</v>
      </c>
      <c r="G5" s="5" t="s">
        <v>17</v>
      </c>
      <c r="H5" s="5" t="s">
        <v>17</v>
      </c>
      <c r="I5" s="5" t="s">
        <v>17</v>
      </c>
      <c r="J5" s="5" t="s">
        <v>3107</v>
      </c>
    </row>
    <row r="6" spans="1:10" x14ac:dyDescent="0.25" outlineLevel="1" collapsed="1">
      <c r="A6" s="7" t="s">
        <v>15</v>
      </c>
      <c r="B6" s="7" t="s">
        <v>16</v>
      </c>
      <c r="C6" s="7" t="s">
        <v>17</v>
      </c>
      <c r="D6" s="7"/>
      <c r="E6" s="7" t="s">
        <v>3108</v>
      </c>
      <c r="F6" s="7" t="s">
        <v>19</v>
      </c>
      <c r="G6" s="7" t="s">
        <v>31</v>
      </c>
      <c r="H6" s="7" t="s">
        <v>17</v>
      </c>
      <c r="I6" s="7" t="s">
        <v>17</v>
      </c>
      <c r="J6" s="7" t="s">
        <v>494</v>
      </c>
    </row>
    <row r="7" spans="1:10" x14ac:dyDescent="0.25">
      <c r="A7" s="5" t="s">
        <v>15</v>
      </c>
      <c r="B7" s="6" t="s">
        <v>3109</v>
      </c>
      <c r="C7" s="5" t="s">
        <v>17</v>
      </c>
      <c r="D7" s="5"/>
      <c r="E7" s="5" t="s">
        <v>3110</v>
      </c>
      <c r="F7" s="5" t="s">
        <v>19</v>
      </c>
      <c r="G7" s="5" t="s">
        <v>17</v>
      </c>
      <c r="H7" s="5" t="s">
        <v>17</v>
      </c>
      <c r="I7" s="5" t="s">
        <v>17</v>
      </c>
      <c r="J7" s="5" t="s">
        <v>975</v>
      </c>
    </row>
    <row r="8" spans="1:10" x14ac:dyDescent="0.25" outlineLevel="1" collapsed="1">
      <c r="A8" s="8" t="s">
        <v>19</v>
      </c>
      <c r="B8" s="9" t="s">
        <v>3111</v>
      </c>
      <c r="C8" s="8" t="s">
        <v>17</v>
      </c>
      <c r="D8" s="8"/>
      <c r="E8" s="8" t="s">
        <v>3112</v>
      </c>
      <c r="F8" s="8" t="s">
        <v>15</v>
      </c>
      <c r="G8" s="8" t="s">
        <v>17</v>
      </c>
      <c r="H8" s="8" t="s">
        <v>17</v>
      </c>
      <c r="I8" s="8" t="s">
        <v>17</v>
      </c>
      <c r="J8" s="8" t="s">
        <v>868</v>
      </c>
    </row>
    <row r="9" spans="1:10" x14ac:dyDescent="0.25" outlineLevel="2" collapsed="1">
      <c r="A9" s="7" t="s">
        <v>19</v>
      </c>
      <c r="B9" s="7" t="s">
        <v>16</v>
      </c>
      <c r="C9" s="7" t="s">
        <v>17</v>
      </c>
      <c r="D9" s="7"/>
      <c r="E9" s="7" t="s">
        <v>3113</v>
      </c>
      <c r="F9" s="7" t="s">
        <v>19</v>
      </c>
      <c r="G9" s="7" t="s">
        <v>3114</v>
      </c>
      <c r="H9" s="7" t="s">
        <v>17</v>
      </c>
      <c r="I9" s="7" t="s">
        <v>17</v>
      </c>
      <c r="J9" s="7" t="s">
        <v>3115</v>
      </c>
    </row>
    <row r="10" spans="1:10" x14ac:dyDescent="0.25" outlineLevel="2" collapsed="1">
      <c r="A10" s="7" t="s">
        <v>19</v>
      </c>
      <c r="B10" s="7" t="s">
        <v>16</v>
      </c>
      <c r="C10" s="7" t="s">
        <v>17</v>
      </c>
      <c r="D10" s="7"/>
      <c r="E10" s="7" t="s">
        <v>3116</v>
      </c>
      <c r="F10" s="7" t="s">
        <v>19</v>
      </c>
      <c r="G10" s="7" t="s">
        <v>31</v>
      </c>
      <c r="H10" s="7" t="s">
        <v>17</v>
      </c>
      <c r="I10" s="7" t="s">
        <v>17</v>
      </c>
      <c r="J10" s="7" t="s">
        <v>979</v>
      </c>
    </row>
    <row r="11" spans="1:10" x14ac:dyDescent="0.25" outlineLevel="2" collapsed="1">
      <c r="A11" s="7" t="s">
        <v>19</v>
      </c>
      <c r="B11" s="7" t="s">
        <v>16</v>
      </c>
      <c r="C11" s="7" t="s">
        <v>17</v>
      </c>
      <c r="D11" s="7"/>
      <c r="E11" s="7" t="s">
        <v>3117</v>
      </c>
      <c r="F11" s="7" t="s">
        <v>19</v>
      </c>
      <c r="G11" s="7" t="s">
        <v>31</v>
      </c>
      <c r="H11" s="7" t="s">
        <v>17</v>
      </c>
      <c r="I11" s="7" t="s">
        <v>17</v>
      </c>
      <c r="J11" s="7" t="s">
        <v>497</v>
      </c>
    </row>
    <row r="12" spans="1:10" x14ac:dyDescent="0.25" outlineLevel="2" collapsed="1">
      <c r="A12" s="7" t="s">
        <v>19</v>
      </c>
      <c r="B12" s="7" t="s">
        <v>16</v>
      </c>
      <c r="C12" s="7" t="s">
        <v>17</v>
      </c>
      <c r="D12" s="7"/>
      <c r="E12" s="7" t="s">
        <v>3118</v>
      </c>
      <c r="F12" s="7" t="s">
        <v>19</v>
      </c>
      <c r="G12" s="7" t="s">
        <v>31</v>
      </c>
      <c r="H12" s="7" t="s">
        <v>17</v>
      </c>
      <c r="I12" s="7" t="s">
        <v>17</v>
      </c>
      <c r="J12" s="7" t="s">
        <v>494</v>
      </c>
    </row>
  </sheetData>
  <mergeCells count="3">
    <mergeCell ref="A1:J1"/>
    <mergeCell ref="B2:J2"/>
    <mergeCell ref="B3:J3"/>
  </mergeCells>
  <hyperlinks>
    <hyperlink ref="B5" r:id="rId1" location="#'3.3.2.1 Eligibility of Methodo'!A1"/>
    <hyperlink ref="B7" r:id="rId2" location="#'3.3.2.2 Applicability of Metho'!A1"/>
    <hyperlink ref="B8" r:id="rId3" location="#'3.3.2.2 Applicability conditio'!A1"/>
  </hyperlinks>
  <pageMargins left="0.7" right="0.7" top="0.75" bottom="0.75" header="0.3" footer="0.3"/>
  <pageSetup orientation="portrait" horizontalDpi="4294967295" verticalDpi="4294967295" scale="100" fitToWidth="1" fitToHeight="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3119</v>
      </c>
      <c r="B1" s="1"/>
      <c r="C1" s="1"/>
      <c r="D1" s="1"/>
      <c r="E1" s="1"/>
      <c r="F1" s="1"/>
      <c r="G1" s="1"/>
      <c r="H1" s="1"/>
      <c r="I1" s="1"/>
      <c r="J1" s="1"/>
    </row>
    <row r="2" spans="1:10" x14ac:dyDescent="0.25">
      <c r="A2" s="2" t="s">
        <v>1</v>
      </c>
      <c r="B2" s="3" t="s">
        <v>3717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3120</v>
      </c>
      <c r="C7" s="5" t="s">
        <v>17</v>
      </c>
      <c r="D7" s="5"/>
      <c r="E7" s="5" t="s">
        <v>3121</v>
      </c>
      <c r="F7" s="5" t="s">
        <v>19</v>
      </c>
      <c r="G7" s="5" t="s">
        <v>17</v>
      </c>
      <c r="H7" s="5" t="s">
        <v>17</v>
      </c>
      <c r="I7" s="5" t="s">
        <v>17</v>
      </c>
      <c r="J7" s="5" t="s">
        <v>3122</v>
      </c>
    </row>
    <row r="8" spans="1:10" x14ac:dyDescent="0.25" outlineLevel="1" collapsed="1">
      <c r="A8" s="7" t="s">
        <v>15</v>
      </c>
      <c r="B8" s="7" t="s">
        <v>16</v>
      </c>
      <c r="C8" s="7" t="s">
        <v>17</v>
      </c>
      <c r="D8" s="7"/>
      <c r="E8" s="7" t="s">
        <v>3123</v>
      </c>
      <c r="F8" s="7" t="s">
        <v>19</v>
      </c>
      <c r="G8" s="7" t="s">
        <v>31</v>
      </c>
      <c r="H8" s="7" t="s">
        <v>17</v>
      </c>
      <c r="I8" s="7" t="s">
        <v>17</v>
      </c>
      <c r="J8" s="7" t="s">
        <v>494</v>
      </c>
    </row>
    <row r="9" spans="1:10" x14ac:dyDescent="0.25" outlineLevel="1" collapsed="1">
      <c r="A9" s="7" t="s">
        <v>15</v>
      </c>
      <c r="B9" s="7" t="s">
        <v>16</v>
      </c>
      <c r="C9" s="7" t="s">
        <v>17</v>
      </c>
      <c r="D9" s="7"/>
      <c r="E9" s="7" t="s">
        <v>3124</v>
      </c>
      <c r="F9" s="7" t="s">
        <v>19</v>
      </c>
      <c r="G9" s="7" t="s">
        <v>31</v>
      </c>
      <c r="H9" s="7" t="s">
        <v>17</v>
      </c>
      <c r="I9" s="7" t="s">
        <v>17</v>
      </c>
      <c r="J9" s="7" t="s">
        <v>497</v>
      </c>
    </row>
    <row r="10" spans="1:10" x14ac:dyDescent="0.25">
      <c r="A10" s="5" t="s">
        <v>19</v>
      </c>
      <c r="B10" s="6" t="s">
        <v>502</v>
      </c>
      <c r="C10" s="5" t="s">
        <v>17</v>
      </c>
      <c r="D10" s="5"/>
      <c r="E10" s="5" t="s">
        <v>503</v>
      </c>
      <c r="F10" s="5" t="s">
        <v>15</v>
      </c>
      <c r="G10" s="5" t="s">
        <v>17</v>
      </c>
      <c r="H10" s="5" t="s">
        <v>17</v>
      </c>
      <c r="I10" s="5" t="s">
        <v>17</v>
      </c>
      <c r="J10" s="5" t="s">
        <v>504</v>
      </c>
    </row>
    <row r="11" spans="1:10" x14ac:dyDescent="0.25" outlineLevel="1" collapsed="1">
      <c r="A11" s="7" t="s">
        <v>19</v>
      </c>
      <c r="B11" s="7" t="s">
        <v>16</v>
      </c>
      <c r="C11" s="7" t="s">
        <v>17</v>
      </c>
      <c r="D11" s="7"/>
      <c r="E11" s="7" t="s">
        <v>505</v>
      </c>
      <c r="F11" s="7" t="s">
        <v>19</v>
      </c>
      <c r="G11" s="7" t="s">
        <v>31</v>
      </c>
      <c r="H11" s="7" t="s">
        <v>17</v>
      </c>
      <c r="I11" s="7" t="s">
        <v>17</v>
      </c>
      <c r="J11" s="7" t="s">
        <v>506</v>
      </c>
    </row>
    <row r="12" spans="1:10" x14ac:dyDescent="0.25" outlineLevel="1"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3.3.3.1 De Minimis GHG Source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3125</v>
      </c>
      <c r="B1" s="1"/>
      <c r="C1" s="1"/>
      <c r="D1" s="1"/>
      <c r="E1" s="1"/>
      <c r="F1" s="1"/>
      <c r="G1" s="1"/>
      <c r="H1" s="1"/>
      <c r="I1" s="1"/>
      <c r="J1" s="1"/>
    </row>
    <row r="2" spans="1:10" x14ac:dyDescent="0.25">
      <c r="A2" s="2" t="s">
        <v>1</v>
      </c>
      <c r="B2" s="3" t="s">
        <v>3718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3126</v>
      </c>
      <c r="C7" s="5" t="s">
        <v>17</v>
      </c>
      <c r="D7" s="5"/>
      <c r="E7" s="5" t="s">
        <v>3126</v>
      </c>
      <c r="F7" s="5" t="s">
        <v>19</v>
      </c>
      <c r="G7" s="5" t="s">
        <v>17</v>
      </c>
      <c r="H7" s="5" t="s">
        <v>17</v>
      </c>
      <c r="I7" s="5" t="s">
        <v>17</v>
      </c>
      <c r="J7" s="5" t="s">
        <v>518</v>
      </c>
    </row>
    <row r="8" spans="1:10" x14ac:dyDescent="0.25" outlineLevel="1" collapsed="1">
      <c r="A8" s="7" t="s">
        <v>15</v>
      </c>
      <c r="B8" s="7" t="s">
        <v>16</v>
      </c>
      <c r="C8" s="7" t="s">
        <v>17</v>
      </c>
      <c r="D8" s="7"/>
      <c r="E8" s="7" t="s">
        <v>3127</v>
      </c>
      <c r="F8" s="7" t="s">
        <v>19</v>
      </c>
      <c r="G8" s="7" t="s">
        <v>31</v>
      </c>
      <c r="H8" s="7" t="s">
        <v>17</v>
      </c>
      <c r="I8" s="7" t="s">
        <v>17</v>
      </c>
      <c r="J8" s="7" t="s">
        <v>494</v>
      </c>
    </row>
    <row r="9" spans="1:10" x14ac:dyDescent="0.25" outlineLevel="1" collapsed="1">
      <c r="A9" s="7" t="s">
        <v>15</v>
      </c>
      <c r="B9" s="7" t="s">
        <v>16</v>
      </c>
      <c r="C9" s="7" t="s">
        <v>17</v>
      </c>
      <c r="D9" s="7"/>
      <c r="E9" s="7" t="s">
        <v>3128</v>
      </c>
      <c r="F9" s="7" t="s">
        <v>19</v>
      </c>
      <c r="G9" s="7" t="s">
        <v>31</v>
      </c>
      <c r="H9" s="7" t="s">
        <v>17</v>
      </c>
      <c r="I9" s="7" t="s">
        <v>17</v>
      </c>
      <c r="J9" s="7" t="s">
        <v>497</v>
      </c>
    </row>
    <row r="10" spans="1:10" x14ac:dyDescent="0.25">
      <c r="A10" s="5" t="s">
        <v>19</v>
      </c>
      <c r="B10" s="6" t="s">
        <v>502</v>
      </c>
      <c r="C10" s="5" t="s">
        <v>17</v>
      </c>
      <c r="D10" s="5"/>
      <c r="E10" s="5" t="s">
        <v>503</v>
      </c>
      <c r="F10" s="5" t="s">
        <v>15</v>
      </c>
      <c r="G10" s="5" t="s">
        <v>17</v>
      </c>
      <c r="H10" s="5" t="s">
        <v>17</v>
      </c>
      <c r="I10" s="5" t="s">
        <v>17</v>
      </c>
      <c r="J10" s="5" t="s">
        <v>504</v>
      </c>
    </row>
    <row r="11" spans="1:10" x14ac:dyDescent="0.25" outlineLevel="1" collapsed="1">
      <c r="A11" s="7" t="s">
        <v>19</v>
      </c>
      <c r="B11" s="7" t="s">
        <v>16</v>
      </c>
      <c r="C11" s="7" t="s">
        <v>17</v>
      </c>
      <c r="D11" s="7"/>
      <c r="E11" s="7" t="s">
        <v>505</v>
      </c>
      <c r="F11" s="7" t="s">
        <v>19</v>
      </c>
      <c r="G11" s="7" t="s">
        <v>31</v>
      </c>
      <c r="H11" s="7" t="s">
        <v>17</v>
      </c>
      <c r="I11" s="7" t="s">
        <v>17</v>
      </c>
      <c r="J11" s="7" t="s">
        <v>506</v>
      </c>
    </row>
    <row r="12" spans="1:10" x14ac:dyDescent="0.25" outlineLevel="1"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3.3.4.1 Baseline Reassessment'!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3129</v>
      </c>
      <c r="B1" s="1"/>
      <c r="C1" s="1"/>
      <c r="D1" s="1"/>
      <c r="E1" s="1"/>
      <c r="F1" s="1"/>
      <c r="G1" s="1"/>
      <c r="H1" s="1"/>
      <c r="I1" s="1"/>
      <c r="J1" s="1"/>
    </row>
    <row r="2" spans="1:10" x14ac:dyDescent="0.25">
      <c r="A2" s="2" t="s">
        <v>1</v>
      </c>
      <c r="B2" s="3" t="s">
        <v>3719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3130</v>
      </c>
      <c r="C5" s="5" t="s">
        <v>17</v>
      </c>
      <c r="D5" s="5"/>
      <c r="E5" s="5" t="s">
        <v>3131</v>
      </c>
      <c r="F5" s="5" t="s">
        <v>19</v>
      </c>
      <c r="G5" s="5" t="s">
        <v>17</v>
      </c>
      <c r="H5" s="5" t="s">
        <v>17</v>
      </c>
      <c r="I5" s="5" t="s">
        <v>17</v>
      </c>
      <c r="J5" s="5" t="s">
        <v>2573</v>
      </c>
    </row>
    <row r="6" spans="1:10" x14ac:dyDescent="0.25" outlineLevel="1" collapsed="1">
      <c r="A6" s="7" t="s">
        <v>15</v>
      </c>
      <c r="B6" s="7" t="s">
        <v>16</v>
      </c>
      <c r="C6" s="7" t="s">
        <v>17</v>
      </c>
      <c r="D6" s="7"/>
      <c r="E6" s="7" t="s">
        <v>3132</v>
      </c>
      <c r="F6" s="7" t="s">
        <v>19</v>
      </c>
      <c r="G6" s="7" t="s">
        <v>31</v>
      </c>
      <c r="H6" s="7" t="s">
        <v>17</v>
      </c>
      <c r="I6" s="7" t="s">
        <v>17</v>
      </c>
      <c r="J6" s="7" t="s">
        <v>494</v>
      </c>
    </row>
    <row r="7" spans="1:10" x14ac:dyDescent="0.25" outlineLevel="1" collapsed="1">
      <c r="A7" s="7" t="s">
        <v>15</v>
      </c>
      <c r="B7" s="7" t="s">
        <v>16</v>
      </c>
      <c r="C7" s="7" t="s">
        <v>17</v>
      </c>
      <c r="D7" s="7"/>
      <c r="E7" s="7" t="s">
        <v>3133</v>
      </c>
      <c r="F7" s="7" t="s">
        <v>19</v>
      </c>
      <c r="G7" s="7" t="s">
        <v>31</v>
      </c>
      <c r="H7" s="7" t="s">
        <v>17</v>
      </c>
      <c r="I7" s="7" t="s">
        <v>17</v>
      </c>
      <c r="J7" s="7" t="s">
        <v>497</v>
      </c>
    </row>
    <row r="8" spans="1:10" x14ac:dyDescent="0.25">
      <c r="A8" s="5" t="s">
        <v>15</v>
      </c>
      <c r="B8" s="6" t="s">
        <v>3134</v>
      </c>
      <c r="C8" s="5" t="s">
        <v>17</v>
      </c>
      <c r="D8" s="5"/>
      <c r="E8" s="5" t="s">
        <v>3134</v>
      </c>
      <c r="F8" s="5" t="s">
        <v>19</v>
      </c>
      <c r="G8" s="5" t="s">
        <v>17</v>
      </c>
      <c r="H8" s="5" t="s">
        <v>17</v>
      </c>
      <c r="I8" s="5" t="s">
        <v>17</v>
      </c>
      <c r="J8" s="5" t="s">
        <v>2576</v>
      </c>
    </row>
    <row r="9" spans="1:10" x14ac:dyDescent="0.25" outlineLevel="1" collapsed="1">
      <c r="A9" s="7" t="s">
        <v>15</v>
      </c>
      <c r="B9" s="7" t="s">
        <v>16</v>
      </c>
      <c r="C9" s="7" t="s">
        <v>17</v>
      </c>
      <c r="D9" s="7"/>
      <c r="E9" s="7" t="s">
        <v>3135</v>
      </c>
      <c r="F9" s="7" t="s">
        <v>19</v>
      </c>
      <c r="G9" s="7" t="s">
        <v>31</v>
      </c>
      <c r="H9" s="7" t="s">
        <v>17</v>
      </c>
      <c r="I9" s="7" t="s">
        <v>17</v>
      </c>
      <c r="J9" s="7" t="s">
        <v>494</v>
      </c>
    </row>
    <row r="10" spans="1:10" x14ac:dyDescent="0.25" outlineLevel="1" collapsed="1">
      <c r="A10" s="7" t="s">
        <v>15</v>
      </c>
      <c r="B10" s="7" t="s">
        <v>16</v>
      </c>
      <c r="C10" s="7" t="s">
        <v>17</v>
      </c>
      <c r="D10" s="7"/>
      <c r="E10" s="7" t="s">
        <v>3136</v>
      </c>
      <c r="F10" s="7" t="s">
        <v>19</v>
      </c>
      <c r="G10" s="7" t="s">
        <v>31</v>
      </c>
      <c r="H10" s="7" t="s">
        <v>17</v>
      </c>
      <c r="I10" s="7" t="s">
        <v>17</v>
      </c>
      <c r="J10" s="7" t="s">
        <v>497</v>
      </c>
    </row>
  </sheetData>
  <mergeCells count="3">
    <mergeCell ref="A1:J1"/>
    <mergeCell ref="B2:J2"/>
    <mergeCell ref="B3:J3"/>
  </mergeCells>
  <hyperlinks>
    <hyperlink ref="B5" r:id="rId1" location="#'3.3.5.1 Regulatory Surplus (VC'!A1"/>
    <hyperlink ref="B8" r:id="rId2" location="#'3.3.5.2 Additionality Methods'!A1"/>
  </hyperlinks>
  <pageMargins left="0.7" right="0.7" top="0.75" bottom="0.75" header="0.3" footer="0.3"/>
  <pageSetup orientation="portrait" horizontalDpi="4294967295" verticalDpi="4294967295" scale="100" fitToWidth="1" fitToHeight="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3137</v>
      </c>
      <c r="B1" s="1"/>
      <c r="C1" s="1"/>
      <c r="D1" s="1"/>
      <c r="E1" s="1"/>
      <c r="F1" s="1"/>
      <c r="G1" s="1"/>
      <c r="H1" s="1"/>
      <c r="I1" s="1"/>
      <c r="J1" s="1"/>
    </row>
    <row r="2" spans="1:10" x14ac:dyDescent="0.25">
      <c r="A2" s="2" t="s">
        <v>1</v>
      </c>
      <c r="B2" s="3" t="s">
        <v>3720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3721</v>
      </c>
      <c r="B1" s="1"/>
      <c r="C1" s="1"/>
      <c r="D1" s="1"/>
      <c r="E1" s="1"/>
      <c r="F1" s="1"/>
      <c r="G1" s="1"/>
      <c r="H1" s="1"/>
      <c r="I1" s="1"/>
      <c r="J1" s="1"/>
    </row>
    <row r="2" spans="1:10" x14ac:dyDescent="0.25">
      <c r="A2" s="2" t="s">
        <v>1</v>
      </c>
      <c r="B2" s="3" t="s">
        <v>3722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3101</v>
      </c>
      <c r="C5" s="5" t="s">
        <v>17</v>
      </c>
      <c r="D5" s="5"/>
      <c r="E5" s="5" t="s">
        <v>3101</v>
      </c>
      <c r="F5" s="5" t="s">
        <v>19</v>
      </c>
      <c r="G5" s="5" t="s">
        <v>17</v>
      </c>
      <c r="H5" s="5" t="s">
        <v>17</v>
      </c>
      <c r="I5" s="5" t="s">
        <v>17</v>
      </c>
      <c r="J5" s="5" t="s">
        <v>1322</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3102</v>
      </c>
      <c r="C8" s="5" t="s">
        <v>17</v>
      </c>
      <c r="D8" s="5"/>
      <c r="E8" s="5" t="s">
        <v>3103</v>
      </c>
      <c r="F8" s="5" t="s">
        <v>19</v>
      </c>
      <c r="G8" s="5" t="s">
        <v>17</v>
      </c>
      <c r="H8" s="5" t="s">
        <v>17</v>
      </c>
      <c r="I8" s="5" t="s">
        <v>17</v>
      </c>
      <c r="J8" s="5" t="s">
        <v>3104</v>
      </c>
    </row>
    <row r="9" spans="1:10" x14ac:dyDescent="0.25" outlineLevel="1" collapsed="1">
      <c r="A9" s="8" t="s">
        <v>15</v>
      </c>
      <c r="B9" s="9" t="s">
        <v>3105</v>
      </c>
      <c r="C9" s="8" t="s">
        <v>17</v>
      </c>
      <c r="D9" s="8"/>
      <c r="E9" s="8" t="s">
        <v>3106</v>
      </c>
      <c r="F9" s="8" t="s">
        <v>19</v>
      </c>
      <c r="G9" s="8" t="s">
        <v>17</v>
      </c>
      <c r="H9" s="8" t="s">
        <v>17</v>
      </c>
      <c r="I9" s="8" t="s">
        <v>17</v>
      </c>
      <c r="J9" s="8" t="s">
        <v>3107</v>
      </c>
    </row>
    <row r="10" spans="1:10" x14ac:dyDescent="0.25" outlineLevel="2" collapsed="1">
      <c r="A10" s="7" t="s">
        <v>15</v>
      </c>
      <c r="B10" s="7" t="s">
        <v>16</v>
      </c>
      <c r="C10" s="7" t="s">
        <v>17</v>
      </c>
      <c r="D10" s="7"/>
      <c r="E10" s="7" t="s">
        <v>3108</v>
      </c>
      <c r="F10" s="7" t="s">
        <v>19</v>
      </c>
      <c r="G10" s="7" t="s">
        <v>31</v>
      </c>
      <c r="H10" s="7" t="s">
        <v>17</v>
      </c>
      <c r="I10" s="7" t="s">
        <v>17</v>
      </c>
      <c r="J10" s="7" t="s">
        <v>494</v>
      </c>
    </row>
    <row r="11" spans="1:10" x14ac:dyDescent="0.25" outlineLevel="1" collapsed="1">
      <c r="A11" s="8" t="s">
        <v>15</v>
      </c>
      <c r="B11" s="9" t="s">
        <v>3109</v>
      </c>
      <c r="C11" s="8" t="s">
        <v>17</v>
      </c>
      <c r="D11" s="8"/>
      <c r="E11" s="8" t="s">
        <v>3110</v>
      </c>
      <c r="F11" s="8" t="s">
        <v>19</v>
      </c>
      <c r="G11" s="8" t="s">
        <v>17</v>
      </c>
      <c r="H11" s="8" t="s">
        <v>17</v>
      </c>
      <c r="I11" s="8" t="s">
        <v>17</v>
      </c>
      <c r="J11" s="8" t="s">
        <v>975</v>
      </c>
    </row>
    <row r="12" spans="1:10" x14ac:dyDescent="0.25" outlineLevel="2" collapsed="1">
      <c r="A12" s="8" t="s">
        <v>19</v>
      </c>
      <c r="B12" s="9" t="s">
        <v>3111</v>
      </c>
      <c r="C12" s="8" t="s">
        <v>17</v>
      </c>
      <c r="D12" s="8"/>
      <c r="E12" s="8" t="s">
        <v>3112</v>
      </c>
      <c r="F12" s="8" t="s">
        <v>15</v>
      </c>
      <c r="G12" s="8" t="s">
        <v>17</v>
      </c>
      <c r="H12" s="8" t="s">
        <v>17</v>
      </c>
      <c r="I12" s="8" t="s">
        <v>17</v>
      </c>
      <c r="J12" s="8" t="s">
        <v>868</v>
      </c>
    </row>
    <row r="13" spans="1:10" x14ac:dyDescent="0.25" outlineLevel="3" collapsed="1">
      <c r="A13" s="7" t="s">
        <v>19</v>
      </c>
      <c r="B13" s="7" t="s">
        <v>16</v>
      </c>
      <c r="C13" s="7" t="s">
        <v>17</v>
      </c>
      <c r="D13" s="7"/>
      <c r="E13" s="7" t="s">
        <v>3113</v>
      </c>
      <c r="F13" s="7" t="s">
        <v>19</v>
      </c>
      <c r="G13" s="7" t="s">
        <v>3114</v>
      </c>
      <c r="H13" s="7" t="s">
        <v>17</v>
      </c>
      <c r="I13" s="7" t="s">
        <v>17</v>
      </c>
      <c r="J13" s="7" t="s">
        <v>3115</v>
      </c>
    </row>
    <row r="14" spans="1:10" x14ac:dyDescent="0.25" outlineLevel="3" collapsed="1">
      <c r="A14" s="7" t="s">
        <v>19</v>
      </c>
      <c r="B14" s="7" t="s">
        <v>16</v>
      </c>
      <c r="C14" s="7" t="s">
        <v>17</v>
      </c>
      <c r="D14" s="7"/>
      <c r="E14" s="7" t="s">
        <v>3116</v>
      </c>
      <c r="F14" s="7" t="s">
        <v>19</v>
      </c>
      <c r="G14" s="7" t="s">
        <v>31</v>
      </c>
      <c r="H14" s="7" t="s">
        <v>17</v>
      </c>
      <c r="I14" s="7" t="s">
        <v>17</v>
      </c>
      <c r="J14" s="7" t="s">
        <v>979</v>
      </c>
    </row>
    <row r="15" spans="1:10" x14ac:dyDescent="0.25" outlineLevel="3" collapsed="1">
      <c r="A15" s="7" t="s">
        <v>19</v>
      </c>
      <c r="B15" s="7" t="s">
        <v>16</v>
      </c>
      <c r="C15" s="7" t="s">
        <v>17</v>
      </c>
      <c r="D15" s="7"/>
      <c r="E15" s="7" t="s">
        <v>3117</v>
      </c>
      <c r="F15" s="7" t="s">
        <v>19</v>
      </c>
      <c r="G15" s="7" t="s">
        <v>31</v>
      </c>
      <c r="H15" s="7" t="s">
        <v>17</v>
      </c>
      <c r="I15" s="7" t="s">
        <v>17</v>
      </c>
      <c r="J15" s="7" t="s">
        <v>497</v>
      </c>
    </row>
    <row r="16" spans="1:10" x14ac:dyDescent="0.25" outlineLevel="3" collapsed="1">
      <c r="A16" s="7" t="s">
        <v>19</v>
      </c>
      <c r="B16" s="7" t="s">
        <v>16</v>
      </c>
      <c r="C16" s="7" t="s">
        <v>17</v>
      </c>
      <c r="D16" s="7"/>
      <c r="E16" s="7" t="s">
        <v>3118</v>
      </c>
      <c r="F16" s="7" t="s">
        <v>19</v>
      </c>
      <c r="G16" s="7" t="s">
        <v>31</v>
      </c>
      <c r="H16" s="7" t="s">
        <v>17</v>
      </c>
      <c r="I16" s="7" t="s">
        <v>17</v>
      </c>
      <c r="J16" s="7" t="s">
        <v>494</v>
      </c>
    </row>
    <row r="17" spans="1:10" x14ac:dyDescent="0.25">
      <c r="A17" s="5" t="s">
        <v>15</v>
      </c>
      <c r="B17" s="6" t="s">
        <v>3119</v>
      </c>
      <c r="C17" s="5" t="s">
        <v>17</v>
      </c>
      <c r="D17" s="5"/>
      <c r="E17" s="5" t="s">
        <v>3119</v>
      </c>
      <c r="F17" s="5" t="s">
        <v>19</v>
      </c>
      <c r="G17" s="5" t="s">
        <v>17</v>
      </c>
      <c r="H17" s="5" t="s">
        <v>17</v>
      </c>
      <c r="I17" s="5" t="s">
        <v>17</v>
      </c>
      <c r="J17" s="5" t="s">
        <v>2496</v>
      </c>
    </row>
    <row r="18" spans="1:10" x14ac:dyDescent="0.25" outlineLevel="1" collapsed="1">
      <c r="A18" s="7" t="s">
        <v>15</v>
      </c>
      <c r="B18" s="7" t="s">
        <v>16</v>
      </c>
      <c r="C18" s="7" t="s">
        <v>17</v>
      </c>
      <c r="D18" s="7"/>
      <c r="E18" s="7" t="s">
        <v>492</v>
      </c>
      <c r="F18" s="7" t="s">
        <v>19</v>
      </c>
      <c r="G18" s="7" t="s">
        <v>493</v>
      </c>
      <c r="H18" s="7" t="s">
        <v>17</v>
      </c>
      <c r="I18" s="7" t="s">
        <v>17</v>
      </c>
      <c r="J18" s="7" t="s">
        <v>494</v>
      </c>
    </row>
    <row r="19" spans="1:10" x14ac:dyDescent="0.25" outlineLevel="1" collapsed="1">
      <c r="A19" s="7" t="s">
        <v>15</v>
      </c>
      <c r="B19" s="7" t="s">
        <v>16</v>
      </c>
      <c r="C19" s="7" t="s">
        <v>17</v>
      </c>
      <c r="D19" s="7"/>
      <c r="E19" s="7" t="s">
        <v>495</v>
      </c>
      <c r="F19" s="7" t="s">
        <v>19</v>
      </c>
      <c r="G19" s="7" t="s">
        <v>496</v>
      </c>
      <c r="H19" s="7" t="s">
        <v>17</v>
      </c>
      <c r="I19" s="7" t="s">
        <v>17</v>
      </c>
      <c r="J19" s="7" t="s">
        <v>497</v>
      </c>
    </row>
    <row r="20" spans="1:10" x14ac:dyDescent="0.25" outlineLevel="1" collapsed="1">
      <c r="A20" s="8" t="s">
        <v>19</v>
      </c>
      <c r="B20" s="9" t="s">
        <v>3120</v>
      </c>
      <c r="C20" s="8" t="s">
        <v>17</v>
      </c>
      <c r="D20" s="8"/>
      <c r="E20" s="8" t="s">
        <v>3121</v>
      </c>
      <c r="F20" s="8" t="s">
        <v>19</v>
      </c>
      <c r="G20" s="8" t="s">
        <v>17</v>
      </c>
      <c r="H20" s="8" t="s">
        <v>17</v>
      </c>
      <c r="I20" s="8" t="s">
        <v>17</v>
      </c>
      <c r="J20" s="8" t="s">
        <v>3122</v>
      </c>
    </row>
    <row r="21" spans="1:10" x14ac:dyDescent="0.25" outlineLevel="2" collapsed="1">
      <c r="A21" s="7" t="s">
        <v>15</v>
      </c>
      <c r="B21" s="7" t="s">
        <v>16</v>
      </c>
      <c r="C21" s="7" t="s">
        <v>17</v>
      </c>
      <c r="D21" s="7"/>
      <c r="E21" s="7" t="s">
        <v>3123</v>
      </c>
      <c r="F21" s="7" t="s">
        <v>19</v>
      </c>
      <c r="G21" s="7" t="s">
        <v>31</v>
      </c>
      <c r="H21" s="7" t="s">
        <v>17</v>
      </c>
      <c r="I21" s="7" t="s">
        <v>17</v>
      </c>
      <c r="J21" s="7" t="s">
        <v>494</v>
      </c>
    </row>
    <row r="22" spans="1:10" x14ac:dyDescent="0.25" outlineLevel="2" collapsed="1">
      <c r="A22" s="7" t="s">
        <v>15</v>
      </c>
      <c r="B22" s="7" t="s">
        <v>16</v>
      </c>
      <c r="C22" s="7" t="s">
        <v>17</v>
      </c>
      <c r="D22" s="7"/>
      <c r="E22" s="7" t="s">
        <v>3124</v>
      </c>
      <c r="F22" s="7" t="s">
        <v>19</v>
      </c>
      <c r="G22" s="7" t="s">
        <v>31</v>
      </c>
      <c r="H22" s="7" t="s">
        <v>17</v>
      </c>
      <c r="I22" s="7" t="s">
        <v>17</v>
      </c>
      <c r="J22" s="7" t="s">
        <v>497</v>
      </c>
    </row>
    <row r="23" spans="1:10" x14ac:dyDescent="0.25" outlineLevel="1" collapsed="1">
      <c r="A23" s="8" t="s">
        <v>19</v>
      </c>
      <c r="B23" s="9" t="s">
        <v>502</v>
      </c>
      <c r="C23" s="8" t="s">
        <v>17</v>
      </c>
      <c r="D23" s="8"/>
      <c r="E23" s="8" t="s">
        <v>503</v>
      </c>
      <c r="F23" s="8" t="s">
        <v>15</v>
      </c>
      <c r="G23" s="8" t="s">
        <v>17</v>
      </c>
      <c r="H23" s="8" t="s">
        <v>17</v>
      </c>
      <c r="I23" s="8" t="s">
        <v>17</v>
      </c>
      <c r="J23" s="8" t="s">
        <v>504</v>
      </c>
    </row>
    <row r="24" spans="1:10" x14ac:dyDescent="0.25" outlineLevel="2" collapsed="1">
      <c r="A24" s="7" t="s">
        <v>19</v>
      </c>
      <c r="B24" s="7" t="s">
        <v>16</v>
      </c>
      <c r="C24" s="7" t="s">
        <v>17</v>
      </c>
      <c r="D24" s="7"/>
      <c r="E24" s="7" t="s">
        <v>505</v>
      </c>
      <c r="F24" s="7" t="s">
        <v>19</v>
      </c>
      <c r="G24" s="7" t="s">
        <v>31</v>
      </c>
      <c r="H24" s="7" t="s">
        <v>17</v>
      </c>
      <c r="I24" s="7" t="s">
        <v>17</v>
      </c>
      <c r="J24" s="7" t="s">
        <v>506</v>
      </c>
    </row>
    <row r="25" spans="1:10" x14ac:dyDescent="0.25" outlineLevel="2" collapsed="1">
      <c r="A25" s="7" t="s">
        <v>19</v>
      </c>
      <c r="B25" s="7" t="s">
        <v>16</v>
      </c>
      <c r="C25" s="7" t="s">
        <v>17</v>
      </c>
      <c r="D25" s="7"/>
      <c r="E25" s="7" t="s">
        <v>501</v>
      </c>
      <c r="F25" s="7" t="s">
        <v>19</v>
      </c>
      <c r="G25" s="7" t="s">
        <v>31</v>
      </c>
      <c r="H25" s="7" t="s">
        <v>17</v>
      </c>
      <c r="I25" s="7" t="s">
        <v>17</v>
      </c>
      <c r="J25" s="7" t="s">
        <v>497</v>
      </c>
    </row>
    <row r="26" spans="1:10" x14ac:dyDescent="0.25">
      <c r="A26" s="5" t="s">
        <v>15</v>
      </c>
      <c r="B26" s="6" t="s">
        <v>3125</v>
      </c>
      <c r="C26" s="5" t="s">
        <v>17</v>
      </c>
      <c r="D26" s="5"/>
      <c r="E26" s="5" t="s">
        <v>3125</v>
      </c>
      <c r="F26" s="5" t="s">
        <v>19</v>
      </c>
      <c r="G26" s="5" t="s">
        <v>17</v>
      </c>
      <c r="H26" s="5" t="s">
        <v>17</v>
      </c>
      <c r="I26" s="5" t="s">
        <v>17</v>
      </c>
      <c r="J26" s="5" t="s">
        <v>2403</v>
      </c>
    </row>
    <row r="27" spans="1:10" x14ac:dyDescent="0.25" outlineLevel="1" collapsed="1">
      <c r="A27" s="7" t="s">
        <v>15</v>
      </c>
      <c r="B27" s="7" t="s">
        <v>16</v>
      </c>
      <c r="C27" s="7" t="s">
        <v>17</v>
      </c>
      <c r="D27" s="7"/>
      <c r="E27" s="7" t="s">
        <v>492</v>
      </c>
      <c r="F27" s="7" t="s">
        <v>19</v>
      </c>
      <c r="G27" s="7" t="s">
        <v>493</v>
      </c>
      <c r="H27" s="7" t="s">
        <v>17</v>
      </c>
      <c r="I27" s="7" t="s">
        <v>17</v>
      </c>
      <c r="J27" s="7" t="s">
        <v>494</v>
      </c>
    </row>
    <row r="28" spans="1:10" x14ac:dyDescent="0.25" outlineLevel="1" collapsed="1">
      <c r="A28" s="7" t="s">
        <v>15</v>
      </c>
      <c r="B28" s="7" t="s">
        <v>16</v>
      </c>
      <c r="C28" s="7" t="s">
        <v>17</v>
      </c>
      <c r="D28" s="7"/>
      <c r="E28" s="7" t="s">
        <v>495</v>
      </c>
      <c r="F28" s="7" t="s">
        <v>19</v>
      </c>
      <c r="G28" s="7" t="s">
        <v>496</v>
      </c>
      <c r="H28" s="7" t="s">
        <v>17</v>
      </c>
      <c r="I28" s="7" t="s">
        <v>17</v>
      </c>
      <c r="J28" s="7" t="s">
        <v>497</v>
      </c>
    </row>
    <row r="29" spans="1:10" x14ac:dyDescent="0.25" outlineLevel="1" collapsed="1">
      <c r="A29" s="8" t="s">
        <v>19</v>
      </c>
      <c r="B29" s="9" t="s">
        <v>3126</v>
      </c>
      <c r="C29" s="8" t="s">
        <v>17</v>
      </c>
      <c r="D29" s="8"/>
      <c r="E29" s="8" t="s">
        <v>3126</v>
      </c>
      <c r="F29" s="8" t="s">
        <v>19</v>
      </c>
      <c r="G29" s="8" t="s">
        <v>17</v>
      </c>
      <c r="H29" s="8" t="s">
        <v>17</v>
      </c>
      <c r="I29" s="8" t="s">
        <v>17</v>
      </c>
      <c r="J29" s="8" t="s">
        <v>518</v>
      </c>
    </row>
    <row r="30" spans="1:10" x14ac:dyDescent="0.25" outlineLevel="2" collapsed="1">
      <c r="A30" s="7" t="s">
        <v>15</v>
      </c>
      <c r="B30" s="7" t="s">
        <v>16</v>
      </c>
      <c r="C30" s="7" t="s">
        <v>17</v>
      </c>
      <c r="D30" s="7"/>
      <c r="E30" s="7" t="s">
        <v>3127</v>
      </c>
      <c r="F30" s="7" t="s">
        <v>19</v>
      </c>
      <c r="G30" s="7" t="s">
        <v>31</v>
      </c>
      <c r="H30" s="7" t="s">
        <v>17</v>
      </c>
      <c r="I30" s="7" t="s">
        <v>17</v>
      </c>
      <c r="J30" s="7" t="s">
        <v>494</v>
      </c>
    </row>
    <row r="31" spans="1:10" x14ac:dyDescent="0.25" outlineLevel="2" collapsed="1">
      <c r="A31" s="7" t="s">
        <v>15</v>
      </c>
      <c r="B31" s="7" t="s">
        <v>16</v>
      </c>
      <c r="C31" s="7" t="s">
        <v>17</v>
      </c>
      <c r="D31" s="7"/>
      <c r="E31" s="7" t="s">
        <v>3128</v>
      </c>
      <c r="F31" s="7" t="s">
        <v>19</v>
      </c>
      <c r="G31" s="7" t="s">
        <v>31</v>
      </c>
      <c r="H31" s="7" t="s">
        <v>17</v>
      </c>
      <c r="I31" s="7" t="s">
        <v>17</v>
      </c>
      <c r="J31" s="7" t="s">
        <v>497</v>
      </c>
    </row>
    <row r="32" spans="1:10" x14ac:dyDescent="0.25" outlineLevel="1" collapsed="1">
      <c r="A32" s="8" t="s">
        <v>19</v>
      </c>
      <c r="B32" s="9" t="s">
        <v>502</v>
      </c>
      <c r="C32" s="8" t="s">
        <v>17</v>
      </c>
      <c r="D32" s="8"/>
      <c r="E32" s="8" t="s">
        <v>503</v>
      </c>
      <c r="F32" s="8" t="s">
        <v>15</v>
      </c>
      <c r="G32" s="8" t="s">
        <v>17</v>
      </c>
      <c r="H32" s="8" t="s">
        <v>17</v>
      </c>
      <c r="I32" s="8" t="s">
        <v>17</v>
      </c>
      <c r="J32" s="8" t="s">
        <v>504</v>
      </c>
    </row>
    <row r="33" spans="1:10" x14ac:dyDescent="0.25" outlineLevel="2" collapsed="1">
      <c r="A33" s="7" t="s">
        <v>19</v>
      </c>
      <c r="B33" s="7" t="s">
        <v>16</v>
      </c>
      <c r="C33" s="7" t="s">
        <v>17</v>
      </c>
      <c r="D33" s="7"/>
      <c r="E33" s="7" t="s">
        <v>505</v>
      </c>
      <c r="F33" s="7" t="s">
        <v>19</v>
      </c>
      <c r="G33" s="7" t="s">
        <v>31</v>
      </c>
      <c r="H33" s="7" t="s">
        <v>17</v>
      </c>
      <c r="I33" s="7" t="s">
        <v>17</v>
      </c>
      <c r="J33" s="7" t="s">
        <v>506</v>
      </c>
    </row>
    <row r="34" spans="1:10" x14ac:dyDescent="0.25" outlineLevel="2" collapsed="1">
      <c r="A34" s="7" t="s">
        <v>19</v>
      </c>
      <c r="B34" s="7" t="s">
        <v>16</v>
      </c>
      <c r="C34" s="7" t="s">
        <v>17</v>
      </c>
      <c r="D34" s="7"/>
      <c r="E34" s="7" t="s">
        <v>501</v>
      </c>
      <c r="F34" s="7" t="s">
        <v>19</v>
      </c>
      <c r="G34" s="7" t="s">
        <v>31</v>
      </c>
      <c r="H34" s="7" t="s">
        <v>17</v>
      </c>
      <c r="I34" s="7" t="s">
        <v>17</v>
      </c>
      <c r="J34" s="7" t="s">
        <v>497</v>
      </c>
    </row>
    <row r="35" spans="1:10" x14ac:dyDescent="0.25">
      <c r="A35" s="5" t="s">
        <v>15</v>
      </c>
      <c r="B35" s="6" t="s">
        <v>3129</v>
      </c>
      <c r="C35" s="5" t="s">
        <v>17</v>
      </c>
      <c r="D35" s="5"/>
      <c r="E35" s="5" t="s">
        <v>3129</v>
      </c>
      <c r="F35" s="5" t="s">
        <v>19</v>
      </c>
      <c r="G35" s="5" t="s">
        <v>17</v>
      </c>
      <c r="H35" s="5" t="s">
        <v>17</v>
      </c>
      <c r="I35" s="5" t="s">
        <v>17</v>
      </c>
      <c r="J35" s="5" t="s">
        <v>2405</v>
      </c>
    </row>
    <row r="36" spans="1:10" x14ac:dyDescent="0.25" outlineLevel="1" collapsed="1">
      <c r="A36" s="8" t="s">
        <v>15</v>
      </c>
      <c r="B36" s="9" t="s">
        <v>3130</v>
      </c>
      <c r="C36" s="8" t="s">
        <v>17</v>
      </c>
      <c r="D36" s="8"/>
      <c r="E36" s="8" t="s">
        <v>3131</v>
      </c>
      <c r="F36" s="8" t="s">
        <v>19</v>
      </c>
      <c r="G36" s="8" t="s">
        <v>17</v>
      </c>
      <c r="H36" s="8" t="s">
        <v>17</v>
      </c>
      <c r="I36" s="8" t="s">
        <v>17</v>
      </c>
      <c r="J36" s="8" t="s">
        <v>2573</v>
      </c>
    </row>
    <row r="37" spans="1:10" x14ac:dyDescent="0.25" outlineLevel="2" collapsed="1">
      <c r="A37" s="7" t="s">
        <v>15</v>
      </c>
      <c r="B37" s="7" t="s">
        <v>16</v>
      </c>
      <c r="C37" s="7" t="s">
        <v>17</v>
      </c>
      <c r="D37" s="7"/>
      <c r="E37" s="7" t="s">
        <v>3132</v>
      </c>
      <c r="F37" s="7" t="s">
        <v>19</v>
      </c>
      <c r="G37" s="7" t="s">
        <v>31</v>
      </c>
      <c r="H37" s="7" t="s">
        <v>17</v>
      </c>
      <c r="I37" s="7" t="s">
        <v>17</v>
      </c>
      <c r="J37" s="7" t="s">
        <v>494</v>
      </c>
    </row>
    <row r="38" spans="1:10" x14ac:dyDescent="0.25" outlineLevel="2" collapsed="1">
      <c r="A38" s="7" t="s">
        <v>15</v>
      </c>
      <c r="B38" s="7" t="s">
        <v>16</v>
      </c>
      <c r="C38" s="7" t="s">
        <v>17</v>
      </c>
      <c r="D38" s="7"/>
      <c r="E38" s="7" t="s">
        <v>3133</v>
      </c>
      <c r="F38" s="7" t="s">
        <v>19</v>
      </c>
      <c r="G38" s="7" t="s">
        <v>31</v>
      </c>
      <c r="H38" s="7" t="s">
        <v>17</v>
      </c>
      <c r="I38" s="7" t="s">
        <v>17</v>
      </c>
      <c r="J38" s="7" t="s">
        <v>497</v>
      </c>
    </row>
    <row r="39" spans="1:10" x14ac:dyDescent="0.25" outlineLevel="1" collapsed="1">
      <c r="A39" s="8" t="s">
        <v>15</v>
      </c>
      <c r="B39" s="9" t="s">
        <v>3134</v>
      </c>
      <c r="C39" s="8" t="s">
        <v>17</v>
      </c>
      <c r="D39" s="8"/>
      <c r="E39" s="8" t="s">
        <v>3134</v>
      </c>
      <c r="F39" s="8" t="s">
        <v>19</v>
      </c>
      <c r="G39" s="8" t="s">
        <v>17</v>
      </c>
      <c r="H39" s="8" t="s">
        <v>17</v>
      </c>
      <c r="I39" s="8" t="s">
        <v>17</v>
      </c>
      <c r="J39" s="8" t="s">
        <v>2576</v>
      </c>
    </row>
    <row r="40" spans="1:10" x14ac:dyDescent="0.25" outlineLevel="2" collapsed="1">
      <c r="A40" s="7" t="s">
        <v>15</v>
      </c>
      <c r="B40" s="7" t="s">
        <v>16</v>
      </c>
      <c r="C40" s="7" t="s">
        <v>17</v>
      </c>
      <c r="D40" s="7"/>
      <c r="E40" s="7" t="s">
        <v>3135</v>
      </c>
      <c r="F40" s="7" t="s">
        <v>19</v>
      </c>
      <c r="G40" s="7" t="s">
        <v>31</v>
      </c>
      <c r="H40" s="7" t="s">
        <v>17</v>
      </c>
      <c r="I40" s="7" t="s">
        <v>17</v>
      </c>
      <c r="J40" s="7" t="s">
        <v>494</v>
      </c>
    </row>
    <row r="41" spans="1:10" x14ac:dyDescent="0.25" outlineLevel="2" collapsed="1">
      <c r="A41" s="7" t="s">
        <v>15</v>
      </c>
      <c r="B41" s="7" t="s">
        <v>16</v>
      </c>
      <c r="C41" s="7" t="s">
        <v>17</v>
      </c>
      <c r="D41" s="7"/>
      <c r="E41" s="7" t="s">
        <v>3136</v>
      </c>
      <c r="F41" s="7" t="s">
        <v>19</v>
      </c>
      <c r="G41" s="7" t="s">
        <v>31</v>
      </c>
      <c r="H41" s="7" t="s">
        <v>17</v>
      </c>
      <c r="I41" s="7" t="s">
        <v>17</v>
      </c>
      <c r="J41" s="7" t="s">
        <v>497</v>
      </c>
    </row>
    <row r="42" spans="1:10" x14ac:dyDescent="0.25">
      <c r="A42" s="5" t="s">
        <v>15</v>
      </c>
      <c r="B42" s="6" t="s">
        <v>3137</v>
      </c>
      <c r="C42" s="5" t="s">
        <v>17</v>
      </c>
      <c r="D42" s="5"/>
      <c r="E42" s="5" t="s">
        <v>3137</v>
      </c>
      <c r="F42" s="5" t="s">
        <v>19</v>
      </c>
      <c r="G42" s="5" t="s">
        <v>17</v>
      </c>
      <c r="H42" s="5" t="s">
        <v>17</v>
      </c>
      <c r="I42" s="5" t="s">
        <v>17</v>
      </c>
      <c r="J42" s="5" t="s">
        <v>491</v>
      </c>
    </row>
    <row r="43" spans="1:10" x14ac:dyDescent="0.25" outlineLevel="1" collapsed="1">
      <c r="A43" s="7" t="s">
        <v>15</v>
      </c>
      <c r="B43" s="7" t="s">
        <v>16</v>
      </c>
      <c r="C43" s="7" t="s">
        <v>17</v>
      </c>
      <c r="D43" s="7"/>
      <c r="E43" s="7" t="s">
        <v>492</v>
      </c>
      <c r="F43" s="7" t="s">
        <v>19</v>
      </c>
      <c r="G43" s="7" t="s">
        <v>493</v>
      </c>
      <c r="H43" s="7" t="s">
        <v>17</v>
      </c>
      <c r="I43" s="7" t="s">
        <v>17</v>
      </c>
      <c r="J43" s="7" t="s">
        <v>494</v>
      </c>
    </row>
    <row r="44" spans="1:10" x14ac:dyDescent="0.25" outlineLevel="1" collapsed="1">
      <c r="A44" s="7" t="s">
        <v>15</v>
      </c>
      <c r="B44" s="7" t="s">
        <v>16</v>
      </c>
      <c r="C44" s="7" t="s">
        <v>17</v>
      </c>
      <c r="D44" s="7"/>
      <c r="E44" s="7" t="s">
        <v>495</v>
      </c>
      <c r="F44" s="7" t="s">
        <v>19</v>
      </c>
      <c r="G44" s="7" t="s">
        <v>496</v>
      </c>
      <c r="H44" s="7" t="s">
        <v>17</v>
      </c>
      <c r="I44" s="7" t="s">
        <v>17</v>
      </c>
      <c r="J44" s="7" t="s">
        <v>497</v>
      </c>
    </row>
    <row r="45" spans="1:10" x14ac:dyDescent="0.25" outlineLevel="1" collapsed="1">
      <c r="A45" s="8" t="s">
        <v>19</v>
      </c>
      <c r="B45" s="9" t="s">
        <v>502</v>
      </c>
      <c r="C45" s="8" t="s">
        <v>17</v>
      </c>
      <c r="D45" s="8"/>
      <c r="E45" s="8" t="s">
        <v>503</v>
      </c>
      <c r="F45" s="8" t="s">
        <v>15</v>
      </c>
      <c r="G45" s="8" t="s">
        <v>17</v>
      </c>
      <c r="H45" s="8" t="s">
        <v>17</v>
      </c>
      <c r="I45" s="8" t="s">
        <v>17</v>
      </c>
      <c r="J45" s="8" t="s">
        <v>504</v>
      </c>
    </row>
    <row r="46" spans="1:10" x14ac:dyDescent="0.25" outlineLevel="2" collapsed="1">
      <c r="A46" s="7" t="s">
        <v>19</v>
      </c>
      <c r="B46" s="7" t="s">
        <v>16</v>
      </c>
      <c r="C46" s="7" t="s">
        <v>17</v>
      </c>
      <c r="D46" s="7"/>
      <c r="E46" s="7" t="s">
        <v>505</v>
      </c>
      <c r="F46" s="7" t="s">
        <v>19</v>
      </c>
      <c r="G46" s="7" t="s">
        <v>31</v>
      </c>
      <c r="H46" s="7" t="s">
        <v>17</v>
      </c>
      <c r="I46" s="7" t="s">
        <v>17</v>
      </c>
      <c r="J46" s="7" t="s">
        <v>506</v>
      </c>
    </row>
    <row r="47" spans="1:10" x14ac:dyDescent="0.25" outlineLevel="2" collapsed="1">
      <c r="A47" s="7" t="s">
        <v>19</v>
      </c>
      <c r="B47" s="7" t="s">
        <v>16</v>
      </c>
      <c r="C47" s="7" t="s">
        <v>17</v>
      </c>
      <c r="D47" s="7"/>
      <c r="E47" s="7" t="s">
        <v>501</v>
      </c>
      <c r="F47" s="7" t="s">
        <v>19</v>
      </c>
      <c r="G47" s="7" t="s">
        <v>31</v>
      </c>
      <c r="H47" s="7" t="s">
        <v>17</v>
      </c>
      <c r="I47" s="7" t="s">
        <v>17</v>
      </c>
      <c r="J47" s="7" t="s">
        <v>497</v>
      </c>
    </row>
    <row r="48" spans="1:10" x14ac:dyDescent="0.25">
      <c r="A48" s="5" t="s">
        <v>19</v>
      </c>
      <c r="B48" s="6" t="s">
        <v>3138</v>
      </c>
      <c r="C48" s="5" t="s">
        <v>17</v>
      </c>
      <c r="D48" s="5"/>
      <c r="E48" s="5" t="s">
        <v>1321</v>
      </c>
      <c r="F48" s="5" t="s">
        <v>15</v>
      </c>
      <c r="G48" s="5" t="s">
        <v>17</v>
      </c>
      <c r="H48" s="5" t="s">
        <v>17</v>
      </c>
      <c r="I48" s="5" t="s">
        <v>17</v>
      </c>
      <c r="J48" s="5" t="s">
        <v>3139</v>
      </c>
    </row>
    <row r="49" spans="1:10" x14ac:dyDescent="0.25" outlineLevel="1" collapsed="1">
      <c r="A49" s="7" t="s">
        <v>19</v>
      </c>
      <c r="B49" s="7" t="s">
        <v>16</v>
      </c>
      <c r="C49" s="7" t="s">
        <v>17</v>
      </c>
      <c r="D49" s="7"/>
      <c r="E49" s="7" t="s">
        <v>478</v>
      </c>
      <c r="F49" s="7" t="s">
        <v>19</v>
      </c>
      <c r="G49" s="7" t="s">
        <v>31</v>
      </c>
      <c r="H49" s="7" t="s">
        <v>17</v>
      </c>
      <c r="I49" s="7" t="s">
        <v>17</v>
      </c>
      <c r="J49" s="7" t="s">
        <v>1323</v>
      </c>
    </row>
    <row r="50" spans="1:10" x14ac:dyDescent="0.25" outlineLevel="1" collapsed="1">
      <c r="A50" s="7" t="s">
        <v>19</v>
      </c>
      <c r="B50" s="7" t="s">
        <v>16</v>
      </c>
      <c r="C50" s="7" t="s">
        <v>17</v>
      </c>
      <c r="D50" s="7"/>
      <c r="E50" s="7" t="s">
        <v>1324</v>
      </c>
      <c r="F50" s="7" t="s">
        <v>19</v>
      </c>
      <c r="G50" s="7" t="s">
        <v>31</v>
      </c>
      <c r="H50" s="7" t="s">
        <v>17</v>
      </c>
      <c r="I50" s="7" t="s">
        <v>17</v>
      </c>
      <c r="J50" s="7" t="s">
        <v>1325</v>
      </c>
    </row>
    <row r="51" spans="1:10" x14ac:dyDescent="0.25" outlineLevel="1" collapsed="1">
      <c r="A51" s="7" t="s">
        <v>19</v>
      </c>
      <c r="B51" s="7" t="s">
        <v>16</v>
      </c>
      <c r="C51" s="7" t="s">
        <v>17</v>
      </c>
      <c r="D51" s="7"/>
      <c r="E51" s="7" t="s">
        <v>1326</v>
      </c>
      <c r="F51" s="7" t="s">
        <v>19</v>
      </c>
      <c r="G51" s="7" t="s">
        <v>31</v>
      </c>
      <c r="H51" s="7" t="s">
        <v>17</v>
      </c>
      <c r="I51" s="7" t="s">
        <v>17</v>
      </c>
      <c r="J51" s="7" t="s">
        <v>1327</v>
      </c>
    </row>
    <row r="52" spans="1:10" x14ac:dyDescent="0.25" outlineLevel="1" collapsed="1">
      <c r="A52" s="7" t="s">
        <v>19</v>
      </c>
      <c r="B52" s="7" t="s">
        <v>16</v>
      </c>
      <c r="C52" s="7" t="s">
        <v>17</v>
      </c>
      <c r="D52" s="7"/>
      <c r="E52" s="7" t="s">
        <v>1328</v>
      </c>
      <c r="F52" s="7" t="s">
        <v>19</v>
      </c>
      <c r="G52" s="7" t="s">
        <v>31</v>
      </c>
      <c r="H52" s="7" t="s">
        <v>17</v>
      </c>
      <c r="I52" s="7" t="s">
        <v>17</v>
      </c>
      <c r="J52" s="7" t="s">
        <v>824</v>
      </c>
    </row>
    <row r="53" spans="1:10" x14ac:dyDescent="0.25" outlineLevel="1" collapsed="1">
      <c r="A53" s="7" t="s">
        <v>19</v>
      </c>
      <c r="B53" s="7" t="s">
        <v>16</v>
      </c>
      <c r="C53" s="7" t="s">
        <v>17</v>
      </c>
      <c r="D53" s="7"/>
      <c r="E53" s="7" t="s">
        <v>3140</v>
      </c>
      <c r="F53" s="7" t="s">
        <v>19</v>
      </c>
      <c r="G53" s="7" t="s">
        <v>31</v>
      </c>
      <c r="H53" s="7" t="s">
        <v>17</v>
      </c>
      <c r="I53" s="7" t="s">
        <v>17</v>
      </c>
      <c r="J53" s="7" t="s">
        <v>818</v>
      </c>
    </row>
    <row r="54" spans="1:10" x14ac:dyDescent="0.25">
      <c r="A54" s="5" t="s">
        <v>19</v>
      </c>
      <c r="B54" s="6" t="s">
        <v>3141</v>
      </c>
      <c r="C54" s="5" t="s">
        <v>17</v>
      </c>
      <c r="D54" s="5"/>
      <c r="E54" s="5" t="s">
        <v>974</v>
      </c>
      <c r="F54" s="5" t="s">
        <v>15</v>
      </c>
      <c r="G54" s="5" t="s">
        <v>17</v>
      </c>
      <c r="H54" s="5" t="s">
        <v>17</v>
      </c>
      <c r="I54" s="5" t="s">
        <v>17</v>
      </c>
      <c r="J54" s="5" t="s">
        <v>975</v>
      </c>
    </row>
    <row r="55" spans="1:10" x14ac:dyDescent="0.25" outlineLevel="1" collapsed="1">
      <c r="A55" s="7" t="s">
        <v>19</v>
      </c>
      <c r="B55" s="7" t="s">
        <v>16</v>
      </c>
      <c r="C55" s="7" t="s">
        <v>17</v>
      </c>
      <c r="D55" s="7"/>
      <c r="E55" s="7" t="s">
        <v>3142</v>
      </c>
      <c r="F55" s="7" t="s">
        <v>19</v>
      </c>
      <c r="G55" s="7" t="s">
        <v>31</v>
      </c>
      <c r="H55" s="7" t="s">
        <v>17</v>
      </c>
      <c r="I55" s="7" t="s">
        <v>17</v>
      </c>
      <c r="J55" s="7" t="s">
        <v>3143</v>
      </c>
    </row>
    <row r="56" spans="1:10" x14ac:dyDescent="0.25" outlineLevel="1" collapsed="1">
      <c r="A56" s="7" t="s">
        <v>19</v>
      </c>
      <c r="B56" s="7" t="s">
        <v>16</v>
      </c>
      <c r="C56" s="7" t="s">
        <v>17</v>
      </c>
      <c r="D56" s="7"/>
      <c r="E56" s="7" t="s">
        <v>978</v>
      </c>
      <c r="F56" s="7" t="s">
        <v>19</v>
      </c>
      <c r="G56" s="7" t="s">
        <v>31</v>
      </c>
      <c r="H56" s="7" t="s">
        <v>17</v>
      </c>
      <c r="I56" s="7" t="s">
        <v>17</v>
      </c>
      <c r="J56" s="7" t="s">
        <v>979</v>
      </c>
    </row>
    <row r="57" spans="1:10" x14ac:dyDescent="0.25" outlineLevel="1" collapsed="1">
      <c r="A57" s="7" t="s">
        <v>19</v>
      </c>
      <c r="B57" s="7" t="s">
        <v>16</v>
      </c>
      <c r="C57" s="7" t="s">
        <v>17</v>
      </c>
      <c r="D57" s="7"/>
      <c r="E57" s="7" t="s">
        <v>501</v>
      </c>
      <c r="F57" s="7" t="s">
        <v>19</v>
      </c>
      <c r="G57" s="7" t="s">
        <v>31</v>
      </c>
      <c r="H57" s="7" t="s">
        <v>17</v>
      </c>
      <c r="I57" s="7" t="s">
        <v>17</v>
      </c>
      <c r="J57" s="7" t="s">
        <v>497</v>
      </c>
    </row>
    <row r="58" spans="1:10" x14ac:dyDescent="0.25" outlineLevel="1" collapsed="1">
      <c r="A58" s="7" t="s">
        <v>19</v>
      </c>
      <c r="B58" s="7" t="s">
        <v>16</v>
      </c>
      <c r="C58" s="7" t="s">
        <v>17</v>
      </c>
      <c r="D58" s="7"/>
      <c r="E58" s="7" t="s">
        <v>500</v>
      </c>
      <c r="F58" s="7" t="s">
        <v>19</v>
      </c>
      <c r="G58" s="7" t="s">
        <v>31</v>
      </c>
      <c r="H58" s="7" t="s">
        <v>17</v>
      </c>
      <c r="I58" s="7" t="s">
        <v>17</v>
      </c>
      <c r="J58" s="7" t="s">
        <v>494</v>
      </c>
    </row>
    <row r="59" spans="1:10" x14ac:dyDescent="0.25">
      <c r="A59" s="5" t="s">
        <v>19</v>
      </c>
      <c r="B59" s="6" t="s">
        <v>3144</v>
      </c>
      <c r="C59" s="5" t="s">
        <v>17</v>
      </c>
      <c r="D59" s="5"/>
      <c r="E59" s="5" t="s">
        <v>3145</v>
      </c>
      <c r="F59" s="5" t="s">
        <v>15</v>
      </c>
      <c r="G59" s="5" t="s">
        <v>17</v>
      </c>
      <c r="H59" s="5" t="s">
        <v>17</v>
      </c>
      <c r="I59" s="5" t="s">
        <v>17</v>
      </c>
      <c r="J59" s="5" t="s">
        <v>3146</v>
      </c>
    </row>
    <row r="60" spans="1:10" x14ac:dyDescent="0.25" outlineLevel="1" collapsed="1">
      <c r="A60" s="7" t="s">
        <v>19</v>
      </c>
      <c r="B60" s="7" t="s">
        <v>16</v>
      </c>
      <c r="C60" s="7" t="s">
        <v>17</v>
      </c>
      <c r="D60" s="7"/>
      <c r="E60" s="7" t="s">
        <v>2513</v>
      </c>
      <c r="F60" s="7" t="s">
        <v>19</v>
      </c>
      <c r="G60" s="7" t="s">
        <v>31</v>
      </c>
      <c r="H60" s="7" t="s">
        <v>17</v>
      </c>
      <c r="I60" s="7" t="s">
        <v>17</v>
      </c>
      <c r="J60" s="7" t="s">
        <v>2514</v>
      </c>
    </row>
    <row r="61" spans="1:10" x14ac:dyDescent="0.25" outlineLevel="1" collapsed="1">
      <c r="A61" s="7" t="s">
        <v>19</v>
      </c>
      <c r="B61" s="7" t="s">
        <v>16</v>
      </c>
      <c r="C61" s="7" t="s">
        <v>17</v>
      </c>
      <c r="D61" s="7"/>
      <c r="E61" s="7" t="s">
        <v>3147</v>
      </c>
      <c r="F61" s="7" t="s">
        <v>19</v>
      </c>
      <c r="G61" s="7" t="s">
        <v>31</v>
      </c>
      <c r="H61" s="7" t="s">
        <v>17</v>
      </c>
      <c r="I61" s="7" t="s">
        <v>17</v>
      </c>
      <c r="J61" s="7" t="s">
        <v>2510</v>
      </c>
    </row>
    <row r="62" spans="1:10" x14ac:dyDescent="0.25" outlineLevel="1" collapsed="1">
      <c r="A62" s="7" t="s">
        <v>19</v>
      </c>
      <c r="B62" s="7" t="s">
        <v>16</v>
      </c>
      <c r="C62" s="7" t="s">
        <v>17</v>
      </c>
      <c r="D62" s="7"/>
      <c r="E62" s="7" t="s">
        <v>1256</v>
      </c>
      <c r="F62" s="7" t="s">
        <v>19</v>
      </c>
      <c r="G62" s="7" t="s">
        <v>31</v>
      </c>
      <c r="H62" s="7" t="s">
        <v>17</v>
      </c>
      <c r="I62" s="7" t="s">
        <v>17</v>
      </c>
      <c r="J62" s="7" t="s">
        <v>1257</v>
      </c>
    </row>
    <row r="63" spans="1:10" x14ac:dyDescent="0.25">
      <c r="A63" s="5" t="s">
        <v>19</v>
      </c>
      <c r="B63" s="6" t="s">
        <v>3148</v>
      </c>
      <c r="C63" s="5" t="s">
        <v>17</v>
      </c>
      <c r="D63" s="5"/>
      <c r="E63" s="5" t="s">
        <v>3149</v>
      </c>
      <c r="F63" s="5" t="s">
        <v>15</v>
      </c>
      <c r="G63" s="5" t="s">
        <v>17</v>
      </c>
      <c r="H63" s="5" t="s">
        <v>17</v>
      </c>
      <c r="I63" s="5" t="s">
        <v>17</v>
      </c>
      <c r="J63" s="5" t="s">
        <v>3150</v>
      </c>
    </row>
    <row r="64" spans="1:10" x14ac:dyDescent="0.25" outlineLevel="1" collapsed="1">
      <c r="A64" s="7" t="s">
        <v>19</v>
      </c>
      <c r="B64" s="7" t="s">
        <v>16</v>
      </c>
      <c r="C64" s="7" t="s">
        <v>17</v>
      </c>
      <c r="D64" s="7"/>
      <c r="E64" s="7" t="s">
        <v>2515</v>
      </c>
      <c r="F64" s="7" t="s">
        <v>19</v>
      </c>
      <c r="G64" s="7" t="s">
        <v>31</v>
      </c>
      <c r="H64" s="7" t="s">
        <v>17</v>
      </c>
      <c r="I64" s="7" t="s">
        <v>17</v>
      </c>
      <c r="J64" s="7" t="s">
        <v>2516</v>
      </c>
    </row>
    <row r="65" spans="1:10" x14ac:dyDescent="0.25" outlineLevel="1" collapsed="1">
      <c r="A65" s="7" t="s">
        <v>19</v>
      </c>
      <c r="B65" s="7" t="s">
        <v>16</v>
      </c>
      <c r="C65" s="7" t="s">
        <v>17</v>
      </c>
      <c r="D65" s="7"/>
      <c r="E65" s="7" t="s">
        <v>478</v>
      </c>
      <c r="F65" s="7" t="s">
        <v>19</v>
      </c>
      <c r="G65" s="7" t="s">
        <v>31</v>
      </c>
      <c r="H65" s="7" t="s">
        <v>17</v>
      </c>
      <c r="I65" s="7" t="s">
        <v>17</v>
      </c>
      <c r="J65" s="7" t="s">
        <v>1323</v>
      </c>
    </row>
    <row r="66" spans="1:10" x14ac:dyDescent="0.25" outlineLevel="1" collapsed="1">
      <c r="A66" s="7" t="s">
        <v>19</v>
      </c>
      <c r="B66" s="7" t="s">
        <v>16</v>
      </c>
      <c r="C66" s="7" t="s">
        <v>17</v>
      </c>
      <c r="D66" s="7"/>
      <c r="E66" s="7" t="s">
        <v>3151</v>
      </c>
      <c r="F66" s="7" t="s">
        <v>19</v>
      </c>
      <c r="G66" s="7" t="s">
        <v>31</v>
      </c>
      <c r="H66" s="7" t="s">
        <v>17</v>
      </c>
      <c r="I66" s="7" t="s">
        <v>17</v>
      </c>
      <c r="J66" s="7" t="s">
        <v>2508</v>
      </c>
    </row>
    <row r="67" spans="1:10" x14ac:dyDescent="0.25" outlineLevel="1" collapsed="1">
      <c r="A67" s="7" t="s">
        <v>19</v>
      </c>
      <c r="B67" s="7" t="s">
        <v>16</v>
      </c>
      <c r="C67" s="7" t="s">
        <v>17</v>
      </c>
      <c r="D67" s="7"/>
      <c r="E67" s="7" t="s">
        <v>3147</v>
      </c>
      <c r="F67" s="7" t="s">
        <v>19</v>
      </c>
      <c r="G67" s="7" t="s">
        <v>31</v>
      </c>
      <c r="H67" s="7" t="s">
        <v>17</v>
      </c>
      <c r="I67" s="7" t="s">
        <v>17</v>
      </c>
      <c r="J67" s="7" t="s">
        <v>2510</v>
      </c>
    </row>
    <row r="68" spans="1:10" x14ac:dyDescent="0.25" outlineLevel="1" collapsed="1">
      <c r="A68" s="7" t="s">
        <v>19</v>
      </c>
      <c r="B68" s="7" t="s">
        <v>16</v>
      </c>
      <c r="C68" s="7" t="s">
        <v>17</v>
      </c>
      <c r="D68" s="7"/>
      <c r="E68" s="7" t="s">
        <v>1256</v>
      </c>
      <c r="F68" s="7" t="s">
        <v>19</v>
      </c>
      <c r="G68" s="7" t="s">
        <v>31</v>
      </c>
      <c r="H68" s="7" t="s">
        <v>17</v>
      </c>
      <c r="I68" s="7" t="s">
        <v>17</v>
      </c>
      <c r="J68" s="7" t="s">
        <v>1257</v>
      </c>
    </row>
    <row r="69" spans="1:10" x14ac:dyDescent="0.25">
      <c r="A69" s="5" t="s">
        <v>19</v>
      </c>
      <c r="B69" s="6" t="s">
        <v>3152</v>
      </c>
      <c r="C69" s="5" t="s">
        <v>17</v>
      </c>
      <c r="D69" s="5"/>
      <c r="E69" s="5" t="s">
        <v>3153</v>
      </c>
      <c r="F69" s="5" t="s">
        <v>19</v>
      </c>
      <c r="G69" s="5" t="s">
        <v>17</v>
      </c>
      <c r="H69" s="5" t="s">
        <v>17</v>
      </c>
      <c r="I69" s="5" t="s">
        <v>17</v>
      </c>
      <c r="J69" s="5" t="s">
        <v>3154</v>
      </c>
    </row>
    <row r="70" spans="1:10" x14ac:dyDescent="0.25" outlineLevel="1" collapsed="1">
      <c r="A70" s="7" t="s">
        <v>19</v>
      </c>
      <c r="B70" s="7" t="s">
        <v>16</v>
      </c>
      <c r="C70" s="7" t="s">
        <v>17</v>
      </c>
      <c r="D70" s="7"/>
      <c r="E70" s="7" t="s">
        <v>500</v>
      </c>
      <c r="F70" s="7" t="s">
        <v>19</v>
      </c>
      <c r="G70" s="7" t="s">
        <v>31</v>
      </c>
      <c r="H70" s="7" t="s">
        <v>17</v>
      </c>
      <c r="I70" s="7" t="s">
        <v>17</v>
      </c>
      <c r="J70" s="7" t="s">
        <v>494</v>
      </c>
    </row>
    <row r="71" spans="1:10" x14ac:dyDescent="0.25" outlineLevel="1" collapsed="1">
      <c r="A71" s="7" t="s">
        <v>19</v>
      </c>
      <c r="B71" s="7" t="s">
        <v>16</v>
      </c>
      <c r="C71" s="7" t="s">
        <v>17</v>
      </c>
      <c r="D71" s="7"/>
      <c r="E71" s="7" t="s">
        <v>501</v>
      </c>
      <c r="F71" s="7" t="s">
        <v>19</v>
      </c>
      <c r="G71" s="7" t="s">
        <v>31</v>
      </c>
      <c r="H71" s="7" t="s">
        <v>17</v>
      </c>
      <c r="I71" s="7" t="s">
        <v>17</v>
      </c>
      <c r="J71" s="7" t="s">
        <v>497</v>
      </c>
    </row>
    <row r="72" spans="1:10" x14ac:dyDescent="0.25" outlineLevel="1" collapsed="1">
      <c r="A72" s="8" t="s">
        <v>19</v>
      </c>
      <c r="B72" s="9" t="s">
        <v>502</v>
      </c>
      <c r="C72" s="8" t="s">
        <v>17</v>
      </c>
      <c r="D72" s="8"/>
      <c r="E72" s="8" t="s">
        <v>503</v>
      </c>
      <c r="F72" s="8" t="s">
        <v>15</v>
      </c>
      <c r="G72" s="8" t="s">
        <v>17</v>
      </c>
      <c r="H72" s="8" t="s">
        <v>17</v>
      </c>
      <c r="I72" s="8" t="s">
        <v>17</v>
      </c>
      <c r="J72" s="8" t="s">
        <v>504</v>
      </c>
    </row>
    <row r="73" spans="1:10" x14ac:dyDescent="0.25" outlineLevel="2" collapsed="1">
      <c r="A73" s="7" t="s">
        <v>19</v>
      </c>
      <c r="B73" s="7" t="s">
        <v>16</v>
      </c>
      <c r="C73" s="7" t="s">
        <v>17</v>
      </c>
      <c r="D73" s="7"/>
      <c r="E73" s="7" t="s">
        <v>505</v>
      </c>
      <c r="F73" s="7" t="s">
        <v>19</v>
      </c>
      <c r="G73" s="7" t="s">
        <v>31</v>
      </c>
      <c r="H73" s="7" t="s">
        <v>17</v>
      </c>
      <c r="I73" s="7" t="s">
        <v>17</v>
      </c>
      <c r="J73" s="7" t="s">
        <v>506</v>
      </c>
    </row>
    <row r="74" spans="1:10" x14ac:dyDescent="0.25" outlineLevel="2" collapsed="1">
      <c r="A74" s="7" t="s">
        <v>19</v>
      </c>
      <c r="B74" s="7" t="s">
        <v>16</v>
      </c>
      <c r="C74" s="7" t="s">
        <v>17</v>
      </c>
      <c r="D74" s="7"/>
      <c r="E74" s="7" t="s">
        <v>501</v>
      </c>
      <c r="F74" s="7" t="s">
        <v>19</v>
      </c>
      <c r="G74" s="7" t="s">
        <v>31</v>
      </c>
      <c r="H74" s="7" t="s">
        <v>17</v>
      </c>
      <c r="I74" s="7" t="s">
        <v>17</v>
      </c>
      <c r="J74" s="7" t="s">
        <v>497</v>
      </c>
    </row>
    <row r="75" spans="1:10" x14ac:dyDescent="0.25">
      <c r="A75" s="5" t="s">
        <v>19</v>
      </c>
      <c r="B75" s="6" t="s">
        <v>3155</v>
      </c>
      <c r="C75" s="5" t="s">
        <v>17</v>
      </c>
      <c r="D75" s="5"/>
      <c r="E75" s="5" t="s">
        <v>520</v>
      </c>
      <c r="F75" s="5" t="s">
        <v>19</v>
      </c>
      <c r="G75" s="5" t="s">
        <v>17</v>
      </c>
      <c r="H75" s="5" t="s">
        <v>17</v>
      </c>
      <c r="I75" s="5" t="s">
        <v>17</v>
      </c>
      <c r="J75" s="5" t="s">
        <v>518</v>
      </c>
    </row>
    <row r="76" spans="1:10" x14ac:dyDescent="0.25" outlineLevel="1" collapsed="1">
      <c r="A76" s="7" t="s">
        <v>19</v>
      </c>
      <c r="B76" s="7" t="s">
        <v>16</v>
      </c>
      <c r="C76" s="7" t="s">
        <v>17</v>
      </c>
      <c r="D76" s="7"/>
      <c r="E76" s="7" t="s">
        <v>500</v>
      </c>
      <c r="F76" s="7" t="s">
        <v>19</v>
      </c>
      <c r="G76" s="7" t="s">
        <v>31</v>
      </c>
      <c r="H76" s="7" t="s">
        <v>17</v>
      </c>
      <c r="I76" s="7" t="s">
        <v>17</v>
      </c>
      <c r="J76" s="7" t="s">
        <v>494</v>
      </c>
    </row>
    <row r="77" spans="1:10" x14ac:dyDescent="0.25" outlineLevel="1" collapsed="1">
      <c r="A77" s="7" t="s">
        <v>19</v>
      </c>
      <c r="B77" s="7" t="s">
        <v>16</v>
      </c>
      <c r="C77" s="7" t="s">
        <v>17</v>
      </c>
      <c r="D77" s="7"/>
      <c r="E77" s="7" t="s">
        <v>501</v>
      </c>
      <c r="F77" s="7" t="s">
        <v>19</v>
      </c>
      <c r="G77" s="7" t="s">
        <v>31</v>
      </c>
      <c r="H77" s="7" t="s">
        <v>17</v>
      </c>
      <c r="I77" s="7" t="s">
        <v>17</v>
      </c>
      <c r="J77" s="7" t="s">
        <v>497</v>
      </c>
    </row>
    <row r="78" spans="1:10" x14ac:dyDescent="0.25" outlineLevel="1" collapsed="1">
      <c r="A78" s="8" t="s">
        <v>19</v>
      </c>
      <c r="B78" s="9" t="s">
        <v>502</v>
      </c>
      <c r="C78" s="8" t="s">
        <v>17</v>
      </c>
      <c r="D78" s="8"/>
      <c r="E78" s="8" t="s">
        <v>503</v>
      </c>
      <c r="F78" s="8" t="s">
        <v>15</v>
      </c>
      <c r="G78" s="8" t="s">
        <v>17</v>
      </c>
      <c r="H78" s="8" t="s">
        <v>17</v>
      </c>
      <c r="I78" s="8" t="s">
        <v>17</v>
      </c>
      <c r="J78" s="8" t="s">
        <v>504</v>
      </c>
    </row>
    <row r="79" spans="1:10" x14ac:dyDescent="0.25" outlineLevel="2" collapsed="1">
      <c r="A79" s="7" t="s">
        <v>19</v>
      </c>
      <c r="B79" s="7" t="s">
        <v>16</v>
      </c>
      <c r="C79" s="7" t="s">
        <v>17</v>
      </c>
      <c r="D79" s="7"/>
      <c r="E79" s="7" t="s">
        <v>505</v>
      </c>
      <c r="F79" s="7" t="s">
        <v>19</v>
      </c>
      <c r="G79" s="7" t="s">
        <v>31</v>
      </c>
      <c r="H79" s="7" t="s">
        <v>17</v>
      </c>
      <c r="I79" s="7" t="s">
        <v>17</v>
      </c>
      <c r="J79" s="7" t="s">
        <v>506</v>
      </c>
    </row>
    <row r="80" spans="1:10" x14ac:dyDescent="0.25" outlineLevel="2" collapsed="1">
      <c r="A80" s="7" t="s">
        <v>19</v>
      </c>
      <c r="B80" s="7" t="s">
        <v>16</v>
      </c>
      <c r="C80" s="7" t="s">
        <v>17</v>
      </c>
      <c r="D80" s="7"/>
      <c r="E80" s="7" t="s">
        <v>501</v>
      </c>
      <c r="F80" s="7" t="s">
        <v>19</v>
      </c>
      <c r="G80" s="7" t="s">
        <v>31</v>
      </c>
      <c r="H80" s="7" t="s">
        <v>17</v>
      </c>
      <c r="I80" s="7" t="s">
        <v>17</v>
      </c>
      <c r="J80" s="7" t="s">
        <v>497</v>
      </c>
    </row>
    <row r="81" spans="1:10" x14ac:dyDescent="0.25">
      <c r="A81" s="5" t="s">
        <v>19</v>
      </c>
      <c r="B81" s="6" t="s">
        <v>3156</v>
      </c>
      <c r="C81" s="5" t="s">
        <v>17</v>
      </c>
      <c r="D81" s="5"/>
      <c r="E81" s="5" t="s">
        <v>3157</v>
      </c>
      <c r="F81" s="5" t="s">
        <v>19</v>
      </c>
      <c r="G81" s="5" t="s">
        <v>17</v>
      </c>
      <c r="H81" s="5" t="s">
        <v>17</v>
      </c>
      <c r="I81" s="5" t="s">
        <v>17</v>
      </c>
      <c r="J81" s="5" t="s">
        <v>2573</v>
      </c>
    </row>
    <row r="82" spans="1:10" x14ac:dyDescent="0.25" outlineLevel="1" collapsed="1">
      <c r="A82" s="7" t="s">
        <v>19</v>
      </c>
      <c r="B82" s="7" t="s">
        <v>16</v>
      </c>
      <c r="C82" s="7" t="s">
        <v>17</v>
      </c>
      <c r="D82" s="7"/>
      <c r="E82" s="7" t="s">
        <v>500</v>
      </c>
      <c r="F82" s="7" t="s">
        <v>19</v>
      </c>
      <c r="G82" s="7" t="s">
        <v>31</v>
      </c>
      <c r="H82" s="7" t="s">
        <v>17</v>
      </c>
      <c r="I82" s="7" t="s">
        <v>17</v>
      </c>
      <c r="J82" s="7" t="s">
        <v>494</v>
      </c>
    </row>
    <row r="83" spans="1:10" x14ac:dyDescent="0.25" outlineLevel="1" collapsed="1">
      <c r="A83" s="7" t="s">
        <v>19</v>
      </c>
      <c r="B83" s="7" t="s">
        <v>16</v>
      </c>
      <c r="C83" s="7" t="s">
        <v>17</v>
      </c>
      <c r="D83" s="7"/>
      <c r="E83" s="7" t="s">
        <v>501</v>
      </c>
      <c r="F83" s="7" t="s">
        <v>19</v>
      </c>
      <c r="G83" s="7" t="s">
        <v>31</v>
      </c>
      <c r="H83" s="7" t="s">
        <v>17</v>
      </c>
      <c r="I83" s="7" t="s">
        <v>17</v>
      </c>
      <c r="J83" s="7" t="s">
        <v>497</v>
      </c>
    </row>
    <row r="84" spans="1:10" x14ac:dyDescent="0.25" outlineLevel="1" collapsed="1">
      <c r="A84" s="8" t="s">
        <v>19</v>
      </c>
      <c r="B84" s="9" t="s">
        <v>502</v>
      </c>
      <c r="C84" s="8" t="s">
        <v>17</v>
      </c>
      <c r="D84" s="8"/>
      <c r="E84" s="8" t="s">
        <v>503</v>
      </c>
      <c r="F84" s="8" t="s">
        <v>15</v>
      </c>
      <c r="G84" s="8" t="s">
        <v>17</v>
      </c>
      <c r="H84" s="8" t="s">
        <v>17</v>
      </c>
      <c r="I84" s="8" t="s">
        <v>17</v>
      </c>
      <c r="J84" s="8" t="s">
        <v>504</v>
      </c>
    </row>
    <row r="85" spans="1:10" x14ac:dyDescent="0.25" outlineLevel="2" collapsed="1">
      <c r="A85" s="7" t="s">
        <v>19</v>
      </c>
      <c r="B85" s="7" t="s">
        <v>16</v>
      </c>
      <c r="C85" s="7" t="s">
        <v>17</v>
      </c>
      <c r="D85" s="7"/>
      <c r="E85" s="7" t="s">
        <v>505</v>
      </c>
      <c r="F85" s="7" t="s">
        <v>19</v>
      </c>
      <c r="G85" s="7" t="s">
        <v>31</v>
      </c>
      <c r="H85" s="7" t="s">
        <v>17</v>
      </c>
      <c r="I85" s="7" t="s">
        <v>17</v>
      </c>
      <c r="J85" s="7" t="s">
        <v>506</v>
      </c>
    </row>
    <row r="86" spans="1:10" x14ac:dyDescent="0.25" outlineLevel="2" collapsed="1">
      <c r="A86" s="7" t="s">
        <v>19</v>
      </c>
      <c r="B86" s="7" t="s">
        <v>16</v>
      </c>
      <c r="C86" s="7" t="s">
        <v>17</v>
      </c>
      <c r="D86" s="7"/>
      <c r="E86" s="7" t="s">
        <v>501</v>
      </c>
      <c r="F86" s="7" t="s">
        <v>19</v>
      </c>
      <c r="G86" s="7" t="s">
        <v>31</v>
      </c>
      <c r="H86" s="7" t="s">
        <v>17</v>
      </c>
      <c r="I86" s="7" t="s">
        <v>17</v>
      </c>
      <c r="J86" s="7" t="s">
        <v>497</v>
      </c>
    </row>
    <row r="87" spans="1:10" x14ac:dyDescent="0.25">
      <c r="A87" s="5" t="s">
        <v>19</v>
      </c>
      <c r="B87" s="6" t="s">
        <v>3158</v>
      </c>
      <c r="C87" s="5" t="s">
        <v>17</v>
      </c>
      <c r="D87" s="5"/>
      <c r="E87" s="5" t="s">
        <v>3159</v>
      </c>
      <c r="F87" s="5" t="s">
        <v>19</v>
      </c>
      <c r="G87" s="5" t="s">
        <v>17</v>
      </c>
      <c r="H87" s="5" t="s">
        <v>17</v>
      </c>
      <c r="I87" s="5" t="s">
        <v>17</v>
      </c>
      <c r="J87" s="5" t="s">
        <v>2576</v>
      </c>
    </row>
    <row r="88" spans="1:10" x14ac:dyDescent="0.25" outlineLevel="1" collapsed="1">
      <c r="A88" s="7" t="s">
        <v>19</v>
      </c>
      <c r="B88" s="7" t="s">
        <v>16</v>
      </c>
      <c r="C88" s="7" t="s">
        <v>17</v>
      </c>
      <c r="D88" s="7"/>
      <c r="E88" s="7" t="s">
        <v>500</v>
      </c>
      <c r="F88" s="7" t="s">
        <v>19</v>
      </c>
      <c r="G88" s="7" t="s">
        <v>31</v>
      </c>
      <c r="H88" s="7" t="s">
        <v>17</v>
      </c>
      <c r="I88" s="7" t="s">
        <v>17</v>
      </c>
      <c r="J88" s="7" t="s">
        <v>494</v>
      </c>
    </row>
    <row r="89" spans="1:10" x14ac:dyDescent="0.25" outlineLevel="1" collapsed="1">
      <c r="A89" s="7" t="s">
        <v>19</v>
      </c>
      <c r="B89" s="7" t="s">
        <v>16</v>
      </c>
      <c r="C89" s="7" t="s">
        <v>17</v>
      </c>
      <c r="D89" s="7"/>
      <c r="E89" s="7" t="s">
        <v>501</v>
      </c>
      <c r="F89" s="7" t="s">
        <v>19</v>
      </c>
      <c r="G89" s="7" t="s">
        <v>31</v>
      </c>
      <c r="H89" s="7" t="s">
        <v>17</v>
      </c>
      <c r="I89" s="7" t="s">
        <v>17</v>
      </c>
      <c r="J89" s="7" t="s">
        <v>497</v>
      </c>
    </row>
    <row r="90" spans="1:10" x14ac:dyDescent="0.25" outlineLevel="1" collapsed="1">
      <c r="A90" s="8" t="s">
        <v>19</v>
      </c>
      <c r="B90" s="9" t="s">
        <v>502</v>
      </c>
      <c r="C90" s="8" t="s">
        <v>17</v>
      </c>
      <c r="D90" s="8"/>
      <c r="E90" s="8" t="s">
        <v>503</v>
      </c>
      <c r="F90" s="8" t="s">
        <v>15</v>
      </c>
      <c r="G90" s="8" t="s">
        <v>17</v>
      </c>
      <c r="H90" s="8" t="s">
        <v>17</v>
      </c>
      <c r="I90" s="8" t="s">
        <v>17</v>
      </c>
      <c r="J90" s="8" t="s">
        <v>504</v>
      </c>
    </row>
    <row r="91" spans="1:10" x14ac:dyDescent="0.25" outlineLevel="2" collapsed="1">
      <c r="A91" s="7" t="s">
        <v>19</v>
      </c>
      <c r="B91" s="7" t="s">
        <v>16</v>
      </c>
      <c r="C91" s="7" t="s">
        <v>17</v>
      </c>
      <c r="D91" s="7"/>
      <c r="E91" s="7" t="s">
        <v>505</v>
      </c>
      <c r="F91" s="7" t="s">
        <v>19</v>
      </c>
      <c r="G91" s="7" t="s">
        <v>31</v>
      </c>
      <c r="H91" s="7" t="s">
        <v>17</v>
      </c>
      <c r="I91" s="7" t="s">
        <v>17</v>
      </c>
      <c r="J91" s="7" t="s">
        <v>506</v>
      </c>
    </row>
    <row r="92" spans="1:10" x14ac:dyDescent="0.25" outlineLevel="2" collapsed="1">
      <c r="A92" s="7" t="s">
        <v>19</v>
      </c>
      <c r="B92" s="7" t="s">
        <v>16</v>
      </c>
      <c r="C92" s="7" t="s">
        <v>17</v>
      </c>
      <c r="D92" s="7"/>
      <c r="E92" s="7" t="s">
        <v>501</v>
      </c>
      <c r="F92" s="7" t="s">
        <v>19</v>
      </c>
      <c r="G92" s="7" t="s">
        <v>31</v>
      </c>
      <c r="H92" s="7" t="s">
        <v>17</v>
      </c>
      <c r="I92" s="7" t="s">
        <v>17</v>
      </c>
      <c r="J92" s="7" t="s">
        <v>497</v>
      </c>
    </row>
  </sheetData>
  <mergeCells count="3">
    <mergeCell ref="A1:J1"/>
    <mergeCell ref="B2:J2"/>
    <mergeCell ref="B3:J3"/>
  </mergeCells>
  <hyperlinks>
    <hyperlink ref="B5" r:id="rId1" location="#'3.3.1 Methodology Details'!A1"/>
    <hyperlink ref="B8" r:id="rId2" location="#'3.3.2 Applicability and Eligib'!A1"/>
    <hyperlink ref="B9" r:id="rId3" location="#'3.3.2.1 Eligibility of Methodo'!A1"/>
    <hyperlink ref="B11" r:id="rId4" location="#'3.3.2.2 Applicability of Metho'!A1"/>
    <hyperlink ref="B12" r:id="rId5" location="#'3.3.2.2 Applicability conditio'!A1"/>
    <hyperlink ref="B17" r:id="rId6" location="#'3.3.3 Project Boundary'!A1"/>
    <hyperlink ref="B20" r:id="rId7" location="#'3.3.3.1 De Minimis GHG Sources'!A1"/>
    <hyperlink ref="B23" r:id="rId8" location="#'Deadlines for Participation ro'!A1"/>
    <hyperlink ref="B26" r:id="rId9" location="#'3.3.4 Baseline Scenario'!A1"/>
    <hyperlink ref="B29" r:id="rId10" location="#'3.3.4.1 Baseline Reassessment'!A1"/>
    <hyperlink ref="B32" r:id="rId11" location="#'Deadlines for Participation ro'!A1"/>
    <hyperlink ref="B35" r:id="rId12" location="#'3.3.5 Additionality'!A1"/>
    <hyperlink ref="B36" r:id="rId13" location="#'3.3.5.1 Regulatory Surplus (VC'!A1"/>
    <hyperlink ref="B39" r:id="rId14" location="#'3.3.5.2 Additionality Methods'!A1"/>
    <hyperlink ref="B42" r:id="rId15" location="#'3.3.6 Methodology Deviations'!A1"/>
    <hyperlink ref="B45" r:id="rId16" location="#'Deadlines for Participation ro'!A1"/>
    <hyperlink ref="B48" r:id="rId17" location="#'3.3 Methodology details row (V'!A1"/>
    <hyperlink ref="B54" r:id="rId18" location="#'3.3 Applicability of methodolo'!A1"/>
    <hyperlink ref="B59" r:id="rId19" location="#'Project boundary carbon pools'!A1"/>
    <hyperlink ref="B63" r:id="rId20" location="#'Project boundary GHG sources a'!A1"/>
    <hyperlink ref="B69" r:id="rId21" location="#'De Minimis GHG Sources and Car'!A1"/>
    <hyperlink ref="B72" r:id="rId22" location="#'Deadlines for Participation ro'!A1"/>
    <hyperlink ref="B75" r:id="rId23" location="#'Baseline Reassessment (VCS Val'!A1"/>
    <hyperlink ref="B78" r:id="rId24" location="#'Deadlines for Participation ro'!A1"/>
    <hyperlink ref="B81" r:id="rId25" location="#'Regulatory Surplus (VCS Valida'!A1"/>
    <hyperlink ref="B84" r:id="rId26" location="#'Deadlines for Participation ro'!A1"/>
    <hyperlink ref="B87" r:id="rId27" location="#'Additionality Methods (VCS Val'!A1"/>
    <hyperlink ref="B90" r:id="rId28" location="#'Deadlines for Participation ro'!A1"/>
  </hyperlinks>
  <pageMargins left="0.7" right="0.7" top="0.75" bottom="0.75" header="0.3" footer="0.3"/>
  <pageSetup orientation="portrait" horizontalDpi="4294967295" verticalDpi="4294967295" scale="100" fitToWidth="1" fitToHeight="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3163</v>
      </c>
      <c r="B1" s="1"/>
      <c r="C1" s="1"/>
      <c r="D1" s="1"/>
      <c r="E1" s="1"/>
      <c r="F1" s="1"/>
      <c r="G1" s="1"/>
      <c r="H1" s="1"/>
      <c r="I1" s="1"/>
      <c r="J1" s="1"/>
    </row>
    <row r="2" spans="1:10" x14ac:dyDescent="0.25">
      <c r="A2" s="2" t="s">
        <v>1</v>
      </c>
      <c r="B2" s="3" t="s">
        <v>3723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3166</v>
      </c>
      <c r="B1" s="1"/>
      <c r="C1" s="1"/>
      <c r="D1" s="1"/>
      <c r="E1" s="1"/>
      <c r="F1" s="1"/>
      <c r="G1" s="1"/>
      <c r="H1" s="1"/>
      <c r="I1" s="1"/>
      <c r="J1" s="1"/>
    </row>
    <row r="2" spans="1:10" x14ac:dyDescent="0.25">
      <c r="A2" s="2" t="s">
        <v>1</v>
      </c>
      <c r="B2" s="3" t="s">
        <v>3724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3167</v>
      </c>
      <c r="C5" s="5" t="s">
        <v>17</v>
      </c>
      <c r="D5" s="5"/>
      <c r="E5" s="5" t="s">
        <v>3168</v>
      </c>
      <c r="F5" s="5" t="s">
        <v>19</v>
      </c>
      <c r="G5" s="5" t="s">
        <v>17</v>
      </c>
      <c r="H5" s="5" t="s">
        <v>17</v>
      </c>
      <c r="I5" s="5" t="s">
        <v>17</v>
      </c>
      <c r="J5" s="5" t="s">
        <v>618</v>
      </c>
    </row>
    <row r="6" spans="1:10" x14ac:dyDescent="0.25" outlineLevel="1" collapsed="1">
      <c r="A6" s="7" t="s">
        <v>19</v>
      </c>
      <c r="B6" s="7" t="s">
        <v>159</v>
      </c>
      <c r="C6" s="7" t="s">
        <v>17</v>
      </c>
      <c r="D6" s="7"/>
      <c r="E6" s="7" t="s">
        <v>3169</v>
      </c>
      <c r="F6" s="7" t="s">
        <v>19</v>
      </c>
      <c r="G6" s="7" t="b">
        <v>1</v>
      </c>
      <c r="H6" s="7" t="s">
        <v>17</v>
      </c>
      <c r="I6" s="7" t="s">
        <v>17</v>
      </c>
      <c r="J6" s="7" t="s">
        <v>2996</v>
      </c>
    </row>
    <row r="7" spans="1:10" x14ac:dyDescent="0.25" outlineLevel="1" collapsed="1">
      <c r="A7" s="7" t="s">
        <v>15</v>
      </c>
      <c r="B7" s="7" t="s">
        <v>16</v>
      </c>
      <c r="C7" s="7" t="s">
        <v>17</v>
      </c>
      <c r="D7" s="7"/>
      <c r="E7" s="7" t="s">
        <v>3170</v>
      </c>
      <c r="F7" s="7" t="s">
        <v>19</v>
      </c>
      <c r="G7" s="7" t="s">
        <v>31</v>
      </c>
      <c r="H7" s="7" t="s">
        <v>17</v>
      </c>
      <c r="I7" s="7" t="s">
        <v>17</v>
      </c>
      <c r="J7" s="7" t="s">
        <v>494</v>
      </c>
    </row>
    <row r="8" spans="1:10" x14ac:dyDescent="0.25">
      <c r="A8" s="5" t="s">
        <v>19</v>
      </c>
      <c r="B8" s="6" t="s">
        <v>3171</v>
      </c>
      <c r="C8" s="5" t="s">
        <v>17</v>
      </c>
      <c r="D8" s="5"/>
      <c r="E8" s="5" t="s">
        <v>3172</v>
      </c>
      <c r="F8" s="5" t="s">
        <v>19</v>
      </c>
      <c r="G8" s="5" t="s">
        <v>17</v>
      </c>
      <c r="H8" s="5" t="s">
        <v>17</v>
      </c>
      <c r="I8" s="5" t="s">
        <v>17</v>
      </c>
      <c r="J8" s="5" t="s">
        <v>3173</v>
      </c>
    </row>
    <row r="9" spans="1:10" x14ac:dyDescent="0.25" outlineLevel="1" collapsed="1">
      <c r="A9" s="7" t="s">
        <v>15</v>
      </c>
      <c r="B9" s="7" t="s">
        <v>16</v>
      </c>
      <c r="C9" s="7" t="s">
        <v>17</v>
      </c>
      <c r="D9" s="7"/>
      <c r="E9" s="7" t="s">
        <v>3174</v>
      </c>
      <c r="F9" s="7" t="s">
        <v>19</v>
      </c>
      <c r="G9" s="7" t="s">
        <v>31</v>
      </c>
      <c r="H9" s="7" t="s">
        <v>17</v>
      </c>
      <c r="I9" s="7" t="s">
        <v>17</v>
      </c>
      <c r="J9" s="7" t="s">
        <v>494</v>
      </c>
    </row>
    <row r="10" spans="1:10" x14ac:dyDescent="0.25">
      <c r="A10" s="5" t="s">
        <v>19</v>
      </c>
      <c r="B10" s="6" t="s">
        <v>3175</v>
      </c>
      <c r="C10" s="5" t="s">
        <v>17</v>
      </c>
      <c r="D10" s="5"/>
      <c r="E10" s="5" t="s">
        <v>3176</v>
      </c>
      <c r="F10" s="5" t="s">
        <v>19</v>
      </c>
      <c r="G10" s="5" t="s">
        <v>17</v>
      </c>
      <c r="H10" s="5" t="s">
        <v>17</v>
      </c>
      <c r="I10" s="5" t="s">
        <v>17</v>
      </c>
      <c r="J10" s="5" t="s">
        <v>623</v>
      </c>
    </row>
    <row r="11" spans="1:10" x14ac:dyDescent="0.25" outlineLevel="1" collapsed="1">
      <c r="A11" s="7" t="s">
        <v>15</v>
      </c>
      <c r="B11" s="7" t="s">
        <v>16</v>
      </c>
      <c r="C11" s="7" t="s">
        <v>17</v>
      </c>
      <c r="D11" s="7"/>
      <c r="E11" s="7" t="s">
        <v>3177</v>
      </c>
      <c r="F11" s="7" t="s">
        <v>19</v>
      </c>
      <c r="G11" s="7" t="s">
        <v>31</v>
      </c>
      <c r="H11" s="7" t="s">
        <v>17</v>
      </c>
      <c r="I11" s="7" t="s">
        <v>17</v>
      </c>
      <c r="J11" s="7" t="s">
        <v>494</v>
      </c>
    </row>
  </sheetData>
  <mergeCells count="3">
    <mergeCell ref="A1:J1"/>
    <mergeCell ref="B2:J2"/>
    <mergeCell ref="B3:J3"/>
  </mergeCells>
  <hyperlinks>
    <hyperlink ref="B5" r:id="rId1" location="#'3.4.2.1 Non-Permanence Risk An'!A1"/>
    <hyperlink ref="B8" r:id="rId2" location="#'3.4.2.2 Buffer Pool Allocation'!A1"/>
    <hyperlink ref="B10" r:id="rId3" location="#'3.4.2.3 Long-Term Average (VCS'!A1"/>
  </hyperlinks>
  <pageMargins left="0.7" right="0.7" top="0.75" bottom="0.75" header="0.3" footer="0.3"/>
  <pageSetup orientation="portrait" horizontalDpi="4294967295" verticalDpi="4294967295" scale="100" fitToWidth="1" fitToHeight="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3725</v>
      </c>
      <c r="B1" s="1"/>
      <c r="C1" s="1"/>
      <c r="D1" s="1"/>
      <c r="E1" s="1"/>
      <c r="F1" s="1"/>
      <c r="G1" s="1"/>
      <c r="H1" s="1"/>
      <c r="I1" s="1"/>
      <c r="J1" s="1"/>
    </row>
    <row r="2" spans="1:10" x14ac:dyDescent="0.25">
      <c r="A2" s="2" t="s">
        <v>1</v>
      </c>
      <c r="B2" s="3" t="s">
        <v>2540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3162</v>
      </c>
      <c r="C5" s="5" t="s">
        <v>17</v>
      </c>
      <c r="D5" s="5"/>
      <c r="E5" s="5" t="s">
        <v>3163</v>
      </c>
      <c r="F5" s="5" t="s">
        <v>19</v>
      </c>
      <c r="G5" s="5" t="s">
        <v>17</v>
      </c>
      <c r="H5" s="5" t="s">
        <v>17</v>
      </c>
      <c r="I5" s="5" t="s">
        <v>17</v>
      </c>
      <c r="J5" s="5" t="s">
        <v>3164</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outlineLevel="1" collapsed="1">
      <c r="A8" s="8" t="s">
        <v>19</v>
      </c>
      <c r="B8" s="9" t="s">
        <v>502</v>
      </c>
      <c r="C8" s="8" t="s">
        <v>17</v>
      </c>
      <c r="D8" s="8"/>
      <c r="E8" s="8" t="s">
        <v>503</v>
      </c>
      <c r="F8" s="8" t="s">
        <v>15</v>
      </c>
      <c r="G8" s="8" t="s">
        <v>17</v>
      </c>
      <c r="H8" s="8" t="s">
        <v>17</v>
      </c>
      <c r="I8" s="8" t="s">
        <v>17</v>
      </c>
      <c r="J8" s="8" t="s">
        <v>504</v>
      </c>
    </row>
    <row r="9" spans="1:10" x14ac:dyDescent="0.25" outlineLevel="2" collapsed="1">
      <c r="A9" s="7" t="s">
        <v>19</v>
      </c>
      <c r="B9" s="7" t="s">
        <v>16</v>
      </c>
      <c r="C9" s="7" t="s">
        <v>17</v>
      </c>
      <c r="D9" s="7"/>
      <c r="E9" s="7" t="s">
        <v>505</v>
      </c>
      <c r="F9" s="7" t="s">
        <v>19</v>
      </c>
      <c r="G9" s="7" t="s">
        <v>31</v>
      </c>
      <c r="H9" s="7" t="s">
        <v>17</v>
      </c>
      <c r="I9" s="7" t="s">
        <v>17</v>
      </c>
      <c r="J9" s="7" t="s">
        <v>506</v>
      </c>
    </row>
    <row r="10" spans="1:10" x14ac:dyDescent="0.25" outlineLevel="2" collapsed="1">
      <c r="A10" s="7" t="s">
        <v>19</v>
      </c>
      <c r="B10" s="7" t="s">
        <v>16</v>
      </c>
      <c r="C10" s="7" t="s">
        <v>17</v>
      </c>
      <c r="D10" s="7"/>
      <c r="E10" s="7" t="s">
        <v>501</v>
      </c>
      <c r="F10" s="7" t="s">
        <v>19</v>
      </c>
      <c r="G10" s="7" t="s">
        <v>31</v>
      </c>
      <c r="H10" s="7" t="s">
        <v>17</v>
      </c>
      <c r="I10" s="7" t="s">
        <v>17</v>
      </c>
      <c r="J10" s="7" t="s">
        <v>497</v>
      </c>
    </row>
    <row r="11" spans="1:10" x14ac:dyDescent="0.25">
      <c r="A11" s="5" t="s">
        <v>15</v>
      </c>
      <c r="B11" s="6" t="s">
        <v>3165</v>
      </c>
      <c r="C11" s="5" t="s">
        <v>17</v>
      </c>
      <c r="D11" s="5"/>
      <c r="E11" s="5" t="s">
        <v>3166</v>
      </c>
      <c r="F11" s="5" t="s">
        <v>19</v>
      </c>
      <c r="G11" s="5" t="s">
        <v>17</v>
      </c>
      <c r="H11" s="5" t="s">
        <v>17</v>
      </c>
      <c r="I11" s="5" t="s">
        <v>17</v>
      </c>
      <c r="J11" s="5" t="s">
        <v>615</v>
      </c>
    </row>
    <row r="12" spans="1:10" x14ac:dyDescent="0.25" outlineLevel="1" collapsed="1">
      <c r="A12" s="8" t="s">
        <v>19</v>
      </c>
      <c r="B12" s="9" t="s">
        <v>3167</v>
      </c>
      <c r="C12" s="8" t="s">
        <v>17</v>
      </c>
      <c r="D12" s="8"/>
      <c r="E12" s="8" t="s">
        <v>3168</v>
      </c>
      <c r="F12" s="8" t="s">
        <v>19</v>
      </c>
      <c r="G12" s="8" t="s">
        <v>17</v>
      </c>
      <c r="H12" s="8" t="s">
        <v>17</v>
      </c>
      <c r="I12" s="8" t="s">
        <v>17</v>
      </c>
      <c r="J12" s="8" t="s">
        <v>618</v>
      </c>
    </row>
    <row r="13" spans="1:10" x14ac:dyDescent="0.25" outlineLevel="2" collapsed="1">
      <c r="A13" s="7" t="s">
        <v>19</v>
      </c>
      <c r="B13" s="7" t="s">
        <v>159</v>
      </c>
      <c r="C13" s="7" t="s">
        <v>17</v>
      </c>
      <c r="D13" s="7"/>
      <c r="E13" s="7" t="s">
        <v>3169</v>
      </c>
      <c r="F13" s="7" t="s">
        <v>19</v>
      </c>
      <c r="G13" s="7" t="b">
        <v>1</v>
      </c>
      <c r="H13" s="7" t="s">
        <v>17</v>
      </c>
      <c r="I13" s="7" t="s">
        <v>17</v>
      </c>
      <c r="J13" s="7" t="s">
        <v>2996</v>
      </c>
    </row>
    <row r="14" spans="1:10" x14ac:dyDescent="0.25" outlineLevel="2" collapsed="1">
      <c r="A14" s="7" t="s">
        <v>15</v>
      </c>
      <c r="B14" s="7" t="s">
        <v>16</v>
      </c>
      <c r="C14" s="7" t="s">
        <v>17</v>
      </c>
      <c r="D14" s="7"/>
      <c r="E14" s="7" t="s">
        <v>3170</v>
      </c>
      <c r="F14" s="7" t="s">
        <v>19</v>
      </c>
      <c r="G14" s="7" t="s">
        <v>31</v>
      </c>
      <c r="H14" s="7" t="s">
        <v>17</v>
      </c>
      <c r="I14" s="7" t="s">
        <v>17</v>
      </c>
      <c r="J14" s="7" t="s">
        <v>494</v>
      </c>
    </row>
    <row r="15" spans="1:10" x14ac:dyDescent="0.25" outlineLevel="1" collapsed="1">
      <c r="A15" s="8" t="s">
        <v>19</v>
      </c>
      <c r="B15" s="9" t="s">
        <v>3171</v>
      </c>
      <c r="C15" s="8" t="s">
        <v>17</v>
      </c>
      <c r="D15" s="8"/>
      <c r="E15" s="8" t="s">
        <v>3172</v>
      </c>
      <c r="F15" s="8" t="s">
        <v>19</v>
      </c>
      <c r="G15" s="8" t="s">
        <v>17</v>
      </c>
      <c r="H15" s="8" t="s">
        <v>17</v>
      </c>
      <c r="I15" s="8" t="s">
        <v>17</v>
      </c>
      <c r="J15" s="8" t="s">
        <v>3173</v>
      </c>
    </row>
    <row r="16" spans="1:10" x14ac:dyDescent="0.25" outlineLevel="2" collapsed="1">
      <c r="A16" s="7" t="s">
        <v>15</v>
      </c>
      <c r="B16" s="7" t="s">
        <v>16</v>
      </c>
      <c r="C16" s="7" t="s">
        <v>17</v>
      </c>
      <c r="D16" s="7"/>
      <c r="E16" s="7" t="s">
        <v>3174</v>
      </c>
      <c r="F16" s="7" t="s">
        <v>19</v>
      </c>
      <c r="G16" s="7" t="s">
        <v>31</v>
      </c>
      <c r="H16" s="7" t="s">
        <v>17</v>
      </c>
      <c r="I16" s="7" t="s">
        <v>17</v>
      </c>
      <c r="J16" s="7" t="s">
        <v>494</v>
      </c>
    </row>
    <row r="17" spans="1:10" x14ac:dyDescent="0.25" outlineLevel="1" collapsed="1">
      <c r="A17" s="8" t="s">
        <v>19</v>
      </c>
      <c r="B17" s="9" t="s">
        <v>3175</v>
      </c>
      <c r="C17" s="8" t="s">
        <v>17</v>
      </c>
      <c r="D17" s="8"/>
      <c r="E17" s="8" t="s">
        <v>3176</v>
      </c>
      <c r="F17" s="8" t="s">
        <v>19</v>
      </c>
      <c r="G17" s="8" t="s">
        <v>17</v>
      </c>
      <c r="H17" s="8" t="s">
        <v>17</v>
      </c>
      <c r="I17" s="8" t="s">
        <v>17</v>
      </c>
      <c r="J17" s="8" t="s">
        <v>623</v>
      </c>
    </row>
    <row r="18" spans="1:10" x14ac:dyDescent="0.25" outlineLevel="2" collapsed="1">
      <c r="A18" s="7" t="s">
        <v>15</v>
      </c>
      <c r="B18" s="7" t="s">
        <v>16</v>
      </c>
      <c r="C18" s="7" t="s">
        <v>17</v>
      </c>
      <c r="D18" s="7"/>
      <c r="E18" s="7" t="s">
        <v>3177</v>
      </c>
      <c r="F18" s="7" t="s">
        <v>19</v>
      </c>
      <c r="G18" s="7" t="s">
        <v>31</v>
      </c>
      <c r="H18" s="7" t="s">
        <v>17</v>
      </c>
      <c r="I18" s="7" t="s">
        <v>17</v>
      </c>
      <c r="J18" s="7" t="s">
        <v>494</v>
      </c>
    </row>
  </sheetData>
  <mergeCells count="3">
    <mergeCell ref="A1:J1"/>
    <mergeCell ref="B2:J2"/>
    <mergeCell ref="B3:J3"/>
  </mergeCells>
  <hyperlinks>
    <hyperlink ref="B5" r:id="rId1" location="#'3.4.1 Quantification of Baseli'!A1"/>
    <hyperlink ref="B8" r:id="rId2" location="#'Deadlines for Participation ro'!A1"/>
    <hyperlink ref="B11" r:id="rId3" location="#'3.4.2 Other Relevant Quantific'!A1"/>
    <hyperlink ref="B12" r:id="rId4" location="#'3.4.2.1 Non-Permanence Risk An'!A1"/>
    <hyperlink ref="B15" r:id="rId5" location="#'3.4.2.2 Buffer Pool Allocation'!A1"/>
    <hyperlink ref="B17" r:id="rId6" location="#'3.4.2.3 Long-Term Average (VCS'!A1"/>
  </hyperlinks>
  <pageMargins left="0.7" right="0.7" top="0.75" bottom="0.75" header="0.3" footer="0.3"/>
  <pageSetup orientation="portrait" horizontalDpi="4294967295" verticalDpi="4294967295" scale="100" fitToWidth="1" fitToHeight="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3726</v>
      </c>
      <c r="B1" s="1"/>
      <c r="C1" s="1"/>
      <c r="D1" s="1"/>
      <c r="E1" s="1"/>
      <c r="F1" s="1"/>
      <c r="G1" s="1"/>
      <c r="H1" s="1"/>
      <c r="I1" s="1"/>
      <c r="J1" s="1"/>
    </row>
    <row r="2" spans="1:10" x14ac:dyDescent="0.25">
      <c r="A2" s="2" t="s">
        <v>1</v>
      </c>
      <c r="B2" s="3" t="s">
        <v>3652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3182</v>
      </c>
      <c r="F5" s="5" t="s">
        <v>19</v>
      </c>
      <c r="G5" s="5" t="s">
        <v>636</v>
      </c>
      <c r="H5" s="5" t="s">
        <v>17</v>
      </c>
      <c r="I5" s="5" t="s">
        <v>17</v>
      </c>
      <c r="J5" s="5" t="s">
        <v>637</v>
      </c>
    </row>
    <row r="6" spans="1:10" x14ac:dyDescent="0.25">
      <c r="A6" s="5" t="s">
        <v>15</v>
      </c>
      <c r="B6" s="5" t="s">
        <v>16</v>
      </c>
      <c r="C6" s="5" t="s">
        <v>17</v>
      </c>
      <c r="D6" s="5"/>
      <c r="E6" s="5" t="s">
        <v>638</v>
      </c>
      <c r="F6" s="5" t="s">
        <v>19</v>
      </c>
      <c r="G6" s="5" t="s">
        <v>639</v>
      </c>
      <c r="H6" s="5" t="s">
        <v>17</v>
      </c>
      <c r="I6" s="5" t="s">
        <v>17</v>
      </c>
      <c r="J6" s="5" t="s">
        <v>640</v>
      </c>
    </row>
    <row r="7" spans="1:10" x14ac:dyDescent="0.25">
      <c r="A7" s="5" t="s">
        <v>15</v>
      </c>
      <c r="B7" s="5" t="s">
        <v>16</v>
      </c>
      <c r="C7" s="5" t="s">
        <v>17</v>
      </c>
      <c r="D7" s="5"/>
      <c r="E7" s="5" t="s">
        <v>501</v>
      </c>
      <c r="F7" s="5" t="s">
        <v>19</v>
      </c>
      <c r="G7" s="5" t="s">
        <v>31</v>
      </c>
      <c r="H7" s="5" t="s">
        <v>17</v>
      </c>
      <c r="I7" s="5" t="s">
        <v>17</v>
      </c>
      <c r="J7" s="5" t="s">
        <v>497</v>
      </c>
    </row>
    <row r="8" spans="1:10" x14ac:dyDescent="0.25">
      <c r="A8" s="5" t="s">
        <v>15</v>
      </c>
      <c r="B8" s="5" t="s">
        <v>16</v>
      </c>
      <c r="C8" s="5" t="s">
        <v>17</v>
      </c>
      <c r="D8" s="5"/>
      <c r="E8" s="5" t="s">
        <v>500</v>
      </c>
      <c r="F8" s="5" t="s">
        <v>19</v>
      </c>
      <c r="G8" s="5" t="s">
        <v>31</v>
      </c>
      <c r="H8" s="5" t="s">
        <v>17</v>
      </c>
      <c r="I8" s="5" t="s">
        <v>17</v>
      </c>
      <c r="J8"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3183</v>
      </c>
      <c r="B1" s="1"/>
      <c r="C1" s="1"/>
      <c r="D1" s="1"/>
      <c r="E1" s="1"/>
      <c r="F1" s="1"/>
      <c r="G1" s="1"/>
      <c r="H1" s="1"/>
      <c r="I1" s="1"/>
      <c r="J1" s="1"/>
    </row>
    <row r="2" spans="1:10" x14ac:dyDescent="0.25">
      <c r="A2" s="2" t="s">
        <v>1</v>
      </c>
      <c r="B2" s="3" t="s">
        <v>3727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3728</v>
      </c>
      <c r="B1" s="1"/>
      <c r="C1" s="1"/>
      <c r="D1" s="1"/>
      <c r="E1" s="1"/>
      <c r="F1" s="1"/>
      <c r="G1" s="1"/>
      <c r="H1" s="1"/>
      <c r="I1" s="1"/>
      <c r="J1" s="1"/>
    </row>
    <row r="2" spans="1:10" x14ac:dyDescent="0.25">
      <c r="A2" s="2" t="s">
        <v>1</v>
      </c>
      <c r="B2" s="3" t="s">
        <v>3655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3180</v>
      </c>
      <c r="C5" s="5" t="s">
        <v>17</v>
      </c>
      <c r="D5" s="5"/>
      <c r="E5" s="5" t="s">
        <v>3181</v>
      </c>
      <c r="F5" s="5" t="s">
        <v>15</v>
      </c>
      <c r="G5" s="5" t="s">
        <v>17</v>
      </c>
      <c r="H5" s="5" t="s">
        <v>17</v>
      </c>
      <c r="I5" s="5" t="s">
        <v>17</v>
      </c>
      <c r="J5" s="5" t="s">
        <v>634</v>
      </c>
    </row>
    <row r="6" spans="1:10" x14ac:dyDescent="0.25" outlineLevel="1" collapsed="1">
      <c r="A6" s="7" t="s">
        <v>15</v>
      </c>
      <c r="B6" s="7" t="s">
        <v>16</v>
      </c>
      <c r="C6" s="7" t="s">
        <v>17</v>
      </c>
      <c r="D6" s="7"/>
      <c r="E6" s="7" t="s">
        <v>3182</v>
      </c>
      <c r="F6" s="7" t="s">
        <v>19</v>
      </c>
      <c r="G6" s="7" t="s">
        <v>636</v>
      </c>
      <c r="H6" s="7" t="s">
        <v>17</v>
      </c>
      <c r="I6" s="7" t="s">
        <v>17</v>
      </c>
      <c r="J6" s="7" t="s">
        <v>637</v>
      </c>
    </row>
    <row r="7" spans="1:10" x14ac:dyDescent="0.25" outlineLevel="1" collapsed="1">
      <c r="A7" s="7" t="s">
        <v>15</v>
      </c>
      <c r="B7" s="7" t="s">
        <v>16</v>
      </c>
      <c r="C7" s="7" t="s">
        <v>17</v>
      </c>
      <c r="D7" s="7"/>
      <c r="E7" s="7" t="s">
        <v>638</v>
      </c>
      <c r="F7" s="7" t="s">
        <v>19</v>
      </c>
      <c r="G7" s="7" t="s">
        <v>639</v>
      </c>
      <c r="H7" s="7" t="s">
        <v>17</v>
      </c>
      <c r="I7" s="7" t="s">
        <v>17</v>
      </c>
      <c r="J7" s="7" t="s">
        <v>640</v>
      </c>
    </row>
    <row r="8" spans="1:10" x14ac:dyDescent="0.25" outlineLevel="1" collapsed="1">
      <c r="A8" s="7" t="s">
        <v>15</v>
      </c>
      <c r="B8" s="7" t="s">
        <v>16</v>
      </c>
      <c r="C8" s="7" t="s">
        <v>17</v>
      </c>
      <c r="D8" s="7"/>
      <c r="E8" s="7" t="s">
        <v>501</v>
      </c>
      <c r="F8" s="7" t="s">
        <v>19</v>
      </c>
      <c r="G8" s="7" t="s">
        <v>31</v>
      </c>
      <c r="H8" s="7" t="s">
        <v>17</v>
      </c>
      <c r="I8" s="7" t="s">
        <v>17</v>
      </c>
      <c r="J8" s="7" t="s">
        <v>497</v>
      </c>
    </row>
    <row r="9" spans="1:10" x14ac:dyDescent="0.25" outlineLevel="1" collapsed="1">
      <c r="A9" s="7" t="s">
        <v>15</v>
      </c>
      <c r="B9" s="7" t="s">
        <v>16</v>
      </c>
      <c r="C9" s="7" t="s">
        <v>17</v>
      </c>
      <c r="D9" s="7"/>
      <c r="E9" s="7" t="s">
        <v>500</v>
      </c>
      <c r="F9" s="7" t="s">
        <v>19</v>
      </c>
      <c r="G9" s="7" t="s">
        <v>31</v>
      </c>
      <c r="H9" s="7" t="s">
        <v>17</v>
      </c>
      <c r="I9" s="7" t="s">
        <v>17</v>
      </c>
      <c r="J9" s="7" t="s">
        <v>494</v>
      </c>
    </row>
    <row r="10" spans="1:10" x14ac:dyDescent="0.25">
      <c r="A10" s="5" t="s">
        <v>15</v>
      </c>
      <c r="B10" s="6" t="s">
        <v>3183</v>
      </c>
      <c r="C10" s="5" t="s">
        <v>17</v>
      </c>
      <c r="D10" s="5"/>
      <c r="E10" s="5" t="s">
        <v>3183</v>
      </c>
      <c r="F10" s="5" t="s">
        <v>19</v>
      </c>
      <c r="G10" s="5" t="s">
        <v>17</v>
      </c>
      <c r="H10" s="5" t="s">
        <v>17</v>
      </c>
      <c r="I10" s="5" t="s">
        <v>17</v>
      </c>
      <c r="J10" s="5" t="s">
        <v>126</v>
      </c>
    </row>
    <row r="11" spans="1:10" x14ac:dyDescent="0.25" outlineLevel="1" collapsed="1">
      <c r="A11" s="7" t="s">
        <v>15</v>
      </c>
      <c r="B11" s="7" t="s">
        <v>16</v>
      </c>
      <c r="C11" s="7" t="s">
        <v>17</v>
      </c>
      <c r="D11" s="7"/>
      <c r="E11" s="7" t="s">
        <v>492</v>
      </c>
      <c r="F11" s="7" t="s">
        <v>19</v>
      </c>
      <c r="G11" s="7" t="s">
        <v>493</v>
      </c>
      <c r="H11" s="7" t="s">
        <v>17</v>
      </c>
      <c r="I11" s="7" t="s">
        <v>17</v>
      </c>
      <c r="J11" s="7" t="s">
        <v>494</v>
      </c>
    </row>
    <row r="12" spans="1:10" x14ac:dyDescent="0.25" outlineLevel="1" collapsed="1">
      <c r="A12" s="7" t="s">
        <v>15</v>
      </c>
      <c r="B12" s="7" t="s">
        <v>16</v>
      </c>
      <c r="C12" s="7" t="s">
        <v>17</v>
      </c>
      <c r="D12" s="7"/>
      <c r="E12" s="7" t="s">
        <v>495</v>
      </c>
      <c r="F12" s="7" t="s">
        <v>19</v>
      </c>
      <c r="G12" s="7" t="s">
        <v>496</v>
      </c>
      <c r="H12" s="7" t="s">
        <v>17</v>
      </c>
      <c r="I12" s="7" t="s">
        <v>17</v>
      </c>
      <c r="J12" s="7" t="s">
        <v>497</v>
      </c>
    </row>
    <row r="13" spans="1:10" x14ac:dyDescent="0.25" outlineLevel="1" collapsed="1">
      <c r="A13" s="8" t="s">
        <v>19</v>
      </c>
      <c r="B13" s="9" t="s">
        <v>502</v>
      </c>
      <c r="C13" s="8" t="s">
        <v>17</v>
      </c>
      <c r="D13" s="8"/>
      <c r="E13" s="8" t="s">
        <v>503</v>
      </c>
      <c r="F13" s="8" t="s">
        <v>15</v>
      </c>
      <c r="G13" s="8" t="s">
        <v>17</v>
      </c>
      <c r="H13" s="8" t="s">
        <v>17</v>
      </c>
      <c r="I13" s="8" t="s">
        <v>17</v>
      </c>
      <c r="J13" s="8" t="s">
        <v>504</v>
      </c>
    </row>
    <row r="14" spans="1:10" x14ac:dyDescent="0.25" outlineLevel="2" collapsed="1">
      <c r="A14" s="7" t="s">
        <v>19</v>
      </c>
      <c r="B14" s="7" t="s">
        <v>16</v>
      </c>
      <c r="C14" s="7" t="s">
        <v>17</v>
      </c>
      <c r="D14" s="7"/>
      <c r="E14" s="7" t="s">
        <v>505</v>
      </c>
      <c r="F14" s="7" t="s">
        <v>19</v>
      </c>
      <c r="G14" s="7" t="s">
        <v>31</v>
      </c>
      <c r="H14" s="7" t="s">
        <v>17</v>
      </c>
      <c r="I14" s="7" t="s">
        <v>17</v>
      </c>
      <c r="J14" s="7" t="s">
        <v>506</v>
      </c>
    </row>
    <row r="15" spans="1:10" x14ac:dyDescent="0.25" outlineLevel="2" collapsed="1">
      <c r="A15" s="7" t="s">
        <v>19</v>
      </c>
      <c r="B15" s="7" t="s">
        <v>16</v>
      </c>
      <c r="C15" s="7" t="s">
        <v>17</v>
      </c>
      <c r="D15" s="7"/>
      <c r="E15" s="7" t="s">
        <v>501</v>
      </c>
      <c r="F15" s="7" t="s">
        <v>19</v>
      </c>
      <c r="G15" s="7" t="s">
        <v>31</v>
      </c>
      <c r="H15" s="7" t="s">
        <v>17</v>
      </c>
      <c r="I15" s="7" t="s">
        <v>17</v>
      </c>
      <c r="J15" s="7" t="s">
        <v>497</v>
      </c>
    </row>
  </sheetData>
  <mergeCells count="3">
    <mergeCell ref="A1:J1"/>
    <mergeCell ref="B2:J2"/>
    <mergeCell ref="B3:J3"/>
  </mergeCells>
  <hyperlinks>
    <hyperlink ref="B5" r:id="rId1" location="#'Data and parameter row (Valida'!A1"/>
    <hyperlink ref="B10" r:id="rId2" location="#'3.5.2 Monitoring Plan'!A1"/>
    <hyperlink ref="B13" r:id="rId3" location="#'Deadlines for Participation ro'!A1"/>
  </hyperlinks>
  <pageMargins left="0.7" right="0.7" top="0.75" bottom="0.75" header="0.3" footer="0.3"/>
  <pageSetup orientation="portrait" horizontalDpi="4294967295" verticalDpi="4294967295" scale="100" fitToWidth="1" fitToHeight="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3729</v>
      </c>
      <c r="B1" s="1"/>
      <c r="C1" s="1"/>
      <c r="D1" s="1"/>
      <c r="E1" s="1"/>
      <c r="F1" s="1"/>
      <c r="G1" s="1"/>
      <c r="H1" s="1"/>
      <c r="I1" s="1"/>
      <c r="J1" s="1"/>
    </row>
    <row r="2" spans="1:10" x14ac:dyDescent="0.25">
      <c r="A2" s="2" t="s">
        <v>1</v>
      </c>
      <c r="B2" s="3" t="s">
        <v>3730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2985</v>
      </c>
      <c r="C5" s="5" t="s">
        <v>17</v>
      </c>
      <c r="D5" s="5"/>
      <c r="E5" s="5" t="s">
        <v>2986</v>
      </c>
      <c r="F5" s="5" t="s">
        <v>19</v>
      </c>
      <c r="G5" s="5" t="s">
        <v>17</v>
      </c>
      <c r="H5" s="5" t="s">
        <v>17</v>
      </c>
      <c r="I5" s="5" t="s">
        <v>17</v>
      </c>
      <c r="J5" s="5" t="s">
        <v>534</v>
      </c>
    </row>
    <row r="6" spans="1:10" x14ac:dyDescent="0.25" outlineLevel="1" collapsed="1">
      <c r="A6" s="8" t="s">
        <v>15</v>
      </c>
      <c r="B6" s="9" t="s">
        <v>2987</v>
      </c>
      <c r="C6" s="8" t="s">
        <v>17</v>
      </c>
      <c r="D6" s="8"/>
      <c r="E6" s="8" t="s">
        <v>2988</v>
      </c>
      <c r="F6" s="8" t="s">
        <v>19</v>
      </c>
      <c r="G6" s="8" t="s">
        <v>17</v>
      </c>
      <c r="H6" s="8" t="s">
        <v>17</v>
      </c>
      <c r="I6" s="8" t="s">
        <v>17</v>
      </c>
      <c r="J6" s="8" t="s">
        <v>355</v>
      </c>
    </row>
    <row r="7" spans="1:10" x14ac:dyDescent="0.25" outlineLevel="2" collapsed="1">
      <c r="A7" s="7" t="s">
        <v>15</v>
      </c>
      <c r="B7" s="7" t="s">
        <v>16</v>
      </c>
      <c r="C7" s="7" t="s">
        <v>17</v>
      </c>
      <c r="D7" s="7"/>
      <c r="E7" s="7" t="s">
        <v>492</v>
      </c>
      <c r="F7" s="7" t="s">
        <v>19</v>
      </c>
      <c r="G7" s="7" t="s">
        <v>493</v>
      </c>
      <c r="H7" s="7" t="s">
        <v>17</v>
      </c>
      <c r="I7" s="7" t="s">
        <v>17</v>
      </c>
      <c r="J7" s="7" t="s">
        <v>494</v>
      </c>
    </row>
    <row r="8" spans="1:10" x14ac:dyDescent="0.25" outlineLevel="2" collapsed="1">
      <c r="A8" s="7" t="s">
        <v>15</v>
      </c>
      <c r="B8" s="7" t="s">
        <v>16</v>
      </c>
      <c r="C8" s="7" t="s">
        <v>17</v>
      </c>
      <c r="D8" s="7"/>
      <c r="E8" s="7" t="s">
        <v>495</v>
      </c>
      <c r="F8" s="7" t="s">
        <v>19</v>
      </c>
      <c r="G8" s="7" t="s">
        <v>496</v>
      </c>
      <c r="H8" s="7" t="s">
        <v>17</v>
      </c>
      <c r="I8" s="7" t="s">
        <v>17</v>
      </c>
      <c r="J8" s="7" t="s">
        <v>497</v>
      </c>
    </row>
    <row r="9" spans="1:10" x14ac:dyDescent="0.25" outlineLevel="1" collapsed="1">
      <c r="A9" s="8" t="s">
        <v>15</v>
      </c>
      <c r="B9" s="9" t="s">
        <v>2989</v>
      </c>
      <c r="C9" s="8" t="s">
        <v>17</v>
      </c>
      <c r="D9" s="8"/>
      <c r="E9" s="8" t="s">
        <v>2989</v>
      </c>
      <c r="F9" s="8" t="s">
        <v>19</v>
      </c>
      <c r="G9" s="8" t="s">
        <v>17</v>
      </c>
      <c r="H9" s="8" t="s">
        <v>17</v>
      </c>
      <c r="I9" s="8" t="s">
        <v>17</v>
      </c>
      <c r="J9" s="8" t="s">
        <v>536</v>
      </c>
    </row>
    <row r="10" spans="1:10" x14ac:dyDescent="0.25" outlineLevel="2" collapsed="1">
      <c r="A10" s="7" t="s">
        <v>15</v>
      </c>
      <c r="B10" s="7" t="s">
        <v>16</v>
      </c>
      <c r="C10" s="7" t="s">
        <v>17</v>
      </c>
      <c r="D10" s="7"/>
      <c r="E10" s="7" t="s">
        <v>492</v>
      </c>
      <c r="F10" s="7" t="s">
        <v>19</v>
      </c>
      <c r="G10" s="7" t="s">
        <v>493</v>
      </c>
      <c r="H10" s="7" t="s">
        <v>17</v>
      </c>
      <c r="I10" s="7" t="s">
        <v>17</v>
      </c>
      <c r="J10" s="7" t="s">
        <v>494</v>
      </c>
    </row>
    <row r="11" spans="1:10" x14ac:dyDescent="0.25" outlineLevel="2" collapsed="1">
      <c r="A11" s="7" t="s">
        <v>15</v>
      </c>
      <c r="B11" s="7" t="s">
        <v>16</v>
      </c>
      <c r="C11" s="7" t="s">
        <v>17</v>
      </c>
      <c r="D11" s="7"/>
      <c r="E11" s="7" t="s">
        <v>495</v>
      </c>
      <c r="F11" s="7" t="s">
        <v>19</v>
      </c>
      <c r="G11" s="7" t="s">
        <v>496</v>
      </c>
      <c r="H11" s="7" t="s">
        <v>17</v>
      </c>
      <c r="I11" s="7" t="s">
        <v>17</v>
      </c>
      <c r="J11" s="7" t="s">
        <v>497</v>
      </c>
    </row>
    <row r="12" spans="1:10" x14ac:dyDescent="0.25" outlineLevel="2" collapsed="1">
      <c r="A12" s="7" t="s">
        <v>19</v>
      </c>
      <c r="B12" s="7" t="s">
        <v>16</v>
      </c>
      <c r="C12" s="7" t="s">
        <v>17</v>
      </c>
      <c r="D12" s="7"/>
      <c r="E12" s="7" t="s">
        <v>539</v>
      </c>
      <c r="F12" s="7" t="s">
        <v>19</v>
      </c>
      <c r="G12" s="7" t="s">
        <v>31</v>
      </c>
      <c r="H12" s="7" t="s">
        <v>17</v>
      </c>
      <c r="I12" s="7" t="s">
        <v>17</v>
      </c>
      <c r="J12" s="7" t="s">
        <v>540</v>
      </c>
    </row>
    <row r="13" spans="1:10" x14ac:dyDescent="0.25" outlineLevel="1" collapsed="1">
      <c r="A13" s="8" t="s">
        <v>15</v>
      </c>
      <c r="B13" s="9" t="s">
        <v>2990</v>
      </c>
      <c r="C13" s="8" t="s">
        <v>17</v>
      </c>
      <c r="D13" s="8"/>
      <c r="E13" s="8" t="s">
        <v>2991</v>
      </c>
      <c r="F13" s="8" t="s">
        <v>19</v>
      </c>
      <c r="G13" s="8" t="s">
        <v>17</v>
      </c>
      <c r="H13" s="8" t="s">
        <v>17</v>
      </c>
      <c r="I13" s="8" t="s">
        <v>17</v>
      </c>
      <c r="J13" s="8" t="s">
        <v>543</v>
      </c>
    </row>
    <row r="14" spans="1:10" x14ac:dyDescent="0.25" outlineLevel="2" collapsed="1">
      <c r="A14" s="7" t="s">
        <v>15</v>
      </c>
      <c r="B14" s="7" t="s">
        <v>16</v>
      </c>
      <c r="C14" s="7" t="s">
        <v>17</v>
      </c>
      <c r="D14" s="7"/>
      <c r="E14" s="7" t="s">
        <v>492</v>
      </c>
      <c r="F14" s="7" t="s">
        <v>19</v>
      </c>
      <c r="G14" s="7" t="s">
        <v>493</v>
      </c>
      <c r="H14" s="7" t="s">
        <v>17</v>
      </c>
      <c r="I14" s="7" t="s">
        <v>17</v>
      </c>
      <c r="J14" s="7" t="s">
        <v>494</v>
      </c>
    </row>
    <row r="15" spans="1:10" x14ac:dyDescent="0.25" outlineLevel="2" collapsed="1">
      <c r="A15" s="7" t="s">
        <v>15</v>
      </c>
      <c r="B15" s="7" t="s">
        <v>16</v>
      </c>
      <c r="C15" s="7" t="s">
        <v>17</v>
      </c>
      <c r="D15" s="7"/>
      <c r="E15" s="7" t="s">
        <v>495</v>
      </c>
      <c r="F15" s="7" t="s">
        <v>19</v>
      </c>
      <c r="G15" s="7" t="s">
        <v>496</v>
      </c>
      <c r="H15" s="7" t="s">
        <v>17</v>
      </c>
      <c r="I15" s="7" t="s">
        <v>17</v>
      </c>
      <c r="J15" s="7" t="s">
        <v>497</v>
      </c>
    </row>
    <row r="16" spans="1:10" x14ac:dyDescent="0.25" outlineLevel="1" collapsed="1">
      <c r="A16" s="8" t="s">
        <v>15</v>
      </c>
      <c r="B16" s="9" t="s">
        <v>2992</v>
      </c>
      <c r="C16" s="8" t="s">
        <v>17</v>
      </c>
      <c r="D16" s="8"/>
      <c r="E16" s="8" t="s">
        <v>2992</v>
      </c>
      <c r="F16" s="8" t="s">
        <v>19</v>
      </c>
      <c r="G16" s="8" t="s">
        <v>17</v>
      </c>
      <c r="H16" s="8" t="s">
        <v>17</v>
      </c>
      <c r="I16" s="8" t="s">
        <v>17</v>
      </c>
      <c r="J16" s="8" t="s">
        <v>2290</v>
      </c>
    </row>
    <row r="17" spans="1:10" x14ac:dyDescent="0.25" outlineLevel="2" collapsed="1">
      <c r="A17" s="8" t="s">
        <v>15</v>
      </c>
      <c r="B17" s="9" t="s">
        <v>2993</v>
      </c>
      <c r="C17" s="8" t="s">
        <v>17</v>
      </c>
      <c r="D17" s="8"/>
      <c r="E17" s="8" t="s">
        <v>2994</v>
      </c>
      <c r="F17" s="8" t="s">
        <v>19</v>
      </c>
      <c r="G17" s="8" t="s">
        <v>17</v>
      </c>
      <c r="H17" s="8" t="s">
        <v>17</v>
      </c>
      <c r="I17" s="8" t="s">
        <v>17</v>
      </c>
      <c r="J17" s="8" t="s">
        <v>2293</v>
      </c>
    </row>
    <row r="18" spans="1:10" x14ac:dyDescent="0.25" outlineLevel="3" collapsed="1">
      <c r="A18" s="7" t="s">
        <v>19</v>
      </c>
      <c r="B18" s="7" t="s">
        <v>159</v>
      </c>
      <c r="C18" s="7" t="s">
        <v>17</v>
      </c>
      <c r="D18" s="7"/>
      <c r="E18" s="7" t="s">
        <v>2995</v>
      </c>
      <c r="F18" s="7" t="s">
        <v>19</v>
      </c>
      <c r="G18" s="7" t="b">
        <v>1</v>
      </c>
      <c r="H18" s="7" t="s">
        <v>17</v>
      </c>
      <c r="I18" s="7" t="s">
        <v>17</v>
      </c>
      <c r="J18" s="7" t="s">
        <v>2996</v>
      </c>
    </row>
    <row r="19" spans="1:10" x14ac:dyDescent="0.25" outlineLevel="3" collapsed="1">
      <c r="A19" s="7" t="s">
        <v>19</v>
      </c>
      <c r="B19" s="7" t="s">
        <v>159</v>
      </c>
      <c r="C19" s="7" t="s">
        <v>17</v>
      </c>
      <c r="D19" s="7"/>
      <c r="E19" s="7" t="s">
        <v>2997</v>
      </c>
      <c r="F19" s="7" t="s">
        <v>19</v>
      </c>
      <c r="G19" s="7" t="b">
        <v>1</v>
      </c>
      <c r="H19" s="7" t="s">
        <v>17</v>
      </c>
      <c r="I19" s="7" t="s">
        <v>17</v>
      </c>
      <c r="J19" s="7" t="s">
        <v>2998</v>
      </c>
    </row>
    <row r="20" spans="1:10" x14ac:dyDescent="0.25" outlineLevel="3" collapsed="1">
      <c r="A20" s="7" t="s">
        <v>19</v>
      </c>
      <c r="B20" s="7" t="s">
        <v>159</v>
      </c>
      <c r="C20" s="7" t="s">
        <v>17</v>
      </c>
      <c r="D20" s="7"/>
      <c r="E20" s="7" t="s">
        <v>2999</v>
      </c>
      <c r="F20" s="7" t="s">
        <v>19</v>
      </c>
      <c r="G20" s="7" t="b">
        <v>1</v>
      </c>
      <c r="H20" s="7" t="s">
        <v>17</v>
      </c>
      <c r="I20" s="7" t="s">
        <v>17</v>
      </c>
      <c r="J20" s="7" t="s">
        <v>3000</v>
      </c>
    </row>
    <row r="21" spans="1:10" x14ac:dyDescent="0.25" outlineLevel="3" collapsed="1">
      <c r="A21" s="7" t="s">
        <v>15</v>
      </c>
      <c r="B21" s="7" t="s">
        <v>16</v>
      </c>
      <c r="C21" s="7" t="s">
        <v>17</v>
      </c>
      <c r="D21" s="7"/>
      <c r="E21" s="7" t="s">
        <v>3001</v>
      </c>
      <c r="F21" s="7" t="s">
        <v>19</v>
      </c>
      <c r="G21" s="7" t="s">
        <v>31</v>
      </c>
      <c r="H21" s="7" t="s">
        <v>17</v>
      </c>
      <c r="I21" s="7" t="s">
        <v>17</v>
      </c>
      <c r="J21" s="7" t="s">
        <v>494</v>
      </c>
    </row>
    <row r="22" spans="1:10" x14ac:dyDescent="0.25" outlineLevel="3" collapsed="1">
      <c r="A22" s="7" t="s">
        <v>15</v>
      </c>
      <c r="B22" s="7" t="s">
        <v>16</v>
      </c>
      <c r="C22" s="7" t="s">
        <v>17</v>
      </c>
      <c r="D22" s="7"/>
      <c r="E22" s="7" t="s">
        <v>3002</v>
      </c>
      <c r="F22" s="7" t="s">
        <v>19</v>
      </c>
      <c r="G22" s="7" t="s">
        <v>31</v>
      </c>
      <c r="H22" s="7" t="s">
        <v>17</v>
      </c>
      <c r="I22" s="7" t="s">
        <v>17</v>
      </c>
      <c r="J22" s="7" t="s">
        <v>497</v>
      </c>
    </row>
    <row r="23" spans="1:10" x14ac:dyDescent="0.25" outlineLevel="2" collapsed="1">
      <c r="A23" s="8" t="s">
        <v>19</v>
      </c>
      <c r="B23" s="9" t="s">
        <v>3003</v>
      </c>
      <c r="C23" s="8" t="s">
        <v>17</v>
      </c>
      <c r="D23" s="8"/>
      <c r="E23" s="8" t="s">
        <v>3004</v>
      </c>
      <c r="F23" s="8" t="s">
        <v>19</v>
      </c>
      <c r="G23" s="8" t="s">
        <v>17</v>
      </c>
      <c r="H23" s="8" t="s">
        <v>17</v>
      </c>
      <c r="I23" s="8" t="s">
        <v>17</v>
      </c>
      <c r="J23" s="8" t="s">
        <v>3005</v>
      </c>
    </row>
    <row r="24" spans="1:10" x14ac:dyDescent="0.25" outlineLevel="3" collapsed="1">
      <c r="A24" s="7" t="s">
        <v>15</v>
      </c>
      <c r="B24" s="7" t="s">
        <v>16</v>
      </c>
      <c r="C24" s="7" t="s">
        <v>17</v>
      </c>
      <c r="D24" s="7"/>
      <c r="E24" s="7" t="s">
        <v>3006</v>
      </c>
      <c r="F24" s="7" t="s">
        <v>19</v>
      </c>
      <c r="G24" s="7" t="s">
        <v>31</v>
      </c>
      <c r="H24" s="7" t="s">
        <v>17</v>
      </c>
      <c r="I24" s="7" t="s">
        <v>17</v>
      </c>
      <c r="J24" s="7" t="s">
        <v>494</v>
      </c>
    </row>
    <row r="25" spans="1:10" x14ac:dyDescent="0.25" outlineLevel="3" collapsed="1">
      <c r="A25" s="7" t="s">
        <v>15</v>
      </c>
      <c r="B25" s="7" t="s">
        <v>16</v>
      </c>
      <c r="C25" s="7" t="s">
        <v>17</v>
      </c>
      <c r="D25" s="7"/>
      <c r="E25" s="7" t="s">
        <v>3007</v>
      </c>
      <c r="F25" s="7" t="s">
        <v>19</v>
      </c>
      <c r="G25" s="7" t="s">
        <v>31</v>
      </c>
      <c r="H25" s="7" t="s">
        <v>17</v>
      </c>
      <c r="I25" s="7" t="s">
        <v>17</v>
      </c>
      <c r="J25" s="7" t="s">
        <v>497</v>
      </c>
    </row>
    <row r="26" spans="1:10" x14ac:dyDescent="0.25" outlineLevel="2" collapsed="1">
      <c r="A26" s="8" t="s">
        <v>19</v>
      </c>
      <c r="B26" s="9" t="s">
        <v>3008</v>
      </c>
      <c r="C26" s="8" t="s">
        <v>17</v>
      </c>
      <c r="D26" s="8"/>
      <c r="E26" s="8" t="s">
        <v>3009</v>
      </c>
      <c r="F26" s="8" t="s">
        <v>19</v>
      </c>
      <c r="G26" s="8" t="s">
        <v>17</v>
      </c>
      <c r="H26" s="8" t="s">
        <v>17</v>
      </c>
      <c r="I26" s="8" t="s">
        <v>17</v>
      </c>
      <c r="J26" s="8" t="s">
        <v>3010</v>
      </c>
    </row>
    <row r="27" spans="1:10" x14ac:dyDescent="0.25" outlineLevel="3" collapsed="1">
      <c r="A27" s="7" t="s">
        <v>19</v>
      </c>
      <c r="B27" s="7" t="s">
        <v>159</v>
      </c>
      <c r="C27" s="7" t="s">
        <v>17</v>
      </c>
      <c r="D27" s="7"/>
      <c r="E27" s="7" t="s">
        <v>3011</v>
      </c>
      <c r="F27" s="7" t="s">
        <v>19</v>
      </c>
      <c r="G27" s="7" t="b">
        <v>1</v>
      </c>
      <c r="H27" s="7" t="s">
        <v>17</v>
      </c>
      <c r="I27" s="7" t="s">
        <v>17</v>
      </c>
      <c r="J27" s="7" t="s">
        <v>2996</v>
      </c>
    </row>
    <row r="28" spans="1:10" x14ac:dyDescent="0.25" outlineLevel="3" collapsed="1">
      <c r="A28" s="7" t="s">
        <v>19</v>
      </c>
      <c r="B28" s="7" t="s">
        <v>159</v>
      </c>
      <c r="C28" s="7" t="s">
        <v>17</v>
      </c>
      <c r="D28" s="7"/>
      <c r="E28" s="7" t="s">
        <v>3012</v>
      </c>
      <c r="F28" s="7" t="s">
        <v>19</v>
      </c>
      <c r="G28" s="7" t="b">
        <v>1</v>
      </c>
      <c r="H28" s="7" t="s">
        <v>17</v>
      </c>
      <c r="I28" s="7" t="s">
        <v>17</v>
      </c>
      <c r="J28" s="7" t="s">
        <v>2998</v>
      </c>
    </row>
    <row r="29" spans="1:10" x14ac:dyDescent="0.25" outlineLevel="3" collapsed="1">
      <c r="A29" s="7" t="s">
        <v>19</v>
      </c>
      <c r="B29" s="7" t="s">
        <v>159</v>
      </c>
      <c r="C29" s="7" t="s">
        <v>17</v>
      </c>
      <c r="D29" s="7"/>
      <c r="E29" s="7" t="s">
        <v>3013</v>
      </c>
      <c r="F29" s="7" t="s">
        <v>19</v>
      </c>
      <c r="G29" s="7" t="b">
        <v>1</v>
      </c>
      <c r="H29" s="7" t="s">
        <v>17</v>
      </c>
      <c r="I29" s="7" t="s">
        <v>17</v>
      </c>
      <c r="J29" s="7" t="s">
        <v>3000</v>
      </c>
    </row>
    <row r="30" spans="1:10" x14ac:dyDescent="0.25" outlineLevel="3" collapsed="1">
      <c r="A30" s="7" t="s">
        <v>19</v>
      </c>
      <c r="B30" s="7" t="s">
        <v>159</v>
      </c>
      <c r="C30" s="7" t="s">
        <v>17</v>
      </c>
      <c r="D30" s="7"/>
      <c r="E30" s="7" t="s">
        <v>3014</v>
      </c>
      <c r="F30" s="7" t="s">
        <v>19</v>
      </c>
      <c r="G30" s="7" t="b">
        <v>1</v>
      </c>
      <c r="H30" s="7" t="s">
        <v>17</v>
      </c>
      <c r="I30" s="7" t="s">
        <v>17</v>
      </c>
      <c r="J30" s="7" t="s">
        <v>3015</v>
      </c>
    </row>
    <row r="31" spans="1:10" x14ac:dyDescent="0.25" outlineLevel="3" collapsed="1">
      <c r="A31" s="7" t="s">
        <v>15</v>
      </c>
      <c r="B31" s="7" t="s">
        <v>16</v>
      </c>
      <c r="C31" s="7" t="s">
        <v>17</v>
      </c>
      <c r="D31" s="7"/>
      <c r="E31" s="7" t="s">
        <v>3016</v>
      </c>
      <c r="F31" s="7" t="s">
        <v>19</v>
      </c>
      <c r="G31" s="7" t="s">
        <v>31</v>
      </c>
      <c r="H31" s="7" t="s">
        <v>17</v>
      </c>
      <c r="I31" s="7" t="s">
        <v>17</v>
      </c>
      <c r="J31" s="7" t="s">
        <v>494</v>
      </c>
    </row>
    <row r="32" spans="1:10" x14ac:dyDescent="0.25" outlineLevel="3" collapsed="1">
      <c r="A32" s="7" t="s">
        <v>15</v>
      </c>
      <c r="B32" s="7" t="s">
        <v>16</v>
      </c>
      <c r="C32" s="7" t="s">
        <v>17</v>
      </c>
      <c r="D32" s="7"/>
      <c r="E32" s="7" t="s">
        <v>3017</v>
      </c>
      <c r="F32" s="7" t="s">
        <v>19</v>
      </c>
      <c r="G32" s="7" t="s">
        <v>31</v>
      </c>
      <c r="H32" s="7" t="s">
        <v>17</v>
      </c>
      <c r="I32" s="7" t="s">
        <v>17</v>
      </c>
      <c r="J32" s="7" t="s">
        <v>497</v>
      </c>
    </row>
    <row r="33" spans="1:10" x14ac:dyDescent="0.25" outlineLevel="2" collapsed="1">
      <c r="A33" s="8" t="s">
        <v>19</v>
      </c>
      <c r="B33" s="9" t="s">
        <v>3018</v>
      </c>
      <c r="C33" s="8" t="s">
        <v>17</v>
      </c>
      <c r="D33" s="8"/>
      <c r="E33" s="8" t="s">
        <v>3019</v>
      </c>
      <c r="F33" s="8" t="s">
        <v>19</v>
      </c>
      <c r="G33" s="8" t="s">
        <v>17</v>
      </c>
      <c r="H33" s="8" t="s">
        <v>17</v>
      </c>
      <c r="I33" s="8" t="s">
        <v>17</v>
      </c>
      <c r="J33" s="8" t="s">
        <v>972</v>
      </c>
    </row>
    <row r="34" spans="1:10" x14ac:dyDescent="0.25" outlineLevel="3" collapsed="1">
      <c r="A34" s="7" t="s">
        <v>15</v>
      </c>
      <c r="B34" s="7" t="s">
        <v>16</v>
      </c>
      <c r="C34" s="7" t="s">
        <v>17</v>
      </c>
      <c r="D34" s="7"/>
      <c r="E34" s="7" t="s">
        <v>3020</v>
      </c>
      <c r="F34" s="7" t="s">
        <v>19</v>
      </c>
      <c r="G34" s="7" t="s">
        <v>31</v>
      </c>
      <c r="H34" s="7" t="s">
        <v>17</v>
      </c>
      <c r="I34" s="7" t="s">
        <v>17</v>
      </c>
      <c r="J34" s="7" t="s">
        <v>494</v>
      </c>
    </row>
    <row r="35" spans="1:10" x14ac:dyDescent="0.25" outlineLevel="3" collapsed="1">
      <c r="A35" s="7" t="s">
        <v>15</v>
      </c>
      <c r="B35" s="7" t="s">
        <v>16</v>
      </c>
      <c r="C35" s="7" t="s">
        <v>17</v>
      </c>
      <c r="D35" s="7"/>
      <c r="E35" s="7" t="s">
        <v>3021</v>
      </c>
      <c r="F35" s="7" t="s">
        <v>19</v>
      </c>
      <c r="G35" s="7" t="s">
        <v>31</v>
      </c>
      <c r="H35" s="7" t="s">
        <v>17</v>
      </c>
      <c r="I35" s="7" t="s">
        <v>17</v>
      </c>
      <c r="J35" s="7" t="s">
        <v>497</v>
      </c>
    </row>
    <row r="36" spans="1:10" x14ac:dyDescent="0.25" outlineLevel="2" collapsed="1">
      <c r="A36" s="8" t="s">
        <v>19</v>
      </c>
      <c r="B36" s="9" t="s">
        <v>502</v>
      </c>
      <c r="C36" s="8" t="s">
        <v>17</v>
      </c>
      <c r="D36" s="8"/>
      <c r="E36" s="8" t="s">
        <v>503</v>
      </c>
      <c r="F36" s="8" t="s">
        <v>15</v>
      </c>
      <c r="G36" s="8" t="s">
        <v>17</v>
      </c>
      <c r="H36" s="8" t="s">
        <v>17</v>
      </c>
      <c r="I36" s="8" t="s">
        <v>17</v>
      </c>
      <c r="J36" s="8" t="s">
        <v>504</v>
      </c>
    </row>
    <row r="37" spans="1:10" x14ac:dyDescent="0.25" outlineLevel="3" collapsed="1">
      <c r="A37" s="7" t="s">
        <v>19</v>
      </c>
      <c r="B37" s="7" t="s">
        <v>16</v>
      </c>
      <c r="C37" s="7" t="s">
        <v>17</v>
      </c>
      <c r="D37" s="7"/>
      <c r="E37" s="7" t="s">
        <v>505</v>
      </c>
      <c r="F37" s="7" t="s">
        <v>19</v>
      </c>
      <c r="G37" s="7" t="s">
        <v>31</v>
      </c>
      <c r="H37" s="7" t="s">
        <v>17</v>
      </c>
      <c r="I37" s="7" t="s">
        <v>17</v>
      </c>
      <c r="J37" s="7" t="s">
        <v>506</v>
      </c>
    </row>
    <row r="38" spans="1:10" x14ac:dyDescent="0.25" outlineLevel="3" collapsed="1">
      <c r="A38" s="7" t="s">
        <v>19</v>
      </c>
      <c r="B38" s="7" t="s">
        <v>16</v>
      </c>
      <c r="C38" s="7" t="s">
        <v>17</v>
      </c>
      <c r="D38" s="7"/>
      <c r="E38" s="7" t="s">
        <v>501</v>
      </c>
      <c r="F38" s="7" t="s">
        <v>19</v>
      </c>
      <c r="G38" s="7" t="s">
        <v>31</v>
      </c>
      <c r="H38" s="7" t="s">
        <v>17</v>
      </c>
      <c r="I38" s="7" t="s">
        <v>17</v>
      </c>
      <c r="J38" s="7" t="s">
        <v>497</v>
      </c>
    </row>
    <row r="39" spans="1:10" x14ac:dyDescent="0.25" outlineLevel="1" collapsed="1">
      <c r="A39" s="8" t="s">
        <v>15</v>
      </c>
      <c r="B39" s="9" t="s">
        <v>3022</v>
      </c>
      <c r="C39" s="8" t="s">
        <v>17</v>
      </c>
      <c r="D39" s="8"/>
      <c r="E39" s="8" t="s">
        <v>3023</v>
      </c>
      <c r="F39" s="8" t="s">
        <v>19</v>
      </c>
      <c r="G39" s="8" t="s">
        <v>17</v>
      </c>
      <c r="H39" s="8" t="s">
        <v>17</v>
      </c>
      <c r="I39" s="8" t="s">
        <v>17</v>
      </c>
      <c r="J39" s="8" t="s">
        <v>3024</v>
      </c>
    </row>
    <row r="40" spans="1:10" x14ac:dyDescent="0.25" outlineLevel="2" collapsed="1">
      <c r="A40" s="7" t="s">
        <v>15</v>
      </c>
      <c r="B40" s="7" t="s">
        <v>16</v>
      </c>
      <c r="C40" s="7" t="s">
        <v>17</v>
      </c>
      <c r="D40" s="7"/>
      <c r="E40" s="7" t="s">
        <v>492</v>
      </c>
      <c r="F40" s="7" t="s">
        <v>19</v>
      </c>
      <c r="G40" s="7" t="s">
        <v>493</v>
      </c>
      <c r="H40" s="7" t="s">
        <v>17</v>
      </c>
      <c r="I40" s="7" t="s">
        <v>17</v>
      </c>
      <c r="J40" s="7" t="s">
        <v>494</v>
      </c>
    </row>
    <row r="41" spans="1:10" x14ac:dyDescent="0.25" outlineLevel="2" collapsed="1">
      <c r="A41" s="7" t="s">
        <v>15</v>
      </c>
      <c r="B41" s="7" t="s">
        <v>16</v>
      </c>
      <c r="C41" s="7" t="s">
        <v>17</v>
      </c>
      <c r="D41" s="7"/>
      <c r="E41" s="7" t="s">
        <v>495</v>
      </c>
      <c r="F41" s="7" t="s">
        <v>19</v>
      </c>
      <c r="G41" s="7" t="s">
        <v>496</v>
      </c>
      <c r="H41" s="7" t="s">
        <v>17</v>
      </c>
      <c r="I41" s="7" t="s">
        <v>17</v>
      </c>
      <c r="J41" s="7" t="s">
        <v>497</v>
      </c>
    </row>
    <row r="42" spans="1:10" x14ac:dyDescent="0.25" outlineLevel="2" collapsed="1">
      <c r="A42" s="8" t="s">
        <v>19</v>
      </c>
      <c r="B42" s="9" t="s">
        <v>502</v>
      </c>
      <c r="C42" s="8" t="s">
        <v>17</v>
      </c>
      <c r="D42" s="8"/>
      <c r="E42" s="8" t="s">
        <v>503</v>
      </c>
      <c r="F42" s="8" t="s">
        <v>15</v>
      </c>
      <c r="G42" s="8" t="s">
        <v>17</v>
      </c>
      <c r="H42" s="8" t="s">
        <v>17</v>
      </c>
      <c r="I42" s="8" t="s">
        <v>17</v>
      </c>
      <c r="J42" s="8" t="s">
        <v>504</v>
      </c>
    </row>
    <row r="43" spans="1:10" x14ac:dyDescent="0.25" outlineLevel="3" collapsed="1">
      <c r="A43" s="7" t="s">
        <v>19</v>
      </c>
      <c r="B43" s="7" t="s">
        <v>16</v>
      </c>
      <c r="C43" s="7" t="s">
        <v>17</v>
      </c>
      <c r="D43" s="7"/>
      <c r="E43" s="7" t="s">
        <v>505</v>
      </c>
      <c r="F43" s="7" t="s">
        <v>19</v>
      </c>
      <c r="G43" s="7" t="s">
        <v>31</v>
      </c>
      <c r="H43" s="7" t="s">
        <v>17</v>
      </c>
      <c r="I43" s="7" t="s">
        <v>17</v>
      </c>
      <c r="J43" s="7" t="s">
        <v>506</v>
      </c>
    </row>
    <row r="44" spans="1:10" x14ac:dyDescent="0.25" outlineLevel="3" collapsed="1">
      <c r="A44" s="7" t="s">
        <v>19</v>
      </c>
      <c r="B44" s="7" t="s">
        <v>16</v>
      </c>
      <c r="C44" s="7" t="s">
        <v>17</v>
      </c>
      <c r="D44" s="7"/>
      <c r="E44" s="7" t="s">
        <v>501</v>
      </c>
      <c r="F44" s="7" t="s">
        <v>19</v>
      </c>
      <c r="G44" s="7" t="s">
        <v>31</v>
      </c>
      <c r="H44" s="7" t="s">
        <v>17</v>
      </c>
      <c r="I44" s="7" t="s">
        <v>17</v>
      </c>
      <c r="J44" s="7" t="s">
        <v>497</v>
      </c>
    </row>
    <row r="45" spans="1:10" x14ac:dyDescent="0.25" outlineLevel="1" collapsed="1">
      <c r="A45" s="8" t="s">
        <v>15</v>
      </c>
      <c r="B45" s="9" t="s">
        <v>3025</v>
      </c>
      <c r="C45" s="8" t="s">
        <v>17</v>
      </c>
      <c r="D45" s="8"/>
      <c r="E45" s="8" t="s">
        <v>3025</v>
      </c>
      <c r="F45" s="8" t="s">
        <v>19</v>
      </c>
      <c r="G45" s="8" t="s">
        <v>17</v>
      </c>
      <c r="H45" s="8" t="s">
        <v>17</v>
      </c>
      <c r="I45" s="8" t="s">
        <v>17</v>
      </c>
      <c r="J45" s="8" t="s">
        <v>3026</v>
      </c>
    </row>
    <row r="46" spans="1:10" x14ac:dyDescent="0.25" outlineLevel="2" collapsed="1">
      <c r="A46" s="7" t="s">
        <v>15</v>
      </c>
      <c r="B46" s="7" t="s">
        <v>16</v>
      </c>
      <c r="C46" s="7" t="s">
        <v>17</v>
      </c>
      <c r="D46" s="7"/>
      <c r="E46" s="7" t="s">
        <v>492</v>
      </c>
      <c r="F46" s="7" t="s">
        <v>19</v>
      </c>
      <c r="G46" s="7" t="s">
        <v>493</v>
      </c>
      <c r="H46" s="7" t="s">
        <v>17</v>
      </c>
      <c r="I46" s="7" t="s">
        <v>17</v>
      </c>
      <c r="J46" s="7" t="s">
        <v>494</v>
      </c>
    </row>
    <row r="47" spans="1:10" x14ac:dyDescent="0.25" outlineLevel="2" collapsed="1">
      <c r="A47" s="7" t="s">
        <v>15</v>
      </c>
      <c r="B47" s="7" t="s">
        <v>16</v>
      </c>
      <c r="C47" s="7" t="s">
        <v>17</v>
      </c>
      <c r="D47" s="7"/>
      <c r="E47" s="7" t="s">
        <v>495</v>
      </c>
      <c r="F47" s="7" t="s">
        <v>19</v>
      </c>
      <c r="G47" s="7" t="s">
        <v>496</v>
      </c>
      <c r="H47" s="7" t="s">
        <v>17</v>
      </c>
      <c r="I47" s="7" t="s">
        <v>17</v>
      </c>
      <c r="J47" s="7" t="s">
        <v>497</v>
      </c>
    </row>
    <row r="48" spans="1:10" x14ac:dyDescent="0.25" outlineLevel="1" collapsed="1">
      <c r="A48" s="8" t="s">
        <v>15</v>
      </c>
      <c r="B48" s="9" t="s">
        <v>3027</v>
      </c>
      <c r="C48" s="8" t="s">
        <v>17</v>
      </c>
      <c r="D48" s="8"/>
      <c r="E48" s="8" t="s">
        <v>3027</v>
      </c>
      <c r="F48" s="8" t="s">
        <v>19</v>
      </c>
      <c r="G48" s="8" t="s">
        <v>17</v>
      </c>
      <c r="H48" s="8" t="s">
        <v>17</v>
      </c>
      <c r="I48" s="8" t="s">
        <v>17</v>
      </c>
      <c r="J48" s="8" t="s">
        <v>59</v>
      </c>
    </row>
    <row r="49" spans="1:10" x14ac:dyDescent="0.25" outlineLevel="2" collapsed="1">
      <c r="A49" s="7" t="s">
        <v>15</v>
      </c>
      <c r="B49" s="7" t="s">
        <v>16</v>
      </c>
      <c r="C49" s="7" t="s">
        <v>17</v>
      </c>
      <c r="D49" s="7"/>
      <c r="E49" s="7" t="s">
        <v>492</v>
      </c>
      <c r="F49" s="7" t="s">
        <v>19</v>
      </c>
      <c r="G49" s="7" t="s">
        <v>493</v>
      </c>
      <c r="H49" s="7" t="s">
        <v>17</v>
      </c>
      <c r="I49" s="7" t="s">
        <v>17</v>
      </c>
      <c r="J49" s="7" t="s">
        <v>494</v>
      </c>
    </row>
    <row r="50" spans="1:10" x14ac:dyDescent="0.25" outlineLevel="2" collapsed="1">
      <c r="A50" s="7" t="s">
        <v>15</v>
      </c>
      <c r="B50" s="7" t="s">
        <v>16</v>
      </c>
      <c r="C50" s="7" t="s">
        <v>17</v>
      </c>
      <c r="D50" s="7"/>
      <c r="E50" s="7" t="s">
        <v>495</v>
      </c>
      <c r="F50" s="7" t="s">
        <v>19</v>
      </c>
      <c r="G50" s="7" t="s">
        <v>496</v>
      </c>
      <c r="H50" s="7" t="s">
        <v>17</v>
      </c>
      <c r="I50" s="7" t="s">
        <v>17</v>
      </c>
      <c r="J50" s="7" t="s">
        <v>497</v>
      </c>
    </row>
    <row r="51" spans="1:10" x14ac:dyDescent="0.25" outlineLevel="1" collapsed="1">
      <c r="A51" s="8" t="s">
        <v>15</v>
      </c>
      <c r="B51" s="9" t="s">
        <v>3028</v>
      </c>
      <c r="C51" s="8" t="s">
        <v>17</v>
      </c>
      <c r="D51" s="8"/>
      <c r="E51" s="8" t="s">
        <v>3028</v>
      </c>
      <c r="F51" s="8" t="s">
        <v>19</v>
      </c>
      <c r="G51" s="8" t="s">
        <v>17</v>
      </c>
      <c r="H51" s="8" t="s">
        <v>17</v>
      </c>
      <c r="I51" s="8" t="s">
        <v>17</v>
      </c>
      <c r="J51" s="8" t="s">
        <v>2383</v>
      </c>
    </row>
    <row r="52" spans="1:10" x14ac:dyDescent="0.25" outlineLevel="2" collapsed="1">
      <c r="A52" s="7" t="s">
        <v>15</v>
      </c>
      <c r="B52" s="7" t="s">
        <v>16</v>
      </c>
      <c r="C52" s="7" t="s">
        <v>17</v>
      </c>
      <c r="D52" s="7"/>
      <c r="E52" s="7" t="s">
        <v>492</v>
      </c>
      <c r="F52" s="7" t="s">
        <v>19</v>
      </c>
      <c r="G52" s="7" t="s">
        <v>493</v>
      </c>
      <c r="H52" s="7" t="s">
        <v>17</v>
      </c>
      <c r="I52" s="7" t="s">
        <v>17</v>
      </c>
      <c r="J52" s="7" t="s">
        <v>494</v>
      </c>
    </row>
    <row r="53" spans="1:10" x14ac:dyDescent="0.25" outlineLevel="2" collapsed="1">
      <c r="A53" s="7" t="s">
        <v>15</v>
      </c>
      <c r="B53" s="7" t="s">
        <v>16</v>
      </c>
      <c r="C53" s="7" t="s">
        <v>17</v>
      </c>
      <c r="D53" s="7"/>
      <c r="E53" s="7" t="s">
        <v>495</v>
      </c>
      <c r="F53" s="7" t="s">
        <v>19</v>
      </c>
      <c r="G53" s="7" t="s">
        <v>496</v>
      </c>
      <c r="H53" s="7" t="s">
        <v>17</v>
      </c>
      <c r="I53" s="7" t="s">
        <v>17</v>
      </c>
      <c r="J53" s="7" t="s">
        <v>497</v>
      </c>
    </row>
    <row r="54" spans="1:10" x14ac:dyDescent="0.25" outlineLevel="2" collapsed="1">
      <c r="A54" s="8" t="s">
        <v>19</v>
      </c>
      <c r="B54" s="9" t="s">
        <v>502</v>
      </c>
      <c r="C54" s="8" t="s">
        <v>17</v>
      </c>
      <c r="D54" s="8"/>
      <c r="E54" s="8" t="s">
        <v>503</v>
      </c>
      <c r="F54" s="8" t="s">
        <v>15</v>
      </c>
      <c r="G54" s="8" t="s">
        <v>17</v>
      </c>
      <c r="H54" s="8" t="s">
        <v>17</v>
      </c>
      <c r="I54" s="8" t="s">
        <v>17</v>
      </c>
      <c r="J54" s="8" t="s">
        <v>504</v>
      </c>
    </row>
    <row r="55" spans="1:10" x14ac:dyDescent="0.25" outlineLevel="3" collapsed="1">
      <c r="A55" s="7" t="s">
        <v>19</v>
      </c>
      <c r="B55" s="7" t="s">
        <v>16</v>
      </c>
      <c r="C55" s="7" t="s">
        <v>17</v>
      </c>
      <c r="D55" s="7"/>
      <c r="E55" s="7" t="s">
        <v>505</v>
      </c>
      <c r="F55" s="7" t="s">
        <v>19</v>
      </c>
      <c r="G55" s="7" t="s">
        <v>31</v>
      </c>
      <c r="H55" s="7" t="s">
        <v>17</v>
      </c>
      <c r="I55" s="7" t="s">
        <v>17</v>
      </c>
      <c r="J55" s="7" t="s">
        <v>506</v>
      </c>
    </row>
    <row r="56" spans="1:10" x14ac:dyDescent="0.25" outlineLevel="3" collapsed="1">
      <c r="A56" s="7" t="s">
        <v>19</v>
      </c>
      <c r="B56" s="7" t="s">
        <v>16</v>
      </c>
      <c r="C56" s="7" t="s">
        <v>17</v>
      </c>
      <c r="D56" s="7"/>
      <c r="E56" s="7" t="s">
        <v>501</v>
      </c>
      <c r="F56" s="7" t="s">
        <v>19</v>
      </c>
      <c r="G56" s="7" t="s">
        <v>31</v>
      </c>
      <c r="H56" s="7" t="s">
        <v>17</v>
      </c>
      <c r="I56" s="7" t="s">
        <v>17</v>
      </c>
      <c r="J56" s="7" t="s">
        <v>497</v>
      </c>
    </row>
    <row r="57" spans="1:10" x14ac:dyDescent="0.25" outlineLevel="1" collapsed="1">
      <c r="A57" s="8" t="s">
        <v>15</v>
      </c>
      <c r="B57" s="9" t="s">
        <v>3029</v>
      </c>
      <c r="C57" s="8" t="s">
        <v>17</v>
      </c>
      <c r="D57" s="8"/>
      <c r="E57" s="8" t="s">
        <v>3030</v>
      </c>
      <c r="F57" s="8" t="s">
        <v>19</v>
      </c>
      <c r="G57" s="8" t="s">
        <v>17</v>
      </c>
      <c r="H57" s="8" t="s">
        <v>17</v>
      </c>
      <c r="I57" s="8" t="s">
        <v>17</v>
      </c>
      <c r="J57" s="8" t="s">
        <v>3031</v>
      </c>
    </row>
    <row r="58" spans="1:10" x14ac:dyDescent="0.25" outlineLevel="2" collapsed="1">
      <c r="A58" s="7" t="s">
        <v>15</v>
      </c>
      <c r="B58" s="7" t="s">
        <v>16</v>
      </c>
      <c r="C58" s="7" t="s">
        <v>17</v>
      </c>
      <c r="D58" s="7"/>
      <c r="E58" s="7" t="s">
        <v>492</v>
      </c>
      <c r="F58" s="7" t="s">
        <v>19</v>
      </c>
      <c r="G58" s="7" t="s">
        <v>493</v>
      </c>
      <c r="H58" s="7" t="s">
        <v>17</v>
      </c>
      <c r="I58" s="7" t="s">
        <v>17</v>
      </c>
      <c r="J58" s="7" t="s">
        <v>494</v>
      </c>
    </row>
    <row r="59" spans="1:10" x14ac:dyDescent="0.25" outlineLevel="2" collapsed="1">
      <c r="A59" s="7" t="s">
        <v>15</v>
      </c>
      <c r="B59" s="7" t="s">
        <v>16</v>
      </c>
      <c r="C59" s="7" t="s">
        <v>17</v>
      </c>
      <c r="D59" s="7"/>
      <c r="E59" s="7" t="s">
        <v>495</v>
      </c>
      <c r="F59" s="7" t="s">
        <v>19</v>
      </c>
      <c r="G59" s="7" t="s">
        <v>496</v>
      </c>
      <c r="H59" s="7" t="s">
        <v>17</v>
      </c>
      <c r="I59" s="7" t="s">
        <v>17</v>
      </c>
      <c r="J59" s="7" t="s">
        <v>497</v>
      </c>
    </row>
    <row r="60" spans="1:10" x14ac:dyDescent="0.25" outlineLevel="2" collapsed="1">
      <c r="A60" s="8" t="s">
        <v>19</v>
      </c>
      <c r="B60" s="9" t="s">
        <v>502</v>
      </c>
      <c r="C60" s="8" t="s">
        <v>17</v>
      </c>
      <c r="D60" s="8"/>
      <c r="E60" s="8" t="s">
        <v>503</v>
      </c>
      <c r="F60" s="8" t="s">
        <v>15</v>
      </c>
      <c r="G60" s="8" t="s">
        <v>17</v>
      </c>
      <c r="H60" s="8" t="s">
        <v>17</v>
      </c>
      <c r="I60" s="8" t="s">
        <v>17</v>
      </c>
      <c r="J60" s="8" t="s">
        <v>504</v>
      </c>
    </row>
    <row r="61" spans="1:10" x14ac:dyDescent="0.25" outlineLevel="3" collapsed="1">
      <c r="A61" s="7" t="s">
        <v>19</v>
      </c>
      <c r="B61" s="7" t="s">
        <v>16</v>
      </c>
      <c r="C61" s="7" t="s">
        <v>17</v>
      </c>
      <c r="D61" s="7"/>
      <c r="E61" s="7" t="s">
        <v>505</v>
      </c>
      <c r="F61" s="7" t="s">
        <v>19</v>
      </c>
      <c r="G61" s="7" t="s">
        <v>31</v>
      </c>
      <c r="H61" s="7" t="s">
        <v>17</v>
      </c>
      <c r="I61" s="7" t="s">
        <v>17</v>
      </c>
      <c r="J61" s="7" t="s">
        <v>506</v>
      </c>
    </row>
    <row r="62" spans="1:10" x14ac:dyDescent="0.25" outlineLevel="3" collapsed="1">
      <c r="A62" s="7" t="s">
        <v>19</v>
      </c>
      <c r="B62" s="7" t="s">
        <v>16</v>
      </c>
      <c r="C62" s="7" t="s">
        <v>17</v>
      </c>
      <c r="D62" s="7"/>
      <c r="E62" s="7" t="s">
        <v>501</v>
      </c>
      <c r="F62" s="7" t="s">
        <v>19</v>
      </c>
      <c r="G62" s="7" t="s">
        <v>31</v>
      </c>
      <c r="H62" s="7" t="s">
        <v>17</v>
      </c>
      <c r="I62" s="7" t="s">
        <v>17</v>
      </c>
      <c r="J62" s="7" t="s">
        <v>497</v>
      </c>
    </row>
    <row r="63" spans="1:10" x14ac:dyDescent="0.25" outlineLevel="1" collapsed="1">
      <c r="A63" s="8" t="s">
        <v>15</v>
      </c>
      <c r="B63" s="9" t="s">
        <v>3032</v>
      </c>
      <c r="C63" s="8" t="s">
        <v>17</v>
      </c>
      <c r="D63" s="8"/>
      <c r="E63" s="8" t="s">
        <v>3033</v>
      </c>
      <c r="F63" s="8" t="s">
        <v>19</v>
      </c>
      <c r="G63" s="8" t="s">
        <v>17</v>
      </c>
      <c r="H63" s="8" t="s">
        <v>17</v>
      </c>
      <c r="I63" s="8" t="s">
        <v>17</v>
      </c>
      <c r="J63" s="8" t="s">
        <v>3034</v>
      </c>
    </row>
    <row r="64" spans="1:10" x14ac:dyDescent="0.25" outlineLevel="2" collapsed="1">
      <c r="A64" s="7" t="s">
        <v>15</v>
      </c>
      <c r="B64" s="7" t="s">
        <v>16</v>
      </c>
      <c r="C64" s="7" t="s">
        <v>17</v>
      </c>
      <c r="D64" s="7"/>
      <c r="E64" s="7" t="s">
        <v>492</v>
      </c>
      <c r="F64" s="7" t="s">
        <v>19</v>
      </c>
      <c r="G64" s="7" t="s">
        <v>493</v>
      </c>
      <c r="H64" s="7" t="s">
        <v>17</v>
      </c>
      <c r="I64" s="7" t="s">
        <v>17</v>
      </c>
      <c r="J64" s="7" t="s">
        <v>494</v>
      </c>
    </row>
    <row r="65" spans="1:10" x14ac:dyDescent="0.25" outlineLevel="2" collapsed="1">
      <c r="A65" s="7" t="s">
        <v>15</v>
      </c>
      <c r="B65" s="7" t="s">
        <v>16</v>
      </c>
      <c r="C65" s="7" t="s">
        <v>17</v>
      </c>
      <c r="D65" s="7"/>
      <c r="E65" s="7" t="s">
        <v>495</v>
      </c>
      <c r="F65" s="7" t="s">
        <v>19</v>
      </c>
      <c r="G65" s="7" t="s">
        <v>496</v>
      </c>
      <c r="H65" s="7" t="s">
        <v>17</v>
      </c>
      <c r="I65" s="7" t="s">
        <v>17</v>
      </c>
      <c r="J65" s="7" t="s">
        <v>497</v>
      </c>
    </row>
    <row r="66" spans="1:10" x14ac:dyDescent="0.25" outlineLevel="2" collapsed="1">
      <c r="A66" s="8" t="s">
        <v>19</v>
      </c>
      <c r="B66" s="9" t="s">
        <v>502</v>
      </c>
      <c r="C66" s="8" t="s">
        <v>17</v>
      </c>
      <c r="D66" s="8"/>
      <c r="E66" s="8" t="s">
        <v>503</v>
      </c>
      <c r="F66" s="8" t="s">
        <v>15</v>
      </c>
      <c r="G66" s="8" t="s">
        <v>17</v>
      </c>
      <c r="H66" s="8" t="s">
        <v>17</v>
      </c>
      <c r="I66" s="8" t="s">
        <v>17</v>
      </c>
      <c r="J66" s="8" t="s">
        <v>504</v>
      </c>
    </row>
    <row r="67" spans="1:10" x14ac:dyDescent="0.25" outlineLevel="3" collapsed="1">
      <c r="A67" s="7" t="s">
        <v>19</v>
      </c>
      <c r="B67" s="7" t="s">
        <v>16</v>
      </c>
      <c r="C67" s="7" t="s">
        <v>17</v>
      </c>
      <c r="D67" s="7"/>
      <c r="E67" s="7" t="s">
        <v>505</v>
      </c>
      <c r="F67" s="7" t="s">
        <v>19</v>
      </c>
      <c r="G67" s="7" t="s">
        <v>31</v>
      </c>
      <c r="H67" s="7" t="s">
        <v>17</v>
      </c>
      <c r="I67" s="7" t="s">
        <v>17</v>
      </c>
      <c r="J67" s="7" t="s">
        <v>506</v>
      </c>
    </row>
    <row r="68" spans="1:10" x14ac:dyDescent="0.25" outlineLevel="3" collapsed="1">
      <c r="A68" s="7" t="s">
        <v>19</v>
      </c>
      <c r="B68" s="7" t="s">
        <v>16</v>
      </c>
      <c r="C68" s="7" t="s">
        <v>17</v>
      </c>
      <c r="D68" s="7"/>
      <c r="E68" s="7" t="s">
        <v>501</v>
      </c>
      <c r="F68" s="7" t="s">
        <v>19</v>
      </c>
      <c r="G68" s="7" t="s">
        <v>31</v>
      </c>
      <c r="H68" s="7" t="s">
        <v>17</v>
      </c>
      <c r="I68" s="7" t="s">
        <v>17</v>
      </c>
      <c r="J68" s="7" t="s">
        <v>497</v>
      </c>
    </row>
    <row r="69" spans="1:10" x14ac:dyDescent="0.25" outlineLevel="1" collapsed="1">
      <c r="A69" s="8" t="s">
        <v>15</v>
      </c>
      <c r="B69" s="9" t="s">
        <v>3035</v>
      </c>
      <c r="C69" s="8" t="s">
        <v>17</v>
      </c>
      <c r="D69" s="8"/>
      <c r="E69" s="8" t="s">
        <v>3035</v>
      </c>
      <c r="F69" s="8" t="s">
        <v>19</v>
      </c>
      <c r="G69" s="8" t="s">
        <v>17</v>
      </c>
      <c r="H69" s="8" t="s">
        <v>17</v>
      </c>
      <c r="I69" s="8" t="s">
        <v>17</v>
      </c>
      <c r="J69" s="8" t="s">
        <v>545</v>
      </c>
    </row>
    <row r="70" spans="1:10" x14ac:dyDescent="0.25" outlineLevel="2" collapsed="1">
      <c r="A70" s="7" t="s">
        <v>15</v>
      </c>
      <c r="B70" s="7" t="s">
        <v>16</v>
      </c>
      <c r="C70" s="7" t="s">
        <v>17</v>
      </c>
      <c r="D70" s="7"/>
      <c r="E70" s="7" t="s">
        <v>492</v>
      </c>
      <c r="F70" s="7" t="s">
        <v>19</v>
      </c>
      <c r="G70" s="7" t="s">
        <v>493</v>
      </c>
      <c r="H70" s="7" t="s">
        <v>17</v>
      </c>
      <c r="I70" s="7" t="s">
        <v>17</v>
      </c>
      <c r="J70" s="7" t="s">
        <v>494</v>
      </c>
    </row>
    <row r="71" spans="1:10" x14ac:dyDescent="0.25" outlineLevel="2" collapsed="1">
      <c r="A71" s="7" t="s">
        <v>15</v>
      </c>
      <c r="B71" s="7" t="s">
        <v>16</v>
      </c>
      <c r="C71" s="7" t="s">
        <v>17</v>
      </c>
      <c r="D71" s="7"/>
      <c r="E71" s="7" t="s">
        <v>495</v>
      </c>
      <c r="F71" s="7" t="s">
        <v>19</v>
      </c>
      <c r="G71" s="7" t="s">
        <v>496</v>
      </c>
      <c r="H71" s="7" t="s">
        <v>17</v>
      </c>
      <c r="I71" s="7" t="s">
        <v>17</v>
      </c>
      <c r="J71" s="7" t="s">
        <v>497</v>
      </c>
    </row>
    <row r="72" spans="1:10" x14ac:dyDescent="0.25" outlineLevel="2" collapsed="1">
      <c r="A72" s="8" t="s">
        <v>19</v>
      </c>
      <c r="B72" s="9" t="s">
        <v>502</v>
      </c>
      <c r="C72" s="8" t="s">
        <v>17</v>
      </c>
      <c r="D72" s="8"/>
      <c r="E72" s="8" t="s">
        <v>503</v>
      </c>
      <c r="F72" s="8" t="s">
        <v>15</v>
      </c>
      <c r="G72" s="8" t="s">
        <v>17</v>
      </c>
      <c r="H72" s="8" t="s">
        <v>17</v>
      </c>
      <c r="I72" s="8" t="s">
        <v>17</v>
      </c>
      <c r="J72" s="8" t="s">
        <v>504</v>
      </c>
    </row>
    <row r="73" spans="1:10" x14ac:dyDescent="0.25" outlineLevel="3" collapsed="1">
      <c r="A73" s="7" t="s">
        <v>19</v>
      </c>
      <c r="B73" s="7" t="s">
        <v>16</v>
      </c>
      <c r="C73" s="7" t="s">
        <v>17</v>
      </c>
      <c r="D73" s="7"/>
      <c r="E73" s="7" t="s">
        <v>505</v>
      </c>
      <c r="F73" s="7" t="s">
        <v>19</v>
      </c>
      <c r="G73" s="7" t="s">
        <v>31</v>
      </c>
      <c r="H73" s="7" t="s">
        <v>17</v>
      </c>
      <c r="I73" s="7" t="s">
        <v>17</v>
      </c>
      <c r="J73" s="7" t="s">
        <v>506</v>
      </c>
    </row>
    <row r="74" spans="1:10" x14ac:dyDescent="0.25" outlineLevel="3" collapsed="1">
      <c r="A74" s="7" t="s">
        <v>19</v>
      </c>
      <c r="B74" s="7" t="s">
        <v>16</v>
      </c>
      <c r="C74" s="7" t="s">
        <v>17</v>
      </c>
      <c r="D74" s="7"/>
      <c r="E74" s="7" t="s">
        <v>501</v>
      </c>
      <c r="F74" s="7" t="s">
        <v>19</v>
      </c>
      <c r="G74" s="7" t="s">
        <v>31</v>
      </c>
      <c r="H74" s="7" t="s">
        <v>17</v>
      </c>
      <c r="I74" s="7" t="s">
        <v>17</v>
      </c>
      <c r="J74" s="7" t="s">
        <v>497</v>
      </c>
    </row>
    <row r="75" spans="1:10" x14ac:dyDescent="0.25" outlineLevel="1" collapsed="1">
      <c r="A75" s="8" t="s">
        <v>15</v>
      </c>
      <c r="B75" s="9" t="s">
        <v>3036</v>
      </c>
      <c r="C75" s="8" t="s">
        <v>17</v>
      </c>
      <c r="D75" s="8"/>
      <c r="E75" s="8" t="s">
        <v>3037</v>
      </c>
      <c r="F75" s="8" t="s">
        <v>19</v>
      </c>
      <c r="G75" s="8" t="s">
        <v>17</v>
      </c>
      <c r="H75" s="8" t="s">
        <v>17</v>
      </c>
      <c r="I75" s="8" t="s">
        <v>17</v>
      </c>
      <c r="J75" s="8" t="s">
        <v>2422</v>
      </c>
    </row>
    <row r="76" spans="1:10" x14ac:dyDescent="0.25" outlineLevel="2" collapsed="1">
      <c r="A76" s="7" t="s">
        <v>15</v>
      </c>
      <c r="B76" s="7" t="s">
        <v>16</v>
      </c>
      <c r="C76" s="7" t="s">
        <v>17</v>
      </c>
      <c r="D76" s="7"/>
      <c r="E76" s="7" t="s">
        <v>492</v>
      </c>
      <c r="F76" s="7" t="s">
        <v>19</v>
      </c>
      <c r="G76" s="7" t="s">
        <v>493</v>
      </c>
      <c r="H76" s="7" t="s">
        <v>17</v>
      </c>
      <c r="I76" s="7" t="s">
        <v>17</v>
      </c>
      <c r="J76" s="7" t="s">
        <v>494</v>
      </c>
    </row>
    <row r="77" spans="1:10" x14ac:dyDescent="0.25" outlineLevel="2" collapsed="1">
      <c r="A77" s="7" t="s">
        <v>15</v>
      </c>
      <c r="B77" s="7" t="s">
        <v>16</v>
      </c>
      <c r="C77" s="7" t="s">
        <v>17</v>
      </c>
      <c r="D77" s="7"/>
      <c r="E77" s="7" t="s">
        <v>495</v>
      </c>
      <c r="F77" s="7" t="s">
        <v>19</v>
      </c>
      <c r="G77" s="7" t="s">
        <v>496</v>
      </c>
      <c r="H77" s="7" t="s">
        <v>17</v>
      </c>
      <c r="I77" s="7" t="s">
        <v>17</v>
      </c>
      <c r="J77" s="7" t="s">
        <v>497</v>
      </c>
    </row>
    <row r="78" spans="1:10" x14ac:dyDescent="0.25" outlineLevel="2" collapsed="1">
      <c r="A78" s="8" t="s">
        <v>19</v>
      </c>
      <c r="B78" s="9" t="s">
        <v>502</v>
      </c>
      <c r="C78" s="8" t="s">
        <v>17</v>
      </c>
      <c r="D78" s="8"/>
      <c r="E78" s="8" t="s">
        <v>503</v>
      </c>
      <c r="F78" s="8" t="s">
        <v>15</v>
      </c>
      <c r="G78" s="8" t="s">
        <v>17</v>
      </c>
      <c r="H78" s="8" t="s">
        <v>17</v>
      </c>
      <c r="I78" s="8" t="s">
        <v>17</v>
      </c>
      <c r="J78" s="8" t="s">
        <v>504</v>
      </c>
    </row>
    <row r="79" spans="1:10" x14ac:dyDescent="0.25" outlineLevel="3" collapsed="1">
      <c r="A79" s="7" t="s">
        <v>19</v>
      </c>
      <c r="B79" s="7" t="s">
        <v>16</v>
      </c>
      <c r="C79" s="7" t="s">
        <v>17</v>
      </c>
      <c r="D79" s="7"/>
      <c r="E79" s="7" t="s">
        <v>505</v>
      </c>
      <c r="F79" s="7" t="s">
        <v>19</v>
      </c>
      <c r="G79" s="7" t="s">
        <v>31</v>
      </c>
      <c r="H79" s="7" t="s">
        <v>17</v>
      </c>
      <c r="I79" s="7" t="s">
        <v>17</v>
      </c>
      <c r="J79" s="7" t="s">
        <v>506</v>
      </c>
    </row>
    <row r="80" spans="1:10" x14ac:dyDescent="0.25" outlineLevel="3" collapsed="1">
      <c r="A80" s="7" t="s">
        <v>19</v>
      </c>
      <c r="B80" s="7" t="s">
        <v>16</v>
      </c>
      <c r="C80" s="7" t="s">
        <v>17</v>
      </c>
      <c r="D80" s="7"/>
      <c r="E80" s="7" t="s">
        <v>501</v>
      </c>
      <c r="F80" s="7" t="s">
        <v>19</v>
      </c>
      <c r="G80" s="7" t="s">
        <v>31</v>
      </c>
      <c r="H80" s="7" t="s">
        <v>17</v>
      </c>
      <c r="I80" s="7" t="s">
        <v>17</v>
      </c>
      <c r="J80" s="7" t="s">
        <v>497</v>
      </c>
    </row>
    <row r="81" spans="1:10" x14ac:dyDescent="0.25" outlineLevel="1" collapsed="1">
      <c r="A81" s="8" t="s">
        <v>15</v>
      </c>
      <c r="B81" s="9" t="s">
        <v>3038</v>
      </c>
      <c r="C81" s="8" t="s">
        <v>17</v>
      </c>
      <c r="D81" s="8"/>
      <c r="E81" s="8" t="s">
        <v>3039</v>
      </c>
      <c r="F81" s="8" t="s">
        <v>19</v>
      </c>
      <c r="G81" s="8" t="s">
        <v>17</v>
      </c>
      <c r="H81" s="8" t="s">
        <v>17</v>
      </c>
      <c r="I81" s="8" t="s">
        <v>17</v>
      </c>
      <c r="J81" s="8" t="s">
        <v>548</v>
      </c>
    </row>
    <row r="82" spans="1:10" x14ac:dyDescent="0.25" outlineLevel="2" collapsed="1">
      <c r="A82" s="8" t="s">
        <v>15</v>
      </c>
      <c r="B82" s="9" t="s">
        <v>3040</v>
      </c>
      <c r="C82" s="8" t="s">
        <v>17</v>
      </c>
      <c r="D82" s="8"/>
      <c r="E82" s="8" t="s">
        <v>3041</v>
      </c>
      <c r="F82" s="8" t="s">
        <v>19</v>
      </c>
      <c r="G82" s="8" t="s">
        <v>17</v>
      </c>
      <c r="H82" s="8" t="s">
        <v>17</v>
      </c>
      <c r="I82" s="8" t="s">
        <v>17</v>
      </c>
      <c r="J82" s="8" t="s">
        <v>550</v>
      </c>
    </row>
    <row r="83" spans="1:10" x14ac:dyDescent="0.25" outlineLevel="3" collapsed="1">
      <c r="A83" s="7" t="s">
        <v>15</v>
      </c>
      <c r="B83" s="7" t="s">
        <v>16</v>
      </c>
      <c r="C83" s="7" t="s">
        <v>17</v>
      </c>
      <c r="D83" s="7"/>
      <c r="E83" s="7" t="s">
        <v>3042</v>
      </c>
      <c r="F83" s="7" t="s">
        <v>19</v>
      </c>
      <c r="G83" s="7" t="s">
        <v>31</v>
      </c>
      <c r="H83" s="7" t="s">
        <v>17</v>
      </c>
      <c r="I83" s="7" t="s">
        <v>17</v>
      </c>
      <c r="J83" s="7" t="s">
        <v>494</v>
      </c>
    </row>
    <row r="84" spans="1:10" x14ac:dyDescent="0.25" outlineLevel="3" collapsed="1">
      <c r="A84" s="7" t="s">
        <v>15</v>
      </c>
      <c r="B84" s="7" t="s">
        <v>16</v>
      </c>
      <c r="C84" s="7" t="s">
        <v>17</v>
      </c>
      <c r="D84" s="7"/>
      <c r="E84" s="7" t="s">
        <v>3043</v>
      </c>
      <c r="F84" s="7" t="s">
        <v>19</v>
      </c>
      <c r="G84" s="7" t="s">
        <v>31</v>
      </c>
      <c r="H84" s="7" t="s">
        <v>17</v>
      </c>
      <c r="I84" s="7" t="s">
        <v>17</v>
      </c>
      <c r="J84" s="7" t="s">
        <v>497</v>
      </c>
    </row>
    <row r="85" spans="1:10" x14ac:dyDescent="0.25" outlineLevel="2" collapsed="1">
      <c r="A85" s="8" t="s">
        <v>19</v>
      </c>
      <c r="B85" s="9" t="s">
        <v>3044</v>
      </c>
      <c r="C85" s="8" t="s">
        <v>17</v>
      </c>
      <c r="D85" s="8"/>
      <c r="E85" s="8" t="s">
        <v>3045</v>
      </c>
      <c r="F85" s="8" t="s">
        <v>19</v>
      </c>
      <c r="G85" s="8" t="s">
        <v>17</v>
      </c>
      <c r="H85" s="8" t="s">
        <v>17</v>
      </c>
      <c r="I85" s="8" t="s">
        <v>17</v>
      </c>
      <c r="J85" s="8" t="s">
        <v>3046</v>
      </c>
    </row>
    <row r="86" spans="1:10" x14ac:dyDescent="0.25" outlineLevel="3" collapsed="1">
      <c r="A86" s="7" t="s">
        <v>15</v>
      </c>
      <c r="B86" s="7" t="s">
        <v>16</v>
      </c>
      <c r="C86" s="7" t="s">
        <v>17</v>
      </c>
      <c r="D86" s="7"/>
      <c r="E86" s="7" t="s">
        <v>3047</v>
      </c>
      <c r="F86" s="7" t="s">
        <v>19</v>
      </c>
      <c r="G86" s="7" t="s">
        <v>31</v>
      </c>
      <c r="H86" s="7" t="s">
        <v>17</v>
      </c>
      <c r="I86" s="7" t="s">
        <v>17</v>
      </c>
      <c r="J86" s="7" t="s">
        <v>494</v>
      </c>
    </row>
    <row r="87" spans="1:10" x14ac:dyDescent="0.25" outlineLevel="3" collapsed="1">
      <c r="A87" s="7" t="s">
        <v>15</v>
      </c>
      <c r="B87" s="7" t="s">
        <v>16</v>
      </c>
      <c r="C87" s="7" t="s">
        <v>17</v>
      </c>
      <c r="D87" s="7"/>
      <c r="E87" s="7" t="s">
        <v>3048</v>
      </c>
      <c r="F87" s="7" t="s">
        <v>19</v>
      </c>
      <c r="G87" s="7" t="s">
        <v>31</v>
      </c>
      <c r="H87" s="7" t="s">
        <v>17</v>
      </c>
      <c r="I87" s="7" t="s">
        <v>17</v>
      </c>
      <c r="J87" s="7" t="s">
        <v>497</v>
      </c>
    </row>
    <row r="88" spans="1:10" x14ac:dyDescent="0.25" outlineLevel="2" collapsed="1">
      <c r="A88" s="8" t="s">
        <v>19</v>
      </c>
      <c r="B88" s="9" t="s">
        <v>3049</v>
      </c>
      <c r="C88" s="8" t="s">
        <v>17</v>
      </c>
      <c r="D88" s="8"/>
      <c r="E88" s="8" t="s">
        <v>3050</v>
      </c>
      <c r="F88" s="8" t="s">
        <v>19</v>
      </c>
      <c r="G88" s="8" t="s">
        <v>17</v>
      </c>
      <c r="H88" s="8" t="s">
        <v>17</v>
      </c>
      <c r="I88" s="8" t="s">
        <v>17</v>
      </c>
      <c r="J88" s="8" t="s">
        <v>3051</v>
      </c>
    </row>
    <row r="89" spans="1:10" x14ac:dyDescent="0.25" outlineLevel="3" collapsed="1">
      <c r="A89" s="7" t="s">
        <v>15</v>
      </c>
      <c r="B89" s="7" t="s">
        <v>16</v>
      </c>
      <c r="C89" s="7" t="s">
        <v>17</v>
      </c>
      <c r="D89" s="7"/>
      <c r="E89" s="7" t="s">
        <v>3052</v>
      </c>
      <c r="F89" s="7" t="s">
        <v>19</v>
      </c>
      <c r="G89" s="7" t="s">
        <v>31</v>
      </c>
      <c r="H89" s="7" t="s">
        <v>17</v>
      </c>
      <c r="I89" s="7" t="s">
        <v>17</v>
      </c>
      <c r="J89" s="7" t="s">
        <v>494</v>
      </c>
    </row>
    <row r="90" spans="1:10" x14ac:dyDescent="0.25" outlineLevel="3" collapsed="1">
      <c r="A90" s="7" t="s">
        <v>15</v>
      </c>
      <c r="B90" s="7" t="s">
        <v>16</v>
      </c>
      <c r="C90" s="7" t="s">
        <v>17</v>
      </c>
      <c r="D90" s="7"/>
      <c r="E90" s="7" t="s">
        <v>3053</v>
      </c>
      <c r="F90" s="7" t="s">
        <v>19</v>
      </c>
      <c r="G90" s="7" t="s">
        <v>31</v>
      </c>
      <c r="H90" s="7" t="s">
        <v>17</v>
      </c>
      <c r="I90" s="7" t="s">
        <v>17</v>
      </c>
      <c r="J90" s="7" t="s">
        <v>497</v>
      </c>
    </row>
    <row r="91" spans="1:10" x14ac:dyDescent="0.25" outlineLevel="1" collapsed="1">
      <c r="A91" s="8" t="s">
        <v>15</v>
      </c>
      <c r="B91" s="9" t="s">
        <v>3054</v>
      </c>
      <c r="C91" s="8" t="s">
        <v>17</v>
      </c>
      <c r="D91" s="8"/>
      <c r="E91" s="8" t="s">
        <v>3055</v>
      </c>
      <c r="F91" s="8" t="s">
        <v>19</v>
      </c>
      <c r="G91" s="8" t="s">
        <v>17</v>
      </c>
      <c r="H91" s="8" t="s">
        <v>17</v>
      </c>
      <c r="I91" s="8" t="s">
        <v>17</v>
      </c>
      <c r="J91" s="8" t="s">
        <v>556</v>
      </c>
    </row>
    <row r="92" spans="1:10" x14ac:dyDescent="0.25" outlineLevel="2" collapsed="1">
      <c r="A92" s="8" t="s">
        <v>15</v>
      </c>
      <c r="B92" s="9" t="s">
        <v>3056</v>
      </c>
      <c r="C92" s="8" t="s">
        <v>17</v>
      </c>
      <c r="D92" s="8"/>
      <c r="E92" s="8" t="s">
        <v>3057</v>
      </c>
      <c r="F92" s="8" t="s">
        <v>19</v>
      </c>
      <c r="G92" s="8" t="s">
        <v>17</v>
      </c>
      <c r="H92" s="8" t="s">
        <v>17</v>
      </c>
      <c r="I92" s="8" t="s">
        <v>17</v>
      </c>
      <c r="J92" s="8" t="s">
        <v>3058</v>
      </c>
    </row>
    <row r="93" spans="1:10" x14ac:dyDescent="0.25" outlineLevel="3" collapsed="1">
      <c r="A93" s="7" t="s">
        <v>15</v>
      </c>
      <c r="B93" s="7" t="s">
        <v>16</v>
      </c>
      <c r="C93" s="7" t="s">
        <v>17</v>
      </c>
      <c r="D93" s="7"/>
      <c r="E93" s="7" t="s">
        <v>3059</v>
      </c>
      <c r="F93" s="7" t="s">
        <v>19</v>
      </c>
      <c r="G93" s="7" t="s">
        <v>31</v>
      </c>
      <c r="H93" s="7" t="s">
        <v>17</v>
      </c>
      <c r="I93" s="7" t="s">
        <v>17</v>
      </c>
      <c r="J93" s="7" t="s">
        <v>494</v>
      </c>
    </row>
    <row r="94" spans="1:10" x14ac:dyDescent="0.25" outlineLevel="3" collapsed="1">
      <c r="A94" s="7" t="s">
        <v>15</v>
      </c>
      <c r="B94" s="7" t="s">
        <v>16</v>
      </c>
      <c r="C94" s="7" t="s">
        <v>17</v>
      </c>
      <c r="D94" s="7"/>
      <c r="E94" s="7" t="s">
        <v>3060</v>
      </c>
      <c r="F94" s="7" t="s">
        <v>19</v>
      </c>
      <c r="G94" s="7" t="s">
        <v>31</v>
      </c>
      <c r="H94" s="7" t="s">
        <v>17</v>
      </c>
      <c r="I94" s="7" t="s">
        <v>17</v>
      </c>
      <c r="J94" s="7" t="s">
        <v>497</v>
      </c>
    </row>
    <row r="95" spans="1:10" x14ac:dyDescent="0.25" outlineLevel="2" collapsed="1">
      <c r="A95" s="8" t="s">
        <v>15</v>
      </c>
      <c r="B95" s="9" t="s">
        <v>3061</v>
      </c>
      <c r="C95" s="8" t="s">
        <v>17</v>
      </c>
      <c r="D95" s="8"/>
      <c r="E95" s="8" t="s">
        <v>3062</v>
      </c>
      <c r="F95" s="8" t="s">
        <v>19</v>
      </c>
      <c r="G95" s="8" t="s">
        <v>17</v>
      </c>
      <c r="H95" s="8" t="s">
        <v>17</v>
      </c>
      <c r="I95" s="8" t="s">
        <v>17</v>
      </c>
      <c r="J95" s="8" t="s">
        <v>3063</v>
      </c>
    </row>
    <row r="96" spans="1:10" x14ac:dyDescent="0.25" outlineLevel="3" collapsed="1">
      <c r="A96" s="7" t="s">
        <v>15</v>
      </c>
      <c r="B96" s="7" t="s">
        <v>16</v>
      </c>
      <c r="C96" s="7" t="s">
        <v>17</v>
      </c>
      <c r="D96" s="7"/>
      <c r="E96" s="7" t="s">
        <v>3064</v>
      </c>
      <c r="F96" s="7" t="s">
        <v>19</v>
      </c>
      <c r="G96" s="7" t="s">
        <v>31</v>
      </c>
      <c r="H96" s="7" t="s">
        <v>17</v>
      </c>
      <c r="I96" s="7" t="s">
        <v>17</v>
      </c>
      <c r="J96" s="7" t="s">
        <v>494</v>
      </c>
    </row>
    <row r="97" spans="1:10" x14ac:dyDescent="0.25" outlineLevel="3" collapsed="1">
      <c r="A97" s="7" t="s">
        <v>15</v>
      </c>
      <c r="B97" s="7" t="s">
        <v>16</v>
      </c>
      <c r="C97" s="7" t="s">
        <v>17</v>
      </c>
      <c r="D97" s="7"/>
      <c r="E97" s="7" t="s">
        <v>3065</v>
      </c>
      <c r="F97" s="7" t="s">
        <v>19</v>
      </c>
      <c r="G97" s="7" t="s">
        <v>31</v>
      </c>
      <c r="H97" s="7" t="s">
        <v>17</v>
      </c>
      <c r="I97" s="7" t="s">
        <v>17</v>
      </c>
      <c r="J97" s="7" t="s">
        <v>497</v>
      </c>
    </row>
    <row r="98" spans="1:10" x14ac:dyDescent="0.25" outlineLevel="2" collapsed="1">
      <c r="A98" s="8" t="s">
        <v>15</v>
      </c>
      <c r="B98" s="9" t="s">
        <v>3066</v>
      </c>
      <c r="C98" s="8" t="s">
        <v>17</v>
      </c>
      <c r="D98" s="8"/>
      <c r="E98" s="8" t="s">
        <v>3067</v>
      </c>
      <c r="F98" s="8" t="s">
        <v>19</v>
      </c>
      <c r="G98" s="8" t="s">
        <v>17</v>
      </c>
      <c r="H98" s="8" t="s">
        <v>17</v>
      </c>
      <c r="I98" s="8" t="s">
        <v>17</v>
      </c>
      <c r="J98" s="8" t="s">
        <v>597</v>
      </c>
    </row>
    <row r="99" spans="1:10" x14ac:dyDescent="0.25" outlineLevel="3" collapsed="1">
      <c r="A99" s="7" t="s">
        <v>15</v>
      </c>
      <c r="B99" s="7" t="s">
        <v>16</v>
      </c>
      <c r="C99" s="7" t="s">
        <v>17</v>
      </c>
      <c r="D99" s="7"/>
      <c r="E99" s="7" t="s">
        <v>3068</v>
      </c>
      <c r="F99" s="7" t="s">
        <v>19</v>
      </c>
      <c r="G99" s="7" t="s">
        <v>31</v>
      </c>
      <c r="H99" s="7" t="s">
        <v>17</v>
      </c>
      <c r="I99" s="7" t="s">
        <v>17</v>
      </c>
      <c r="J99" s="7" t="s">
        <v>494</v>
      </c>
    </row>
    <row r="100" spans="1:10" x14ac:dyDescent="0.25" outlineLevel="3" collapsed="1">
      <c r="A100" s="7" t="s">
        <v>15</v>
      </c>
      <c r="B100" s="7" t="s">
        <v>16</v>
      </c>
      <c r="C100" s="7" t="s">
        <v>17</v>
      </c>
      <c r="D100" s="7"/>
      <c r="E100" s="7" t="s">
        <v>3069</v>
      </c>
      <c r="F100" s="7" t="s">
        <v>19</v>
      </c>
      <c r="G100" s="7" t="s">
        <v>31</v>
      </c>
      <c r="H100" s="7" t="s">
        <v>17</v>
      </c>
      <c r="I100" s="7" t="s">
        <v>17</v>
      </c>
      <c r="J100" s="7" t="s">
        <v>497</v>
      </c>
    </row>
    <row r="101" spans="1:10" x14ac:dyDescent="0.25" outlineLevel="2" collapsed="1">
      <c r="A101" s="8" t="s">
        <v>19</v>
      </c>
      <c r="B101" s="9" t="s">
        <v>502</v>
      </c>
      <c r="C101" s="8" t="s">
        <v>17</v>
      </c>
      <c r="D101" s="8"/>
      <c r="E101" s="8" t="s">
        <v>503</v>
      </c>
      <c r="F101" s="8" t="s">
        <v>15</v>
      </c>
      <c r="G101" s="8" t="s">
        <v>17</v>
      </c>
      <c r="H101" s="8" t="s">
        <v>17</v>
      </c>
      <c r="I101" s="8" t="s">
        <v>17</v>
      </c>
      <c r="J101" s="8" t="s">
        <v>504</v>
      </c>
    </row>
    <row r="102" spans="1:10" x14ac:dyDescent="0.25" outlineLevel="3" collapsed="1">
      <c r="A102" s="7" t="s">
        <v>19</v>
      </c>
      <c r="B102" s="7" t="s">
        <v>16</v>
      </c>
      <c r="C102" s="7" t="s">
        <v>17</v>
      </c>
      <c r="D102" s="7"/>
      <c r="E102" s="7" t="s">
        <v>505</v>
      </c>
      <c r="F102" s="7" t="s">
        <v>19</v>
      </c>
      <c r="G102" s="7" t="s">
        <v>31</v>
      </c>
      <c r="H102" s="7" t="s">
        <v>17</v>
      </c>
      <c r="I102" s="7" t="s">
        <v>17</v>
      </c>
      <c r="J102" s="7" t="s">
        <v>506</v>
      </c>
    </row>
    <row r="103" spans="1:10" x14ac:dyDescent="0.25" outlineLevel="3" collapsed="1">
      <c r="A103" s="7" t="s">
        <v>19</v>
      </c>
      <c r="B103" s="7" t="s">
        <v>16</v>
      </c>
      <c r="C103" s="7" t="s">
        <v>17</v>
      </c>
      <c r="D103" s="7"/>
      <c r="E103" s="7" t="s">
        <v>501</v>
      </c>
      <c r="F103" s="7" t="s">
        <v>19</v>
      </c>
      <c r="G103" s="7" t="s">
        <v>31</v>
      </c>
      <c r="H103" s="7" t="s">
        <v>17</v>
      </c>
      <c r="I103" s="7" t="s">
        <v>17</v>
      </c>
      <c r="J103" s="7" t="s">
        <v>497</v>
      </c>
    </row>
    <row r="104" spans="1:10" x14ac:dyDescent="0.25" outlineLevel="1" collapsed="1">
      <c r="A104" s="8" t="s">
        <v>15</v>
      </c>
      <c r="B104" s="9" t="s">
        <v>3070</v>
      </c>
      <c r="C104" s="8" t="s">
        <v>17</v>
      </c>
      <c r="D104" s="8"/>
      <c r="E104" s="8" t="s">
        <v>3071</v>
      </c>
      <c r="F104" s="8" t="s">
        <v>19</v>
      </c>
      <c r="G104" s="8" t="s">
        <v>17</v>
      </c>
      <c r="H104" s="8" t="s">
        <v>17</v>
      </c>
      <c r="I104" s="8" t="s">
        <v>17</v>
      </c>
      <c r="J104" s="8" t="s">
        <v>568</v>
      </c>
    </row>
    <row r="105" spans="1:10" x14ac:dyDescent="0.25" outlineLevel="2" collapsed="1">
      <c r="A105" s="7" t="s">
        <v>15</v>
      </c>
      <c r="B105" s="7" t="s">
        <v>16</v>
      </c>
      <c r="C105" s="7" t="s">
        <v>17</v>
      </c>
      <c r="D105" s="7"/>
      <c r="E105" s="7" t="s">
        <v>492</v>
      </c>
      <c r="F105" s="7" t="s">
        <v>19</v>
      </c>
      <c r="G105" s="7" t="s">
        <v>493</v>
      </c>
      <c r="H105" s="7" t="s">
        <v>17</v>
      </c>
      <c r="I105" s="7" t="s">
        <v>17</v>
      </c>
      <c r="J105" s="7" t="s">
        <v>494</v>
      </c>
    </row>
    <row r="106" spans="1:10" x14ac:dyDescent="0.25" outlineLevel="2" collapsed="1">
      <c r="A106" s="7" t="s">
        <v>15</v>
      </c>
      <c r="B106" s="7" t="s">
        <v>16</v>
      </c>
      <c r="C106" s="7" t="s">
        <v>17</v>
      </c>
      <c r="D106" s="7"/>
      <c r="E106" s="7" t="s">
        <v>495</v>
      </c>
      <c r="F106" s="7" t="s">
        <v>19</v>
      </c>
      <c r="G106" s="7" t="s">
        <v>496</v>
      </c>
      <c r="H106" s="7" t="s">
        <v>17</v>
      </c>
      <c r="I106" s="7" t="s">
        <v>17</v>
      </c>
      <c r="J106" s="7" t="s">
        <v>497</v>
      </c>
    </row>
    <row r="107" spans="1:10" x14ac:dyDescent="0.25" outlineLevel="2" collapsed="1">
      <c r="A107" s="8" t="s">
        <v>19</v>
      </c>
      <c r="B107" s="9" t="s">
        <v>502</v>
      </c>
      <c r="C107" s="8" t="s">
        <v>17</v>
      </c>
      <c r="D107" s="8"/>
      <c r="E107" s="8" t="s">
        <v>503</v>
      </c>
      <c r="F107" s="8" t="s">
        <v>15</v>
      </c>
      <c r="G107" s="8" t="s">
        <v>17</v>
      </c>
      <c r="H107" s="8" t="s">
        <v>17</v>
      </c>
      <c r="I107" s="8" t="s">
        <v>17</v>
      </c>
      <c r="J107" s="8" t="s">
        <v>504</v>
      </c>
    </row>
    <row r="108" spans="1:10" x14ac:dyDescent="0.25" outlineLevel="3" collapsed="1">
      <c r="A108" s="7" t="s">
        <v>19</v>
      </c>
      <c r="B108" s="7" t="s">
        <v>16</v>
      </c>
      <c r="C108" s="7" t="s">
        <v>17</v>
      </c>
      <c r="D108" s="7"/>
      <c r="E108" s="7" t="s">
        <v>505</v>
      </c>
      <c r="F108" s="7" t="s">
        <v>19</v>
      </c>
      <c r="G108" s="7" t="s">
        <v>31</v>
      </c>
      <c r="H108" s="7" t="s">
        <v>17</v>
      </c>
      <c r="I108" s="7" t="s">
        <v>17</v>
      </c>
      <c r="J108" s="7" t="s">
        <v>506</v>
      </c>
    </row>
    <row r="109" spans="1:10" x14ac:dyDescent="0.25" outlineLevel="3" collapsed="1">
      <c r="A109" s="7" t="s">
        <v>19</v>
      </c>
      <c r="B109" s="7" t="s">
        <v>16</v>
      </c>
      <c r="C109" s="7" t="s">
        <v>17</v>
      </c>
      <c r="D109" s="7"/>
      <c r="E109" s="7" t="s">
        <v>501</v>
      </c>
      <c r="F109" s="7" t="s">
        <v>19</v>
      </c>
      <c r="G109" s="7" t="s">
        <v>31</v>
      </c>
      <c r="H109" s="7" t="s">
        <v>17</v>
      </c>
      <c r="I109" s="7" t="s">
        <v>17</v>
      </c>
      <c r="J109" s="7" t="s">
        <v>497</v>
      </c>
    </row>
    <row r="110" spans="1:10" x14ac:dyDescent="0.25" outlineLevel="1" collapsed="1">
      <c r="A110" s="8" t="s">
        <v>15</v>
      </c>
      <c r="B110" s="9" t="s">
        <v>3072</v>
      </c>
      <c r="C110" s="8" t="s">
        <v>17</v>
      </c>
      <c r="D110" s="8"/>
      <c r="E110" s="8" t="s">
        <v>3072</v>
      </c>
      <c r="F110" s="8" t="s">
        <v>19</v>
      </c>
      <c r="G110" s="8" t="s">
        <v>17</v>
      </c>
      <c r="H110" s="8" t="s">
        <v>17</v>
      </c>
      <c r="I110" s="8" t="s">
        <v>17</v>
      </c>
      <c r="J110" s="8" t="s">
        <v>571</v>
      </c>
    </row>
    <row r="111" spans="1:10" x14ac:dyDescent="0.25" outlineLevel="2" collapsed="1">
      <c r="A111" s="8" t="s">
        <v>15</v>
      </c>
      <c r="B111" s="9" t="s">
        <v>3073</v>
      </c>
      <c r="C111" s="8" t="s">
        <v>17</v>
      </c>
      <c r="D111" s="8"/>
      <c r="E111" s="8" t="s">
        <v>3074</v>
      </c>
      <c r="F111" s="8" t="s">
        <v>19</v>
      </c>
      <c r="G111" s="8" t="s">
        <v>17</v>
      </c>
      <c r="H111" s="8" t="s">
        <v>17</v>
      </c>
      <c r="I111" s="8" t="s">
        <v>17</v>
      </c>
      <c r="J111" s="8" t="s">
        <v>2466</v>
      </c>
    </row>
    <row r="112" spans="1:10" x14ac:dyDescent="0.25" outlineLevel="3" collapsed="1">
      <c r="A112" s="7" t="s">
        <v>15</v>
      </c>
      <c r="B112" s="7" t="s">
        <v>16</v>
      </c>
      <c r="C112" s="7" t="s">
        <v>17</v>
      </c>
      <c r="D112" s="7"/>
      <c r="E112" s="7" t="s">
        <v>3075</v>
      </c>
      <c r="F112" s="7" t="s">
        <v>19</v>
      </c>
      <c r="G112" s="7" t="s">
        <v>31</v>
      </c>
      <c r="H112" s="7" t="s">
        <v>17</v>
      </c>
      <c r="I112" s="7" t="s">
        <v>17</v>
      </c>
      <c r="J112" s="7" t="s">
        <v>494</v>
      </c>
    </row>
    <row r="113" spans="1:10" x14ac:dyDescent="0.25" outlineLevel="2" collapsed="1">
      <c r="A113" s="8" t="s">
        <v>15</v>
      </c>
      <c r="B113" s="9" t="s">
        <v>3076</v>
      </c>
      <c r="C113" s="8" t="s">
        <v>17</v>
      </c>
      <c r="D113" s="8"/>
      <c r="E113" s="8" t="s">
        <v>3076</v>
      </c>
      <c r="F113" s="8" t="s">
        <v>19</v>
      </c>
      <c r="G113" s="8" t="s">
        <v>17</v>
      </c>
      <c r="H113" s="8" t="s">
        <v>17</v>
      </c>
      <c r="I113" s="8" t="s">
        <v>17</v>
      </c>
      <c r="J113" s="8" t="s">
        <v>573</v>
      </c>
    </row>
    <row r="114" spans="1:10" x14ac:dyDescent="0.25" outlineLevel="3" collapsed="1">
      <c r="A114" s="7" t="s">
        <v>15</v>
      </c>
      <c r="B114" s="7" t="s">
        <v>16</v>
      </c>
      <c r="C114" s="7" t="s">
        <v>17</v>
      </c>
      <c r="D114" s="7"/>
      <c r="E114" s="7" t="s">
        <v>3077</v>
      </c>
      <c r="F114" s="7" t="s">
        <v>19</v>
      </c>
      <c r="G114" s="7" t="s">
        <v>31</v>
      </c>
      <c r="H114" s="7" t="s">
        <v>17</v>
      </c>
      <c r="I114" s="7" t="s">
        <v>17</v>
      </c>
      <c r="J114" s="7" t="s">
        <v>494</v>
      </c>
    </row>
    <row r="115" spans="1:10" x14ac:dyDescent="0.25" outlineLevel="2" collapsed="1">
      <c r="A115" s="8" t="s">
        <v>15</v>
      </c>
      <c r="B115" s="9" t="s">
        <v>3078</v>
      </c>
      <c r="C115" s="8" t="s">
        <v>17</v>
      </c>
      <c r="D115" s="8"/>
      <c r="E115" s="8" t="s">
        <v>3079</v>
      </c>
      <c r="F115" s="8" t="s">
        <v>19</v>
      </c>
      <c r="G115" s="8" t="s">
        <v>17</v>
      </c>
      <c r="H115" s="8" t="s">
        <v>17</v>
      </c>
      <c r="I115" s="8" t="s">
        <v>17</v>
      </c>
      <c r="J115" s="8" t="s">
        <v>2472</v>
      </c>
    </row>
    <row r="116" spans="1:10" x14ac:dyDescent="0.25" outlineLevel="3" collapsed="1">
      <c r="A116" s="7" t="s">
        <v>15</v>
      </c>
      <c r="B116" s="7" t="s">
        <v>16</v>
      </c>
      <c r="C116" s="7" t="s">
        <v>17</v>
      </c>
      <c r="D116" s="7"/>
      <c r="E116" s="7" t="s">
        <v>3080</v>
      </c>
      <c r="F116" s="7" t="s">
        <v>19</v>
      </c>
      <c r="G116" s="7" t="s">
        <v>31</v>
      </c>
      <c r="H116" s="7" t="s">
        <v>17</v>
      </c>
      <c r="I116" s="7" t="s">
        <v>17</v>
      </c>
      <c r="J116" s="7" t="s">
        <v>494</v>
      </c>
    </row>
    <row r="117" spans="1:10" x14ac:dyDescent="0.25" outlineLevel="1" collapsed="1">
      <c r="A117" s="8" t="s">
        <v>19</v>
      </c>
      <c r="B117" s="9" t="s">
        <v>3081</v>
      </c>
      <c r="C117" s="8" t="s">
        <v>17</v>
      </c>
      <c r="D117" s="8"/>
      <c r="E117" s="8" t="s">
        <v>3082</v>
      </c>
      <c r="F117" s="8" t="s">
        <v>19</v>
      </c>
      <c r="G117" s="8" t="s">
        <v>17</v>
      </c>
      <c r="H117" s="8" t="s">
        <v>17</v>
      </c>
      <c r="I117" s="8" t="s">
        <v>17</v>
      </c>
      <c r="J117" s="8" t="s">
        <v>2466</v>
      </c>
    </row>
    <row r="118" spans="1:10" x14ac:dyDescent="0.25" outlineLevel="2" collapsed="1">
      <c r="A118" s="7" t="s">
        <v>19</v>
      </c>
      <c r="B118" s="7" t="s">
        <v>16</v>
      </c>
      <c r="C118" s="7" t="s">
        <v>17</v>
      </c>
      <c r="D118" s="7"/>
      <c r="E118" s="7" t="s">
        <v>500</v>
      </c>
      <c r="F118" s="7" t="s">
        <v>19</v>
      </c>
      <c r="G118" s="7" t="s">
        <v>31</v>
      </c>
      <c r="H118" s="7" t="s">
        <v>17</v>
      </c>
      <c r="I118" s="7" t="s">
        <v>17</v>
      </c>
      <c r="J118" s="7" t="s">
        <v>494</v>
      </c>
    </row>
    <row r="119" spans="1:10" x14ac:dyDescent="0.25" outlineLevel="1" collapsed="1">
      <c r="A119" s="8" t="s">
        <v>19</v>
      </c>
      <c r="B119" s="9" t="s">
        <v>3083</v>
      </c>
      <c r="C119" s="8" t="s">
        <v>17</v>
      </c>
      <c r="D119" s="8"/>
      <c r="E119" s="8" t="s">
        <v>581</v>
      </c>
      <c r="F119" s="8" t="s">
        <v>19</v>
      </c>
      <c r="G119" s="8" t="s">
        <v>17</v>
      </c>
      <c r="H119" s="8" t="s">
        <v>17</v>
      </c>
      <c r="I119" s="8" t="s">
        <v>17</v>
      </c>
      <c r="J119" s="8" t="s">
        <v>573</v>
      </c>
    </row>
    <row r="120" spans="1:10" x14ac:dyDescent="0.25" outlineLevel="2" collapsed="1">
      <c r="A120" s="7" t="s">
        <v>19</v>
      </c>
      <c r="B120" s="7" t="s">
        <v>16</v>
      </c>
      <c r="C120" s="7" t="s">
        <v>17</v>
      </c>
      <c r="D120" s="7"/>
      <c r="E120" s="7" t="s">
        <v>500</v>
      </c>
      <c r="F120" s="7" t="s">
        <v>19</v>
      </c>
      <c r="G120" s="7" t="s">
        <v>31</v>
      </c>
      <c r="H120" s="7" t="s">
        <v>17</v>
      </c>
      <c r="I120" s="7" t="s">
        <v>17</v>
      </c>
      <c r="J120" s="7" t="s">
        <v>494</v>
      </c>
    </row>
    <row r="121" spans="1:10" x14ac:dyDescent="0.25" outlineLevel="1" collapsed="1">
      <c r="A121" s="8" t="s">
        <v>19</v>
      </c>
      <c r="B121" s="9" t="s">
        <v>3084</v>
      </c>
      <c r="C121" s="8" t="s">
        <v>17</v>
      </c>
      <c r="D121" s="8"/>
      <c r="E121" s="8" t="s">
        <v>3085</v>
      </c>
      <c r="F121" s="8" t="s">
        <v>19</v>
      </c>
      <c r="G121" s="8" t="s">
        <v>17</v>
      </c>
      <c r="H121" s="8" t="s">
        <v>17</v>
      </c>
      <c r="I121" s="8" t="s">
        <v>17</v>
      </c>
      <c r="J121" s="8" t="s">
        <v>2472</v>
      </c>
    </row>
    <row r="122" spans="1:10" x14ac:dyDescent="0.25" outlineLevel="2" collapsed="1">
      <c r="A122" s="7" t="s">
        <v>19</v>
      </c>
      <c r="B122" s="7" t="s">
        <v>16</v>
      </c>
      <c r="C122" s="7" t="s">
        <v>17</v>
      </c>
      <c r="D122" s="7"/>
      <c r="E122" s="7" t="s">
        <v>500</v>
      </c>
      <c r="F122" s="7" t="s">
        <v>19</v>
      </c>
      <c r="G122" s="7" t="s">
        <v>31</v>
      </c>
      <c r="H122" s="7" t="s">
        <v>17</v>
      </c>
      <c r="I122" s="7" t="s">
        <v>17</v>
      </c>
      <c r="J122" s="7" t="s">
        <v>494</v>
      </c>
    </row>
    <row r="123" spans="1:10" x14ac:dyDescent="0.25" outlineLevel="1" collapsed="1">
      <c r="A123" s="8" t="s">
        <v>19</v>
      </c>
      <c r="B123" s="9" t="s">
        <v>3086</v>
      </c>
      <c r="C123" s="8" t="s">
        <v>17</v>
      </c>
      <c r="D123" s="8"/>
      <c r="E123" s="8" t="s">
        <v>3087</v>
      </c>
      <c r="F123" s="8" t="s">
        <v>19</v>
      </c>
      <c r="G123" s="8" t="s">
        <v>17</v>
      </c>
      <c r="H123" s="8" t="s">
        <v>17</v>
      </c>
      <c r="I123" s="8" t="s">
        <v>17</v>
      </c>
      <c r="J123" s="8" t="s">
        <v>2293</v>
      </c>
    </row>
    <row r="124" spans="1:10" x14ac:dyDescent="0.25" outlineLevel="2" collapsed="1">
      <c r="A124" s="7" t="s">
        <v>19</v>
      </c>
      <c r="B124" s="7" t="s">
        <v>16</v>
      </c>
      <c r="C124" s="7" t="s">
        <v>17</v>
      </c>
      <c r="D124" s="7"/>
      <c r="E124" s="7" t="s">
        <v>500</v>
      </c>
      <c r="F124" s="7" t="s">
        <v>19</v>
      </c>
      <c r="G124" s="7" t="s">
        <v>31</v>
      </c>
      <c r="H124" s="7" t="s">
        <v>17</v>
      </c>
      <c r="I124" s="7" t="s">
        <v>17</v>
      </c>
      <c r="J124" s="7" t="s">
        <v>494</v>
      </c>
    </row>
    <row r="125" spans="1:10" x14ac:dyDescent="0.25" outlineLevel="2" collapsed="1">
      <c r="A125" s="7" t="s">
        <v>19</v>
      </c>
      <c r="B125" s="7" t="s">
        <v>16</v>
      </c>
      <c r="C125" s="7" t="s">
        <v>17</v>
      </c>
      <c r="D125" s="7"/>
      <c r="E125" s="7" t="s">
        <v>501</v>
      </c>
      <c r="F125" s="7" t="s">
        <v>19</v>
      </c>
      <c r="G125" s="7" t="s">
        <v>31</v>
      </c>
      <c r="H125" s="7" t="s">
        <v>17</v>
      </c>
      <c r="I125" s="7" t="s">
        <v>17</v>
      </c>
      <c r="J125" s="7" t="s">
        <v>497</v>
      </c>
    </row>
    <row r="126" spans="1:10" x14ac:dyDescent="0.25" outlineLevel="2" collapsed="1">
      <c r="A126" s="8" t="s">
        <v>19</v>
      </c>
      <c r="B126" s="9" t="s">
        <v>502</v>
      </c>
      <c r="C126" s="8" t="s">
        <v>17</v>
      </c>
      <c r="D126" s="8"/>
      <c r="E126" s="8" t="s">
        <v>503</v>
      </c>
      <c r="F126" s="8" t="s">
        <v>15</v>
      </c>
      <c r="G126" s="8" t="s">
        <v>17</v>
      </c>
      <c r="H126" s="8" t="s">
        <v>17</v>
      </c>
      <c r="I126" s="8" t="s">
        <v>17</v>
      </c>
      <c r="J126" s="8" t="s">
        <v>504</v>
      </c>
    </row>
    <row r="127" spans="1:10" x14ac:dyDescent="0.25" outlineLevel="3" collapsed="1">
      <c r="A127" s="7" t="s">
        <v>19</v>
      </c>
      <c r="B127" s="7" t="s">
        <v>16</v>
      </c>
      <c r="C127" s="7" t="s">
        <v>17</v>
      </c>
      <c r="D127" s="7"/>
      <c r="E127" s="7" t="s">
        <v>505</v>
      </c>
      <c r="F127" s="7" t="s">
        <v>19</v>
      </c>
      <c r="G127" s="7" t="s">
        <v>31</v>
      </c>
      <c r="H127" s="7" t="s">
        <v>17</v>
      </c>
      <c r="I127" s="7" t="s">
        <v>17</v>
      </c>
      <c r="J127" s="7" t="s">
        <v>506</v>
      </c>
    </row>
    <row r="128" spans="1:10" x14ac:dyDescent="0.25" outlineLevel="3" collapsed="1">
      <c r="A128" s="7" t="s">
        <v>19</v>
      </c>
      <c r="B128" s="7" t="s">
        <v>16</v>
      </c>
      <c r="C128" s="7" t="s">
        <v>17</v>
      </c>
      <c r="D128" s="7"/>
      <c r="E128" s="7" t="s">
        <v>501</v>
      </c>
      <c r="F128" s="7" t="s">
        <v>19</v>
      </c>
      <c r="G128" s="7" t="s">
        <v>31</v>
      </c>
      <c r="H128" s="7" t="s">
        <v>17</v>
      </c>
      <c r="I128" s="7" t="s">
        <v>17</v>
      </c>
      <c r="J128" s="7" t="s">
        <v>497</v>
      </c>
    </row>
    <row r="129" spans="1:10" x14ac:dyDescent="0.25" outlineLevel="1" collapsed="1">
      <c r="A129" s="8" t="s">
        <v>19</v>
      </c>
      <c r="B129" s="9" t="s">
        <v>3088</v>
      </c>
      <c r="C129" s="8" t="s">
        <v>17</v>
      </c>
      <c r="D129" s="8"/>
      <c r="E129" s="8" t="s">
        <v>3089</v>
      </c>
      <c r="F129" s="8" t="s">
        <v>19</v>
      </c>
      <c r="G129" s="8" t="s">
        <v>17</v>
      </c>
      <c r="H129" s="8" t="s">
        <v>17</v>
      </c>
      <c r="I129" s="8" t="s">
        <v>17</v>
      </c>
      <c r="J129" s="8" t="s">
        <v>3090</v>
      </c>
    </row>
    <row r="130" spans="1:10" x14ac:dyDescent="0.25" outlineLevel="2" collapsed="1">
      <c r="A130" s="7" t="s">
        <v>19</v>
      </c>
      <c r="B130" s="7" t="s">
        <v>16</v>
      </c>
      <c r="C130" s="7" t="s">
        <v>17</v>
      </c>
      <c r="D130" s="7"/>
      <c r="E130" s="7" t="s">
        <v>500</v>
      </c>
      <c r="F130" s="7" t="s">
        <v>19</v>
      </c>
      <c r="G130" s="7" t="s">
        <v>31</v>
      </c>
      <c r="H130" s="7" t="s">
        <v>17</v>
      </c>
      <c r="I130" s="7" t="s">
        <v>17</v>
      </c>
      <c r="J130" s="7" t="s">
        <v>494</v>
      </c>
    </row>
    <row r="131" spans="1:10" x14ac:dyDescent="0.25" outlineLevel="2" collapsed="1">
      <c r="A131" s="7" t="s">
        <v>19</v>
      </c>
      <c r="B131" s="7" t="s">
        <v>16</v>
      </c>
      <c r="C131" s="7" t="s">
        <v>17</v>
      </c>
      <c r="D131" s="7"/>
      <c r="E131" s="7" t="s">
        <v>501</v>
      </c>
      <c r="F131" s="7" t="s">
        <v>19</v>
      </c>
      <c r="G131" s="7" t="s">
        <v>31</v>
      </c>
      <c r="H131" s="7" t="s">
        <v>17</v>
      </c>
      <c r="I131" s="7" t="s">
        <v>17</v>
      </c>
      <c r="J131" s="7" t="s">
        <v>497</v>
      </c>
    </row>
    <row r="132" spans="1:10" x14ac:dyDescent="0.25" outlineLevel="2" collapsed="1">
      <c r="A132" s="8" t="s">
        <v>19</v>
      </c>
      <c r="B132" s="9" t="s">
        <v>502</v>
      </c>
      <c r="C132" s="8" t="s">
        <v>17</v>
      </c>
      <c r="D132" s="8"/>
      <c r="E132" s="8" t="s">
        <v>503</v>
      </c>
      <c r="F132" s="8" t="s">
        <v>15</v>
      </c>
      <c r="G132" s="8" t="s">
        <v>17</v>
      </c>
      <c r="H132" s="8" t="s">
        <v>17</v>
      </c>
      <c r="I132" s="8" t="s">
        <v>17</v>
      </c>
      <c r="J132" s="8" t="s">
        <v>504</v>
      </c>
    </row>
    <row r="133" spans="1:10" x14ac:dyDescent="0.25" outlineLevel="3" collapsed="1">
      <c r="A133" s="7" t="s">
        <v>19</v>
      </c>
      <c r="B133" s="7" t="s">
        <v>16</v>
      </c>
      <c r="C133" s="7" t="s">
        <v>17</v>
      </c>
      <c r="D133" s="7"/>
      <c r="E133" s="7" t="s">
        <v>505</v>
      </c>
      <c r="F133" s="7" t="s">
        <v>19</v>
      </c>
      <c r="G133" s="7" t="s">
        <v>31</v>
      </c>
      <c r="H133" s="7" t="s">
        <v>17</v>
      </c>
      <c r="I133" s="7" t="s">
        <v>17</v>
      </c>
      <c r="J133" s="7" t="s">
        <v>506</v>
      </c>
    </row>
    <row r="134" spans="1:10" x14ac:dyDescent="0.25" outlineLevel="3" collapsed="1">
      <c r="A134" s="7" t="s">
        <v>19</v>
      </c>
      <c r="B134" s="7" t="s">
        <v>16</v>
      </c>
      <c r="C134" s="7" t="s">
        <v>17</v>
      </c>
      <c r="D134" s="7"/>
      <c r="E134" s="7" t="s">
        <v>501</v>
      </c>
      <c r="F134" s="7" t="s">
        <v>19</v>
      </c>
      <c r="G134" s="7" t="s">
        <v>31</v>
      </c>
      <c r="H134" s="7" t="s">
        <v>17</v>
      </c>
      <c r="I134" s="7" t="s">
        <v>17</v>
      </c>
      <c r="J134" s="7" t="s">
        <v>497</v>
      </c>
    </row>
    <row r="135" spans="1:10" x14ac:dyDescent="0.25" outlineLevel="1" collapsed="1">
      <c r="A135" s="8" t="s">
        <v>19</v>
      </c>
      <c r="B135" s="9" t="s">
        <v>3091</v>
      </c>
      <c r="C135" s="8" t="s">
        <v>17</v>
      </c>
      <c r="D135" s="8"/>
      <c r="E135" s="8" t="s">
        <v>3092</v>
      </c>
      <c r="F135" s="8" t="s">
        <v>19</v>
      </c>
      <c r="G135" s="8" t="s">
        <v>17</v>
      </c>
      <c r="H135" s="8" t="s">
        <v>17</v>
      </c>
      <c r="I135" s="8" t="s">
        <v>17</v>
      </c>
      <c r="J135" s="8" t="s">
        <v>972</v>
      </c>
    </row>
    <row r="136" spans="1:10" x14ac:dyDescent="0.25" outlineLevel="2" collapsed="1">
      <c r="A136" s="7" t="s">
        <v>19</v>
      </c>
      <c r="B136" s="7" t="s">
        <v>16</v>
      </c>
      <c r="C136" s="7" t="s">
        <v>17</v>
      </c>
      <c r="D136" s="7"/>
      <c r="E136" s="7" t="s">
        <v>500</v>
      </c>
      <c r="F136" s="7" t="s">
        <v>19</v>
      </c>
      <c r="G136" s="7" t="s">
        <v>31</v>
      </c>
      <c r="H136" s="7" t="s">
        <v>17</v>
      </c>
      <c r="I136" s="7" t="s">
        <v>17</v>
      </c>
      <c r="J136" s="7" t="s">
        <v>494</v>
      </c>
    </row>
    <row r="137" spans="1:10" x14ac:dyDescent="0.25" outlineLevel="2" collapsed="1">
      <c r="A137" s="7" t="s">
        <v>19</v>
      </c>
      <c r="B137" s="7" t="s">
        <v>16</v>
      </c>
      <c r="C137" s="7" t="s">
        <v>17</v>
      </c>
      <c r="D137" s="7"/>
      <c r="E137" s="7" t="s">
        <v>501</v>
      </c>
      <c r="F137" s="7" t="s">
        <v>19</v>
      </c>
      <c r="G137" s="7" t="s">
        <v>31</v>
      </c>
      <c r="H137" s="7" t="s">
        <v>17</v>
      </c>
      <c r="I137" s="7" t="s">
        <v>17</v>
      </c>
      <c r="J137" s="7" t="s">
        <v>497</v>
      </c>
    </row>
    <row r="138" spans="1:10" x14ac:dyDescent="0.25" outlineLevel="2" collapsed="1">
      <c r="A138" s="8" t="s">
        <v>19</v>
      </c>
      <c r="B138" s="9" t="s">
        <v>502</v>
      </c>
      <c r="C138" s="8" t="s">
        <v>17</v>
      </c>
      <c r="D138" s="8"/>
      <c r="E138" s="8" t="s">
        <v>503</v>
      </c>
      <c r="F138" s="8" t="s">
        <v>15</v>
      </c>
      <c r="G138" s="8" t="s">
        <v>17</v>
      </c>
      <c r="H138" s="8" t="s">
        <v>17</v>
      </c>
      <c r="I138" s="8" t="s">
        <v>17</v>
      </c>
      <c r="J138" s="8" t="s">
        <v>504</v>
      </c>
    </row>
    <row r="139" spans="1:10" x14ac:dyDescent="0.25" outlineLevel="3" collapsed="1">
      <c r="A139" s="7" t="s">
        <v>19</v>
      </c>
      <c r="B139" s="7" t="s">
        <v>16</v>
      </c>
      <c r="C139" s="7" t="s">
        <v>17</v>
      </c>
      <c r="D139" s="7"/>
      <c r="E139" s="7" t="s">
        <v>505</v>
      </c>
      <c r="F139" s="7" t="s">
        <v>19</v>
      </c>
      <c r="G139" s="7" t="s">
        <v>31</v>
      </c>
      <c r="H139" s="7" t="s">
        <v>17</v>
      </c>
      <c r="I139" s="7" t="s">
        <v>17</v>
      </c>
      <c r="J139" s="7" t="s">
        <v>506</v>
      </c>
    </row>
    <row r="140" spans="1:10" x14ac:dyDescent="0.25" outlineLevel="3" collapsed="1">
      <c r="A140" s="7" t="s">
        <v>19</v>
      </c>
      <c r="B140" s="7" t="s">
        <v>16</v>
      </c>
      <c r="C140" s="7" t="s">
        <v>17</v>
      </c>
      <c r="D140" s="7"/>
      <c r="E140" s="7" t="s">
        <v>501</v>
      </c>
      <c r="F140" s="7" t="s">
        <v>19</v>
      </c>
      <c r="G140" s="7" t="s">
        <v>31</v>
      </c>
      <c r="H140" s="7" t="s">
        <v>17</v>
      </c>
      <c r="I140" s="7" t="s">
        <v>17</v>
      </c>
      <c r="J140" s="7" t="s">
        <v>497</v>
      </c>
    </row>
    <row r="141" spans="1:10" x14ac:dyDescent="0.25" outlineLevel="1" collapsed="1">
      <c r="A141" s="8" t="s">
        <v>19</v>
      </c>
      <c r="B141" s="9" t="s">
        <v>3093</v>
      </c>
      <c r="C141" s="8" t="s">
        <v>17</v>
      </c>
      <c r="D141" s="8"/>
      <c r="E141" s="8" t="s">
        <v>599</v>
      </c>
      <c r="F141" s="8" t="s">
        <v>19</v>
      </c>
      <c r="G141" s="8" t="s">
        <v>17</v>
      </c>
      <c r="H141" s="8" t="s">
        <v>17</v>
      </c>
      <c r="I141" s="8" t="s">
        <v>17</v>
      </c>
      <c r="J141" s="8" t="s">
        <v>600</v>
      </c>
    </row>
    <row r="142" spans="1:10" x14ac:dyDescent="0.25" outlineLevel="2" collapsed="1">
      <c r="A142" s="7" t="s">
        <v>19</v>
      </c>
      <c r="B142" s="7" t="s">
        <v>16</v>
      </c>
      <c r="C142" s="7" t="s">
        <v>17</v>
      </c>
      <c r="D142" s="7"/>
      <c r="E142" s="7" t="s">
        <v>500</v>
      </c>
      <c r="F142" s="7" t="s">
        <v>19</v>
      </c>
      <c r="G142" s="7" t="s">
        <v>31</v>
      </c>
      <c r="H142" s="7" t="s">
        <v>17</v>
      </c>
      <c r="I142" s="7" t="s">
        <v>17</v>
      </c>
      <c r="J142" s="7" t="s">
        <v>494</v>
      </c>
    </row>
    <row r="143" spans="1:10" x14ac:dyDescent="0.25" outlineLevel="2" collapsed="1">
      <c r="A143" s="7" t="s">
        <v>19</v>
      </c>
      <c r="B143" s="7" t="s">
        <v>16</v>
      </c>
      <c r="C143" s="7" t="s">
        <v>17</v>
      </c>
      <c r="D143" s="7"/>
      <c r="E143" s="7" t="s">
        <v>501</v>
      </c>
      <c r="F143" s="7" t="s">
        <v>19</v>
      </c>
      <c r="G143" s="7" t="s">
        <v>31</v>
      </c>
      <c r="H143" s="7" t="s">
        <v>17</v>
      </c>
      <c r="I143" s="7" t="s">
        <v>17</v>
      </c>
      <c r="J143" s="7" t="s">
        <v>497</v>
      </c>
    </row>
    <row r="144" spans="1:10" x14ac:dyDescent="0.25" outlineLevel="2" collapsed="1">
      <c r="A144" s="8" t="s">
        <v>19</v>
      </c>
      <c r="B144" s="9" t="s">
        <v>502</v>
      </c>
      <c r="C144" s="8" t="s">
        <v>17</v>
      </c>
      <c r="D144" s="8"/>
      <c r="E144" s="8" t="s">
        <v>503</v>
      </c>
      <c r="F144" s="8" t="s">
        <v>15</v>
      </c>
      <c r="G144" s="8" t="s">
        <v>17</v>
      </c>
      <c r="H144" s="8" t="s">
        <v>17</v>
      </c>
      <c r="I144" s="8" t="s">
        <v>17</v>
      </c>
      <c r="J144" s="8" t="s">
        <v>504</v>
      </c>
    </row>
    <row r="145" spans="1:10" x14ac:dyDescent="0.25" outlineLevel="3" collapsed="1">
      <c r="A145" s="7" t="s">
        <v>19</v>
      </c>
      <c r="B145" s="7" t="s">
        <v>16</v>
      </c>
      <c r="C145" s="7" t="s">
        <v>17</v>
      </c>
      <c r="D145" s="7"/>
      <c r="E145" s="7" t="s">
        <v>505</v>
      </c>
      <c r="F145" s="7" t="s">
        <v>19</v>
      </c>
      <c r="G145" s="7" t="s">
        <v>31</v>
      </c>
      <c r="H145" s="7" t="s">
        <v>17</v>
      </c>
      <c r="I145" s="7" t="s">
        <v>17</v>
      </c>
      <c r="J145" s="7" t="s">
        <v>506</v>
      </c>
    </row>
    <row r="146" spans="1:10" x14ac:dyDescent="0.25" outlineLevel="3" collapsed="1">
      <c r="A146" s="7" t="s">
        <v>19</v>
      </c>
      <c r="B146" s="7" t="s">
        <v>16</v>
      </c>
      <c r="C146" s="7" t="s">
        <v>17</v>
      </c>
      <c r="D146" s="7"/>
      <c r="E146" s="7" t="s">
        <v>501</v>
      </c>
      <c r="F146" s="7" t="s">
        <v>19</v>
      </c>
      <c r="G146" s="7" t="s">
        <v>31</v>
      </c>
      <c r="H146" s="7" t="s">
        <v>17</v>
      </c>
      <c r="I146" s="7" t="s">
        <v>17</v>
      </c>
      <c r="J146" s="7" t="s">
        <v>497</v>
      </c>
    </row>
    <row r="147" spans="1:10" x14ac:dyDescent="0.25" outlineLevel="1" collapsed="1">
      <c r="A147" s="8" t="s">
        <v>19</v>
      </c>
      <c r="B147" s="9" t="s">
        <v>3094</v>
      </c>
      <c r="C147" s="8" t="s">
        <v>17</v>
      </c>
      <c r="D147" s="8"/>
      <c r="E147" s="8" t="s">
        <v>602</v>
      </c>
      <c r="F147" s="8" t="s">
        <v>19</v>
      </c>
      <c r="G147" s="8" t="s">
        <v>17</v>
      </c>
      <c r="H147" s="8" t="s">
        <v>17</v>
      </c>
      <c r="I147" s="8" t="s">
        <v>17</v>
      </c>
      <c r="J147" s="8" t="s">
        <v>603</v>
      </c>
    </row>
    <row r="148" spans="1:10" x14ac:dyDescent="0.25" outlineLevel="2" collapsed="1">
      <c r="A148" s="7" t="s">
        <v>19</v>
      </c>
      <c r="B148" s="7" t="s">
        <v>16</v>
      </c>
      <c r="C148" s="7" t="s">
        <v>17</v>
      </c>
      <c r="D148" s="7"/>
      <c r="E148" s="7" t="s">
        <v>500</v>
      </c>
      <c r="F148" s="7" t="s">
        <v>19</v>
      </c>
      <c r="G148" s="7" t="s">
        <v>31</v>
      </c>
      <c r="H148" s="7" t="s">
        <v>17</v>
      </c>
      <c r="I148" s="7" t="s">
        <v>17</v>
      </c>
      <c r="J148" s="7" t="s">
        <v>494</v>
      </c>
    </row>
    <row r="149" spans="1:10" x14ac:dyDescent="0.25" outlineLevel="2" collapsed="1">
      <c r="A149" s="7" t="s">
        <v>19</v>
      </c>
      <c r="B149" s="7" t="s">
        <v>16</v>
      </c>
      <c r="C149" s="7" t="s">
        <v>17</v>
      </c>
      <c r="D149" s="7"/>
      <c r="E149" s="7" t="s">
        <v>501</v>
      </c>
      <c r="F149" s="7" t="s">
        <v>19</v>
      </c>
      <c r="G149" s="7" t="s">
        <v>31</v>
      </c>
      <c r="H149" s="7" t="s">
        <v>17</v>
      </c>
      <c r="I149" s="7" t="s">
        <v>17</v>
      </c>
      <c r="J149" s="7" t="s">
        <v>497</v>
      </c>
    </row>
    <row r="150" spans="1:10" x14ac:dyDescent="0.25" outlineLevel="2" collapsed="1">
      <c r="A150" s="8" t="s">
        <v>19</v>
      </c>
      <c r="B150" s="9" t="s">
        <v>502</v>
      </c>
      <c r="C150" s="8" t="s">
        <v>17</v>
      </c>
      <c r="D150" s="8"/>
      <c r="E150" s="8" t="s">
        <v>503</v>
      </c>
      <c r="F150" s="8" t="s">
        <v>15</v>
      </c>
      <c r="G150" s="8" t="s">
        <v>17</v>
      </c>
      <c r="H150" s="8" t="s">
        <v>17</v>
      </c>
      <c r="I150" s="8" t="s">
        <v>17</v>
      </c>
      <c r="J150" s="8" t="s">
        <v>504</v>
      </c>
    </row>
    <row r="151" spans="1:10" x14ac:dyDescent="0.25" outlineLevel="3" collapsed="1">
      <c r="A151" s="7" t="s">
        <v>19</v>
      </c>
      <c r="B151" s="7" t="s">
        <v>16</v>
      </c>
      <c r="C151" s="7" t="s">
        <v>17</v>
      </c>
      <c r="D151" s="7"/>
      <c r="E151" s="7" t="s">
        <v>505</v>
      </c>
      <c r="F151" s="7" t="s">
        <v>19</v>
      </c>
      <c r="G151" s="7" t="s">
        <v>31</v>
      </c>
      <c r="H151" s="7" t="s">
        <v>17</v>
      </c>
      <c r="I151" s="7" t="s">
        <v>17</v>
      </c>
      <c r="J151" s="7" t="s">
        <v>506</v>
      </c>
    </row>
    <row r="152" spans="1:10" x14ac:dyDescent="0.25" outlineLevel="3" collapsed="1">
      <c r="A152" s="7" t="s">
        <v>19</v>
      </c>
      <c r="B152" s="7" t="s">
        <v>16</v>
      </c>
      <c r="C152" s="7" t="s">
        <v>17</v>
      </c>
      <c r="D152" s="7"/>
      <c r="E152" s="7" t="s">
        <v>501</v>
      </c>
      <c r="F152" s="7" t="s">
        <v>19</v>
      </c>
      <c r="G152" s="7" t="s">
        <v>31</v>
      </c>
      <c r="H152" s="7" t="s">
        <v>17</v>
      </c>
      <c r="I152" s="7" t="s">
        <v>17</v>
      </c>
      <c r="J152" s="7" t="s">
        <v>497</v>
      </c>
    </row>
    <row r="153" spans="1:10" x14ac:dyDescent="0.25" outlineLevel="1" collapsed="1">
      <c r="A153" s="8" t="s">
        <v>19</v>
      </c>
      <c r="B153" s="9" t="s">
        <v>3095</v>
      </c>
      <c r="C153" s="8" t="s">
        <v>17</v>
      </c>
      <c r="D153" s="8"/>
      <c r="E153" s="8" t="s">
        <v>588</v>
      </c>
      <c r="F153" s="8" t="s">
        <v>19</v>
      </c>
      <c r="G153" s="8" t="s">
        <v>17</v>
      </c>
      <c r="H153" s="8" t="s">
        <v>17</v>
      </c>
      <c r="I153" s="8" t="s">
        <v>17</v>
      </c>
      <c r="J153" s="8" t="s">
        <v>550</v>
      </c>
    </row>
    <row r="154" spans="1:10" x14ac:dyDescent="0.25" outlineLevel="2" collapsed="1">
      <c r="A154" s="7" t="s">
        <v>19</v>
      </c>
      <c r="B154" s="7" t="s">
        <v>16</v>
      </c>
      <c r="C154" s="7" t="s">
        <v>17</v>
      </c>
      <c r="D154" s="7"/>
      <c r="E154" s="7" t="s">
        <v>500</v>
      </c>
      <c r="F154" s="7" t="s">
        <v>19</v>
      </c>
      <c r="G154" s="7" t="s">
        <v>31</v>
      </c>
      <c r="H154" s="7" t="s">
        <v>17</v>
      </c>
      <c r="I154" s="7" t="s">
        <v>17</v>
      </c>
      <c r="J154" s="7" t="s">
        <v>494</v>
      </c>
    </row>
    <row r="155" spans="1:10" x14ac:dyDescent="0.25" outlineLevel="2" collapsed="1">
      <c r="A155" s="7" t="s">
        <v>19</v>
      </c>
      <c r="B155" s="7" t="s">
        <v>16</v>
      </c>
      <c r="C155" s="7" t="s">
        <v>17</v>
      </c>
      <c r="D155" s="7"/>
      <c r="E155" s="7" t="s">
        <v>501</v>
      </c>
      <c r="F155" s="7" t="s">
        <v>19</v>
      </c>
      <c r="G155" s="7" t="s">
        <v>31</v>
      </c>
      <c r="H155" s="7" t="s">
        <v>17</v>
      </c>
      <c r="I155" s="7" t="s">
        <v>17</v>
      </c>
      <c r="J155" s="7" t="s">
        <v>497</v>
      </c>
    </row>
    <row r="156" spans="1:10" x14ac:dyDescent="0.25" outlineLevel="2" collapsed="1">
      <c r="A156" s="8" t="s">
        <v>19</v>
      </c>
      <c r="B156" s="9" t="s">
        <v>502</v>
      </c>
      <c r="C156" s="8" t="s">
        <v>17</v>
      </c>
      <c r="D156" s="8"/>
      <c r="E156" s="8" t="s">
        <v>503</v>
      </c>
      <c r="F156" s="8" t="s">
        <v>15</v>
      </c>
      <c r="G156" s="8" t="s">
        <v>17</v>
      </c>
      <c r="H156" s="8" t="s">
        <v>17</v>
      </c>
      <c r="I156" s="8" t="s">
        <v>17</v>
      </c>
      <c r="J156" s="8" t="s">
        <v>504</v>
      </c>
    </row>
    <row r="157" spans="1:10" x14ac:dyDescent="0.25" outlineLevel="3" collapsed="1">
      <c r="A157" s="7" t="s">
        <v>19</v>
      </c>
      <c r="B157" s="7" t="s">
        <v>16</v>
      </c>
      <c r="C157" s="7" t="s">
        <v>17</v>
      </c>
      <c r="D157" s="7"/>
      <c r="E157" s="7" t="s">
        <v>505</v>
      </c>
      <c r="F157" s="7" t="s">
        <v>19</v>
      </c>
      <c r="G157" s="7" t="s">
        <v>31</v>
      </c>
      <c r="H157" s="7" t="s">
        <v>17</v>
      </c>
      <c r="I157" s="7" t="s">
        <v>17</v>
      </c>
      <c r="J157" s="7" t="s">
        <v>506</v>
      </c>
    </row>
    <row r="158" spans="1:10" x14ac:dyDescent="0.25" outlineLevel="3" collapsed="1">
      <c r="A158" s="7" t="s">
        <v>19</v>
      </c>
      <c r="B158" s="7" t="s">
        <v>16</v>
      </c>
      <c r="C158" s="7" t="s">
        <v>17</v>
      </c>
      <c r="D158" s="7"/>
      <c r="E158" s="7" t="s">
        <v>501</v>
      </c>
      <c r="F158" s="7" t="s">
        <v>19</v>
      </c>
      <c r="G158" s="7" t="s">
        <v>31</v>
      </c>
      <c r="H158" s="7" t="s">
        <v>17</v>
      </c>
      <c r="I158" s="7" t="s">
        <v>17</v>
      </c>
      <c r="J158" s="7" t="s">
        <v>497</v>
      </c>
    </row>
    <row r="159" spans="1:10" x14ac:dyDescent="0.25" outlineLevel="1" collapsed="1">
      <c r="A159" s="8" t="s">
        <v>19</v>
      </c>
      <c r="B159" s="9" t="s">
        <v>3096</v>
      </c>
      <c r="C159" s="8" t="s">
        <v>17</v>
      </c>
      <c r="D159" s="8"/>
      <c r="E159" s="8" t="s">
        <v>590</v>
      </c>
      <c r="F159" s="8" t="s">
        <v>19</v>
      </c>
      <c r="G159" s="8" t="s">
        <v>17</v>
      </c>
      <c r="H159" s="8" t="s">
        <v>17</v>
      </c>
      <c r="I159" s="8" t="s">
        <v>17</v>
      </c>
      <c r="J159" s="8" t="s">
        <v>591</v>
      </c>
    </row>
    <row r="160" spans="1:10" x14ac:dyDescent="0.25" outlineLevel="2" collapsed="1">
      <c r="A160" s="7" t="s">
        <v>19</v>
      </c>
      <c r="B160" s="7" t="s">
        <v>16</v>
      </c>
      <c r="C160" s="7" t="s">
        <v>17</v>
      </c>
      <c r="D160" s="7"/>
      <c r="E160" s="7" t="s">
        <v>500</v>
      </c>
      <c r="F160" s="7" t="s">
        <v>19</v>
      </c>
      <c r="G160" s="7" t="s">
        <v>31</v>
      </c>
      <c r="H160" s="7" t="s">
        <v>17</v>
      </c>
      <c r="I160" s="7" t="s">
        <v>17</v>
      </c>
      <c r="J160" s="7" t="s">
        <v>494</v>
      </c>
    </row>
    <row r="161" spans="1:10" x14ac:dyDescent="0.25" outlineLevel="2" collapsed="1">
      <c r="A161" s="7" t="s">
        <v>19</v>
      </c>
      <c r="B161" s="7" t="s">
        <v>16</v>
      </c>
      <c r="C161" s="7" t="s">
        <v>17</v>
      </c>
      <c r="D161" s="7"/>
      <c r="E161" s="7" t="s">
        <v>501</v>
      </c>
      <c r="F161" s="7" t="s">
        <v>19</v>
      </c>
      <c r="G161" s="7" t="s">
        <v>31</v>
      </c>
      <c r="H161" s="7" t="s">
        <v>17</v>
      </c>
      <c r="I161" s="7" t="s">
        <v>17</v>
      </c>
      <c r="J161" s="7" t="s">
        <v>497</v>
      </c>
    </row>
    <row r="162" spans="1:10" x14ac:dyDescent="0.25" outlineLevel="2" collapsed="1">
      <c r="A162" s="8" t="s">
        <v>19</v>
      </c>
      <c r="B162" s="9" t="s">
        <v>502</v>
      </c>
      <c r="C162" s="8" t="s">
        <v>17</v>
      </c>
      <c r="D162" s="8"/>
      <c r="E162" s="8" t="s">
        <v>503</v>
      </c>
      <c r="F162" s="8" t="s">
        <v>15</v>
      </c>
      <c r="G162" s="8" t="s">
        <v>17</v>
      </c>
      <c r="H162" s="8" t="s">
        <v>17</v>
      </c>
      <c r="I162" s="8" t="s">
        <v>17</v>
      </c>
      <c r="J162" s="8" t="s">
        <v>504</v>
      </c>
    </row>
    <row r="163" spans="1:10" x14ac:dyDescent="0.25" outlineLevel="3" collapsed="1">
      <c r="A163" s="7" t="s">
        <v>19</v>
      </c>
      <c r="B163" s="7" t="s">
        <v>16</v>
      </c>
      <c r="C163" s="7" t="s">
        <v>17</v>
      </c>
      <c r="D163" s="7"/>
      <c r="E163" s="7" t="s">
        <v>505</v>
      </c>
      <c r="F163" s="7" t="s">
        <v>19</v>
      </c>
      <c r="G163" s="7" t="s">
        <v>31</v>
      </c>
      <c r="H163" s="7" t="s">
        <v>17</v>
      </c>
      <c r="I163" s="7" t="s">
        <v>17</v>
      </c>
      <c r="J163" s="7" t="s">
        <v>506</v>
      </c>
    </row>
    <row r="164" spans="1:10" x14ac:dyDescent="0.25" outlineLevel="3" collapsed="1">
      <c r="A164" s="7" t="s">
        <v>19</v>
      </c>
      <c r="B164" s="7" t="s">
        <v>16</v>
      </c>
      <c r="C164" s="7" t="s">
        <v>17</v>
      </c>
      <c r="D164" s="7"/>
      <c r="E164" s="7" t="s">
        <v>501</v>
      </c>
      <c r="F164" s="7" t="s">
        <v>19</v>
      </c>
      <c r="G164" s="7" t="s">
        <v>31</v>
      </c>
      <c r="H164" s="7" t="s">
        <v>17</v>
      </c>
      <c r="I164" s="7" t="s">
        <v>17</v>
      </c>
      <c r="J164" s="7" t="s">
        <v>497</v>
      </c>
    </row>
    <row r="165" spans="1:10" x14ac:dyDescent="0.25" outlineLevel="1" collapsed="1">
      <c r="A165" s="8" t="s">
        <v>19</v>
      </c>
      <c r="B165" s="9" t="s">
        <v>3097</v>
      </c>
      <c r="C165" s="8" t="s">
        <v>17</v>
      </c>
      <c r="D165" s="8"/>
      <c r="E165" s="8" t="s">
        <v>593</v>
      </c>
      <c r="F165" s="8" t="s">
        <v>19</v>
      </c>
      <c r="G165" s="8" t="s">
        <v>17</v>
      </c>
      <c r="H165" s="8" t="s">
        <v>17</v>
      </c>
      <c r="I165" s="8" t="s">
        <v>17</v>
      </c>
      <c r="J165" s="8" t="s">
        <v>594</v>
      </c>
    </row>
    <row r="166" spans="1:10" x14ac:dyDescent="0.25" outlineLevel="2" collapsed="1">
      <c r="A166" s="7" t="s">
        <v>19</v>
      </c>
      <c r="B166" s="7" t="s">
        <v>16</v>
      </c>
      <c r="C166" s="7" t="s">
        <v>17</v>
      </c>
      <c r="D166" s="7"/>
      <c r="E166" s="7" t="s">
        <v>500</v>
      </c>
      <c r="F166" s="7" t="s">
        <v>19</v>
      </c>
      <c r="G166" s="7" t="s">
        <v>31</v>
      </c>
      <c r="H166" s="7" t="s">
        <v>17</v>
      </c>
      <c r="I166" s="7" t="s">
        <v>17</v>
      </c>
      <c r="J166" s="7" t="s">
        <v>494</v>
      </c>
    </row>
    <row r="167" spans="1:10" x14ac:dyDescent="0.25" outlineLevel="2" collapsed="1">
      <c r="A167" s="7" t="s">
        <v>19</v>
      </c>
      <c r="B167" s="7" t="s">
        <v>16</v>
      </c>
      <c r="C167" s="7" t="s">
        <v>17</v>
      </c>
      <c r="D167" s="7"/>
      <c r="E167" s="7" t="s">
        <v>501</v>
      </c>
      <c r="F167" s="7" t="s">
        <v>19</v>
      </c>
      <c r="G167" s="7" t="s">
        <v>31</v>
      </c>
      <c r="H167" s="7" t="s">
        <v>17</v>
      </c>
      <c r="I167" s="7" t="s">
        <v>17</v>
      </c>
      <c r="J167" s="7" t="s">
        <v>497</v>
      </c>
    </row>
    <row r="168" spans="1:10" x14ac:dyDescent="0.25" outlineLevel="2" collapsed="1">
      <c r="A168" s="8" t="s">
        <v>19</v>
      </c>
      <c r="B168" s="9" t="s">
        <v>502</v>
      </c>
      <c r="C168" s="8" t="s">
        <v>17</v>
      </c>
      <c r="D168" s="8"/>
      <c r="E168" s="8" t="s">
        <v>503</v>
      </c>
      <c r="F168" s="8" t="s">
        <v>15</v>
      </c>
      <c r="G168" s="8" t="s">
        <v>17</v>
      </c>
      <c r="H168" s="8" t="s">
        <v>17</v>
      </c>
      <c r="I168" s="8" t="s">
        <v>17</v>
      </c>
      <c r="J168" s="8" t="s">
        <v>504</v>
      </c>
    </row>
    <row r="169" spans="1:10" x14ac:dyDescent="0.25" outlineLevel="3" collapsed="1">
      <c r="A169" s="7" t="s">
        <v>19</v>
      </c>
      <c r="B169" s="7" t="s">
        <v>16</v>
      </c>
      <c r="C169" s="7" t="s">
        <v>17</v>
      </c>
      <c r="D169" s="7"/>
      <c r="E169" s="7" t="s">
        <v>505</v>
      </c>
      <c r="F169" s="7" t="s">
        <v>19</v>
      </c>
      <c r="G169" s="7" t="s">
        <v>31</v>
      </c>
      <c r="H169" s="7" t="s">
        <v>17</v>
      </c>
      <c r="I169" s="7" t="s">
        <v>17</v>
      </c>
      <c r="J169" s="7" t="s">
        <v>506</v>
      </c>
    </row>
    <row r="170" spans="1:10" x14ac:dyDescent="0.25" outlineLevel="3" collapsed="1">
      <c r="A170" s="7" t="s">
        <v>19</v>
      </c>
      <c r="B170" s="7" t="s">
        <v>16</v>
      </c>
      <c r="C170" s="7" t="s">
        <v>17</v>
      </c>
      <c r="D170" s="7"/>
      <c r="E170" s="7" t="s">
        <v>501</v>
      </c>
      <c r="F170" s="7" t="s">
        <v>19</v>
      </c>
      <c r="G170" s="7" t="s">
        <v>31</v>
      </c>
      <c r="H170" s="7" t="s">
        <v>17</v>
      </c>
      <c r="I170" s="7" t="s">
        <v>17</v>
      </c>
      <c r="J170" s="7" t="s">
        <v>497</v>
      </c>
    </row>
    <row r="171" spans="1:10" x14ac:dyDescent="0.25" outlineLevel="1" collapsed="1">
      <c r="A171" s="8" t="s">
        <v>19</v>
      </c>
      <c r="B171" s="9" t="s">
        <v>3098</v>
      </c>
      <c r="C171" s="8" t="s">
        <v>17</v>
      </c>
      <c r="D171" s="8"/>
      <c r="E171" s="8" t="s">
        <v>596</v>
      </c>
      <c r="F171" s="8" t="s">
        <v>19</v>
      </c>
      <c r="G171" s="8" t="s">
        <v>17</v>
      </c>
      <c r="H171" s="8" t="s">
        <v>17</v>
      </c>
      <c r="I171" s="8" t="s">
        <v>17</v>
      </c>
      <c r="J171" s="8" t="s">
        <v>597</v>
      </c>
    </row>
    <row r="172" spans="1:10" x14ac:dyDescent="0.25" outlineLevel="2" collapsed="1">
      <c r="A172" s="7" t="s">
        <v>19</v>
      </c>
      <c r="B172" s="7" t="s">
        <v>16</v>
      </c>
      <c r="C172" s="7" t="s">
        <v>17</v>
      </c>
      <c r="D172" s="7"/>
      <c r="E172" s="7" t="s">
        <v>500</v>
      </c>
      <c r="F172" s="7" t="s">
        <v>19</v>
      </c>
      <c r="G172" s="7" t="s">
        <v>31</v>
      </c>
      <c r="H172" s="7" t="s">
        <v>17</v>
      </c>
      <c r="I172" s="7" t="s">
        <v>17</v>
      </c>
      <c r="J172" s="7" t="s">
        <v>494</v>
      </c>
    </row>
    <row r="173" spans="1:10" x14ac:dyDescent="0.25" outlineLevel="2" collapsed="1">
      <c r="A173" s="7" t="s">
        <v>19</v>
      </c>
      <c r="B173" s="7" t="s">
        <v>16</v>
      </c>
      <c r="C173" s="7" t="s">
        <v>17</v>
      </c>
      <c r="D173" s="7"/>
      <c r="E173" s="7" t="s">
        <v>501</v>
      </c>
      <c r="F173" s="7" t="s">
        <v>19</v>
      </c>
      <c r="G173" s="7" t="s">
        <v>31</v>
      </c>
      <c r="H173" s="7" t="s">
        <v>17</v>
      </c>
      <c r="I173" s="7" t="s">
        <v>17</v>
      </c>
      <c r="J173" s="7" t="s">
        <v>497</v>
      </c>
    </row>
    <row r="174" spans="1:10" x14ac:dyDescent="0.25" outlineLevel="2" collapsed="1">
      <c r="A174" s="8" t="s">
        <v>19</v>
      </c>
      <c r="B174" s="9" t="s">
        <v>502</v>
      </c>
      <c r="C174" s="8" t="s">
        <v>17</v>
      </c>
      <c r="D174" s="8"/>
      <c r="E174" s="8" t="s">
        <v>503</v>
      </c>
      <c r="F174" s="8" t="s">
        <v>15</v>
      </c>
      <c r="G174" s="8" t="s">
        <v>17</v>
      </c>
      <c r="H174" s="8" t="s">
        <v>17</v>
      </c>
      <c r="I174" s="8" t="s">
        <v>17</v>
      </c>
      <c r="J174" s="8" t="s">
        <v>504</v>
      </c>
    </row>
    <row r="175" spans="1:10" x14ac:dyDescent="0.25" outlineLevel="3" collapsed="1">
      <c r="A175" s="7" t="s">
        <v>19</v>
      </c>
      <c r="B175" s="7" t="s">
        <v>16</v>
      </c>
      <c r="C175" s="7" t="s">
        <v>17</v>
      </c>
      <c r="D175" s="7"/>
      <c r="E175" s="7" t="s">
        <v>505</v>
      </c>
      <c r="F175" s="7" t="s">
        <v>19</v>
      </c>
      <c r="G175" s="7" t="s">
        <v>31</v>
      </c>
      <c r="H175" s="7" t="s">
        <v>17</v>
      </c>
      <c r="I175" s="7" t="s">
        <v>17</v>
      </c>
      <c r="J175" s="7" t="s">
        <v>506</v>
      </c>
    </row>
    <row r="176" spans="1:10" x14ac:dyDescent="0.25" outlineLevel="3" collapsed="1">
      <c r="A176" s="7" t="s">
        <v>19</v>
      </c>
      <c r="B176" s="7" t="s">
        <v>16</v>
      </c>
      <c r="C176" s="7" t="s">
        <v>17</v>
      </c>
      <c r="D176" s="7"/>
      <c r="E176" s="7" t="s">
        <v>501</v>
      </c>
      <c r="F176" s="7" t="s">
        <v>19</v>
      </c>
      <c r="G176" s="7" t="s">
        <v>31</v>
      </c>
      <c r="H176" s="7" t="s">
        <v>17</v>
      </c>
      <c r="I176" s="7" t="s">
        <v>17</v>
      </c>
      <c r="J176" s="7" t="s">
        <v>497</v>
      </c>
    </row>
    <row r="177" spans="1:10" x14ac:dyDescent="0.25">
      <c r="A177" s="5" t="s">
        <v>15</v>
      </c>
      <c r="B177" s="6" t="s">
        <v>3099</v>
      </c>
      <c r="C177" s="5" t="s">
        <v>17</v>
      </c>
      <c r="D177" s="5"/>
      <c r="E177" s="5" t="s">
        <v>3099</v>
      </c>
      <c r="F177" s="5" t="s">
        <v>19</v>
      </c>
      <c r="G177" s="5" t="s">
        <v>17</v>
      </c>
      <c r="H177" s="5" t="s">
        <v>17</v>
      </c>
      <c r="I177" s="5" t="s">
        <v>17</v>
      </c>
      <c r="J177" s="5" t="s">
        <v>3100</v>
      </c>
    </row>
    <row r="178" spans="1:10" x14ac:dyDescent="0.25" outlineLevel="1" collapsed="1">
      <c r="A178" s="8" t="s">
        <v>15</v>
      </c>
      <c r="B178" s="9" t="s">
        <v>3101</v>
      </c>
      <c r="C178" s="8" t="s">
        <v>17</v>
      </c>
      <c r="D178" s="8"/>
      <c r="E178" s="8" t="s">
        <v>3101</v>
      </c>
      <c r="F178" s="8" t="s">
        <v>19</v>
      </c>
      <c r="G178" s="8" t="s">
        <v>17</v>
      </c>
      <c r="H178" s="8" t="s">
        <v>17</v>
      </c>
      <c r="I178" s="8" t="s">
        <v>17</v>
      </c>
      <c r="J178" s="8" t="s">
        <v>1322</v>
      </c>
    </row>
    <row r="179" spans="1:10" x14ac:dyDescent="0.25" outlineLevel="2" collapsed="1">
      <c r="A179" s="7" t="s">
        <v>15</v>
      </c>
      <c r="B179" s="7" t="s">
        <v>16</v>
      </c>
      <c r="C179" s="7" t="s">
        <v>17</v>
      </c>
      <c r="D179" s="7"/>
      <c r="E179" s="7" t="s">
        <v>492</v>
      </c>
      <c r="F179" s="7" t="s">
        <v>19</v>
      </c>
      <c r="G179" s="7" t="s">
        <v>493</v>
      </c>
      <c r="H179" s="7" t="s">
        <v>17</v>
      </c>
      <c r="I179" s="7" t="s">
        <v>17</v>
      </c>
      <c r="J179" s="7" t="s">
        <v>494</v>
      </c>
    </row>
    <row r="180" spans="1:10" x14ac:dyDescent="0.25" outlineLevel="2" collapsed="1">
      <c r="A180" s="7" t="s">
        <v>15</v>
      </c>
      <c r="B180" s="7" t="s">
        <v>16</v>
      </c>
      <c r="C180" s="7" t="s">
        <v>17</v>
      </c>
      <c r="D180" s="7"/>
      <c r="E180" s="7" t="s">
        <v>495</v>
      </c>
      <c r="F180" s="7" t="s">
        <v>19</v>
      </c>
      <c r="G180" s="7" t="s">
        <v>496</v>
      </c>
      <c r="H180" s="7" t="s">
        <v>17</v>
      </c>
      <c r="I180" s="7" t="s">
        <v>17</v>
      </c>
      <c r="J180" s="7" t="s">
        <v>497</v>
      </c>
    </row>
    <row r="181" spans="1:10" x14ac:dyDescent="0.25" outlineLevel="1" collapsed="1">
      <c r="A181" s="8" t="s">
        <v>15</v>
      </c>
      <c r="B181" s="9" t="s">
        <v>3102</v>
      </c>
      <c r="C181" s="8" t="s">
        <v>17</v>
      </c>
      <c r="D181" s="8"/>
      <c r="E181" s="8" t="s">
        <v>3103</v>
      </c>
      <c r="F181" s="8" t="s">
        <v>19</v>
      </c>
      <c r="G181" s="8" t="s">
        <v>17</v>
      </c>
      <c r="H181" s="8" t="s">
        <v>17</v>
      </c>
      <c r="I181" s="8" t="s">
        <v>17</v>
      </c>
      <c r="J181" s="8" t="s">
        <v>3104</v>
      </c>
    </row>
    <row r="182" spans="1:10" x14ac:dyDescent="0.25" outlineLevel="2" collapsed="1">
      <c r="A182" s="8" t="s">
        <v>15</v>
      </c>
      <c r="B182" s="9" t="s">
        <v>3105</v>
      </c>
      <c r="C182" s="8" t="s">
        <v>17</v>
      </c>
      <c r="D182" s="8"/>
      <c r="E182" s="8" t="s">
        <v>3106</v>
      </c>
      <c r="F182" s="8" t="s">
        <v>19</v>
      </c>
      <c r="G182" s="8" t="s">
        <v>17</v>
      </c>
      <c r="H182" s="8" t="s">
        <v>17</v>
      </c>
      <c r="I182" s="8" t="s">
        <v>17</v>
      </c>
      <c r="J182" s="8" t="s">
        <v>3107</v>
      </c>
    </row>
    <row r="183" spans="1:10" x14ac:dyDescent="0.25" outlineLevel="3" collapsed="1">
      <c r="A183" s="7" t="s">
        <v>15</v>
      </c>
      <c r="B183" s="7" t="s">
        <v>16</v>
      </c>
      <c r="C183" s="7" t="s">
        <v>17</v>
      </c>
      <c r="D183" s="7"/>
      <c r="E183" s="7" t="s">
        <v>3108</v>
      </c>
      <c r="F183" s="7" t="s">
        <v>19</v>
      </c>
      <c r="G183" s="7" t="s">
        <v>31</v>
      </c>
      <c r="H183" s="7" t="s">
        <v>17</v>
      </c>
      <c r="I183" s="7" t="s">
        <v>17</v>
      </c>
      <c r="J183" s="7" t="s">
        <v>494</v>
      </c>
    </row>
    <row r="184" spans="1:10" x14ac:dyDescent="0.25" outlineLevel="2" collapsed="1">
      <c r="A184" s="8" t="s">
        <v>15</v>
      </c>
      <c r="B184" s="9" t="s">
        <v>3109</v>
      </c>
      <c r="C184" s="8" t="s">
        <v>17</v>
      </c>
      <c r="D184" s="8"/>
      <c r="E184" s="8" t="s">
        <v>3110</v>
      </c>
      <c r="F184" s="8" t="s">
        <v>19</v>
      </c>
      <c r="G184" s="8" t="s">
        <v>17</v>
      </c>
      <c r="H184" s="8" t="s">
        <v>17</v>
      </c>
      <c r="I184" s="8" t="s">
        <v>17</v>
      </c>
      <c r="J184" s="8" t="s">
        <v>975</v>
      </c>
    </row>
    <row r="185" spans="1:10" x14ac:dyDescent="0.25" outlineLevel="3" collapsed="1">
      <c r="A185" s="8" t="s">
        <v>19</v>
      </c>
      <c r="B185" s="9" t="s">
        <v>3111</v>
      </c>
      <c r="C185" s="8" t="s">
        <v>17</v>
      </c>
      <c r="D185" s="8"/>
      <c r="E185" s="8" t="s">
        <v>3112</v>
      </c>
      <c r="F185" s="8" t="s">
        <v>15</v>
      </c>
      <c r="G185" s="8" t="s">
        <v>17</v>
      </c>
      <c r="H185" s="8" t="s">
        <v>17</v>
      </c>
      <c r="I185" s="8" t="s">
        <v>17</v>
      </c>
      <c r="J185" s="8" t="s">
        <v>868</v>
      </c>
    </row>
    <row r="186" spans="1:10" x14ac:dyDescent="0.25" outlineLevel="4" collapsed="1">
      <c r="A186" s="7" t="s">
        <v>19</v>
      </c>
      <c r="B186" s="7" t="s">
        <v>16</v>
      </c>
      <c r="C186" s="7" t="s">
        <v>17</v>
      </c>
      <c r="D186" s="7"/>
      <c r="E186" s="7" t="s">
        <v>3113</v>
      </c>
      <c r="F186" s="7" t="s">
        <v>19</v>
      </c>
      <c r="G186" s="7" t="s">
        <v>3114</v>
      </c>
      <c r="H186" s="7" t="s">
        <v>17</v>
      </c>
      <c r="I186" s="7" t="s">
        <v>17</v>
      </c>
      <c r="J186" s="7" t="s">
        <v>3115</v>
      </c>
    </row>
    <row r="187" spans="1:10" x14ac:dyDescent="0.25" outlineLevel="4" collapsed="1">
      <c r="A187" s="7" t="s">
        <v>19</v>
      </c>
      <c r="B187" s="7" t="s">
        <v>16</v>
      </c>
      <c r="C187" s="7" t="s">
        <v>17</v>
      </c>
      <c r="D187" s="7"/>
      <c r="E187" s="7" t="s">
        <v>3116</v>
      </c>
      <c r="F187" s="7" t="s">
        <v>19</v>
      </c>
      <c r="G187" s="7" t="s">
        <v>31</v>
      </c>
      <c r="H187" s="7" t="s">
        <v>17</v>
      </c>
      <c r="I187" s="7" t="s">
        <v>17</v>
      </c>
      <c r="J187" s="7" t="s">
        <v>979</v>
      </c>
    </row>
    <row r="188" spans="1:10" x14ac:dyDescent="0.25" outlineLevel="4" collapsed="1">
      <c r="A188" s="7" t="s">
        <v>19</v>
      </c>
      <c r="B188" s="7" t="s">
        <v>16</v>
      </c>
      <c r="C188" s="7" t="s">
        <v>17</v>
      </c>
      <c r="D188" s="7"/>
      <c r="E188" s="7" t="s">
        <v>3117</v>
      </c>
      <c r="F188" s="7" t="s">
        <v>19</v>
      </c>
      <c r="G188" s="7" t="s">
        <v>31</v>
      </c>
      <c r="H188" s="7" t="s">
        <v>17</v>
      </c>
      <c r="I188" s="7" t="s">
        <v>17</v>
      </c>
      <c r="J188" s="7" t="s">
        <v>497</v>
      </c>
    </row>
    <row r="189" spans="1:10" x14ac:dyDescent="0.25" outlineLevel="4" collapsed="1">
      <c r="A189" s="7" t="s">
        <v>19</v>
      </c>
      <c r="B189" s="7" t="s">
        <v>16</v>
      </c>
      <c r="C189" s="7" t="s">
        <v>17</v>
      </c>
      <c r="D189" s="7"/>
      <c r="E189" s="7" t="s">
        <v>3118</v>
      </c>
      <c r="F189" s="7" t="s">
        <v>19</v>
      </c>
      <c r="G189" s="7" t="s">
        <v>31</v>
      </c>
      <c r="H189" s="7" t="s">
        <v>17</v>
      </c>
      <c r="I189" s="7" t="s">
        <v>17</v>
      </c>
      <c r="J189" s="7" t="s">
        <v>494</v>
      </c>
    </row>
    <row r="190" spans="1:10" x14ac:dyDescent="0.25" outlineLevel="1" collapsed="1">
      <c r="A190" s="8" t="s">
        <v>15</v>
      </c>
      <c r="B190" s="9" t="s">
        <v>3119</v>
      </c>
      <c r="C190" s="8" t="s">
        <v>17</v>
      </c>
      <c r="D190" s="8"/>
      <c r="E190" s="8" t="s">
        <v>3119</v>
      </c>
      <c r="F190" s="8" t="s">
        <v>19</v>
      </c>
      <c r="G190" s="8" t="s">
        <v>17</v>
      </c>
      <c r="H190" s="8" t="s">
        <v>17</v>
      </c>
      <c r="I190" s="8" t="s">
        <v>17</v>
      </c>
      <c r="J190" s="8" t="s">
        <v>2496</v>
      </c>
    </row>
    <row r="191" spans="1:10" x14ac:dyDescent="0.25" outlineLevel="2" collapsed="1">
      <c r="A191" s="7" t="s">
        <v>15</v>
      </c>
      <c r="B191" s="7" t="s">
        <v>16</v>
      </c>
      <c r="C191" s="7" t="s">
        <v>17</v>
      </c>
      <c r="D191" s="7"/>
      <c r="E191" s="7" t="s">
        <v>492</v>
      </c>
      <c r="F191" s="7" t="s">
        <v>19</v>
      </c>
      <c r="G191" s="7" t="s">
        <v>493</v>
      </c>
      <c r="H191" s="7" t="s">
        <v>17</v>
      </c>
      <c r="I191" s="7" t="s">
        <v>17</v>
      </c>
      <c r="J191" s="7" t="s">
        <v>494</v>
      </c>
    </row>
    <row r="192" spans="1:10" x14ac:dyDescent="0.25" outlineLevel="2" collapsed="1">
      <c r="A192" s="7" t="s">
        <v>15</v>
      </c>
      <c r="B192" s="7" t="s">
        <v>16</v>
      </c>
      <c r="C192" s="7" t="s">
        <v>17</v>
      </c>
      <c r="D192" s="7"/>
      <c r="E192" s="7" t="s">
        <v>495</v>
      </c>
      <c r="F192" s="7" t="s">
        <v>19</v>
      </c>
      <c r="G192" s="7" t="s">
        <v>496</v>
      </c>
      <c r="H192" s="7" t="s">
        <v>17</v>
      </c>
      <c r="I192" s="7" t="s">
        <v>17</v>
      </c>
      <c r="J192" s="7" t="s">
        <v>497</v>
      </c>
    </row>
    <row r="193" spans="1:10" x14ac:dyDescent="0.25" outlineLevel="2" collapsed="1">
      <c r="A193" s="8" t="s">
        <v>19</v>
      </c>
      <c r="B193" s="9" t="s">
        <v>3120</v>
      </c>
      <c r="C193" s="8" t="s">
        <v>17</v>
      </c>
      <c r="D193" s="8"/>
      <c r="E193" s="8" t="s">
        <v>3121</v>
      </c>
      <c r="F193" s="8" t="s">
        <v>19</v>
      </c>
      <c r="G193" s="8" t="s">
        <v>17</v>
      </c>
      <c r="H193" s="8" t="s">
        <v>17</v>
      </c>
      <c r="I193" s="8" t="s">
        <v>17</v>
      </c>
      <c r="J193" s="8" t="s">
        <v>3122</v>
      </c>
    </row>
    <row r="194" spans="1:10" x14ac:dyDescent="0.25" outlineLevel="3" collapsed="1">
      <c r="A194" s="7" t="s">
        <v>15</v>
      </c>
      <c r="B194" s="7" t="s">
        <v>16</v>
      </c>
      <c r="C194" s="7" t="s">
        <v>17</v>
      </c>
      <c r="D194" s="7"/>
      <c r="E194" s="7" t="s">
        <v>3123</v>
      </c>
      <c r="F194" s="7" t="s">
        <v>19</v>
      </c>
      <c r="G194" s="7" t="s">
        <v>31</v>
      </c>
      <c r="H194" s="7" t="s">
        <v>17</v>
      </c>
      <c r="I194" s="7" t="s">
        <v>17</v>
      </c>
      <c r="J194" s="7" t="s">
        <v>494</v>
      </c>
    </row>
    <row r="195" spans="1:10" x14ac:dyDescent="0.25" outlineLevel="3" collapsed="1">
      <c r="A195" s="7" t="s">
        <v>15</v>
      </c>
      <c r="B195" s="7" t="s">
        <v>16</v>
      </c>
      <c r="C195" s="7" t="s">
        <v>17</v>
      </c>
      <c r="D195" s="7"/>
      <c r="E195" s="7" t="s">
        <v>3124</v>
      </c>
      <c r="F195" s="7" t="s">
        <v>19</v>
      </c>
      <c r="G195" s="7" t="s">
        <v>31</v>
      </c>
      <c r="H195" s="7" t="s">
        <v>17</v>
      </c>
      <c r="I195" s="7" t="s">
        <v>17</v>
      </c>
      <c r="J195" s="7" t="s">
        <v>497</v>
      </c>
    </row>
    <row r="196" spans="1:10" x14ac:dyDescent="0.25" outlineLevel="2" collapsed="1">
      <c r="A196" s="8" t="s">
        <v>19</v>
      </c>
      <c r="B196" s="9" t="s">
        <v>502</v>
      </c>
      <c r="C196" s="8" t="s">
        <v>17</v>
      </c>
      <c r="D196" s="8"/>
      <c r="E196" s="8" t="s">
        <v>503</v>
      </c>
      <c r="F196" s="8" t="s">
        <v>15</v>
      </c>
      <c r="G196" s="8" t="s">
        <v>17</v>
      </c>
      <c r="H196" s="8" t="s">
        <v>17</v>
      </c>
      <c r="I196" s="8" t="s">
        <v>17</v>
      </c>
      <c r="J196" s="8" t="s">
        <v>504</v>
      </c>
    </row>
    <row r="197" spans="1:10" x14ac:dyDescent="0.25" outlineLevel="3" collapsed="1">
      <c r="A197" s="7" t="s">
        <v>19</v>
      </c>
      <c r="B197" s="7" t="s">
        <v>16</v>
      </c>
      <c r="C197" s="7" t="s">
        <v>17</v>
      </c>
      <c r="D197" s="7"/>
      <c r="E197" s="7" t="s">
        <v>505</v>
      </c>
      <c r="F197" s="7" t="s">
        <v>19</v>
      </c>
      <c r="G197" s="7" t="s">
        <v>31</v>
      </c>
      <c r="H197" s="7" t="s">
        <v>17</v>
      </c>
      <c r="I197" s="7" t="s">
        <v>17</v>
      </c>
      <c r="J197" s="7" t="s">
        <v>506</v>
      </c>
    </row>
    <row r="198" spans="1:10" x14ac:dyDescent="0.25" outlineLevel="3" collapsed="1">
      <c r="A198" s="7" t="s">
        <v>19</v>
      </c>
      <c r="B198" s="7" t="s">
        <v>16</v>
      </c>
      <c r="C198" s="7" t="s">
        <v>17</v>
      </c>
      <c r="D198" s="7"/>
      <c r="E198" s="7" t="s">
        <v>501</v>
      </c>
      <c r="F198" s="7" t="s">
        <v>19</v>
      </c>
      <c r="G198" s="7" t="s">
        <v>31</v>
      </c>
      <c r="H198" s="7" t="s">
        <v>17</v>
      </c>
      <c r="I198" s="7" t="s">
        <v>17</v>
      </c>
      <c r="J198" s="7" t="s">
        <v>497</v>
      </c>
    </row>
    <row r="199" spans="1:10" x14ac:dyDescent="0.25" outlineLevel="1" collapsed="1">
      <c r="A199" s="8" t="s">
        <v>15</v>
      </c>
      <c r="B199" s="9" t="s">
        <v>3125</v>
      </c>
      <c r="C199" s="8" t="s">
        <v>17</v>
      </c>
      <c r="D199" s="8"/>
      <c r="E199" s="8" t="s">
        <v>3125</v>
      </c>
      <c r="F199" s="8" t="s">
        <v>19</v>
      </c>
      <c r="G199" s="8" t="s">
        <v>17</v>
      </c>
      <c r="H199" s="8" t="s">
        <v>17</v>
      </c>
      <c r="I199" s="8" t="s">
        <v>17</v>
      </c>
      <c r="J199" s="8" t="s">
        <v>2403</v>
      </c>
    </row>
    <row r="200" spans="1:10" x14ac:dyDescent="0.25" outlineLevel="2" collapsed="1">
      <c r="A200" s="7" t="s">
        <v>15</v>
      </c>
      <c r="B200" s="7" t="s">
        <v>16</v>
      </c>
      <c r="C200" s="7" t="s">
        <v>17</v>
      </c>
      <c r="D200" s="7"/>
      <c r="E200" s="7" t="s">
        <v>492</v>
      </c>
      <c r="F200" s="7" t="s">
        <v>19</v>
      </c>
      <c r="G200" s="7" t="s">
        <v>493</v>
      </c>
      <c r="H200" s="7" t="s">
        <v>17</v>
      </c>
      <c r="I200" s="7" t="s">
        <v>17</v>
      </c>
      <c r="J200" s="7" t="s">
        <v>494</v>
      </c>
    </row>
    <row r="201" spans="1:10" x14ac:dyDescent="0.25" outlineLevel="2" collapsed="1">
      <c r="A201" s="7" t="s">
        <v>15</v>
      </c>
      <c r="B201" s="7" t="s">
        <v>16</v>
      </c>
      <c r="C201" s="7" t="s">
        <v>17</v>
      </c>
      <c r="D201" s="7"/>
      <c r="E201" s="7" t="s">
        <v>495</v>
      </c>
      <c r="F201" s="7" t="s">
        <v>19</v>
      </c>
      <c r="G201" s="7" t="s">
        <v>496</v>
      </c>
      <c r="H201" s="7" t="s">
        <v>17</v>
      </c>
      <c r="I201" s="7" t="s">
        <v>17</v>
      </c>
      <c r="J201" s="7" t="s">
        <v>497</v>
      </c>
    </row>
    <row r="202" spans="1:10" x14ac:dyDescent="0.25" outlineLevel="2" collapsed="1">
      <c r="A202" s="8" t="s">
        <v>19</v>
      </c>
      <c r="B202" s="9" t="s">
        <v>3126</v>
      </c>
      <c r="C202" s="8" t="s">
        <v>17</v>
      </c>
      <c r="D202" s="8"/>
      <c r="E202" s="8" t="s">
        <v>3126</v>
      </c>
      <c r="F202" s="8" t="s">
        <v>19</v>
      </c>
      <c r="G202" s="8" t="s">
        <v>17</v>
      </c>
      <c r="H202" s="8" t="s">
        <v>17</v>
      </c>
      <c r="I202" s="8" t="s">
        <v>17</v>
      </c>
      <c r="J202" s="8" t="s">
        <v>518</v>
      </c>
    </row>
    <row r="203" spans="1:10" x14ac:dyDescent="0.25" outlineLevel="3" collapsed="1">
      <c r="A203" s="7" t="s">
        <v>15</v>
      </c>
      <c r="B203" s="7" t="s">
        <v>16</v>
      </c>
      <c r="C203" s="7" t="s">
        <v>17</v>
      </c>
      <c r="D203" s="7"/>
      <c r="E203" s="7" t="s">
        <v>3127</v>
      </c>
      <c r="F203" s="7" t="s">
        <v>19</v>
      </c>
      <c r="G203" s="7" t="s">
        <v>31</v>
      </c>
      <c r="H203" s="7" t="s">
        <v>17</v>
      </c>
      <c r="I203" s="7" t="s">
        <v>17</v>
      </c>
      <c r="J203" s="7" t="s">
        <v>494</v>
      </c>
    </row>
    <row r="204" spans="1:10" x14ac:dyDescent="0.25" outlineLevel="3" collapsed="1">
      <c r="A204" s="7" t="s">
        <v>15</v>
      </c>
      <c r="B204" s="7" t="s">
        <v>16</v>
      </c>
      <c r="C204" s="7" t="s">
        <v>17</v>
      </c>
      <c r="D204" s="7"/>
      <c r="E204" s="7" t="s">
        <v>3128</v>
      </c>
      <c r="F204" s="7" t="s">
        <v>19</v>
      </c>
      <c r="G204" s="7" t="s">
        <v>31</v>
      </c>
      <c r="H204" s="7" t="s">
        <v>17</v>
      </c>
      <c r="I204" s="7" t="s">
        <v>17</v>
      </c>
      <c r="J204" s="7" t="s">
        <v>497</v>
      </c>
    </row>
    <row r="205" spans="1:10" x14ac:dyDescent="0.25" outlineLevel="2" collapsed="1">
      <c r="A205" s="8" t="s">
        <v>19</v>
      </c>
      <c r="B205" s="9" t="s">
        <v>502</v>
      </c>
      <c r="C205" s="8" t="s">
        <v>17</v>
      </c>
      <c r="D205" s="8"/>
      <c r="E205" s="8" t="s">
        <v>503</v>
      </c>
      <c r="F205" s="8" t="s">
        <v>15</v>
      </c>
      <c r="G205" s="8" t="s">
        <v>17</v>
      </c>
      <c r="H205" s="8" t="s">
        <v>17</v>
      </c>
      <c r="I205" s="8" t="s">
        <v>17</v>
      </c>
      <c r="J205" s="8" t="s">
        <v>504</v>
      </c>
    </row>
    <row r="206" spans="1:10" x14ac:dyDescent="0.25" outlineLevel="3" collapsed="1">
      <c r="A206" s="7" t="s">
        <v>19</v>
      </c>
      <c r="B206" s="7" t="s">
        <v>16</v>
      </c>
      <c r="C206" s="7" t="s">
        <v>17</v>
      </c>
      <c r="D206" s="7"/>
      <c r="E206" s="7" t="s">
        <v>505</v>
      </c>
      <c r="F206" s="7" t="s">
        <v>19</v>
      </c>
      <c r="G206" s="7" t="s">
        <v>31</v>
      </c>
      <c r="H206" s="7" t="s">
        <v>17</v>
      </c>
      <c r="I206" s="7" t="s">
        <v>17</v>
      </c>
      <c r="J206" s="7" t="s">
        <v>506</v>
      </c>
    </row>
    <row r="207" spans="1:10" x14ac:dyDescent="0.25" outlineLevel="3" collapsed="1">
      <c r="A207" s="7" t="s">
        <v>19</v>
      </c>
      <c r="B207" s="7" t="s">
        <v>16</v>
      </c>
      <c r="C207" s="7" t="s">
        <v>17</v>
      </c>
      <c r="D207" s="7"/>
      <c r="E207" s="7" t="s">
        <v>501</v>
      </c>
      <c r="F207" s="7" t="s">
        <v>19</v>
      </c>
      <c r="G207" s="7" t="s">
        <v>31</v>
      </c>
      <c r="H207" s="7" t="s">
        <v>17</v>
      </c>
      <c r="I207" s="7" t="s">
        <v>17</v>
      </c>
      <c r="J207" s="7" t="s">
        <v>497</v>
      </c>
    </row>
    <row r="208" spans="1:10" x14ac:dyDescent="0.25" outlineLevel="1" collapsed="1">
      <c r="A208" s="8" t="s">
        <v>15</v>
      </c>
      <c r="B208" s="9" t="s">
        <v>3129</v>
      </c>
      <c r="C208" s="8" t="s">
        <v>17</v>
      </c>
      <c r="D208" s="8"/>
      <c r="E208" s="8" t="s">
        <v>3129</v>
      </c>
      <c r="F208" s="8" t="s">
        <v>19</v>
      </c>
      <c r="G208" s="8" t="s">
        <v>17</v>
      </c>
      <c r="H208" s="8" t="s">
        <v>17</v>
      </c>
      <c r="I208" s="8" t="s">
        <v>17</v>
      </c>
      <c r="J208" s="8" t="s">
        <v>2405</v>
      </c>
    </row>
    <row r="209" spans="1:10" x14ac:dyDescent="0.25" outlineLevel="2" collapsed="1">
      <c r="A209" s="8" t="s">
        <v>15</v>
      </c>
      <c r="B209" s="9" t="s">
        <v>3130</v>
      </c>
      <c r="C209" s="8" t="s">
        <v>17</v>
      </c>
      <c r="D209" s="8"/>
      <c r="E209" s="8" t="s">
        <v>3131</v>
      </c>
      <c r="F209" s="8" t="s">
        <v>19</v>
      </c>
      <c r="G209" s="8" t="s">
        <v>17</v>
      </c>
      <c r="H209" s="8" t="s">
        <v>17</v>
      </c>
      <c r="I209" s="8" t="s">
        <v>17</v>
      </c>
      <c r="J209" s="8" t="s">
        <v>2573</v>
      </c>
    </row>
    <row r="210" spans="1:10" x14ac:dyDescent="0.25" outlineLevel="3" collapsed="1">
      <c r="A210" s="7" t="s">
        <v>15</v>
      </c>
      <c r="B210" s="7" t="s">
        <v>16</v>
      </c>
      <c r="C210" s="7" t="s">
        <v>17</v>
      </c>
      <c r="D210" s="7"/>
      <c r="E210" s="7" t="s">
        <v>3132</v>
      </c>
      <c r="F210" s="7" t="s">
        <v>19</v>
      </c>
      <c r="G210" s="7" t="s">
        <v>31</v>
      </c>
      <c r="H210" s="7" t="s">
        <v>17</v>
      </c>
      <c r="I210" s="7" t="s">
        <v>17</v>
      </c>
      <c r="J210" s="7" t="s">
        <v>494</v>
      </c>
    </row>
    <row r="211" spans="1:10" x14ac:dyDescent="0.25" outlineLevel="3" collapsed="1">
      <c r="A211" s="7" t="s">
        <v>15</v>
      </c>
      <c r="B211" s="7" t="s">
        <v>16</v>
      </c>
      <c r="C211" s="7" t="s">
        <v>17</v>
      </c>
      <c r="D211" s="7"/>
      <c r="E211" s="7" t="s">
        <v>3133</v>
      </c>
      <c r="F211" s="7" t="s">
        <v>19</v>
      </c>
      <c r="G211" s="7" t="s">
        <v>31</v>
      </c>
      <c r="H211" s="7" t="s">
        <v>17</v>
      </c>
      <c r="I211" s="7" t="s">
        <v>17</v>
      </c>
      <c r="J211" s="7" t="s">
        <v>497</v>
      </c>
    </row>
    <row r="212" spans="1:10" x14ac:dyDescent="0.25" outlineLevel="2" collapsed="1">
      <c r="A212" s="8" t="s">
        <v>15</v>
      </c>
      <c r="B212" s="9" t="s">
        <v>3134</v>
      </c>
      <c r="C212" s="8" t="s">
        <v>17</v>
      </c>
      <c r="D212" s="8"/>
      <c r="E212" s="8" t="s">
        <v>3134</v>
      </c>
      <c r="F212" s="8" t="s">
        <v>19</v>
      </c>
      <c r="G212" s="8" t="s">
        <v>17</v>
      </c>
      <c r="H212" s="8" t="s">
        <v>17</v>
      </c>
      <c r="I212" s="8" t="s">
        <v>17</v>
      </c>
      <c r="J212" s="8" t="s">
        <v>2576</v>
      </c>
    </row>
    <row r="213" spans="1:10" x14ac:dyDescent="0.25" outlineLevel="3" collapsed="1">
      <c r="A213" s="7" t="s">
        <v>15</v>
      </c>
      <c r="B213" s="7" t="s">
        <v>16</v>
      </c>
      <c r="C213" s="7" t="s">
        <v>17</v>
      </c>
      <c r="D213" s="7"/>
      <c r="E213" s="7" t="s">
        <v>3135</v>
      </c>
      <c r="F213" s="7" t="s">
        <v>19</v>
      </c>
      <c r="G213" s="7" t="s">
        <v>31</v>
      </c>
      <c r="H213" s="7" t="s">
        <v>17</v>
      </c>
      <c r="I213" s="7" t="s">
        <v>17</v>
      </c>
      <c r="J213" s="7" t="s">
        <v>494</v>
      </c>
    </row>
    <row r="214" spans="1:10" x14ac:dyDescent="0.25" outlineLevel="3" collapsed="1">
      <c r="A214" s="7" t="s">
        <v>15</v>
      </c>
      <c r="B214" s="7" t="s">
        <v>16</v>
      </c>
      <c r="C214" s="7" t="s">
        <v>17</v>
      </c>
      <c r="D214" s="7"/>
      <c r="E214" s="7" t="s">
        <v>3136</v>
      </c>
      <c r="F214" s="7" t="s">
        <v>19</v>
      </c>
      <c r="G214" s="7" t="s">
        <v>31</v>
      </c>
      <c r="H214" s="7" t="s">
        <v>17</v>
      </c>
      <c r="I214" s="7" t="s">
        <v>17</v>
      </c>
      <c r="J214" s="7" t="s">
        <v>497</v>
      </c>
    </row>
    <row r="215" spans="1:10" x14ac:dyDescent="0.25" outlineLevel="1" collapsed="1">
      <c r="A215" s="8" t="s">
        <v>15</v>
      </c>
      <c r="B215" s="9" t="s">
        <v>3137</v>
      </c>
      <c r="C215" s="8" t="s">
        <v>17</v>
      </c>
      <c r="D215" s="8"/>
      <c r="E215" s="8" t="s">
        <v>3137</v>
      </c>
      <c r="F215" s="8" t="s">
        <v>19</v>
      </c>
      <c r="G215" s="8" t="s">
        <v>17</v>
      </c>
      <c r="H215" s="8" t="s">
        <v>17</v>
      </c>
      <c r="I215" s="8" t="s">
        <v>17</v>
      </c>
      <c r="J215" s="8" t="s">
        <v>491</v>
      </c>
    </row>
    <row r="216" spans="1:10" x14ac:dyDescent="0.25" outlineLevel="2" collapsed="1">
      <c r="A216" s="7" t="s">
        <v>15</v>
      </c>
      <c r="B216" s="7" t="s">
        <v>16</v>
      </c>
      <c r="C216" s="7" t="s">
        <v>17</v>
      </c>
      <c r="D216" s="7"/>
      <c r="E216" s="7" t="s">
        <v>492</v>
      </c>
      <c r="F216" s="7" t="s">
        <v>19</v>
      </c>
      <c r="G216" s="7" t="s">
        <v>493</v>
      </c>
      <c r="H216" s="7" t="s">
        <v>17</v>
      </c>
      <c r="I216" s="7" t="s">
        <v>17</v>
      </c>
      <c r="J216" s="7" t="s">
        <v>494</v>
      </c>
    </row>
    <row r="217" spans="1:10" x14ac:dyDescent="0.25" outlineLevel="2" collapsed="1">
      <c r="A217" s="7" t="s">
        <v>15</v>
      </c>
      <c r="B217" s="7" t="s">
        <v>16</v>
      </c>
      <c r="C217" s="7" t="s">
        <v>17</v>
      </c>
      <c r="D217" s="7"/>
      <c r="E217" s="7" t="s">
        <v>495</v>
      </c>
      <c r="F217" s="7" t="s">
        <v>19</v>
      </c>
      <c r="G217" s="7" t="s">
        <v>496</v>
      </c>
      <c r="H217" s="7" t="s">
        <v>17</v>
      </c>
      <c r="I217" s="7" t="s">
        <v>17</v>
      </c>
      <c r="J217" s="7" t="s">
        <v>497</v>
      </c>
    </row>
    <row r="218" spans="1:10" x14ac:dyDescent="0.25" outlineLevel="2" collapsed="1">
      <c r="A218" s="8" t="s">
        <v>19</v>
      </c>
      <c r="B218" s="9" t="s">
        <v>502</v>
      </c>
      <c r="C218" s="8" t="s">
        <v>17</v>
      </c>
      <c r="D218" s="8"/>
      <c r="E218" s="8" t="s">
        <v>503</v>
      </c>
      <c r="F218" s="8" t="s">
        <v>15</v>
      </c>
      <c r="G218" s="8" t="s">
        <v>17</v>
      </c>
      <c r="H218" s="8" t="s">
        <v>17</v>
      </c>
      <c r="I218" s="8" t="s">
        <v>17</v>
      </c>
      <c r="J218" s="8" t="s">
        <v>504</v>
      </c>
    </row>
    <row r="219" spans="1:10" x14ac:dyDescent="0.25" outlineLevel="3" collapsed="1">
      <c r="A219" s="7" t="s">
        <v>19</v>
      </c>
      <c r="B219" s="7" t="s">
        <v>16</v>
      </c>
      <c r="C219" s="7" t="s">
        <v>17</v>
      </c>
      <c r="D219" s="7"/>
      <c r="E219" s="7" t="s">
        <v>505</v>
      </c>
      <c r="F219" s="7" t="s">
        <v>19</v>
      </c>
      <c r="G219" s="7" t="s">
        <v>31</v>
      </c>
      <c r="H219" s="7" t="s">
        <v>17</v>
      </c>
      <c r="I219" s="7" t="s">
        <v>17</v>
      </c>
      <c r="J219" s="7" t="s">
        <v>506</v>
      </c>
    </row>
    <row r="220" spans="1:10" x14ac:dyDescent="0.25" outlineLevel="3" collapsed="1">
      <c r="A220" s="7" t="s">
        <v>19</v>
      </c>
      <c r="B220" s="7" t="s">
        <v>16</v>
      </c>
      <c r="C220" s="7" t="s">
        <v>17</v>
      </c>
      <c r="D220" s="7"/>
      <c r="E220" s="7" t="s">
        <v>501</v>
      </c>
      <c r="F220" s="7" t="s">
        <v>19</v>
      </c>
      <c r="G220" s="7" t="s">
        <v>31</v>
      </c>
      <c r="H220" s="7" t="s">
        <v>17</v>
      </c>
      <c r="I220" s="7" t="s">
        <v>17</v>
      </c>
      <c r="J220" s="7" t="s">
        <v>497</v>
      </c>
    </row>
    <row r="221" spans="1:10" x14ac:dyDescent="0.25" outlineLevel="1" collapsed="1">
      <c r="A221" s="8" t="s">
        <v>19</v>
      </c>
      <c r="B221" s="9" t="s">
        <v>3138</v>
      </c>
      <c r="C221" s="8" t="s">
        <v>17</v>
      </c>
      <c r="D221" s="8"/>
      <c r="E221" s="8" t="s">
        <v>1321</v>
      </c>
      <c r="F221" s="8" t="s">
        <v>15</v>
      </c>
      <c r="G221" s="8" t="s">
        <v>17</v>
      </c>
      <c r="H221" s="8" t="s">
        <v>17</v>
      </c>
      <c r="I221" s="8" t="s">
        <v>17</v>
      </c>
      <c r="J221" s="8" t="s">
        <v>3139</v>
      </c>
    </row>
    <row r="222" spans="1:10" x14ac:dyDescent="0.25" outlineLevel="2" collapsed="1">
      <c r="A222" s="7" t="s">
        <v>19</v>
      </c>
      <c r="B222" s="7" t="s">
        <v>16</v>
      </c>
      <c r="C222" s="7" t="s">
        <v>17</v>
      </c>
      <c r="D222" s="7"/>
      <c r="E222" s="7" t="s">
        <v>478</v>
      </c>
      <c r="F222" s="7" t="s">
        <v>19</v>
      </c>
      <c r="G222" s="7" t="s">
        <v>31</v>
      </c>
      <c r="H222" s="7" t="s">
        <v>17</v>
      </c>
      <c r="I222" s="7" t="s">
        <v>17</v>
      </c>
      <c r="J222" s="7" t="s">
        <v>1323</v>
      </c>
    </row>
    <row r="223" spans="1:10" x14ac:dyDescent="0.25" outlineLevel="2" collapsed="1">
      <c r="A223" s="7" t="s">
        <v>19</v>
      </c>
      <c r="B223" s="7" t="s">
        <v>16</v>
      </c>
      <c r="C223" s="7" t="s">
        <v>17</v>
      </c>
      <c r="D223" s="7"/>
      <c r="E223" s="7" t="s">
        <v>1324</v>
      </c>
      <c r="F223" s="7" t="s">
        <v>19</v>
      </c>
      <c r="G223" s="7" t="s">
        <v>31</v>
      </c>
      <c r="H223" s="7" t="s">
        <v>17</v>
      </c>
      <c r="I223" s="7" t="s">
        <v>17</v>
      </c>
      <c r="J223" s="7" t="s">
        <v>1325</v>
      </c>
    </row>
    <row r="224" spans="1:10" x14ac:dyDescent="0.25" outlineLevel="2" collapsed="1">
      <c r="A224" s="7" t="s">
        <v>19</v>
      </c>
      <c r="B224" s="7" t="s">
        <v>16</v>
      </c>
      <c r="C224" s="7" t="s">
        <v>17</v>
      </c>
      <c r="D224" s="7"/>
      <c r="E224" s="7" t="s">
        <v>1326</v>
      </c>
      <c r="F224" s="7" t="s">
        <v>19</v>
      </c>
      <c r="G224" s="7" t="s">
        <v>31</v>
      </c>
      <c r="H224" s="7" t="s">
        <v>17</v>
      </c>
      <c r="I224" s="7" t="s">
        <v>17</v>
      </c>
      <c r="J224" s="7" t="s">
        <v>1327</v>
      </c>
    </row>
    <row r="225" spans="1:10" x14ac:dyDescent="0.25" outlineLevel="2" collapsed="1">
      <c r="A225" s="7" t="s">
        <v>19</v>
      </c>
      <c r="B225" s="7" t="s">
        <v>16</v>
      </c>
      <c r="C225" s="7" t="s">
        <v>17</v>
      </c>
      <c r="D225" s="7"/>
      <c r="E225" s="7" t="s">
        <v>1328</v>
      </c>
      <c r="F225" s="7" t="s">
        <v>19</v>
      </c>
      <c r="G225" s="7" t="s">
        <v>31</v>
      </c>
      <c r="H225" s="7" t="s">
        <v>17</v>
      </c>
      <c r="I225" s="7" t="s">
        <v>17</v>
      </c>
      <c r="J225" s="7" t="s">
        <v>824</v>
      </c>
    </row>
    <row r="226" spans="1:10" x14ac:dyDescent="0.25" outlineLevel="2" collapsed="1">
      <c r="A226" s="7" t="s">
        <v>19</v>
      </c>
      <c r="B226" s="7" t="s">
        <v>16</v>
      </c>
      <c r="C226" s="7" t="s">
        <v>17</v>
      </c>
      <c r="D226" s="7"/>
      <c r="E226" s="7" t="s">
        <v>3140</v>
      </c>
      <c r="F226" s="7" t="s">
        <v>19</v>
      </c>
      <c r="G226" s="7" t="s">
        <v>31</v>
      </c>
      <c r="H226" s="7" t="s">
        <v>17</v>
      </c>
      <c r="I226" s="7" t="s">
        <v>17</v>
      </c>
      <c r="J226" s="7" t="s">
        <v>818</v>
      </c>
    </row>
    <row r="227" spans="1:10" x14ac:dyDescent="0.25" outlineLevel="1" collapsed="1">
      <c r="A227" s="8" t="s">
        <v>19</v>
      </c>
      <c r="B227" s="9" t="s">
        <v>3141</v>
      </c>
      <c r="C227" s="8" t="s">
        <v>17</v>
      </c>
      <c r="D227" s="8"/>
      <c r="E227" s="8" t="s">
        <v>974</v>
      </c>
      <c r="F227" s="8" t="s">
        <v>15</v>
      </c>
      <c r="G227" s="8" t="s">
        <v>17</v>
      </c>
      <c r="H227" s="8" t="s">
        <v>17</v>
      </c>
      <c r="I227" s="8" t="s">
        <v>17</v>
      </c>
      <c r="J227" s="8" t="s">
        <v>975</v>
      </c>
    </row>
    <row r="228" spans="1:10" x14ac:dyDescent="0.25" outlineLevel="2" collapsed="1">
      <c r="A228" s="7" t="s">
        <v>19</v>
      </c>
      <c r="B228" s="7" t="s">
        <v>16</v>
      </c>
      <c r="C228" s="7" t="s">
        <v>17</v>
      </c>
      <c r="D228" s="7"/>
      <c r="E228" s="7" t="s">
        <v>3142</v>
      </c>
      <c r="F228" s="7" t="s">
        <v>19</v>
      </c>
      <c r="G228" s="7" t="s">
        <v>31</v>
      </c>
      <c r="H228" s="7" t="s">
        <v>17</v>
      </c>
      <c r="I228" s="7" t="s">
        <v>17</v>
      </c>
      <c r="J228" s="7" t="s">
        <v>3143</v>
      </c>
    </row>
    <row r="229" spans="1:10" x14ac:dyDescent="0.25" outlineLevel="2" collapsed="1">
      <c r="A229" s="7" t="s">
        <v>19</v>
      </c>
      <c r="B229" s="7" t="s">
        <v>16</v>
      </c>
      <c r="C229" s="7" t="s">
        <v>17</v>
      </c>
      <c r="D229" s="7"/>
      <c r="E229" s="7" t="s">
        <v>978</v>
      </c>
      <c r="F229" s="7" t="s">
        <v>19</v>
      </c>
      <c r="G229" s="7" t="s">
        <v>31</v>
      </c>
      <c r="H229" s="7" t="s">
        <v>17</v>
      </c>
      <c r="I229" s="7" t="s">
        <v>17</v>
      </c>
      <c r="J229" s="7" t="s">
        <v>979</v>
      </c>
    </row>
    <row r="230" spans="1:10" x14ac:dyDescent="0.25" outlineLevel="2" collapsed="1">
      <c r="A230" s="7" t="s">
        <v>19</v>
      </c>
      <c r="B230" s="7" t="s">
        <v>16</v>
      </c>
      <c r="C230" s="7" t="s">
        <v>17</v>
      </c>
      <c r="D230" s="7"/>
      <c r="E230" s="7" t="s">
        <v>501</v>
      </c>
      <c r="F230" s="7" t="s">
        <v>19</v>
      </c>
      <c r="G230" s="7" t="s">
        <v>31</v>
      </c>
      <c r="H230" s="7" t="s">
        <v>17</v>
      </c>
      <c r="I230" s="7" t="s">
        <v>17</v>
      </c>
      <c r="J230" s="7" t="s">
        <v>497</v>
      </c>
    </row>
    <row r="231" spans="1:10" x14ac:dyDescent="0.25" outlineLevel="2" collapsed="1">
      <c r="A231" s="7" t="s">
        <v>19</v>
      </c>
      <c r="B231" s="7" t="s">
        <v>16</v>
      </c>
      <c r="C231" s="7" t="s">
        <v>17</v>
      </c>
      <c r="D231" s="7"/>
      <c r="E231" s="7" t="s">
        <v>500</v>
      </c>
      <c r="F231" s="7" t="s">
        <v>19</v>
      </c>
      <c r="G231" s="7" t="s">
        <v>31</v>
      </c>
      <c r="H231" s="7" t="s">
        <v>17</v>
      </c>
      <c r="I231" s="7" t="s">
        <v>17</v>
      </c>
      <c r="J231" s="7" t="s">
        <v>494</v>
      </c>
    </row>
    <row r="232" spans="1:10" x14ac:dyDescent="0.25" outlineLevel="1" collapsed="1">
      <c r="A232" s="8" t="s">
        <v>19</v>
      </c>
      <c r="B232" s="9" t="s">
        <v>3144</v>
      </c>
      <c r="C232" s="8" t="s">
        <v>17</v>
      </c>
      <c r="D232" s="8"/>
      <c r="E232" s="8" t="s">
        <v>3145</v>
      </c>
      <c r="F232" s="8" t="s">
        <v>15</v>
      </c>
      <c r="G232" s="8" t="s">
        <v>17</v>
      </c>
      <c r="H232" s="8" t="s">
        <v>17</v>
      </c>
      <c r="I232" s="8" t="s">
        <v>17</v>
      </c>
      <c r="J232" s="8" t="s">
        <v>3146</v>
      </c>
    </row>
    <row r="233" spans="1:10" x14ac:dyDescent="0.25" outlineLevel="2" collapsed="1">
      <c r="A233" s="7" t="s">
        <v>19</v>
      </c>
      <c r="B233" s="7" t="s">
        <v>16</v>
      </c>
      <c r="C233" s="7" t="s">
        <v>17</v>
      </c>
      <c r="D233" s="7"/>
      <c r="E233" s="7" t="s">
        <v>2513</v>
      </c>
      <c r="F233" s="7" t="s">
        <v>19</v>
      </c>
      <c r="G233" s="7" t="s">
        <v>31</v>
      </c>
      <c r="H233" s="7" t="s">
        <v>17</v>
      </c>
      <c r="I233" s="7" t="s">
        <v>17</v>
      </c>
      <c r="J233" s="7" t="s">
        <v>2514</v>
      </c>
    </row>
    <row r="234" spans="1:10" x14ac:dyDescent="0.25" outlineLevel="2" collapsed="1">
      <c r="A234" s="7" t="s">
        <v>19</v>
      </c>
      <c r="B234" s="7" t="s">
        <v>16</v>
      </c>
      <c r="C234" s="7" t="s">
        <v>17</v>
      </c>
      <c r="D234" s="7"/>
      <c r="E234" s="7" t="s">
        <v>3147</v>
      </c>
      <c r="F234" s="7" t="s">
        <v>19</v>
      </c>
      <c r="G234" s="7" t="s">
        <v>31</v>
      </c>
      <c r="H234" s="7" t="s">
        <v>17</v>
      </c>
      <c r="I234" s="7" t="s">
        <v>17</v>
      </c>
      <c r="J234" s="7" t="s">
        <v>2510</v>
      </c>
    </row>
    <row r="235" spans="1:10" x14ac:dyDescent="0.25" outlineLevel="2" collapsed="1">
      <c r="A235" s="7" t="s">
        <v>19</v>
      </c>
      <c r="B235" s="7" t="s">
        <v>16</v>
      </c>
      <c r="C235" s="7" t="s">
        <v>17</v>
      </c>
      <c r="D235" s="7"/>
      <c r="E235" s="7" t="s">
        <v>1256</v>
      </c>
      <c r="F235" s="7" t="s">
        <v>19</v>
      </c>
      <c r="G235" s="7" t="s">
        <v>31</v>
      </c>
      <c r="H235" s="7" t="s">
        <v>17</v>
      </c>
      <c r="I235" s="7" t="s">
        <v>17</v>
      </c>
      <c r="J235" s="7" t="s">
        <v>1257</v>
      </c>
    </row>
    <row r="236" spans="1:10" x14ac:dyDescent="0.25" outlineLevel="1" collapsed="1">
      <c r="A236" s="8" t="s">
        <v>19</v>
      </c>
      <c r="B236" s="9" t="s">
        <v>3148</v>
      </c>
      <c r="C236" s="8" t="s">
        <v>17</v>
      </c>
      <c r="D236" s="8"/>
      <c r="E236" s="8" t="s">
        <v>3149</v>
      </c>
      <c r="F236" s="8" t="s">
        <v>15</v>
      </c>
      <c r="G236" s="8" t="s">
        <v>17</v>
      </c>
      <c r="H236" s="8" t="s">
        <v>17</v>
      </c>
      <c r="I236" s="8" t="s">
        <v>17</v>
      </c>
      <c r="J236" s="8" t="s">
        <v>3150</v>
      </c>
    </row>
    <row r="237" spans="1:10" x14ac:dyDescent="0.25" outlineLevel="2" collapsed="1">
      <c r="A237" s="7" t="s">
        <v>19</v>
      </c>
      <c r="B237" s="7" t="s">
        <v>16</v>
      </c>
      <c r="C237" s="7" t="s">
        <v>17</v>
      </c>
      <c r="D237" s="7"/>
      <c r="E237" s="7" t="s">
        <v>2515</v>
      </c>
      <c r="F237" s="7" t="s">
        <v>19</v>
      </c>
      <c r="G237" s="7" t="s">
        <v>31</v>
      </c>
      <c r="H237" s="7" t="s">
        <v>17</v>
      </c>
      <c r="I237" s="7" t="s">
        <v>17</v>
      </c>
      <c r="J237" s="7" t="s">
        <v>2516</v>
      </c>
    </row>
    <row r="238" spans="1:10" x14ac:dyDescent="0.25" outlineLevel="2" collapsed="1">
      <c r="A238" s="7" t="s">
        <v>19</v>
      </c>
      <c r="B238" s="7" t="s">
        <v>16</v>
      </c>
      <c r="C238" s="7" t="s">
        <v>17</v>
      </c>
      <c r="D238" s="7"/>
      <c r="E238" s="7" t="s">
        <v>478</v>
      </c>
      <c r="F238" s="7" t="s">
        <v>19</v>
      </c>
      <c r="G238" s="7" t="s">
        <v>31</v>
      </c>
      <c r="H238" s="7" t="s">
        <v>17</v>
      </c>
      <c r="I238" s="7" t="s">
        <v>17</v>
      </c>
      <c r="J238" s="7" t="s">
        <v>1323</v>
      </c>
    </row>
    <row r="239" spans="1:10" x14ac:dyDescent="0.25" outlineLevel="2" collapsed="1">
      <c r="A239" s="7" t="s">
        <v>19</v>
      </c>
      <c r="B239" s="7" t="s">
        <v>16</v>
      </c>
      <c r="C239" s="7" t="s">
        <v>17</v>
      </c>
      <c r="D239" s="7"/>
      <c r="E239" s="7" t="s">
        <v>3151</v>
      </c>
      <c r="F239" s="7" t="s">
        <v>19</v>
      </c>
      <c r="G239" s="7" t="s">
        <v>31</v>
      </c>
      <c r="H239" s="7" t="s">
        <v>17</v>
      </c>
      <c r="I239" s="7" t="s">
        <v>17</v>
      </c>
      <c r="J239" s="7" t="s">
        <v>2508</v>
      </c>
    </row>
    <row r="240" spans="1:10" x14ac:dyDescent="0.25" outlineLevel="2" collapsed="1">
      <c r="A240" s="7" t="s">
        <v>19</v>
      </c>
      <c r="B240" s="7" t="s">
        <v>16</v>
      </c>
      <c r="C240" s="7" t="s">
        <v>17</v>
      </c>
      <c r="D240" s="7"/>
      <c r="E240" s="7" t="s">
        <v>3147</v>
      </c>
      <c r="F240" s="7" t="s">
        <v>19</v>
      </c>
      <c r="G240" s="7" t="s">
        <v>31</v>
      </c>
      <c r="H240" s="7" t="s">
        <v>17</v>
      </c>
      <c r="I240" s="7" t="s">
        <v>17</v>
      </c>
      <c r="J240" s="7" t="s">
        <v>2510</v>
      </c>
    </row>
    <row r="241" spans="1:10" x14ac:dyDescent="0.25" outlineLevel="2" collapsed="1">
      <c r="A241" s="7" t="s">
        <v>19</v>
      </c>
      <c r="B241" s="7" t="s">
        <v>16</v>
      </c>
      <c r="C241" s="7" t="s">
        <v>17</v>
      </c>
      <c r="D241" s="7"/>
      <c r="E241" s="7" t="s">
        <v>1256</v>
      </c>
      <c r="F241" s="7" t="s">
        <v>19</v>
      </c>
      <c r="G241" s="7" t="s">
        <v>31</v>
      </c>
      <c r="H241" s="7" t="s">
        <v>17</v>
      </c>
      <c r="I241" s="7" t="s">
        <v>17</v>
      </c>
      <c r="J241" s="7" t="s">
        <v>1257</v>
      </c>
    </row>
    <row r="242" spans="1:10" x14ac:dyDescent="0.25" outlineLevel="1" collapsed="1">
      <c r="A242" s="8" t="s">
        <v>19</v>
      </c>
      <c r="B242" s="9" t="s">
        <v>3152</v>
      </c>
      <c r="C242" s="8" t="s">
        <v>17</v>
      </c>
      <c r="D242" s="8"/>
      <c r="E242" s="8" t="s">
        <v>3153</v>
      </c>
      <c r="F242" s="8" t="s">
        <v>19</v>
      </c>
      <c r="G242" s="8" t="s">
        <v>17</v>
      </c>
      <c r="H242" s="8" t="s">
        <v>17</v>
      </c>
      <c r="I242" s="8" t="s">
        <v>17</v>
      </c>
      <c r="J242" s="8" t="s">
        <v>3154</v>
      </c>
    </row>
    <row r="243" spans="1:10" x14ac:dyDescent="0.25" outlineLevel="2" collapsed="1">
      <c r="A243" s="7" t="s">
        <v>19</v>
      </c>
      <c r="B243" s="7" t="s">
        <v>16</v>
      </c>
      <c r="C243" s="7" t="s">
        <v>17</v>
      </c>
      <c r="D243" s="7"/>
      <c r="E243" s="7" t="s">
        <v>500</v>
      </c>
      <c r="F243" s="7" t="s">
        <v>19</v>
      </c>
      <c r="G243" s="7" t="s">
        <v>31</v>
      </c>
      <c r="H243" s="7" t="s">
        <v>17</v>
      </c>
      <c r="I243" s="7" t="s">
        <v>17</v>
      </c>
      <c r="J243" s="7" t="s">
        <v>494</v>
      </c>
    </row>
    <row r="244" spans="1:10" x14ac:dyDescent="0.25" outlineLevel="2" collapsed="1">
      <c r="A244" s="7" t="s">
        <v>19</v>
      </c>
      <c r="B244" s="7" t="s">
        <v>16</v>
      </c>
      <c r="C244" s="7" t="s">
        <v>17</v>
      </c>
      <c r="D244" s="7"/>
      <c r="E244" s="7" t="s">
        <v>501</v>
      </c>
      <c r="F244" s="7" t="s">
        <v>19</v>
      </c>
      <c r="G244" s="7" t="s">
        <v>31</v>
      </c>
      <c r="H244" s="7" t="s">
        <v>17</v>
      </c>
      <c r="I244" s="7" t="s">
        <v>17</v>
      </c>
      <c r="J244" s="7" t="s">
        <v>497</v>
      </c>
    </row>
    <row r="245" spans="1:10" x14ac:dyDescent="0.25" outlineLevel="2" collapsed="1">
      <c r="A245" s="8" t="s">
        <v>19</v>
      </c>
      <c r="B245" s="9" t="s">
        <v>502</v>
      </c>
      <c r="C245" s="8" t="s">
        <v>17</v>
      </c>
      <c r="D245" s="8"/>
      <c r="E245" s="8" t="s">
        <v>503</v>
      </c>
      <c r="F245" s="8" t="s">
        <v>15</v>
      </c>
      <c r="G245" s="8" t="s">
        <v>17</v>
      </c>
      <c r="H245" s="8" t="s">
        <v>17</v>
      </c>
      <c r="I245" s="8" t="s">
        <v>17</v>
      </c>
      <c r="J245" s="8" t="s">
        <v>504</v>
      </c>
    </row>
    <row r="246" spans="1:10" x14ac:dyDescent="0.25" outlineLevel="3" collapsed="1">
      <c r="A246" s="7" t="s">
        <v>19</v>
      </c>
      <c r="B246" s="7" t="s">
        <v>16</v>
      </c>
      <c r="C246" s="7" t="s">
        <v>17</v>
      </c>
      <c r="D246" s="7"/>
      <c r="E246" s="7" t="s">
        <v>505</v>
      </c>
      <c r="F246" s="7" t="s">
        <v>19</v>
      </c>
      <c r="G246" s="7" t="s">
        <v>31</v>
      </c>
      <c r="H246" s="7" t="s">
        <v>17</v>
      </c>
      <c r="I246" s="7" t="s">
        <v>17</v>
      </c>
      <c r="J246" s="7" t="s">
        <v>506</v>
      </c>
    </row>
    <row r="247" spans="1:10" x14ac:dyDescent="0.25" outlineLevel="3" collapsed="1">
      <c r="A247" s="7" t="s">
        <v>19</v>
      </c>
      <c r="B247" s="7" t="s">
        <v>16</v>
      </c>
      <c r="C247" s="7" t="s">
        <v>17</v>
      </c>
      <c r="D247" s="7"/>
      <c r="E247" s="7" t="s">
        <v>501</v>
      </c>
      <c r="F247" s="7" t="s">
        <v>19</v>
      </c>
      <c r="G247" s="7" t="s">
        <v>31</v>
      </c>
      <c r="H247" s="7" t="s">
        <v>17</v>
      </c>
      <c r="I247" s="7" t="s">
        <v>17</v>
      </c>
      <c r="J247" s="7" t="s">
        <v>497</v>
      </c>
    </row>
    <row r="248" spans="1:10" x14ac:dyDescent="0.25" outlineLevel="1" collapsed="1">
      <c r="A248" s="8" t="s">
        <v>19</v>
      </c>
      <c r="B248" s="9" t="s">
        <v>3155</v>
      </c>
      <c r="C248" s="8" t="s">
        <v>17</v>
      </c>
      <c r="D248" s="8"/>
      <c r="E248" s="8" t="s">
        <v>520</v>
      </c>
      <c r="F248" s="8" t="s">
        <v>19</v>
      </c>
      <c r="G248" s="8" t="s">
        <v>17</v>
      </c>
      <c r="H248" s="8" t="s">
        <v>17</v>
      </c>
      <c r="I248" s="8" t="s">
        <v>17</v>
      </c>
      <c r="J248" s="8" t="s">
        <v>518</v>
      </c>
    </row>
    <row r="249" spans="1:10" x14ac:dyDescent="0.25" outlineLevel="2" collapsed="1">
      <c r="A249" s="7" t="s">
        <v>19</v>
      </c>
      <c r="B249" s="7" t="s">
        <v>16</v>
      </c>
      <c r="C249" s="7" t="s">
        <v>17</v>
      </c>
      <c r="D249" s="7"/>
      <c r="E249" s="7" t="s">
        <v>500</v>
      </c>
      <c r="F249" s="7" t="s">
        <v>19</v>
      </c>
      <c r="G249" s="7" t="s">
        <v>31</v>
      </c>
      <c r="H249" s="7" t="s">
        <v>17</v>
      </c>
      <c r="I249" s="7" t="s">
        <v>17</v>
      </c>
      <c r="J249" s="7" t="s">
        <v>494</v>
      </c>
    </row>
    <row r="250" spans="1:10" x14ac:dyDescent="0.25" outlineLevel="2" collapsed="1">
      <c r="A250" s="7" t="s">
        <v>19</v>
      </c>
      <c r="B250" s="7" t="s">
        <v>16</v>
      </c>
      <c r="C250" s="7" t="s">
        <v>17</v>
      </c>
      <c r="D250" s="7"/>
      <c r="E250" s="7" t="s">
        <v>501</v>
      </c>
      <c r="F250" s="7" t="s">
        <v>19</v>
      </c>
      <c r="G250" s="7" t="s">
        <v>31</v>
      </c>
      <c r="H250" s="7" t="s">
        <v>17</v>
      </c>
      <c r="I250" s="7" t="s">
        <v>17</v>
      </c>
      <c r="J250" s="7" t="s">
        <v>497</v>
      </c>
    </row>
    <row r="251" spans="1:10" x14ac:dyDescent="0.25" outlineLevel="2" collapsed="1">
      <c r="A251" s="8" t="s">
        <v>19</v>
      </c>
      <c r="B251" s="9" t="s">
        <v>502</v>
      </c>
      <c r="C251" s="8" t="s">
        <v>17</v>
      </c>
      <c r="D251" s="8"/>
      <c r="E251" s="8" t="s">
        <v>503</v>
      </c>
      <c r="F251" s="8" t="s">
        <v>15</v>
      </c>
      <c r="G251" s="8" t="s">
        <v>17</v>
      </c>
      <c r="H251" s="8" t="s">
        <v>17</v>
      </c>
      <c r="I251" s="8" t="s">
        <v>17</v>
      </c>
      <c r="J251" s="8" t="s">
        <v>504</v>
      </c>
    </row>
    <row r="252" spans="1:10" x14ac:dyDescent="0.25" outlineLevel="3" collapsed="1">
      <c r="A252" s="7" t="s">
        <v>19</v>
      </c>
      <c r="B252" s="7" t="s">
        <v>16</v>
      </c>
      <c r="C252" s="7" t="s">
        <v>17</v>
      </c>
      <c r="D252" s="7"/>
      <c r="E252" s="7" t="s">
        <v>505</v>
      </c>
      <c r="F252" s="7" t="s">
        <v>19</v>
      </c>
      <c r="G252" s="7" t="s">
        <v>31</v>
      </c>
      <c r="H252" s="7" t="s">
        <v>17</v>
      </c>
      <c r="I252" s="7" t="s">
        <v>17</v>
      </c>
      <c r="J252" s="7" t="s">
        <v>506</v>
      </c>
    </row>
    <row r="253" spans="1:10" x14ac:dyDescent="0.25" outlineLevel="3" collapsed="1">
      <c r="A253" s="7" t="s">
        <v>19</v>
      </c>
      <c r="B253" s="7" t="s">
        <v>16</v>
      </c>
      <c r="C253" s="7" t="s">
        <v>17</v>
      </c>
      <c r="D253" s="7"/>
      <c r="E253" s="7" t="s">
        <v>501</v>
      </c>
      <c r="F253" s="7" t="s">
        <v>19</v>
      </c>
      <c r="G253" s="7" t="s">
        <v>31</v>
      </c>
      <c r="H253" s="7" t="s">
        <v>17</v>
      </c>
      <c r="I253" s="7" t="s">
        <v>17</v>
      </c>
      <c r="J253" s="7" t="s">
        <v>497</v>
      </c>
    </row>
    <row r="254" spans="1:10" x14ac:dyDescent="0.25" outlineLevel="1" collapsed="1">
      <c r="A254" s="8" t="s">
        <v>19</v>
      </c>
      <c r="B254" s="9" t="s">
        <v>3156</v>
      </c>
      <c r="C254" s="8" t="s">
        <v>17</v>
      </c>
      <c r="D254" s="8"/>
      <c r="E254" s="8" t="s">
        <v>3157</v>
      </c>
      <c r="F254" s="8" t="s">
        <v>19</v>
      </c>
      <c r="G254" s="8" t="s">
        <v>17</v>
      </c>
      <c r="H254" s="8" t="s">
        <v>17</v>
      </c>
      <c r="I254" s="8" t="s">
        <v>17</v>
      </c>
      <c r="J254" s="8" t="s">
        <v>2573</v>
      </c>
    </row>
    <row r="255" spans="1:10" x14ac:dyDescent="0.25" outlineLevel="2" collapsed="1">
      <c r="A255" s="7" t="s">
        <v>19</v>
      </c>
      <c r="B255" s="7" t="s">
        <v>16</v>
      </c>
      <c r="C255" s="7" t="s">
        <v>17</v>
      </c>
      <c r="D255" s="7"/>
      <c r="E255" s="7" t="s">
        <v>500</v>
      </c>
      <c r="F255" s="7" t="s">
        <v>19</v>
      </c>
      <c r="G255" s="7" t="s">
        <v>31</v>
      </c>
      <c r="H255" s="7" t="s">
        <v>17</v>
      </c>
      <c r="I255" s="7" t="s">
        <v>17</v>
      </c>
      <c r="J255" s="7" t="s">
        <v>494</v>
      </c>
    </row>
    <row r="256" spans="1:10" x14ac:dyDescent="0.25" outlineLevel="2" collapsed="1">
      <c r="A256" s="7" t="s">
        <v>19</v>
      </c>
      <c r="B256" s="7" t="s">
        <v>16</v>
      </c>
      <c r="C256" s="7" t="s">
        <v>17</v>
      </c>
      <c r="D256" s="7"/>
      <c r="E256" s="7" t="s">
        <v>501</v>
      </c>
      <c r="F256" s="7" t="s">
        <v>19</v>
      </c>
      <c r="G256" s="7" t="s">
        <v>31</v>
      </c>
      <c r="H256" s="7" t="s">
        <v>17</v>
      </c>
      <c r="I256" s="7" t="s">
        <v>17</v>
      </c>
      <c r="J256" s="7" t="s">
        <v>497</v>
      </c>
    </row>
    <row r="257" spans="1:10" x14ac:dyDescent="0.25" outlineLevel="2" collapsed="1">
      <c r="A257" s="8" t="s">
        <v>19</v>
      </c>
      <c r="B257" s="9" t="s">
        <v>502</v>
      </c>
      <c r="C257" s="8" t="s">
        <v>17</v>
      </c>
      <c r="D257" s="8"/>
      <c r="E257" s="8" t="s">
        <v>503</v>
      </c>
      <c r="F257" s="8" t="s">
        <v>15</v>
      </c>
      <c r="G257" s="8" t="s">
        <v>17</v>
      </c>
      <c r="H257" s="8" t="s">
        <v>17</v>
      </c>
      <c r="I257" s="8" t="s">
        <v>17</v>
      </c>
      <c r="J257" s="8" t="s">
        <v>504</v>
      </c>
    </row>
    <row r="258" spans="1:10" x14ac:dyDescent="0.25" outlineLevel="3" collapsed="1">
      <c r="A258" s="7" t="s">
        <v>19</v>
      </c>
      <c r="B258" s="7" t="s">
        <v>16</v>
      </c>
      <c r="C258" s="7" t="s">
        <v>17</v>
      </c>
      <c r="D258" s="7"/>
      <c r="E258" s="7" t="s">
        <v>505</v>
      </c>
      <c r="F258" s="7" t="s">
        <v>19</v>
      </c>
      <c r="G258" s="7" t="s">
        <v>31</v>
      </c>
      <c r="H258" s="7" t="s">
        <v>17</v>
      </c>
      <c r="I258" s="7" t="s">
        <v>17</v>
      </c>
      <c r="J258" s="7" t="s">
        <v>506</v>
      </c>
    </row>
    <row r="259" spans="1:10" x14ac:dyDescent="0.25" outlineLevel="3" collapsed="1">
      <c r="A259" s="7" t="s">
        <v>19</v>
      </c>
      <c r="B259" s="7" t="s">
        <v>16</v>
      </c>
      <c r="C259" s="7" t="s">
        <v>17</v>
      </c>
      <c r="D259" s="7"/>
      <c r="E259" s="7" t="s">
        <v>501</v>
      </c>
      <c r="F259" s="7" t="s">
        <v>19</v>
      </c>
      <c r="G259" s="7" t="s">
        <v>31</v>
      </c>
      <c r="H259" s="7" t="s">
        <v>17</v>
      </c>
      <c r="I259" s="7" t="s">
        <v>17</v>
      </c>
      <c r="J259" s="7" t="s">
        <v>497</v>
      </c>
    </row>
    <row r="260" spans="1:10" x14ac:dyDescent="0.25" outlineLevel="1" collapsed="1">
      <c r="A260" s="8" t="s">
        <v>19</v>
      </c>
      <c r="B260" s="9" t="s">
        <v>3158</v>
      </c>
      <c r="C260" s="8" t="s">
        <v>17</v>
      </c>
      <c r="D260" s="8"/>
      <c r="E260" s="8" t="s">
        <v>3159</v>
      </c>
      <c r="F260" s="8" t="s">
        <v>19</v>
      </c>
      <c r="G260" s="8" t="s">
        <v>17</v>
      </c>
      <c r="H260" s="8" t="s">
        <v>17</v>
      </c>
      <c r="I260" s="8" t="s">
        <v>17</v>
      </c>
      <c r="J260" s="8" t="s">
        <v>2576</v>
      </c>
    </row>
    <row r="261" spans="1:10" x14ac:dyDescent="0.25" outlineLevel="2" collapsed="1">
      <c r="A261" s="7" t="s">
        <v>19</v>
      </c>
      <c r="B261" s="7" t="s">
        <v>16</v>
      </c>
      <c r="C261" s="7" t="s">
        <v>17</v>
      </c>
      <c r="D261" s="7"/>
      <c r="E261" s="7" t="s">
        <v>500</v>
      </c>
      <c r="F261" s="7" t="s">
        <v>19</v>
      </c>
      <c r="G261" s="7" t="s">
        <v>31</v>
      </c>
      <c r="H261" s="7" t="s">
        <v>17</v>
      </c>
      <c r="I261" s="7" t="s">
        <v>17</v>
      </c>
      <c r="J261" s="7" t="s">
        <v>494</v>
      </c>
    </row>
    <row r="262" spans="1:10" x14ac:dyDescent="0.25" outlineLevel="2" collapsed="1">
      <c r="A262" s="7" t="s">
        <v>19</v>
      </c>
      <c r="B262" s="7" t="s">
        <v>16</v>
      </c>
      <c r="C262" s="7" t="s">
        <v>17</v>
      </c>
      <c r="D262" s="7"/>
      <c r="E262" s="7" t="s">
        <v>501</v>
      </c>
      <c r="F262" s="7" t="s">
        <v>19</v>
      </c>
      <c r="G262" s="7" t="s">
        <v>31</v>
      </c>
      <c r="H262" s="7" t="s">
        <v>17</v>
      </c>
      <c r="I262" s="7" t="s">
        <v>17</v>
      </c>
      <c r="J262" s="7" t="s">
        <v>497</v>
      </c>
    </row>
    <row r="263" spans="1:10" x14ac:dyDescent="0.25" outlineLevel="2" collapsed="1">
      <c r="A263" s="8" t="s">
        <v>19</v>
      </c>
      <c r="B263" s="9" t="s">
        <v>502</v>
      </c>
      <c r="C263" s="8" t="s">
        <v>17</v>
      </c>
      <c r="D263" s="8"/>
      <c r="E263" s="8" t="s">
        <v>503</v>
      </c>
      <c r="F263" s="8" t="s">
        <v>15</v>
      </c>
      <c r="G263" s="8" t="s">
        <v>17</v>
      </c>
      <c r="H263" s="8" t="s">
        <v>17</v>
      </c>
      <c r="I263" s="8" t="s">
        <v>17</v>
      </c>
      <c r="J263" s="8" t="s">
        <v>504</v>
      </c>
    </row>
    <row r="264" spans="1:10" x14ac:dyDescent="0.25" outlineLevel="3" collapsed="1">
      <c r="A264" s="7" t="s">
        <v>19</v>
      </c>
      <c r="B264" s="7" t="s">
        <v>16</v>
      </c>
      <c r="C264" s="7" t="s">
        <v>17</v>
      </c>
      <c r="D264" s="7"/>
      <c r="E264" s="7" t="s">
        <v>505</v>
      </c>
      <c r="F264" s="7" t="s">
        <v>19</v>
      </c>
      <c r="G264" s="7" t="s">
        <v>31</v>
      </c>
      <c r="H264" s="7" t="s">
        <v>17</v>
      </c>
      <c r="I264" s="7" t="s">
        <v>17</v>
      </c>
      <c r="J264" s="7" t="s">
        <v>506</v>
      </c>
    </row>
    <row r="265" spans="1:10" x14ac:dyDescent="0.25" outlineLevel="3" collapsed="1">
      <c r="A265" s="7" t="s">
        <v>19</v>
      </c>
      <c r="B265" s="7" t="s">
        <v>16</v>
      </c>
      <c r="C265" s="7" t="s">
        <v>17</v>
      </c>
      <c r="D265" s="7"/>
      <c r="E265" s="7" t="s">
        <v>501</v>
      </c>
      <c r="F265" s="7" t="s">
        <v>19</v>
      </c>
      <c r="G265" s="7" t="s">
        <v>31</v>
      </c>
      <c r="H265" s="7" t="s">
        <v>17</v>
      </c>
      <c r="I265" s="7" t="s">
        <v>17</v>
      </c>
      <c r="J265" s="7" t="s">
        <v>497</v>
      </c>
    </row>
    <row r="266" spans="1:10" x14ac:dyDescent="0.25">
      <c r="A266" s="5" t="s">
        <v>15</v>
      </c>
      <c r="B266" s="6" t="s">
        <v>3160</v>
      </c>
      <c r="C266" s="5" t="s">
        <v>17</v>
      </c>
      <c r="D266" s="5"/>
      <c r="E266" s="5" t="s">
        <v>3161</v>
      </c>
      <c r="F266" s="5" t="s">
        <v>19</v>
      </c>
      <c r="G266" s="5" t="s">
        <v>17</v>
      </c>
      <c r="H266" s="5" t="s">
        <v>17</v>
      </c>
      <c r="I266" s="5" t="s">
        <v>17</v>
      </c>
      <c r="J266" s="5" t="s">
        <v>606</v>
      </c>
    </row>
    <row r="267" spans="1:10" x14ac:dyDescent="0.25" outlineLevel="1" collapsed="1">
      <c r="A267" s="8" t="s">
        <v>15</v>
      </c>
      <c r="B267" s="9" t="s">
        <v>3162</v>
      </c>
      <c r="C267" s="8" t="s">
        <v>17</v>
      </c>
      <c r="D267" s="8"/>
      <c r="E267" s="8" t="s">
        <v>3163</v>
      </c>
      <c r="F267" s="8" t="s">
        <v>19</v>
      </c>
      <c r="G267" s="8" t="s">
        <v>17</v>
      </c>
      <c r="H267" s="8" t="s">
        <v>17</v>
      </c>
      <c r="I267" s="8" t="s">
        <v>17</v>
      </c>
      <c r="J267" s="8" t="s">
        <v>3164</v>
      </c>
    </row>
    <row r="268" spans="1:10" x14ac:dyDescent="0.25" outlineLevel="2" collapsed="1">
      <c r="A268" s="7" t="s">
        <v>15</v>
      </c>
      <c r="B268" s="7" t="s">
        <v>16</v>
      </c>
      <c r="C268" s="7" t="s">
        <v>17</v>
      </c>
      <c r="D268" s="7"/>
      <c r="E268" s="7" t="s">
        <v>492</v>
      </c>
      <c r="F268" s="7" t="s">
        <v>19</v>
      </c>
      <c r="G268" s="7" t="s">
        <v>493</v>
      </c>
      <c r="H268" s="7" t="s">
        <v>17</v>
      </c>
      <c r="I268" s="7" t="s">
        <v>17</v>
      </c>
      <c r="J268" s="7" t="s">
        <v>494</v>
      </c>
    </row>
    <row r="269" spans="1:10" x14ac:dyDescent="0.25" outlineLevel="2" collapsed="1">
      <c r="A269" s="7" t="s">
        <v>15</v>
      </c>
      <c r="B269" s="7" t="s">
        <v>16</v>
      </c>
      <c r="C269" s="7" t="s">
        <v>17</v>
      </c>
      <c r="D269" s="7"/>
      <c r="E269" s="7" t="s">
        <v>495</v>
      </c>
      <c r="F269" s="7" t="s">
        <v>19</v>
      </c>
      <c r="G269" s="7" t="s">
        <v>496</v>
      </c>
      <c r="H269" s="7" t="s">
        <v>17</v>
      </c>
      <c r="I269" s="7" t="s">
        <v>17</v>
      </c>
      <c r="J269" s="7" t="s">
        <v>497</v>
      </c>
    </row>
    <row r="270" spans="1:10" x14ac:dyDescent="0.25" outlineLevel="2" collapsed="1">
      <c r="A270" s="8" t="s">
        <v>19</v>
      </c>
      <c r="B270" s="9" t="s">
        <v>502</v>
      </c>
      <c r="C270" s="8" t="s">
        <v>17</v>
      </c>
      <c r="D270" s="8"/>
      <c r="E270" s="8" t="s">
        <v>503</v>
      </c>
      <c r="F270" s="8" t="s">
        <v>15</v>
      </c>
      <c r="G270" s="8" t="s">
        <v>17</v>
      </c>
      <c r="H270" s="8" t="s">
        <v>17</v>
      </c>
      <c r="I270" s="8" t="s">
        <v>17</v>
      </c>
      <c r="J270" s="8" t="s">
        <v>504</v>
      </c>
    </row>
    <row r="271" spans="1:10" x14ac:dyDescent="0.25" outlineLevel="3" collapsed="1">
      <c r="A271" s="7" t="s">
        <v>19</v>
      </c>
      <c r="B271" s="7" t="s">
        <v>16</v>
      </c>
      <c r="C271" s="7" t="s">
        <v>17</v>
      </c>
      <c r="D271" s="7"/>
      <c r="E271" s="7" t="s">
        <v>505</v>
      </c>
      <c r="F271" s="7" t="s">
        <v>19</v>
      </c>
      <c r="G271" s="7" t="s">
        <v>31</v>
      </c>
      <c r="H271" s="7" t="s">
        <v>17</v>
      </c>
      <c r="I271" s="7" t="s">
        <v>17</v>
      </c>
      <c r="J271" s="7" t="s">
        <v>506</v>
      </c>
    </row>
    <row r="272" spans="1:10" x14ac:dyDescent="0.25" outlineLevel="3" collapsed="1">
      <c r="A272" s="7" t="s">
        <v>19</v>
      </c>
      <c r="B272" s="7" t="s">
        <v>16</v>
      </c>
      <c r="C272" s="7" t="s">
        <v>17</v>
      </c>
      <c r="D272" s="7"/>
      <c r="E272" s="7" t="s">
        <v>501</v>
      </c>
      <c r="F272" s="7" t="s">
        <v>19</v>
      </c>
      <c r="G272" s="7" t="s">
        <v>31</v>
      </c>
      <c r="H272" s="7" t="s">
        <v>17</v>
      </c>
      <c r="I272" s="7" t="s">
        <v>17</v>
      </c>
      <c r="J272" s="7" t="s">
        <v>497</v>
      </c>
    </row>
    <row r="273" spans="1:10" x14ac:dyDescent="0.25" outlineLevel="1" collapsed="1">
      <c r="A273" s="8" t="s">
        <v>15</v>
      </c>
      <c r="B273" s="9" t="s">
        <v>3165</v>
      </c>
      <c r="C273" s="8" t="s">
        <v>17</v>
      </c>
      <c r="D273" s="8"/>
      <c r="E273" s="8" t="s">
        <v>3166</v>
      </c>
      <c r="F273" s="8" t="s">
        <v>19</v>
      </c>
      <c r="G273" s="8" t="s">
        <v>17</v>
      </c>
      <c r="H273" s="8" t="s">
        <v>17</v>
      </c>
      <c r="I273" s="8" t="s">
        <v>17</v>
      </c>
      <c r="J273" s="8" t="s">
        <v>615</v>
      </c>
    </row>
    <row r="274" spans="1:10" x14ac:dyDescent="0.25" outlineLevel="2" collapsed="1">
      <c r="A274" s="8" t="s">
        <v>19</v>
      </c>
      <c r="B274" s="9" t="s">
        <v>3167</v>
      </c>
      <c r="C274" s="8" t="s">
        <v>17</v>
      </c>
      <c r="D274" s="8"/>
      <c r="E274" s="8" t="s">
        <v>3168</v>
      </c>
      <c r="F274" s="8" t="s">
        <v>19</v>
      </c>
      <c r="G274" s="8" t="s">
        <v>17</v>
      </c>
      <c r="H274" s="8" t="s">
        <v>17</v>
      </c>
      <c r="I274" s="8" t="s">
        <v>17</v>
      </c>
      <c r="J274" s="8" t="s">
        <v>618</v>
      </c>
    </row>
    <row r="275" spans="1:10" x14ac:dyDescent="0.25" outlineLevel="3" collapsed="1">
      <c r="A275" s="7" t="s">
        <v>19</v>
      </c>
      <c r="B275" s="7" t="s">
        <v>159</v>
      </c>
      <c r="C275" s="7" t="s">
        <v>17</v>
      </c>
      <c r="D275" s="7"/>
      <c r="E275" s="7" t="s">
        <v>3169</v>
      </c>
      <c r="F275" s="7" t="s">
        <v>19</v>
      </c>
      <c r="G275" s="7" t="b">
        <v>1</v>
      </c>
      <c r="H275" s="7" t="s">
        <v>17</v>
      </c>
      <c r="I275" s="7" t="s">
        <v>17</v>
      </c>
      <c r="J275" s="7" t="s">
        <v>2996</v>
      </c>
    </row>
    <row r="276" spans="1:10" x14ac:dyDescent="0.25" outlineLevel="3" collapsed="1">
      <c r="A276" s="7" t="s">
        <v>15</v>
      </c>
      <c r="B276" s="7" t="s">
        <v>16</v>
      </c>
      <c r="C276" s="7" t="s">
        <v>17</v>
      </c>
      <c r="D276" s="7"/>
      <c r="E276" s="7" t="s">
        <v>3170</v>
      </c>
      <c r="F276" s="7" t="s">
        <v>19</v>
      </c>
      <c r="G276" s="7" t="s">
        <v>31</v>
      </c>
      <c r="H276" s="7" t="s">
        <v>17</v>
      </c>
      <c r="I276" s="7" t="s">
        <v>17</v>
      </c>
      <c r="J276" s="7" t="s">
        <v>494</v>
      </c>
    </row>
    <row r="277" spans="1:10" x14ac:dyDescent="0.25" outlineLevel="2" collapsed="1">
      <c r="A277" s="8" t="s">
        <v>19</v>
      </c>
      <c r="B277" s="9" t="s">
        <v>3171</v>
      </c>
      <c r="C277" s="8" t="s">
        <v>17</v>
      </c>
      <c r="D277" s="8"/>
      <c r="E277" s="8" t="s">
        <v>3172</v>
      </c>
      <c r="F277" s="8" t="s">
        <v>19</v>
      </c>
      <c r="G277" s="8" t="s">
        <v>17</v>
      </c>
      <c r="H277" s="8" t="s">
        <v>17</v>
      </c>
      <c r="I277" s="8" t="s">
        <v>17</v>
      </c>
      <c r="J277" s="8" t="s">
        <v>3173</v>
      </c>
    </row>
    <row r="278" spans="1:10" x14ac:dyDescent="0.25" outlineLevel="3" collapsed="1">
      <c r="A278" s="7" t="s">
        <v>15</v>
      </c>
      <c r="B278" s="7" t="s">
        <v>16</v>
      </c>
      <c r="C278" s="7" t="s">
        <v>17</v>
      </c>
      <c r="D278" s="7"/>
      <c r="E278" s="7" t="s">
        <v>3174</v>
      </c>
      <c r="F278" s="7" t="s">
        <v>19</v>
      </c>
      <c r="G278" s="7" t="s">
        <v>31</v>
      </c>
      <c r="H278" s="7" t="s">
        <v>17</v>
      </c>
      <c r="I278" s="7" t="s">
        <v>17</v>
      </c>
      <c r="J278" s="7" t="s">
        <v>494</v>
      </c>
    </row>
    <row r="279" spans="1:10" x14ac:dyDescent="0.25" outlineLevel="2" collapsed="1">
      <c r="A279" s="8" t="s">
        <v>19</v>
      </c>
      <c r="B279" s="9" t="s">
        <v>3175</v>
      </c>
      <c r="C279" s="8" t="s">
        <v>17</v>
      </c>
      <c r="D279" s="8"/>
      <c r="E279" s="8" t="s">
        <v>3176</v>
      </c>
      <c r="F279" s="8" t="s">
        <v>19</v>
      </c>
      <c r="G279" s="8" t="s">
        <v>17</v>
      </c>
      <c r="H279" s="8" t="s">
        <v>17</v>
      </c>
      <c r="I279" s="8" t="s">
        <v>17</v>
      </c>
      <c r="J279" s="8" t="s">
        <v>623</v>
      </c>
    </row>
    <row r="280" spans="1:10" x14ac:dyDescent="0.25" outlineLevel="3" collapsed="1">
      <c r="A280" s="7" t="s">
        <v>15</v>
      </c>
      <c r="B280" s="7" t="s">
        <v>16</v>
      </c>
      <c r="C280" s="7" t="s">
        <v>17</v>
      </c>
      <c r="D280" s="7"/>
      <c r="E280" s="7" t="s">
        <v>3177</v>
      </c>
      <c r="F280" s="7" t="s">
        <v>19</v>
      </c>
      <c r="G280" s="7" t="s">
        <v>31</v>
      </c>
      <c r="H280" s="7" t="s">
        <v>17</v>
      </c>
      <c r="I280" s="7" t="s">
        <v>17</v>
      </c>
      <c r="J280" s="7" t="s">
        <v>494</v>
      </c>
    </row>
    <row r="281" spans="1:10" x14ac:dyDescent="0.25">
      <c r="A281" s="5" t="s">
        <v>15</v>
      </c>
      <c r="B281" s="6" t="s">
        <v>3178</v>
      </c>
      <c r="C281" s="5" t="s">
        <v>17</v>
      </c>
      <c r="D281" s="5"/>
      <c r="E281" s="5" t="s">
        <v>3179</v>
      </c>
      <c r="F281" s="5" t="s">
        <v>19</v>
      </c>
      <c r="G281" s="5" t="s">
        <v>17</v>
      </c>
      <c r="H281" s="5" t="s">
        <v>17</v>
      </c>
      <c r="I281" s="5" t="s">
        <v>17</v>
      </c>
      <c r="J281" s="5" t="s">
        <v>631</v>
      </c>
    </row>
    <row r="282" spans="1:10" x14ac:dyDescent="0.25" outlineLevel="1" collapsed="1">
      <c r="A282" s="8" t="s">
        <v>19</v>
      </c>
      <c r="B282" s="9" t="s">
        <v>3180</v>
      </c>
      <c r="C282" s="8" t="s">
        <v>17</v>
      </c>
      <c r="D282" s="8"/>
      <c r="E282" s="8" t="s">
        <v>3181</v>
      </c>
      <c r="F282" s="8" t="s">
        <v>15</v>
      </c>
      <c r="G282" s="8" t="s">
        <v>17</v>
      </c>
      <c r="H282" s="8" t="s">
        <v>17</v>
      </c>
      <c r="I282" s="8" t="s">
        <v>17</v>
      </c>
      <c r="J282" s="8" t="s">
        <v>634</v>
      </c>
    </row>
    <row r="283" spans="1:10" x14ac:dyDescent="0.25" outlineLevel="2" collapsed="1">
      <c r="A283" s="7" t="s">
        <v>15</v>
      </c>
      <c r="B283" s="7" t="s">
        <v>16</v>
      </c>
      <c r="C283" s="7" t="s">
        <v>17</v>
      </c>
      <c r="D283" s="7"/>
      <c r="E283" s="7" t="s">
        <v>3182</v>
      </c>
      <c r="F283" s="7" t="s">
        <v>19</v>
      </c>
      <c r="G283" s="7" t="s">
        <v>636</v>
      </c>
      <c r="H283" s="7" t="s">
        <v>17</v>
      </c>
      <c r="I283" s="7" t="s">
        <v>17</v>
      </c>
      <c r="J283" s="7" t="s">
        <v>637</v>
      </c>
    </row>
    <row r="284" spans="1:10" x14ac:dyDescent="0.25" outlineLevel="2" collapsed="1">
      <c r="A284" s="7" t="s">
        <v>15</v>
      </c>
      <c r="B284" s="7" t="s">
        <v>16</v>
      </c>
      <c r="C284" s="7" t="s">
        <v>17</v>
      </c>
      <c r="D284" s="7"/>
      <c r="E284" s="7" t="s">
        <v>638</v>
      </c>
      <c r="F284" s="7" t="s">
        <v>19</v>
      </c>
      <c r="G284" s="7" t="s">
        <v>639</v>
      </c>
      <c r="H284" s="7" t="s">
        <v>17</v>
      </c>
      <c r="I284" s="7" t="s">
        <v>17</v>
      </c>
      <c r="J284" s="7" t="s">
        <v>640</v>
      </c>
    </row>
    <row r="285" spans="1:10" x14ac:dyDescent="0.25" outlineLevel="2" collapsed="1">
      <c r="A285" s="7" t="s">
        <v>15</v>
      </c>
      <c r="B285" s="7" t="s">
        <v>16</v>
      </c>
      <c r="C285" s="7" t="s">
        <v>17</v>
      </c>
      <c r="D285" s="7"/>
      <c r="E285" s="7" t="s">
        <v>501</v>
      </c>
      <c r="F285" s="7" t="s">
        <v>19</v>
      </c>
      <c r="G285" s="7" t="s">
        <v>31</v>
      </c>
      <c r="H285" s="7" t="s">
        <v>17</v>
      </c>
      <c r="I285" s="7" t="s">
        <v>17</v>
      </c>
      <c r="J285" s="7" t="s">
        <v>497</v>
      </c>
    </row>
    <row r="286" spans="1:10" x14ac:dyDescent="0.25" outlineLevel="2" collapsed="1">
      <c r="A286" s="7" t="s">
        <v>15</v>
      </c>
      <c r="B286" s="7" t="s">
        <v>16</v>
      </c>
      <c r="C286" s="7" t="s">
        <v>17</v>
      </c>
      <c r="D286" s="7"/>
      <c r="E286" s="7" t="s">
        <v>500</v>
      </c>
      <c r="F286" s="7" t="s">
        <v>19</v>
      </c>
      <c r="G286" s="7" t="s">
        <v>31</v>
      </c>
      <c r="H286" s="7" t="s">
        <v>17</v>
      </c>
      <c r="I286" s="7" t="s">
        <v>17</v>
      </c>
      <c r="J286" s="7" t="s">
        <v>494</v>
      </c>
    </row>
    <row r="287" spans="1:10" x14ac:dyDescent="0.25" outlineLevel="1" collapsed="1">
      <c r="A287" s="8" t="s">
        <v>15</v>
      </c>
      <c r="B287" s="9" t="s">
        <v>3183</v>
      </c>
      <c r="C287" s="8" t="s">
        <v>17</v>
      </c>
      <c r="D287" s="8"/>
      <c r="E287" s="8" t="s">
        <v>3183</v>
      </c>
      <c r="F287" s="8" t="s">
        <v>19</v>
      </c>
      <c r="G287" s="8" t="s">
        <v>17</v>
      </c>
      <c r="H287" s="8" t="s">
        <v>17</v>
      </c>
      <c r="I287" s="8" t="s">
        <v>17</v>
      </c>
      <c r="J287" s="8" t="s">
        <v>126</v>
      </c>
    </row>
    <row r="288" spans="1:10" x14ac:dyDescent="0.25" outlineLevel="2" collapsed="1">
      <c r="A288" s="7" t="s">
        <v>15</v>
      </c>
      <c r="B288" s="7" t="s">
        <v>16</v>
      </c>
      <c r="C288" s="7" t="s">
        <v>17</v>
      </c>
      <c r="D288" s="7"/>
      <c r="E288" s="7" t="s">
        <v>492</v>
      </c>
      <c r="F288" s="7" t="s">
        <v>19</v>
      </c>
      <c r="G288" s="7" t="s">
        <v>493</v>
      </c>
      <c r="H288" s="7" t="s">
        <v>17</v>
      </c>
      <c r="I288" s="7" t="s">
        <v>17</v>
      </c>
      <c r="J288" s="7" t="s">
        <v>494</v>
      </c>
    </row>
    <row r="289" spans="1:10" x14ac:dyDescent="0.25" outlineLevel="2" collapsed="1">
      <c r="A289" s="7" t="s">
        <v>15</v>
      </c>
      <c r="B289" s="7" t="s">
        <v>16</v>
      </c>
      <c r="C289" s="7" t="s">
        <v>17</v>
      </c>
      <c r="D289" s="7"/>
      <c r="E289" s="7" t="s">
        <v>495</v>
      </c>
      <c r="F289" s="7" t="s">
        <v>19</v>
      </c>
      <c r="G289" s="7" t="s">
        <v>496</v>
      </c>
      <c r="H289" s="7" t="s">
        <v>17</v>
      </c>
      <c r="I289" s="7" t="s">
        <v>17</v>
      </c>
      <c r="J289" s="7" t="s">
        <v>497</v>
      </c>
    </row>
    <row r="290" spans="1:10" x14ac:dyDescent="0.25" outlineLevel="2" collapsed="1">
      <c r="A290" s="8" t="s">
        <v>19</v>
      </c>
      <c r="B290" s="9" t="s">
        <v>502</v>
      </c>
      <c r="C290" s="8" t="s">
        <v>17</v>
      </c>
      <c r="D290" s="8"/>
      <c r="E290" s="8" t="s">
        <v>503</v>
      </c>
      <c r="F290" s="8" t="s">
        <v>15</v>
      </c>
      <c r="G290" s="8" t="s">
        <v>17</v>
      </c>
      <c r="H290" s="8" t="s">
        <v>17</v>
      </c>
      <c r="I290" s="8" t="s">
        <v>17</v>
      </c>
      <c r="J290" s="8" t="s">
        <v>504</v>
      </c>
    </row>
    <row r="291" spans="1:10" x14ac:dyDescent="0.25" outlineLevel="3" collapsed="1">
      <c r="A291" s="7" t="s">
        <v>19</v>
      </c>
      <c r="B291" s="7" t="s">
        <v>16</v>
      </c>
      <c r="C291" s="7" t="s">
        <v>17</v>
      </c>
      <c r="D291" s="7"/>
      <c r="E291" s="7" t="s">
        <v>505</v>
      </c>
      <c r="F291" s="7" t="s">
        <v>19</v>
      </c>
      <c r="G291" s="7" t="s">
        <v>31</v>
      </c>
      <c r="H291" s="7" t="s">
        <v>17</v>
      </c>
      <c r="I291" s="7" t="s">
        <v>17</v>
      </c>
      <c r="J291" s="7" t="s">
        <v>506</v>
      </c>
    </row>
    <row r="292" spans="1:10" x14ac:dyDescent="0.25" outlineLevel="3" collapsed="1">
      <c r="A292" s="7" t="s">
        <v>19</v>
      </c>
      <c r="B292" s="7" t="s">
        <v>16</v>
      </c>
      <c r="C292" s="7" t="s">
        <v>17</v>
      </c>
      <c r="D292" s="7"/>
      <c r="E292" s="7" t="s">
        <v>501</v>
      </c>
      <c r="F292" s="7" t="s">
        <v>19</v>
      </c>
      <c r="G292" s="7" t="s">
        <v>31</v>
      </c>
      <c r="H292" s="7" t="s">
        <v>17</v>
      </c>
      <c r="I292" s="7" t="s">
        <v>17</v>
      </c>
      <c r="J292" s="7" t="s">
        <v>497</v>
      </c>
    </row>
  </sheetData>
  <mergeCells count="3">
    <mergeCell ref="A1:J1"/>
    <mergeCell ref="B2:J2"/>
    <mergeCell ref="B3:J3"/>
  </mergeCells>
  <hyperlinks>
    <hyperlink ref="B5" r:id="rId1" location="#'3.1 Project Details (VCS Valid'!A1"/>
    <hyperlink ref="B6" r:id="rId2" location="#'3.1.1 Summary Description of P'!A1"/>
    <hyperlink ref="B9" r:id="rId3" location="#'3.1.2 Audit History'!A1"/>
    <hyperlink ref="B13" r:id="rId4" location="#'3.1.3 Sectoral Scope and Proje'!A1"/>
    <hyperlink ref="B16" r:id="rId5" location="#'3.1.4 Project Eligibility'!A1"/>
    <hyperlink ref="B17" r:id="rId6" location="#'3.1.4.1 Deadlines for Particip'!A1"/>
    <hyperlink ref="B23" r:id="rId7" location="#'3.1.4.2 AFOLU Project Eligibil'!A1"/>
    <hyperlink ref="B26" r:id="rId8" location="#'3.1.4.3 Eligibility of Project'!A1"/>
    <hyperlink ref="B33" r:id="rId9" location="#'3.1.4.4 Capacity Limit Eligibi'!A1"/>
    <hyperlink ref="B36" r:id="rId10" location="#'Deadlines for Participation ro'!A1"/>
    <hyperlink ref="B39" r:id="rId11" location="#'3.1.6 Project Start Date and I'!A1"/>
    <hyperlink ref="B42" r:id="rId12" location="#'Deadlines for Participation ro'!A1"/>
    <hyperlink ref="B45" r:id="rId13" location="#'3.1.7 Project Crediting Period'!A1"/>
    <hyperlink ref="B48" r:id="rId14" location="#'3.1.8 Project Scale'!A1"/>
    <hyperlink ref="B51" r:id="rId15" location="#'3.1.9 Project Design'!A1"/>
    <hyperlink ref="B54" r:id="rId16" location="#'Deadlines for Participation ro'!A1"/>
    <hyperlink ref="B57" r:id="rId17" location="#'3.1.10 Conditions Prior to Pro'!A1"/>
    <hyperlink ref="B60" r:id="rId18" location="#'Deadlines for Participation ro'!A1"/>
    <hyperlink ref="B63" r:id="rId19" location="#'3.1.11 Description of the Proj'!A1"/>
    <hyperlink ref="B66" r:id="rId20" location="#'Deadlines for Participation ro'!A1"/>
    <hyperlink ref="B69" r:id="rId21" location="#'3.1.12 Project Location'!A1"/>
    <hyperlink ref="B72" r:id="rId22" location="#'Deadlines for Participation ro'!A1"/>
    <hyperlink ref="B75" r:id="rId23" location="#'3.1.13 Compliance with Laws an'!A1"/>
    <hyperlink ref="B78" r:id="rId24" location="#'Deadlines for Participation ro'!A1"/>
    <hyperlink ref="B81" r:id="rId25" location="#'3.1.14 Double Counting and Par'!A1"/>
    <hyperlink ref="B82" r:id="rId26" location="#'3.1.14.1 No Double Issuance (V'!A1"/>
    <hyperlink ref="B85" r:id="rId27" location="#'3.1.14.2 Registration with Oth'!A1"/>
    <hyperlink ref="B88" r:id="rId28" location="#'3.1.14.3 Projects Rejected by'!A1"/>
    <hyperlink ref="B91" r:id="rId29" location="#'3.1.15 Double Claiming Other F'!A1"/>
    <hyperlink ref="B92" r:id="rId30" location="#'3.1.15.1 No Double Claiming wi'!A1"/>
    <hyperlink ref="B95" r:id="rId31" location="#'3.1.15.2 No Double Claiming wi'!A1"/>
    <hyperlink ref="B98" r:id="rId32" location="#'3.1.15.3 Supply Chain (Scope 3'!A1"/>
    <hyperlink ref="B101" r:id="rId33" location="#'Deadlines for Participation ro'!A1"/>
    <hyperlink ref="B104" r:id="rId34" location="#'3.1.16 Sustainable Development'!A1"/>
    <hyperlink ref="B107" r:id="rId35" location="#'Deadlines for Participation ro'!A1"/>
    <hyperlink ref="B110" r:id="rId36" location="#'3.1.17 Additional Information'!A1"/>
    <hyperlink ref="B111" r:id="rId37" location="#'3.1.17.1 Leakage Management (V'!A1"/>
    <hyperlink ref="B113" r:id="rId38" location="#'3.1.17.2 Sensitive Information'!A1"/>
    <hyperlink ref="B115" r:id="rId39" location="#'3.1.17.3 Further Information ('!A1"/>
    <hyperlink ref="B117" r:id="rId40" location="#'Leakage Management (VCS Valida'!A1"/>
    <hyperlink ref="B119" r:id="rId41" location="#'Sensitive Information (VCS Val'!A1"/>
    <hyperlink ref="B121" r:id="rId42" location="#'Further Information (VCS Valid'!A1"/>
    <hyperlink ref="B123" r:id="rId43" location="#'Deadlines for Participation (V'!A1"/>
    <hyperlink ref="B126" r:id="rId44" location="#'Deadlines for Participation ro'!A1"/>
    <hyperlink ref="B129" r:id="rId45" location="#'Eligibility of Projects Regist'!A1"/>
    <hyperlink ref="B132" r:id="rId46" location="#'Deadlines for Participation ro'!A1"/>
    <hyperlink ref="B135" r:id="rId47" location="#'Capacity Limit Eligibility (VC'!A1"/>
    <hyperlink ref="B138" r:id="rId48" location="#'Deadlines for Participation ro'!A1"/>
    <hyperlink ref="B141" r:id="rId49" location="#'Right to Operate and Right to'!A1"/>
    <hyperlink ref="B144" r:id="rId50" location="#'Deadlines for Participation ro'!A1"/>
    <hyperlink ref="B147" r:id="rId51" location="#'Land or Resource Rights Analys'!A1"/>
    <hyperlink ref="B150" r:id="rId52" location="#'Deadlines for Participation ro'!A1"/>
    <hyperlink ref="B153" r:id="rId53" location="#'No Double Issuance (VCS Valida'!A1"/>
    <hyperlink ref="B156" r:id="rId54" location="#'Deadlines for Participation ro'!A1"/>
    <hyperlink ref="B159" r:id="rId55" location="#'Registration with Other GHG 2'!A1"/>
    <hyperlink ref="B162" r:id="rId56" location="#'Deadlines for Participation ro'!A1"/>
    <hyperlink ref="B165" r:id="rId57" location="#'No Double Claiming with Emi 2'!A1"/>
    <hyperlink ref="B168" r:id="rId58" location="#'Deadlines for Participation ro'!A1"/>
    <hyperlink ref="B171" r:id="rId59" location="#'Supply Chain (Scope 3) Emissio'!A1"/>
    <hyperlink ref="B174" r:id="rId60" location="#'Deadlines for Participation ro'!A1"/>
    <hyperlink ref="B177" r:id="rId61" location="#'3.3 Application of Methodology'!A1"/>
    <hyperlink ref="B178" r:id="rId62" location="#'3.3.1 Methodology Details'!A1"/>
    <hyperlink ref="B181" r:id="rId63" location="#'3.3.2 Applicability and Eligib'!A1"/>
    <hyperlink ref="B182" r:id="rId64" location="#'3.3.2.1 Eligibility of Methodo'!A1"/>
    <hyperlink ref="B184" r:id="rId65" location="#'3.3.2.2 Applicability of Metho'!A1"/>
    <hyperlink ref="B185" r:id="rId66" location="#'3.3.2.2 Applicability conditio'!A1"/>
    <hyperlink ref="B190" r:id="rId67" location="#'3.3.3 Project Boundary'!A1"/>
    <hyperlink ref="B193" r:id="rId68" location="#'3.3.3.1 De Minimis GHG Sources'!A1"/>
    <hyperlink ref="B196" r:id="rId69" location="#'Deadlines for Participation ro'!A1"/>
    <hyperlink ref="B199" r:id="rId70" location="#'3.3.4 Baseline Scenario'!A1"/>
    <hyperlink ref="B202" r:id="rId71" location="#'3.3.4.1 Baseline Reassessment'!A1"/>
    <hyperlink ref="B205" r:id="rId72" location="#'Deadlines for Participation ro'!A1"/>
    <hyperlink ref="B208" r:id="rId73" location="#'3.3.5 Additionality'!A1"/>
    <hyperlink ref="B209" r:id="rId74" location="#'3.3.5.1 Regulatory Surplus (VC'!A1"/>
    <hyperlink ref="B212" r:id="rId75" location="#'3.3.5.2 Additionality Methods'!A1"/>
    <hyperlink ref="B215" r:id="rId76" location="#'3.3.6 Methodology Deviations'!A1"/>
    <hyperlink ref="B218" r:id="rId77" location="#'Deadlines for Participation ro'!A1"/>
    <hyperlink ref="B221" r:id="rId78" location="#'3.3 Methodology details row (V'!A1"/>
    <hyperlink ref="B227" r:id="rId79" location="#'3.3 Applicability of methodolo'!A1"/>
    <hyperlink ref="B232" r:id="rId80" location="#'Project boundary carbon pools'!A1"/>
    <hyperlink ref="B236" r:id="rId81" location="#'Project boundary GHG sources a'!A1"/>
    <hyperlink ref="B242" r:id="rId82" location="#'De Minimis GHG Sources and Car'!A1"/>
    <hyperlink ref="B245" r:id="rId83" location="#'Deadlines for Participation ro'!A1"/>
    <hyperlink ref="B248" r:id="rId84" location="#'Baseline Reassessment (VCS Val'!A1"/>
    <hyperlink ref="B251" r:id="rId85" location="#'Deadlines for Participation ro'!A1"/>
    <hyperlink ref="B254" r:id="rId86" location="#'Regulatory Surplus (VCS Valida'!A1"/>
    <hyperlink ref="B257" r:id="rId87" location="#'Deadlines for Participation ro'!A1"/>
    <hyperlink ref="B260" r:id="rId88" location="#'Additionality Methods (VCS Val'!A1"/>
    <hyperlink ref="B263" r:id="rId89" location="#'Deadlines for Participation ro'!A1"/>
    <hyperlink ref="B266" r:id="rId90" location="#'3.4 Quantification of Estimate'!A1"/>
    <hyperlink ref="B267" r:id="rId91" location="#'3.4.1 Quantification of Baseli'!A1"/>
    <hyperlink ref="B270" r:id="rId92" location="#'Deadlines for Participation ro'!A1"/>
    <hyperlink ref="B273" r:id="rId93" location="#'3.4.2 Other Relevant Quantific'!A1"/>
    <hyperlink ref="B274" r:id="rId94" location="#'3.4.2.1 Non-Permanence Risk An'!A1"/>
    <hyperlink ref="B277" r:id="rId95" location="#'3.4.2.2 Buffer Pool Allocation'!A1"/>
    <hyperlink ref="B279" r:id="rId96" location="#'3.4.2.3 Long-Term Average (VCS'!A1"/>
    <hyperlink ref="B281" r:id="rId97" location="#'3.5 Monitoring (VCS Validation'!A1"/>
    <hyperlink ref="B282" r:id="rId98" location="#'Data and parameter row (Valida'!A1"/>
    <hyperlink ref="B287" r:id="rId99" location="#'3.5.2 Monitoring Plan'!A1"/>
    <hyperlink ref="B290" r:id="rId100" location="#'Deadlines for Participation ro'!A1"/>
  </hyperlinks>
  <pageMargins left="0.7" right="0.7" top="0.75" bottom="0.75" header="0.3" footer="0.3"/>
  <pageSetup orientation="portrait" horizontalDpi="4294967295" verticalDpi="4294967295" scale="100" fitToWidth="1" fitToHeight="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3731</v>
      </c>
      <c r="B1" s="1"/>
      <c r="C1" s="1"/>
      <c r="D1" s="1"/>
      <c r="E1" s="1"/>
      <c r="F1" s="1"/>
      <c r="G1" s="1"/>
      <c r="H1" s="1"/>
      <c r="I1" s="1"/>
      <c r="J1" s="1"/>
    </row>
    <row r="2" spans="1:10" x14ac:dyDescent="0.25">
      <c r="A2" s="2" t="s">
        <v>1</v>
      </c>
      <c r="B2" s="3" t="s">
        <v>3732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652</v>
      </c>
      <c r="F5" s="5" t="s">
        <v>19</v>
      </c>
      <c r="G5" s="5" t="s">
        <v>653</v>
      </c>
      <c r="H5" s="5" t="s">
        <v>17</v>
      </c>
      <c r="I5" s="5" t="s">
        <v>17</v>
      </c>
      <c r="J5" s="5" t="s">
        <v>654</v>
      </c>
    </row>
    <row r="6" spans="1:10" x14ac:dyDescent="0.25">
      <c r="A6" s="5" t="s">
        <v>15</v>
      </c>
      <c r="B6" s="5" t="s">
        <v>16</v>
      </c>
      <c r="C6" s="5" t="s">
        <v>17</v>
      </c>
      <c r="D6" s="5"/>
      <c r="E6" s="5" t="s">
        <v>655</v>
      </c>
      <c r="F6" s="5" t="s">
        <v>19</v>
      </c>
      <c r="G6" s="5" t="s">
        <v>656</v>
      </c>
      <c r="H6" s="5" t="s">
        <v>17</v>
      </c>
      <c r="I6" s="5" t="s">
        <v>17</v>
      </c>
      <c r="J6" s="5" t="s">
        <v>657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3733</v>
      </c>
      <c r="B1" s="1"/>
      <c r="C1" s="1"/>
      <c r="D1" s="1"/>
      <c r="E1" s="1"/>
      <c r="F1" s="1"/>
      <c r="G1" s="1"/>
      <c r="H1" s="1"/>
      <c r="I1" s="1"/>
      <c r="J1" s="1"/>
    </row>
    <row r="2" spans="1:10" x14ac:dyDescent="0.25">
      <c r="A2" s="2" t="s">
        <v>1</v>
      </c>
      <c r="B2" s="3" t="s">
        <v>3734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649</v>
      </c>
      <c r="C5" s="5" t="s">
        <v>17</v>
      </c>
      <c r="D5" s="5"/>
      <c r="E5" s="5" t="s">
        <v>3192</v>
      </c>
      <c r="F5" s="5" t="s">
        <v>15</v>
      </c>
      <c r="G5" s="5" t="s">
        <v>17</v>
      </c>
      <c r="H5" s="5" t="s">
        <v>17</v>
      </c>
      <c r="I5" s="5" t="s">
        <v>17</v>
      </c>
      <c r="J5" s="5" t="s">
        <v>664</v>
      </c>
    </row>
    <row r="6" spans="1:10" x14ac:dyDescent="0.25" outlineLevel="1" collapsed="1">
      <c r="A6" s="7" t="s">
        <v>15</v>
      </c>
      <c r="B6" s="7" t="s">
        <v>16</v>
      </c>
      <c r="C6" s="7" t="s">
        <v>17</v>
      </c>
      <c r="D6" s="7"/>
      <c r="E6" s="7" t="s">
        <v>652</v>
      </c>
      <c r="F6" s="7" t="s">
        <v>19</v>
      </c>
      <c r="G6" s="7" t="s">
        <v>653</v>
      </c>
      <c r="H6" s="7" t="s">
        <v>17</v>
      </c>
      <c r="I6" s="7" t="s">
        <v>17</v>
      </c>
      <c r="J6" s="7" t="s">
        <v>654</v>
      </c>
    </row>
    <row r="7" spans="1:10" x14ac:dyDescent="0.25" outlineLevel="1" collapsed="1">
      <c r="A7" s="7" t="s">
        <v>15</v>
      </c>
      <c r="B7" s="7" t="s">
        <v>16</v>
      </c>
      <c r="C7" s="7" t="s">
        <v>17</v>
      </c>
      <c r="D7" s="7"/>
      <c r="E7" s="7" t="s">
        <v>655</v>
      </c>
      <c r="F7" s="7" t="s">
        <v>19</v>
      </c>
      <c r="G7" s="7" t="s">
        <v>656</v>
      </c>
      <c r="H7" s="7" t="s">
        <v>17</v>
      </c>
      <c r="I7" s="7" t="s">
        <v>17</v>
      </c>
      <c r="J7" s="7" t="s">
        <v>657</v>
      </c>
    </row>
    <row r="8" spans="1:10" x14ac:dyDescent="0.25">
      <c r="A8" s="5" t="s">
        <v>19</v>
      </c>
      <c r="B8" s="6" t="s">
        <v>649</v>
      </c>
      <c r="C8" s="5" t="s">
        <v>17</v>
      </c>
      <c r="D8" s="5"/>
      <c r="E8" s="5" t="s">
        <v>3193</v>
      </c>
      <c r="F8" s="5" t="s">
        <v>15</v>
      </c>
      <c r="G8" s="5" t="s">
        <v>17</v>
      </c>
      <c r="H8" s="5" t="s">
        <v>17</v>
      </c>
      <c r="I8" s="5" t="s">
        <v>17</v>
      </c>
      <c r="J8" s="5" t="s">
        <v>666</v>
      </c>
    </row>
    <row r="9" spans="1:10" x14ac:dyDescent="0.25" outlineLevel="1" collapsed="1">
      <c r="A9" s="7" t="s">
        <v>15</v>
      </c>
      <c r="B9" s="7" t="s">
        <v>16</v>
      </c>
      <c r="C9" s="7" t="s">
        <v>17</v>
      </c>
      <c r="D9" s="7"/>
      <c r="E9" s="7" t="s">
        <v>652</v>
      </c>
      <c r="F9" s="7" t="s">
        <v>19</v>
      </c>
      <c r="G9" s="7" t="s">
        <v>653</v>
      </c>
      <c r="H9" s="7" t="s">
        <v>17</v>
      </c>
      <c r="I9" s="7" t="s">
        <v>17</v>
      </c>
      <c r="J9" s="7" t="s">
        <v>654</v>
      </c>
    </row>
    <row r="10" spans="1:10" x14ac:dyDescent="0.25" outlineLevel="1" collapsed="1">
      <c r="A10" s="7" t="s">
        <v>15</v>
      </c>
      <c r="B10" s="7" t="s">
        <v>16</v>
      </c>
      <c r="C10" s="7" t="s">
        <v>17</v>
      </c>
      <c r="D10" s="7"/>
      <c r="E10" s="7" t="s">
        <v>655</v>
      </c>
      <c r="F10" s="7" t="s">
        <v>19</v>
      </c>
      <c r="G10" s="7" t="s">
        <v>656</v>
      </c>
      <c r="H10" s="7" t="s">
        <v>17</v>
      </c>
      <c r="I10" s="7" t="s">
        <v>17</v>
      </c>
      <c r="J10" s="7" t="s">
        <v>657</v>
      </c>
    </row>
    <row r="11" spans="1:10" x14ac:dyDescent="0.25">
      <c r="A11" s="5" t="s">
        <v>19</v>
      </c>
      <c r="B11" s="6" t="s">
        <v>649</v>
      </c>
      <c r="C11" s="5" t="s">
        <v>17</v>
      </c>
      <c r="D11" s="5"/>
      <c r="E11" s="5" t="s">
        <v>3194</v>
      </c>
      <c r="F11" s="5" t="s">
        <v>15</v>
      </c>
      <c r="G11" s="5" t="s">
        <v>17</v>
      </c>
      <c r="H11" s="5" t="s">
        <v>17</v>
      </c>
      <c r="I11" s="5" t="s">
        <v>17</v>
      </c>
      <c r="J11" s="5" t="s">
        <v>668</v>
      </c>
    </row>
    <row r="12" spans="1:10" x14ac:dyDescent="0.25" outlineLevel="1" collapsed="1">
      <c r="A12" s="7" t="s">
        <v>15</v>
      </c>
      <c r="B12" s="7" t="s">
        <v>16</v>
      </c>
      <c r="C12" s="7" t="s">
        <v>17</v>
      </c>
      <c r="D12" s="7"/>
      <c r="E12" s="7" t="s">
        <v>652</v>
      </c>
      <c r="F12" s="7" t="s">
        <v>19</v>
      </c>
      <c r="G12" s="7" t="s">
        <v>653</v>
      </c>
      <c r="H12" s="7" t="s">
        <v>17</v>
      </c>
      <c r="I12" s="7" t="s">
        <v>17</v>
      </c>
      <c r="J12" s="7" t="s">
        <v>654</v>
      </c>
    </row>
    <row r="13" spans="1:10" x14ac:dyDescent="0.25" outlineLevel="1" collapsed="1">
      <c r="A13" s="7" t="s">
        <v>15</v>
      </c>
      <c r="B13" s="7" t="s">
        <v>16</v>
      </c>
      <c r="C13" s="7" t="s">
        <v>17</v>
      </c>
      <c r="D13" s="7"/>
      <c r="E13" s="7" t="s">
        <v>655</v>
      </c>
      <c r="F13" s="7" t="s">
        <v>19</v>
      </c>
      <c r="G13" s="7" t="s">
        <v>656</v>
      </c>
      <c r="H13" s="7" t="s">
        <v>17</v>
      </c>
      <c r="I13" s="7" t="s">
        <v>17</v>
      </c>
      <c r="J13" s="7" t="s">
        <v>657</v>
      </c>
    </row>
    <row r="14" spans="1:10" x14ac:dyDescent="0.25">
      <c r="A14" s="5" t="s">
        <v>19</v>
      </c>
      <c r="B14" s="6" t="s">
        <v>649</v>
      </c>
      <c r="C14" s="5" t="s">
        <v>17</v>
      </c>
      <c r="D14" s="5"/>
      <c r="E14" s="5" t="s">
        <v>3195</v>
      </c>
      <c r="F14" s="5" t="s">
        <v>15</v>
      </c>
      <c r="G14" s="5" t="s">
        <v>17</v>
      </c>
      <c r="H14" s="5" t="s">
        <v>17</v>
      </c>
      <c r="I14" s="5" t="s">
        <v>17</v>
      </c>
      <c r="J14" s="5" t="s">
        <v>670</v>
      </c>
    </row>
    <row r="15" spans="1:10" x14ac:dyDescent="0.25" outlineLevel="1" collapsed="1">
      <c r="A15" s="7" t="s">
        <v>15</v>
      </c>
      <c r="B15" s="7" t="s">
        <v>16</v>
      </c>
      <c r="C15" s="7" t="s">
        <v>17</v>
      </c>
      <c r="D15" s="7"/>
      <c r="E15" s="7" t="s">
        <v>652</v>
      </c>
      <c r="F15" s="7" t="s">
        <v>19</v>
      </c>
      <c r="G15" s="7" t="s">
        <v>653</v>
      </c>
      <c r="H15" s="7" t="s">
        <v>17</v>
      </c>
      <c r="I15" s="7" t="s">
        <v>17</v>
      </c>
      <c r="J15" s="7" t="s">
        <v>654</v>
      </c>
    </row>
    <row r="16" spans="1:10" x14ac:dyDescent="0.25" outlineLevel="1" collapsed="1">
      <c r="A16" s="7" t="s">
        <v>15</v>
      </c>
      <c r="B16" s="7" t="s">
        <v>16</v>
      </c>
      <c r="C16" s="7" t="s">
        <v>17</v>
      </c>
      <c r="D16" s="7"/>
      <c r="E16" s="7" t="s">
        <v>655</v>
      </c>
      <c r="F16" s="7" t="s">
        <v>19</v>
      </c>
      <c r="G16" s="7" t="s">
        <v>656</v>
      </c>
      <c r="H16" s="7" t="s">
        <v>17</v>
      </c>
      <c r="I16" s="7" t="s">
        <v>17</v>
      </c>
      <c r="J16" s="7" t="s">
        <v>657</v>
      </c>
    </row>
    <row r="17" spans="1:10" x14ac:dyDescent="0.25">
      <c r="A17" s="5" t="s">
        <v>19</v>
      </c>
      <c r="B17" s="6" t="s">
        <v>649</v>
      </c>
      <c r="C17" s="5" t="s">
        <v>17</v>
      </c>
      <c r="D17" s="5"/>
      <c r="E17" s="5" t="s">
        <v>3196</v>
      </c>
      <c r="F17" s="5" t="s">
        <v>15</v>
      </c>
      <c r="G17" s="5" t="s">
        <v>17</v>
      </c>
      <c r="H17" s="5" t="s">
        <v>17</v>
      </c>
      <c r="I17" s="5" t="s">
        <v>17</v>
      </c>
      <c r="J17" s="5" t="s">
        <v>170</v>
      </c>
    </row>
    <row r="18" spans="1:10" x14ac:dyDescent="0.25" outlineLevel="1" collapsed="1">
      <c r="A18" s="7" t="s">
        <v>15</v>
      </c>
      <c r="B18" s="7" t="s">
        <v>16</v>
      </c>
      <c r="C18" s="7" t="s">
        <v>17</v>
      </c>
      <c r="D18" s="7"/>
      <c r="E18" s="7" t="s">
        <v>652</v>
      </c>
      <c r="F18" s="7" t="s">
        <v>19</v>
      </c>
      <c r="G18" s="7" t="s">
        <v>653</v>
      </c>
      <c r="H18" s="7" t="s">
        <v>17</v>
      </c>
      <c r="I18" s="7" t="s">
        <v>17</v>
      </c>
      <c r="J18" s="7" t="s">
        <v>654</v>
      </c>
    </row>
    <row r="19" spans="1:10" x14ac:dyDescent="0.25" outlineLevel="1" collapsed="1">
      <c r="A19" s="7" t="s">
        <v>15</v>
      </c>
      <c r="B19" s="7" t="s">
        <v>16</v>
      </c>
      <c r="C19" s="7" t="s">
        <v>17</v>
      </c>
      <c r="D19" s="7"/>
      <c r="E19" s="7" t="s">
        <v>655</v>
      </c>
      <c r="F19" s="7" t="s">
        <v>19</v>
      </c>
      <c r="G19" s="7" t="s">
        <v>656</v>
      </c>
      <c r="H19" s="7" t="s">
        <v>17</v>
      </c>
      <c r="I19" s="7" t="s">
        <v>17</v>
      </c>
      <c r="J19" s="7" t="s">
        <v>657</v>
      </c>
    </row>
    <row r="20" spans="1:10" x14ac:dyDescent="0.25">
      <c r="A20" s="5" t="s">
        <v>19</v>
      </c>
      <c r="B20" s="6" t="s">
        <v>649</v>
      </c>
      <c r="C20" s="5" t="s">
        <v>17</v>
      </c>
      <c r="D20" s="5"/>
      <c r="E20" s="5" t="s">
        <v>3197</v>
      </c>
      <c r="F20" s="5" t="s">
        <v>15</v>
      </c>
      <c r="G20" s="5" t="s">
        <v>17</v>
      </c>
      <c r="H20" s="5" t="s">
        <v>17</v>
      </c>
      <c r="I20" s="5" t="s">
        <v>17</v>
      </c>
      <c r="J20" s="5" t="s">
        <v>673</v>
      </c>
    </row>
    <row r="21" spans="1:10" x14ac:dyDescent="0.25" outlineLevel="1" collapsed="1">
      <c r="A21" s="7" t="s">
        <v>15</v>
      </c>
      <c r="B21" s="7" t="s">
        <v>16</v>
      </c>
      <c r="C21" s="7" t="s">
        <v>17</v>
      </c>
      <c r="D21" s="7"/>
      <c r="E21" s="7" t="s">
        <v>652</v>
      </c>
      <c r="F21" s="7" t="s">
        <v>19</v>
      </c>
      <c r="G21" s="7" t="s">
        <v>653</v>
      </c>
      <c r="H21" s="7" t="s">
        <v>17</v>
      </c>
      <c r="I21" s="7" t="s">
        <v>17</v>
      </c>
      <c r="J21" s="7" t="s">
        <v>654</v>
      </c>
    </row>
    <row r="22" spans="1:10" x14ac:dyDescent="0.25" outlineLevel="1" collapsed="1">
      <c r="A22" s="7" t="s">
        <v>15</v>
      </c>
      <c r="B22" s="7" t="s">
        <v>16</v>
      </c>
      <c r="C22" s="7" t="s">
        <v>17</v>
      </c>
      <c r="D22" s="7"/>
      <c r="E22" s="7" t="s">
        <v>655</v>
      </c>
      <c r="F22" s="7" t="s">
        <v>19</v>
      </c>
      <c r="G22" s="7" t="s">
        <v>656</v>
      </c>
      <c r="H22" s="7" t="s">
        <v>17</v>
      </c>
      <c r="I22" s="7" t="s">
        <v>17</v>
      </c>
      <c r="J22" s="7" t="s">
        <v>657</v>
      </c>
    </row>
    <row r="23" spans="1:10" x14ac:dyDescent="0.25">
      <c r="A23" s="5" t="s">
        <v>19</v>
      </c>
      <c r="B23" s="6" t="s">
        <v>649</v>
      </c>
      <c r="C23" s="5" t="s">
        <v>17</v>
      </c>
      <c r="D23" s="5"/>
      <c r="E23" s="5" t="s">
        <v>3198</v>
      </c>
      <c r="F23" s="5" t="s">
        <v>15</v>
      </c>
      <c r="G23" s="5" t="s">
        <v>17</v>
      </c>
      <c r="H23" s="5" t="s">
        <v>17</v>
      </c>
      <c r="I23" s="5" t="s">
        <v>17</v>
      </c>
      <c r="J23" s="5" t="s">
        <v>217</v>
      </c>
    </row>
    <row r="24" spans="1:10" x14ac:dyDescent="0.25" outlineLevel="1" collapsed="1">
      <c r="A24" s="7" t="s">
        <v>15</v>
      </c>
      <c r="B24" s="7" t="s">
        <v>16</v>
      </c>
      <c r="C24" s="7" t="s">
        <v>17</v>
      </c>
      <c r="D24" s="7"/>
      <c r="E24" s="7" t="s">
        <v>652</v>
      </c>
      <c r="F24" s="7" t="s">
        <v>19</v>
      </c>
      <c r="G24" s="7" t="s">
        <v>653</v>
      </c>
      <c r="H24" s="7" t="s">
        <v>17</v>
      </c>
      <c r="I24" s="7" t="s">
        <v>17</v>
      </c>
      <c r="J24" s="7" t="s">
        <v>654</v>
      </c>
    </row>
    <row r="25" spans="1:10" x14ac:dyDescent="0.25" outlineLevel="1" collapsed="1">
      <c r="A25" s="7" t="s">
        <v>15</v>
      </c>
      <c r="B25" s="7" t="s">
        <v>16</v>
      </c>
      <c r="C25" s="7" t="s">
        <v>17</v>
      </c>
      <c r="D25" s="7"/>
      <c r="E25" s="7" t="s">
        <v>655</v>
      </c>
      <c r="F25" s="7" t="s">
        <v>19</v>
      </c>
      <c r="G25" s="7" t="s">
        <v>656</v>
      </c>
      <c r="H25" s="7" t="s">
        <v>17</v>
      </c>
      <c r="I25" s="7" t="s">
        <v>17</v>
      </c>
      <c r="J25" s="7" t="s">
        <v>657</v>
      </c>
    </row>
    <row r="26" spans="1:10" x14ac:dyDescent="0.25">
      <c r="A26" s="5" t="s">
        <v>19</v>
      </c>
      <c r="B26" s="6" t="s">
        <v>649</v>
      </c>
      <c r="C26" s="5" t="s">
        <v>17</v>
      </c>
      <c r="D26" s="5"/>
      <c r="E26" s="5" t="s">
        <v>3199</v>
      </c>
      <c r="F26" s="5" t="s">
        <v>15</v>
      </c>
      <c r="G26" s="5" t="s">
        <v>17</v>
      </c>
      <c r="H26" s="5" t="s">
        <v>17</v>
      </c>
      <c r="I26" s="5" t="s">
        <v>17</v>
      </c>
      <c r="J26" s="5" t="s">
        <v>675</v>
      </c>
    </row>
    <row r="27" spans="1:10" x14ac:dyDescent="0.25" outlineLevel="1" collapsed="1">
      <c r="A27" s="7" t="s">
        <v>15</v>
      </c>
      <c r="B27" s="7" t="s">
        <v>16</v>
      </c>
      <c r="C27" s="7" t="s">
        <v>17</v>
      </c>
      <c r="D27" s="7"/>
      <c r="E27" s="7" t="s">
        <v>652</v>
      </c>
      <c r="F27" s="7" t="s">
        <v>19</v>
      </c>
      <c r="G27" s="7" t="s">
        <v>653</v>
      </c>
      <c r="H27" s="7" t="s">
        <v>17</v>
      </c>
      <c r="I27" s="7" t="s">
        <v>17</v>
      </c>
      <c r="J27" s="7" t="s">
        <v>654</v>
      </c>
    </row>
    <row r="28" spans="1:10" x14ac:dyDescent="0.25" outlineLevel="1" collapsed="1">
      <c r="A28" s="7" t="s">
        <v>15</v>
      </c>
      <c r="B28" s="7" t="s">
        <v>16</v>
      </c>
      <c r="C28" s="7" t="s">
        <v>17</v>
      </c>
      <c r="D28" s="7"/>
      <c r="E28" s="7" t="s">
        <v>655</v>
      </c>
      <c r="F28" s="7" t="s">
        <v>19</v>
      </c>
      <c r="G28" s="7" t="s">
        <v>656</v>
      </c>
      <c r="H28" s="7" t="s">
        <v>17</v>
      </c>
      <c r="I28" s="7" t="s">
        <v>17</v>
      </c>
      <c r="J28" s="7" t="s">
        <v>657</v>
      </c>
    </row>
    <row r="29" spans="1:10" x14ac:dyDescent="0.25">
      <c r="A29" s="5" t="s">
        <v>19</v>
      </c>
      <c r="B29" s="6" t="s">
        <v>649</v>
      </c>
      <c r="C29" s="5" t="s">
        <v>17</v>
      </c>
      <c r="D29" s="5"/>
      <c r="E29" s="5" t="s">
        <v>3200</v>
      </c>
      <c r="F29" s="5" t="s">
        <v>15</v>
      </c>
      <c r="G29" s="5" t="s">
        <v>17</v>
      </c>
      <c r="H29" s="5" t="s">
        <v>17</v>
      </c>
      <c r="I29" s="5" t="s">
        <v>17</v>
      </c>
      <c r="J29" s="5" t="s">
        <v>3201</v>
      </c>
    </row>
    <row r="30" spans="1:10" x14ac:dyDescent="0.25" outlineLevel="1" collapsed="1">
      <c r="A30" s="7" t="s">
        <v>15</v>
      </c>
      <c r="B30" s="7" t="s">
        <v>16</v>
      </c>
      <c r="C30" s="7" t="s">
        <v>17</v>
      </c>
      <c r="D30" s="7"/>
      <c r="E30" s="7" t="s">
        <v>652</v>
      </c>
      <c r="F30" s="7" t="s">
        <v>19</v>
      </c>
      <c r="G30" s="7" t="s">
        <v>653</v>
      </c>
      <c r="H30" s="7" t="s">
        <v>17</v>
      </c>
      <c r="I30" s="7" t="s">
        <v>17</v>
      </c>
      <c r="J30" s="7" t="s">
        <v>654</v>
      </c>
    </row>
    <row r="31" spans="1:10" x14ac:dyDescent="0.25" outlineLevel="1" collapsed="1">
      <c r="A31" s="7" t="s">
        <v>15</v>
      </c>
      <c r="B31" s="7" t="s">
        <v>16</v>
      </c>
      <c r="C31" s="7" t="s">
        <v>17</v>
      </c>
      <c r="D31" s="7"/>
      <c r="E31" s="7" t="s">
        <v>655</v>
      </c>
      <c r="F31" s="7" t="s">
        <v>19</v>
      </c>
      <c r="G31" s="7" t="s">
        <v>656</v>
      </c>
      <c r="H31" s="7" t="s">
        <v>17</v>
      </c>
      <c r="I31" s="7" t="s">
        <v>17</v>
      </c>
      <c r="J31" s="7" t="s">
        <v>657</v>
      </c>
    </row>
    <row r="32" spans="1:10" x14ac:dyDescent="0.25">
      <c r="A32" s="5" t="s">
        <v>19</v>
      </c>
      <c r="B32" s="6" t="s">
        <v>3202</v>
      </c>
      <c r="C32" s="5" t="s">
        <v>17</v>
      </c>
      <c r="D32" s="5"/>
      <c r="E32" s="5" t="s">
        <v>679</v>
      </c>
      <c r="F32" s="5" t="s">
        <v>19</v>
      </c>
      <c r="G32" s="5" t="s">
        <v>17</v>
      </c>
      <c r="H32" s="5" t="s">
        <v>17</v>
      </c>
      <c r="I32" s="5" t="s">
        <v>17</v>
      </c>
      <c r="J32" s="5" t="s">
        <v>680</v>
      </c>
    </row>
    <row r="33" spans="1:10" x14ac:dyDescent="0.25" outlineLevel="1" collapsed="1">
      <c r="A33" s="7" t="s">
        <v>19</v>
      </c>
      <c r="B33" s="7" t="s">
        <v>16</v>
      </c>
      <c r="C33" s="7" t="s">
        <v>17</v>
      </c>
      <c r="D33" s="7"/>
      <c r="E33" s="7" t="s">
        <v>500</v>
      </c>
      <c r="F33" s="7" t="s">
        <v>19</v>
      </c>
      <c r="G33" s="7" t="s">
        <v>31</v>
      </c>
      <c r="H33" s="7" t="s">
        <v>17</v>
      </c>
      <c r="I33" s="7" t="s">
        <v>17</v>
      </c>
      <c r="J33" s="7" t="s">
        <v>494</v>
      </c>
    </row>
    <row r="34" spans="1:10" x14ac:dyDescent="0.25" outlineLevel="1" collapsed="1">
      <c r="A34" s="7" t="s">
        <v>19</v>
      </c>
      <c r="B34" s="7" t="s">
        <v>16</v>
      </c>
      <c r="C34" s="7" t="s">
        <v>17</v>
      </c>
      <c r="D34" s="7"/>
      <c r="E34" s="7" t="s">
        <v>501</v>
      </c>
      <c r="F34" s="7" t="s">
        <v>19</v>
      </c>
      <c r="G34" s="7" t="s">
        <v>31</v>
      </c>
      <c r="H34" s="7" t="s">
        <v>17</v>
      </c>
      <c r="I34" s="7" t="s">
        <v>17</v>
      </c>
      <c r="J34" s="7" t="s">
        <v>497</v>
      </c>
    </row>
    <row r="35" spans="1:10" x14ac:dyDescent="0.25" outlineLevel="1" collapsed="1">
      <c r="A35" s="8" t="s">
        <v>19</v>
      </c>
      <c r="B35" s="9" t="s">
        <v>502</v>
      </c>
      <c r="C35" s="8" t="s">
        <v>17</v>
      </c>
      <c r="D35" s="8"/>
      <c r="E35" s="8" t="s">
        <v>503</v>
      </c>
      <c r="F35" s="8" t="s">
        <v>15</v>
      </c>
      <c r="G35" s="8" t="s">
        <v>17</v>
      </c>
      <c r="H35" s="8" t="s">
        <v>17</v>
      </c>
      <c r="I35" s="8" t="s">
        <v>17</v>
      </c>
      <c r="J35" s="8" t="s">
        <v>504</v>
      </c>
    </row>
    <row r="36" spans="1:10" x14ac:dyDescent="0.25" outlineLevel="2" collapsed="1">
      <c r="A36" s="7" t="s">
        <v>19</v>
      </c>
      <c r="B36" s="7" t="s">
        <v>16</v>
      </c>
      <c r="C36" s="7" t="s">
        <v>17</v>
      </c>
      <c r="D36" s="7"/>
      <c r="E36" s="7" t="s">
        <v>505</v>
      </c>
      <c r="F36" s="7" t="s">
        <v>19</v>
      </c>
      <c r="G36" s="7" t="s">
        <v>31</v>
      </c>
      <c r="H36" s="7" t="s">
        <v>17</v>
      </c>
      <c r="I36" s="7" t="s">
        <v>17</v>
      </c>
      <c r="J36" s="7" t="s">
        <v>506</v>
      </c>
    </row>
    <row r="37" spans="1:10" x14ac:dyDescent="0.25" outlineLevel="2" collapsed="1">
      <c r="A37" s="7" t="s">
        <v>19</v>
      </c>
      <c r="B37" s="7" t="s">
        <v>16</v>
      </c>
      <c r="C37" s="7" t="s">
        <v>17</v>
      </c>
      <c r="D37" s="7"/>
      <c r="E37" s="7" t="s">
        <v>501</v>
      </c>
      <c r="F37" s="7" t="s">
        <v>19</v>
      </c>
      <c r="G37" s="7" t="s">
        <v>31</v>
      </c>
      <c r="H37" s="7" t="s">
        <v>17</v>
      </c>
      <c r="I37" s="7" t="s">
        <v>17</v>
      </c>
      <c r="J37" s="7" t="s">
        <v>497</v>
      </c>
    </row>
    <row r="38" spans="1:10" x14ac:dyDescent="0.25">
      <c r="A38" s="5" t="s">
        <v>19</v>
      </c>
      <c r="B38" s="6" t="s">
        <v>3203</v>
      </c>
      <c r="C38" s="5" t="s">
        <v>17</v>
      </c>
      <c r="D38" s="5"/>
      <c r="E38" s="5" t="s">
        <v>682</v>
      </c>
      <c r="F38" s="5" t="s">
        <v>19</v>
      </c>
      <c r="G38" s="5" t="s">
        <v>17</v>
      </c>
      <c r="H38" s="5" t="s">
        <v>17</v>
      </c>
      <c r="I38" s="5" t="s">
        <v>17</v>
      </c>
      <c r="J38" s="5" t="s">
        <v>134</v>
      </c>
    </row>
    <row r="39" spans="1:10" x14ac:dyDescent="0.25" outlineLevel="1" collapsed="1">
      <c r="A39" s="7" t="s">
        <v>19</v>
      </c>
      <c r="B39" s="7" t="s">
        <v>16</v>
      </c>
      <c r="C39" s="7" t="s">
        <v>17</v>
      </c>
      <c r="D39" s="7"/>
      <c r="E39" s="7" t="s">
        <v>500</v>
      </c>
      <c r="F39" s="7" t="s">
        <v>19</v>
      </c>
      <c r="G39" s="7" t="s">
        <v>31</v>
      </c>
      <c r="H39" s="7" t="s">
        <v>17</v>
      </c>
      <c r="I39" s="7" t="s">
        <v>17</v>
      </c>
      <c r="J39" s="7" t="s">
        <v>494</v>
      </c>
    </row>
    <row r="40" spans="1:10" x14ac:dyDescent="0.25" outlineLevel="1" collapsed="1">
      <c r="A40" s="7" t="s">
        <v>19</v>
      </c>
      <c r="B40" s="7" t="s">
        <v>16</v>
      </c>
      <c r="C40" s="7" t="s">
        <v>17</v>
      </c>
      <c r="D40" s="7"/>
      <c r="E40" s="7" t="s">
        <v>501</v>
      </c>
      <c r="F40" s="7" t="s">
        <v>19</v>
      </c>
      <c r="G40" s="7" t="s">
        <v>31</v>
      </c>
      <c r="H40" s="7" t="s">
        <v>17</v>
      </c>
      <c r="I40" s="7" t="s">
        <v>17</v>
      </c>
      <c r="J40" s="7" t="s">
        <v>497</v>
      </c>
    </row>
    <row r="41" spans="1:10" x14ac:dyDescent="0.25" outlineLevel="1" collapsed="1">
      <c r="A41" s="8" t="s">
        <v>19</v>
      </c>
      <c r="B41" s="9" t="s">
        <v>502</v>
      </c>
      <c r="C41" s="8" t="s">
        <v>17</v>
      </c>
      <c r="D41" s="8"/>
      <c r="E41" s="8" t="s">
        <v>503</v>
      </c>
      <c r="F41" s="8" t="s">
        <v>15</v>
      </c>
      <c r="G41" s="8" t="s">
        <v>17</v>
      </c>
      <c r="H41" s="8" t="s">
        <v>17</v>
      </c>
      <c r="I41" s="8" t="s">
        <v>17</v>
      </c>
      <c r="J41" s="8" t="s">
        <v>504</v>
      </c>
    </row>
    <row r="42" spans="1:10" x14ac:dyDescent="0.25" outlineLevel="2" collapsed="1">
      <c r="A42" s="7" t="s">
        <v>19</v>
      </c>
      <c r="B42" s="7" t="s">
        <v>16</v>
      </c>
      <c r="C42" s="7" t="s">
        <v>17</v>
      </c>
      <c r="D42" s="7"/>
      <c r="E42" s="7" t="s">
        <v>505</v>
      </c>
      <c r="F42" s="7" t="s">
        <v>19</v>
      </c>
      <c r="G42" s="7" t="s">
        <v>31</v>
      </c>
      <c r="H42" s="7" t="s">
        <v>17</v>
      </c>
      <c r="I42" s="7" t="s">
        <v>17</v>
      </c>
      <c r="J42" s="7" t="s">
        <v>506</v>
      </c>
    </row>
    <row r="43" spans="1:10" x14ac:dyDescent="0.25" outlineLevel="2" collapsed="1">
      <c r="A43" s="7" t="s">
        <v>19</v>
      </c>
      <c r="B43" s="7" t="s">
        <v>16</v>
      </c>
      <c r="C43" s="7" t="s">
        <v>17</v>
      </c>
      <c r="D43" s="7"/>
      <c r="E43" s="7" t="s">
        <v>501</v>
      </c>
      <c r="F43" s="7" t="s">
        <v>19</v>
      </c>
      <c r="G43" s="7" t="s">
        <v>31</v>
      </c>
      <c r="H43" s="7" t="s">
        <v>17</v>
      </c>
      <c r="I43" s="7" t="s">
        <v>17</v>
      </c>
      <c r="J43" s="7" t="s">
        <v>497</v>
      </c>
    </row>
    <row r="44" spans="1:10" x14ac:dyDescent="0.25">
      <c r="A44" s="5" t="s">
        <v>19</v>
      </c>
      <c r="B44" s="6" t="s">
        <v>3204</v>
      </c>
      <c r="C44" s="5" t="s">
        <v>17</v>
      </c>
      <c r="D44" s="5"/>
      <c r="E44" s="5" t="s">
        <v>684</v>
      </c>
      <c r="F44" s="5" t="s">
        <v>19</v>
      </c>
      <c r="G44" s="5" t="s">
        <v>17</v>
      </c>
      <c r="H44" s="5" t="s">
        <v>17</v>
      </c>
      <c r="I44" s="5" t="s">
        <v>17</v>
      </c>
      <c r="J44" s="5" t="s">
        <v>685</v>
      </c>
    </row>
    <row r="45" spans="1:10" x14ac:dyDescent="0.25" outlineLevel="1" collapsed="1">
      <c r="A45" s="7" t="s">
        <v>19</v>
      </c>
      <c r="B45" s="7" t="s">
        <v>16</v>
      </c>
      <c r="C45" s="7" t="s">
        <v>17</v>
      </c>
      <c r="D45" s="7"/>
      <c r="E45" s="7" t="s">
        <v>500</v>
      </c>
      <c r="F45" s="7" t="s">
        <v>19</v>
      </c>
      <c r="G45" s="7" t="s">
        <v>31</v>
      </c>
      <c r="H45" s="7" t="s">
        <v>17</v>
      </c>
      <c r="I45" s="7" t="s">
        <v>17</v>
      </c>
      <c r="J45" s="7" t="s">
        <v>494</v>
      </c>
    </row>
    <row r="46" spans="1:10" x14ac:dyDescent="0.25" outlineLevel="1" collapsed="1">
      <c r="A46" s="7" t="s">
        <v>19</v>
      </c>
      <c r="B46" s="7" t="s">
        <v>16</v>
      </c>
      <c r="C46" s="7" t="s">
        <v>17</v>
      </c>
      <c r="D46" s="7"/>
      <c r="E46" s="7" t="s">
        <v>501</v>
      </c>
      <c r="F46" s="7" t="s">
        <v>19</v>
      </c>
      <c r="G46" s="7" t="s">
        <v>31</v>
      </c>
      <c r="H46" s="7" t="s">
        <v>17</v>
      </c>
      <c r="I46" s="7" t="s">
        <v>17</v>
      </c>
      <c r="J46" s="7" t="s">
        <v>497</v>
      </c>
    </row>
    <row r="47" spans="1:10" x14ac:dyDescent="0.25" outlineLevel="1" collapsed="1">
      <c r="A47" s="8" t="s">
        <v>19</v>
      </c>
      <c r="B47" s="9" t="s">
        <v>502</v>
      </c>
      <c r="C47" s="8" t="s">
        <v>17</v>
      </c>
      <c r="D47" s="8"/>
      <c r="E47" s="8" t="s">
        <v>503</v>
      </c>
      <c r="F47" s="8" t="s">
        <v>15</v>
      </c>
      <c r="G47" s="8" t="s">
        <v>17</v>
      </c>
      <c r="H47" s="8" t="s">
        <v>17</v>
      </c>
      <c r="I47" s="8" t="s">
        <v>17</v>
      </c>
      <c r="J47" s="8" t="s">
        <v>504</v>
      </c>
    </row>
    <row r="48" spans="1:10" x14ac:dyDescent="0.25" outlineLevel="2" collapsed="1">
      <c r="A48" s="7" t="s">
        <v>19</v>
      </c>
      <c r="B48" s="7" t="s">
        <v>16</v>
      </c>
      <c r="C48" s="7" t="s">
        <v>17</v>
      </c>
      <c r="D48" s="7"/>
      <c r="E48" s="7" t="s">
        <v>505</v>
      </c>
      <c r="F48" s="7" t="s">
        <v>19</v>
      </c>
      <c r="G48" s="7" t="s">
        <v>31</v>
      </c>
      <c r="H48" s="7" t="s">
        <v>17</v>
      </c>
      <c r="I48" s="7" t="s">
        <v>17</v>
      </c>
      <c r="J48" s="7" t="s">
        <v>506</v>
      </c>
    </row>
    <row r="49" spans="1:10" x14ac:dyDescent="0.25" outlineLevel="2" collapsed="1">
      <c r="A49" s="7" t="s">
        <v>19</v>
      </c>
      <c r="B49" s="7" t="s">
        <v>16</v>
      </c>
      <c r="C49" s="7" t="s">
        <v>17</v>
      </c>
      <c r="D49" s="7"/>
      <c r="E49" s="7" t="s">
        <v>501</v>
      </c>
      <c r="F49" s="7" t="s">
        <v>19</v>
      </c>
      <c r="G49" s="7" t="s">
        <v>31</v>
      </c>
      <c r="H49" s="7" t="s">
        <v>17</v>
      </c>
      <c r="I49" s="7" t="s">
        <v>17</v>
      </c>
      <c r="J49" s="7" t="s">
        <v>497</v>
      </c>
    </row>
    <row r="50" spans="1:10" x14ac:dyDescent="0.25">
      <c r="A50" s="5" t="s">
        <v>19</v>
      </c>
      <c r="B50" s="6" t="s">
        <v>3205</v>
      </c>
      <c r="C50" s="5" t="s">
        <v>17</v>
      </c>
      <c r="D50" s="5"/>
      <c r="E50" s="5" t="s">
        <v>3206</v>
      </c>
      <c r="F50" s="5" t="s">
        <v>19</v>
      </c>
      <c r="G50" s="5" t="s">
        <v>17</v>
      </c>
      <c r="H50" s="5" t="s">
        <v>17</v>
      </c>
      <c r="I50" s="5" t="s">
        <v>17</v>
      </c>
      <c r="J50" s="5" t="s">
        <v>3207</v>
      </c>
    </row>
    <row r="51" spans="1:10" x14ac:dyDescent="0.25" outlineLevel="1" collapsed="1">
      <c r="A51" s="7" t="s">
        <v>19</v>
      </c>
      <c r="B51" s="7" t="s">
        <v>16</v>
      </c>
      <c r="C51" s="7" t="s">
        <v>17</v>
      </c>
      <c r="D51" s="7"/>
      <c r="E51" s="7" t="s">
        <v>500</v>
      </c>
      <c r="F51" s="7" t="s">
        <v>19</v>
      </c>
      <c r="G51" s="7" t="s">
        <v>31</v>
      </c>
      <c r="H51" s="7" t="s">
        <v>17</v>
      </c>
      <c r="I51" s="7" t="s">
        <v>17</v>
      </c>
      <c r="J51" s="7" t="s">
        <v>494</v>
      </c>
    </row>
    <row r="52" spans="1:10" x14ac:dyDescent="0.25" outlineLevel="1" collapsed="1">
      <c r="A52" s="7" t="s">
        <v>19</v>
      </c>
      <c r="B52" s="7" t="s">
        <v>16</v>
      </c>
      <c r="C52" s="7" t="s">
        <v>17</v>
      </c>
      <c r="D52" s="7"/>
      <c r="E52" s="7" t="s">
        <v>501</v>
      </c>
      <c r="F52" s="7" t="s">
        <v>19</v>
      </c>
      <c r="G52" s="7" t="s">
        <v>31</v>
      </c>
      <c r="H52" s="7" t="s">
        <v>17</v>
      </c>
      <c r="I52" s="7" t="s">
        <v>17</v>
      </c>
      <c r="J52" s="7" t="s">
        <v>497</v>
      </c>
    </row>
    <row r="53" spans="1:10" x14ac:dyDescent="0.25" outlineLevel="1" collapsed="1">
      <c r="A53" s="8" t="s">
        <v>19</v>
      </c>
      <c r="B53" s="9" t="s">
        <v>502</v>
      </c>
      <c r="C53" s="8" t="s">
        <v>17</v>
      </c>
      <c r="D53" s="8"/>
      <c r="E53" s="8" t="s">
        <v>503</v>
      </c>
      <c r="F53" s="8" t="s">
        <v>15</v>
      </c>
      <c r="G53" s="8" t="s">
        <v>17</v>
      </c>
      <c r="H53" s="8" t="s">
        <v>17</v>
      </c>
      <c r="I53" s="8" t="s">
        <v>17</v>
      </c>
      <c r="J53" s="8" t="s">
        <v>504</v>
      </c>
    </row>
    <row r="54" spans="1:10" x14ac:dyDescent="0.25" outlineLevel="2" collapsed="1">
      <c r="A54" s="7" t="s">
        <v>19</v>
      </c>
      <c r="B54" s="7" t="s">
        <v>16</v>
      </c>
      <c r="C54" s="7" t="s">
        <v>17</v>
      </c>
      <c r="D54" s="7"/>
      <c r="E54" s="7" t="s">
        <v>505</v>
      </c>
      <c r="F54" s="7" t="s">
        <v>19</v>
      </c>
      <c r="G54" s="7" t="s">
        <v>31</v>
      </c>
      <c r="H54" s="7" t="s">
        <v>17</v>
      </c>
      <c r="I54" s="7" t="s">
        <v>17</v>
      </c>
      <c r="J54" s="7" t="s">
        <v>506</v>
      </c>
    </row>
    <row r="55" spans="1:10" x14ac:dyDescent="0.25" outlineLevel="2" collapsed="1">
      <c r="A55" s="7" t="s">
        <v>19</v>
      </c>
      <c r="B55" s="7" t="s">
        <v>16</v>
      </c>
      <c r="C55" s="7" t="s">
        <v>17</v>
      </c>
      <c r="D55" s="7"/>
      <c r="E55" s="7" t="s">
        <v>501</v>
      </c>
      <c r="F55" s="7" t="s">
        <v>19</v>
      </c>
      <c r="G55" s="7" t="s">
        <v>31</v>
      </c>
      <c r="H55" s="7" t="s">
        <v>17</v>
      </c>
      <c r="I55" s="7" t="s">
        <v>17</v>
      </c>
      <c r="J55" s="7" t="s">
        <v>497</v>
      </c>
    </row>
    <row r="56" spans="1:10" x14ac:dyDescent="0.25">
      <c r="A56" s="5" t="s">
        <v>19</v>
      </c>
      <c r="B56" s="6" t="s">
        <v>3208</v>
      </c>
      <c r="C56" s="5" t="s">
        <v>17</v>
      </c>
      <c r="D56" s="5"/>
      <c r="E56" s="5" t="s">
        <v>690</v>
      </c>
      <c r="F56" s="5" t="s">
        <v>19</v>
      </c>
      <c r="G56" s="5" t="s">
        <v>17</v>
      </c>
      <c r="H56" s="5" t="s">
        <v>17</v>
      </c>
      <c r="I56" s="5" t="s">
        <v>17</v>
      </c>
      <c r="J56" s="5" t="s">
        <v>691</v>
      </c>
    </row>
    <row r="57" spans="1:10" x14ac:dyDescent="0.25" outlineLevel="1" collapsed="1">
      <c r="A57" s="7" t="s">
        <v>19</v>
      </c>
      <c r="B57" s="7" t="s">
        <v>16</v>
      </c>
      <c r="C57" s="7" t="s">
        <v>17</v>
      </c>
      <c r="D57" s="7"/>
      <c r="E57" s="7" t="s">
        <v>500</v>
      </c>
      <c r="F57" s="7" t="s">
        <v>19</v>
      </c>
      <c r="G57" s="7" t="s">
        <v>31</v>
      </c>
      <c r="H57" s="7" t="s">
        <v>17</v>
      </c>
      <c r="I57" s="7" t="s">
        <v>17</v>
      </c>
      <c r="J57" s="7" t="s">
        <v>494</v>
      </c>
    </row>
    <row r="58" spans="1:10" x14ac:dyDescent="0.25" outlineLevel="1" collapsed="1">
      <c r="A58" s="7" t="s">
        <v>19</v>
      </c>
      <c r="B58" s="7" t="s">
        <v>16</v>
      </c>
      <c r="C58" s="7" t="s">
        <v>17</v>
      </c>
      <c r="D58" s="7"/>
      <c r="E58" s="7" t="s">
        <v>501</v>
      </c>
      <c r="F58" s="7" t="s">
        <v>19</v>
      </c>
      <c r="G58" s="7" t="s">
        <v>31</v>
      </c>
      <c r="H58" s="7" t="s">
        <v>17</v>
      </c>
      <c r="I58" s="7" t="s">
        <v>17</v>
      </c>
      <c r="J58" s="7" t="s">
        <v>497</v>
      </c>
    </row>
    <row r="59" spans="1:10" x14ac:dyDescent="0.25" outlineLevel="1" collapsed="1">
      <c r="A59" s="8" t="s">
        <v>19</v>
      </c>
      <c r="B59" s="9" t="s">
        <v>502</v>
      </c>
      <c r="C59" s="8" t="s">
        <v>17</v>
      </c>
      <c r="D59" s="8"/>
      <c r="E59" s="8" t="s">
        <v>503</v>
      </c>
      <c r="F59" s="8" t="s">
        <v>15</v>
      </c>
      <c r="G59" s="8" t="s">
        <v>17</v>
      </c>
      <c r="H59" s="8" t="s">
        <v>17</v>
      </c>
      <c r="I59" s="8" t="s">
        <v>17</v>
      </c>
      <c r="J59" s="8" t="s">
        <v>504</v>
      </c>
    </row>
    <row r="60" spans="1:10" x14ac:dyDescent="0.25" outlineLevel="2" collapsed="1">
      <c r="A60" s="7" t="s">
        <v>19</v>
      </c>
      <c r="B60" s="7" t="s">
        <v>16</v>
      </c>
      <c r="C60" s="7" t="s">
        <v>17</v>
      </c>
      <c r="D60" s="7"/>
      <c r="E60" s="7" t="s">
        <v>505</v>
      </c>
      <c r="F60" s="7" t="s">
        <v>19</v>
      </c>
      <c r="G60" s="7" t="s">
        <v>31</v>
      </c>
      <c r="H60" s="7" t="s">
        <v>17</v>
      </c>
      <c r="I60" s="7" t="s">
        <v>17</v>
      </c>
      <c r="J60" s="7" t="s">
        <v>506</v>
      </c>
    </row>
    <row r="61" spans="1:10" x14ac:dyDescent="0.25" outlineLevel="2" collapsed="1">
      <c r="A61" s="7" t="s">
        <v>19</v>
      </c>
      <c r="B61" s="7" t="s">
        <v>16</v>
      </c>
      <c r="C61" s="7" t="s">
        <v>17</v>
      </c>
      <c r="D61" s="7"/>
      <c r="E61" s="7" t="s">
        <v>501</v>
      </c>
      <c r="F61" s="7" t="s">
        <v>19</v>
      </c>
      <c r="G61" s="7" t="s">
        <v>31</v>
      </c>
      <c r="H61" s="7" t="s">
        <v>17</v>
      </c>
      <c r="I61" s="7" t="s">
        <v>17</v>
      </c>
      <c r="J61" s="7" t="s">
        <v>497</v>
      </c>
    </row>
    <row r="62" spans="1:10" x14ac:dyDescent="0.25">
      <c r="A62" s="5" t="s">
        <v>19</v>
      </c>
      <c r="B62" s="6" t="s">
        <v>3209</v>
      </c>
      <c r="C62" s="5" t="s">
        <v>17</v>
      </c>
      <c r="D62" s="5"/>
      <c r="E62" s="5" t="s">
        <v>693</v>
      </c>
      <c r="F62" s="5" t="s">
        <v>19</v>
      </c>
      <c r="G62" s="5" t="s">
        <v>17</v>
      </c>
      <c r="H62" s="5" t="s">
        <v>17</v>
      </c>
      <c r="I62" s="5" t="s">
        <v>17</v>
      </c>
      <c r="J62" s="5" t="s">
        <v>694</v>
      </c>
    </row>
    <row r="63" spans="1:10" x14ac:dyDescent="0.25" outlineLevel="1" collapsed="1">
      <c r="A63" s="7" t="s">
        <v>19</v>
      </c>
      <c r="B63" s="7" t="s">
        <v>16</v>
      </c>
      <c r="C63" s="7" t="s">
        <v>17</v>
      </c>
      <c r="D63" s="7"/>
      <c r="E63" s="7" t="s">
        <v>500</v>
      </c>
      <c r="F63" s="7" t="s">
        <v>19</v>
      </c>
      <c r="G63" s="7" t="s">
        <v>31</v>
      </c>
      <c r="H63" s="7" t="s">
        <v>17</v>
      </c>
      <c r="I63" s="7" t="s">
        <v>17</v>
      </c>
      <c r="J63" s="7" t="s">
        <v>494</v>
      </c>
    </row>
    <row r="64" spans="1:10" x14ac:dyDescent="0.25" outlineLevel="1" collapsed="1">
      <c r="A64" s="7" t="s">
        <v>19</v>
      </c>
      <c r="B64" s="7" t="s">
        <v>16</v>
      </c>
      <c r="C64" s="7" t="s">
        <v>17</v>
      </c>
      <c r="D64" s="7"/>
      <c r="E64" s="7" t="s">
        <v>501</v>
      </c>
      <c r="F64" s="7" t="s">
        <v>19</v>
      </c>
      <c r="G64" s="7" t="s">
        <v>31</v>
      </c>
      <c r="H64" s="7" t="s">
        <v>17</v>
      </c>
      <c r="I64" s="7" t="s">
        <v>17</v>
      </c>
      <c r="J64" s="7" t="s">
        <v>497</v>
      </c>
    </row>
    <row r="65" spans="1:10" x14ac:dyDescent="0.25" outlineLevel="1" collapsed="1">
      <c r="A65" s="8" t="s">
        <v>19</v>
      </c>
      <c r="B65" s="9" t="s">
        <v>502</v>
      </c>
      <c r="C65" s="8" t="s">
        <v>17</v>
      </c>
      <c r="D65" s="8"/>
      <c r="E65" s="8" t="s">
        <v>503</v>
      </c>
      <c r="F65" s="8" t="s">
        <v>15</v>
      </c>
      <c r="G65" s="8" t="s">
        <v>17</v>
      </c>
      <c r="H65" s="8" t="s">
        <v>17</v>
      </c>
      <c r="I65" s="8" t="s">
        <v>17</v>
      </c>
      <c r="J65" s="8" t="s">
        <v>504</v>
      </c>
    </row>
    <row r="66" spans="1:10" x14ac:dyDescent="0.25" outlineLevel="2" collapsed="1">
      <c r="A66" s="7" t="s">
        <v>19</v>
      </c>
      <c r="B66" s="7" t="s">
        <v>16</v>
      </c>
      <c r="C66" s="7" t="s">
        <v>17</v>
      </c>
      <c r="D66" s="7"/>
      <c r="E66" s="7" t="s">
        <v>505</v>
      </c>
      <c r="F66" s="7" t="s">
        <v>19</v>
      </c>
      <c r="G66" s="7" t="s">
        <v>31</v>
      </c>
      <c r="H66" s="7" t="s">
        <v>17</v>
      </c>
      <c r="I66" s="7" t="s">
        <v>17</v>
      </c>
      <c r="J66" s="7" t="s">
        <v>506</v>
      </c>
    </row>
    <row r="67" spans="1:10" x14ac:dyDescent="0.25" outlineLevel="2" collapsed="1">
      <c r="A67" s="7" t="s">
        <v>19</v>
      </c>
      <c r="B67" s="7" t="s">
        <v>16</v>
      </c>
      <c r="C67" s="7" t="s">
        <v>17</v>
      </c>
      <c r="D67" s="7"/>
      <c r="E67" s="7" t="s">
        <v>501</v>
      </c>
      <c r="F67" s="7" t="s">
        <v>19</v>
      </c>
      <c r="G67" s="7" t="s">
        <v>31</v>
      </c>
      <c r="H67" s="7" t="s">
        <v>17</v>
      </c>
      <c r="I67" s="7" t="s">
        <v>17</v>
      </c>
      <c r="J67" s="7" t="s">
        <v>497</v>
      </c>
    </row>
    <row r="68" spans="1:10" x14ac:dyDescent="0.25">
      <c r="A68" s="5" t="s">
        <v>19</v>
      </c>
      <c r="B68" s="6" t="s">
        <v>3210</v>
      </c>
      <c r="C68" s="5" t="s">
        <v>17</v>
      </c>
      <c r="D68" s="5"/>
      <c r="E68" s="5" t="s">
        <v>3211</v>
      </c>
      <c r="F68" s="5" t="s">
        <v>19</v>
      </c>
      <c r="G68" s="5" t="s">
        <v>17</v>
      </c>
      <c r="H68" s="5" t="s">
        <v>17</v>
      </c>
      <c r="I68" s="5" t="s">
        <v>17</v>
      </c>
      <c r="J68" s="5" t="s">
        <v>3212</v>
      </c>
    </row>
    <row r="69" spans="1:10" x14ac:dyDescent="0.25" outlineLevel="1" collapsed="1">
      <c r="A69" s="7" t="s">
        <v>19</v>
      </c>
      <c r="B69" s="7" t="s">
        <v>16</v>
      </c>
      <c r="C69" s="7" t="s">
        <v>17</v>
      </c>
      <c r="D69" s="7"/>
      <c r="E69" s="7" t="s">
        <v>500</v>
      </c>
      <c r="F69" s="7" t="s">
        <v>19</v>
      </c>
      <c r="G69" s="7" t="s">
        <v>31</v>
      </c>
      <c r="H69" s="7" t="s">
        <v>17</v>
      </c>
      <c r="I69" s="7" t="s">
        <v>17</v>
      </c>
      <c r="J69" s="7" t="s">
        <v>494</v>
      </c>
    </row>
    <row r="70" spans="1:10" x14ac:dyDescent="0.25" outlineLevel="1" collapsed="1">
      <c r="A70" s="7" t="s">
        <v>19</v>
      </c>
      <c r="B70" s="7" t="s">
        <v>16</v>
      </c>
      <c r="C70" s="7" t="s">
        <v>17</v>
      </c>
      <c r="D70" s="7"/>
      <c r="E70" s="7" t="s">
        <v>501</v>
      </c>
      <c r="F70" s="7" t="s">
        <v>19</v>
      </c>
      <c r="G70" s="7" t="s">
        <v>31</v>
      </c>
      <c r="H70" s="7" t="s">
        <v>17</v>
      </c>
      <c r="I70" s="7" t="s">
        <v>17</v>
      </c>
      <c r="J70" s="7" t="s">
        <v>497</v>
      </c>
    </row>
    <row r="71" spans="1:10" x14ac:dyDescent="0.25" outlineLevel="1" collapsed="1">
      <c r="A71" s="8" t="s">
        <v>19</v>
      </c>
      <c r="B71" s="9" t="s">
        <v>502</v>
      </c>
      <c r="C71" s="8" t="s">
        <v>17</v>
      </c>
      <c r="D71" s="8"/>
      <c r="E71" s="8" t="s">
        <v>503</v>
      </c>
      <c r="F71" s="8" t="s">
        <v>15</v>
      </c>
      <c r="G71" s="8" t="s">
        <v>17</v>
      </c>
      <c r="H71" s="8" t="s">
        <v>17</v>
      </c>
      <c r="I71" s="8" t="s">
        <v>17</v>
      </c>
      <c r="J71" s="8" t="s">
        <v>504</v>
      </c>
    </row>
    <row r="72" spans="1:10" x14ac:dyDescent="0.25" outlineLevel="2" collapsed="1">
      <c r="A72" s="7" t="s">
        <v>19</v>
      </c>
      <c r="B72" s="7" t="s">
        <v>16</v>
      </c>
      <c r="C72" s="7" t="s">
        <v>17</v>
      </c>
      <c r="D72" s="7"/>
      <c r="E72" s="7" t="s">
        <v>505</v>
      </c>
      <c r="F72" s="7" t="s">
        <v>19</v>
      </c>
      <c r="G72" s="7" t="s">
        <v>31</v>
      </c>
      <c r="H72" s="7" t="s">
        <v>17</v>
      </c>
      <c r="I72" s="7" t="s">
        <v>17</v>
      </c>
      <c r="J72" s="7" t="s">
        <v>506</v>
      </c>
    </row>
    <row r="73" spans="1:10" x14ac:dyDescent="0.25" outlineLevel="2" collapsed="1">
      <c r="A73" s="7" t="s">
        <v>19</v>
      </c>
      <c r="B73" s="7" t="s">
        <v>16</v>
      </c>
      <c r="C73" s="7" t="s">
        <v>17</v>
      </c>
      <c r="D73" s="7"/>
      <c r="E73" s="7" t="s">
        <v>501</v>
      </c>
      <c r="F73" s="7" t="s">
        <v>19</v>
      </c>
      <c r="G73" s="7" t="s">
        <v>31</v>
      </c>
      <c r="H73" s="7" t="s">
        <v>17</v>
      </c>
      <c r="I73" s="7" t="s">
        <v>17</v>
      </c>
      <c r="J73" s="7" t="s">
        <v>497</v>
      </c>
    </row>
    <row r="74" spans="1:10" x14ac:dyDescent="0.25">
      <c r="A74" s="5" t="s">
        <v>19</v>
      </c>
      <c r="B74" s="6" t="s">
        <v>3213</v>
      </c>
      <c r="C74" s="5" t="s">
        <v>17</v>
      </c>
      <c r="D74" s="5"/>
      <c r="E74" s="5" t="s">
        <v>696</v>
      </c>
      <c r="F74" s="5" t="s">
        <v>19</v>
      </c>
      <c r="G74" s="5" t="s">
        <v>17</v>
      </c>
      <c r="H74" s="5" t="s">
        <v>17</v>
      </c>
      <c r="I74" s="5" t="s">
        <v>17</v>
      </c>
      <c r="J74" s="5" t="s">
        <v>697</v>
      </c>
    </row>
    <row r="75" spans="1:10" x14ac:dyDescent="0.25" outlineLevel="1" collapsed="1">
      <c r="A75" s="7" t="s">
        <v>19</v>
      </c>
      <c r="B75" s="7" t="s">
        <v>16</v>
      </c>
      <c r="C75" s="7" t="s">
        <v>17</v>
      </c>
      <c r="D75" s="7"/>
      <c r="E75" s="7" t="s">
        <v>500</v>
      </c>
      <c r="F75" s="7" t="s">
        <v>19</v>
      </c>
      <c r="G75" s="7" t="s">
        <v>31</v>
      </c>
      <c r="H75" s="7" t="s">
        <v>17</v>
      </c>
      <c r="I75" s="7" t="s">
        <v>17</v>
      </c>
      <c r="J75" s="7" t="s">
        <v>494</v>
      </c>
    </row>
    <row r="76" spans="1:10" x14ac:dyDescent="0.25" outlineLevel="1" collapsed="1">
      <c r="A76" s="7" t="s">
        <v>19</v>
      </c>
      <c r="B76" s="7" t="s">
        <v>16</v>
      </c>
      <c r="C76" s="7" t="s">
        <v>17</v>
      </c>
      <c r="D76" s="7"/>
      <c r="E76" s="7" t="s">
        <v>501</v>
      </c>
      <c r="F76" s="7" t="s">
        <v>19</v>
      </c>
      <c r="G76" s="7" t="s">
        <v>31</v>
      </c>
      <c r="H76" s="7" t="s">
        <v>17</v>
      </c>
      <c r="I76" s="7" t="s">
        <v>17</v>
      </c>
      <c r="J76" s="7" t="s">
        <v>497</v>
      </c>
    </row>
    <row r="77" spans="1:10" x14ac:dyDescent="0.25" outlineLevel="1" collapsed="1">
      <c r="A77" s="8" t="s">
        <v>19</v>
      </c>
      <c r="B77" s="9" t="s">
        <v>502</v>
      </c>
      <c r="C77" s="8" t="s">
        <v>17</v>
      </c>
      <c r="D77" s="8"/>
      <c r="E77" s="8" t="s">
        <v>503</v>
      </c>
      <c r="F77" s="8" t="s">
        <v>15</v>
      </c>
      <c r="G77" s="8" t="s">
        <v>17</v>
      </c>
      <c r="H77" s="8" t="s">
        <v>17</v>
      </c>
      <c r="I77" s="8" t="s">
        <v>17</v>
      </c>
      <c r="J77" s="8" t="s">
        <v>504</v>
      </c>
    </row>
    <row r="78" spans="1:10" x14ac:dyDescent="0.25" outlineLevel="2" collapsed="1">
      <c r="A78" s="7" t="s">
        <v>19</v>
      </c>
      <c r="B78" s="7" t="s">
        <v>16</v>
      </c>
      <c r="C78" s="7" t="s">
        <v>17</v>
      </c>
      <c r="D78" s="7"/>
      <c r="E78" s="7" t="s">
        <v>505</v>
      </c>
      <c r="F78" s="7" t="s">
        <v>19</v>
      </c>
      <c r="G78" s="7" t="s">
        <v>31</v>
      </c>
      <c r="H78" s="7" t="s">
        <v>17</v>
      </c>
      <c r="I78" s="7" t="s">
        <v>17</v>
      </c>
      <c r="J78" s="7" t="s">
        <v>506</v>
      </c>
    </row>
    <row r="79" spans="1:10" x14ac:dyDescent="0.25" outlineLevel="2" collapsed="1">
      <c r="A79" s="7" t="s">
        <v>19</v>
      </c>
      <c r="B79" s="7" t="s">
        <v>16</v>
      </c>
      <c r="C79" s="7" t="s">
        <v>17</v>
      </c>
      <c r="D79" s="7"/>
      <c r="E79" s="7" t="s">
        <v>501</v>
      </c>
      <c r="F79" s="7" t="s">
        <v>19</v>
      </c>
      <c r="G79" s="7" t="s">
        <v>31</v>
      </c>
      <c r="H79" s="7" t="s">
        <v>17</v>
      </c>
      <c r="I79" s="7" t="s">
        <v>17</v>
      </c>
      <c r="J79" s="7" t="s">
        <v>497</v>
      </c>
    </row>
    <row r="80" spans="1:10" x14ac:dyDescent="0.25">
      <c r="A80" s="5" t="s">
        <v>19</v>
      </c>
      <c r="B80" s="6" t="s">
        <v>3214</v>
      </c>
      <c r="C80" s="5" t="s">
        <v>17</v>
      </c>
      <c r="D80" s="5"/>
      <c r="E80" s="5" t="s">
        <v>3215</v>
      </c>
      <c r="F80" s="5" t="s">
        <v>19</v>
      </c>
      <c r="G80" s="5" t="s">
        <v>17</v>
      </c>
      <c r="H80" s="5" t="s">
        <v>17</v>
      </c>
      <c r="I80" s="5" t="s">
        <v>17</v>
      </c>
      <c r="J80" s="5" t="s">
        <v>3216</v>
      </c>
    </row>
    <row r="81" spans="1:10" x14ac:dyDescent="0.25" outlineLevel="1" collapsed="1">
      <c r="A81" s="7" t="s">
        <v>19</v>
      </c>
      <c r="B81" s="7" t="s">
        <v>16</v>
      </c>
      <c r="C81" s="7" t="s">
        <v>17</v>
      </c>
      <c r="D81" s="7"/>
      <c r="E81" s="7" t="s">
        <v>500</v>
      </c>
      <c r="F81" s="7" t="s">
        <v>19</v>
      </c>
      <c r="G81" s="7" t="s">
        <v>31</v>
      </c>
      <c r="H81" s="7" t="s">
        <v>17</v>
      </c>
      <c r="I81" s="7" t="s">
        <v>17</v>
      </c>
      <c r="J81" s="7" t="s">
        <v>494</v>
      </c>
    </row>
    <row r="82" spans="1:10" x14ac:dyDescent="0.25" outlineLevel="1" collapsed="1">
      <c r="A82" s="7" t="s">
        <v>19</v>
      </c>
      <c r="B82" s="7" t="s">
        <v>16</v>
      </c>
      <c r="C82" s="7" t="s">
        <v>17</v>
      </c>
      <c r="D82" s="7"/>
      <c r="E82" s="7" t="s">
        <v>3217</v>
      </c>
      <c r="F82" s="7" t="s">
        <v>19</v>
      </c>
      <c r="G82" s="7" t="s">
        <v>31</v>
      </c>
      <c r="H82" s="7" t="s">
        <v>17</v>
      </c>
      <c r="I82" s="7" t="s">
        <v>17</v>
      </c>
      <c r="J82" s="7" t="s">
        <v>3218</v>
      </c>
    </row>
    <row r="83" spans="1:10" x14ac:dyDescent="0.25" outlineLevel="1" collapsed="1">
      <c r="A83" s="8" t="s">
        <v>19</v>
      </c>
      <c r="B83" s="9" t="s">
        <v>502</v>
      </c>
      <c r="C83" s="8" t="s">
        <v>17</v>
      </c>
      <c r="D83" s="8"/>
      <c r="E83" s="8" t="s">
        <v>503</v>
      </c>
      <c r="F83" s="8" t="s">
        <v>15</v>
      </c>
      <c r="G83" s="8" t="s">
        <v>17</v>
      </c>
      <c r="H83" s="8" t="s">
        <v>17</v>
      </c>
      <c r="I83" s="8" t="s">
        <v>17</v>
      </c>
      <c r="J83" s="8" t="s">
        <v>504</v>
      </c>
    </row>
    <row r="84" spans="1:10" x14ac:dyDescent="0.25" outlineLevel="2" collapsed="1">
      <c r="A84" s="7" t="s">
        <v>19</v>
      </c>
      <c r="B84" s="7" t="s">
        <v>16</v>
      </c>
      <c r="C84" s="7" t="s">
        <v>17</v>
      </c>
      <c r="D84" s="7"/>
      <c r="E84" s="7" t="s">
        <v>505</v>
      </c>
      <c r="F84" s="7" t="s">
        <v>19</v>
      </c>
      <c r="G84" s="7" t="s">
        <v>31</v>
      </c>
      <c r="H84" s="7" t="s">
        <v>17</v>
      </c>
      <c r="I84" s="7" t="s">
        <v>17</v>
      </c>
      <c r="J84" s="7" t="s">
        <v>506</v>
      </c>
    </row>
    <row r="85" spans="1:10" x14ac:dyDescent="0.25" outlineLevel="2" collapsed="1">
      <c r="A85" s="7" t="s">
        <v>19</v>
      </c>
      <c r="B85" s="7" t="s">
        <v>16</v>
      </c>
      <c r="C85" s="7" t="s">
        <v>17</v>
      </c>
      <c r="D85" s="7"/>
      <c r="E85" s="7" t="s">
        <v>501</v>
      </c>
      <c r="F85" s="7" t="s">
        <v>19</v>
      </c>
      <c r="G85" s="7" t="s">
        <v>31</v>
      </c>
      <c r="H85" s="7" t="s">
        <v>17</v>
      </c>
      <c r="I85" s="7" t="s">
        <v>17</v>
      </c>
      <c r="J85" s="7" t="s">
        <v>497</v>
      </c>
    </row>
  </sheetData>
  <mergeCells count="3">
    <mergeCell ref="A1:J1"/>
    <mergeCell ref="B2:J2"/>
    <mergeCell ref="B3:J3"/>
  </mergeCells>
  <hyperlinks>
    <hyperlink ref="B5" r:id="rId1" location="#'Safeguards assessment row item'!A1"/>
    <hyperlink ref="B8" r:id="rId2" location="#'Safeguards assessment row item'!A1"/>
    <hyperlink ref="B11" r:id="rId3" location="#'Safeguards assessment row item'!A1"/>
    <hyperlink ref="B14" r:id="rId4" location="#'Safeguards assessment row item'!A1"/>
    <hyperlink ref="B17" r:id="rId5" location="#'Safeguards assessment row item'!A1"/>
    <hyperlink ref="B20" r:id="rId6" location="#'Safeguards assessment row item'!A1"/>
    <hyperlink ref="B23" r:id="rId7" location="#'Safeguards assessment row item'!A1"/>
    <hyperlink ref="B26" r:id="rId8" location="#'Safeguards assessment row item'!A1"/>
    <hyperlink ref="B29" r:id="rId9" location="#'Safeguards assessment row item'!A1"/>
    <hyperlink ref="B32" r:id="rId10" location="#'Stakeholder Identification  2'!A1"/>
    <hyperlink ref="B35" r:id="rId11" location="#'Deadlines for Participation ro'!A1"/>
    <hyperlink ref="B38" r:id="rId12" location="#'Stakeholder Consultation an 2'!A1"/>
    <hyperlink ref="B41" r:id="rId13" location="#'Deadlines for Participation ro'!A1"/>
    <hyperlink ref="B44" r:id="rId14" location="#'Free Prior and Informed Con 3'!A1"/>
    <hyperlink ref="B47" r:id="rId15" location="#'Deadlines for Participation ro'!A1"/>
    <hyperlink ref="B50" r:id="rId16" location="#'Benefit-Sharing Mechanism (Oth'!A1"/>
    <hyperlink ref="B53" r:id="rId17" location="#'Deadlines for Participation ro'!A1"/>
    <hyperlink ref="B56" r:id="rId18" location="#'Stakeholder Input Tracker ( 2'!A1"/>
    <hyperlink ref="B59" r:id="rId19" location="#'Deadlines for Participation ro'!A1"/>
    <hyperlink ref="B62" r:id="rId20" location="#'Grievance Redress Mechanism (V'!A1"/>
    <hyperlink ref="B65" r:id="rId21" location="#'Deadlines for Participation ro'!A1"/>
    <hyperlink ref="B68" r:id="rId22" location="#'Ecosystem Restoration (VCS Val'!A1"/>
    <hyperlink ref="B71" r:id="rId23" location="#'Deadlines for Participation ro'!A1"/>
    <hyperlink ref="B74" r:id="rId24" location="#'Management Expertise (VCS Vali'!A1"/>
    <hyperlink ref="B77" r:id="rId25" location="#'Deadlines for Participation ro'!A1"/>
    <hyperlink ref="B80" r:id="rId26" location="#'Environmental Social and Gover'!A1"/>
    <hyperlink ref="B83" r:id="rId27" location="#'Deadlines for Participation ro'!A1"/>
  </hyperlinks>
  <pageMargins left="0.7" right="0.7" top="0.75" bottom="0.75" header="0.3" footer="0.3"/>
  <pageSetup orientation="portrait" horizontalDpi="4294967295" verticalDpi="4294967295" scale="100" fitToWidth="1" fitToHeight="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3735</v>
      </c>
      <c r="B1" s="1"/>
      <c r="C1" s="1"/>
      <c r="D1" s="1"/>
      <c r="E1" s="1"/>
      <c r="F1" s="1"/>
      <c r="G1" s="1"/>
      <c r="H1" s="1"/>
      <c r="I1" s="1"/>
      <c r="J1" s="1"/>
    </row>
    <row r="2" spans="1:10" x14ac:dyDescent="0.25">
      <c r="A2" s="2" t="s">
        <v>1</v>
      </c>
      <c r="B2" s="3" t="s">
        <v>3661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707</v>
      </c>
      <c r="F5" s="5" t="s">
        <v>19</v>
      </c>
      <c r="G5" s="5" t="s">
        <v>293</v>
      </c>
      <c r="H5" s="5" t="s">
        <v>17</v>
      </c>
      <c r="I5" s="5" t="s">
        <v>17</v>
      </c>
      <c r="J5" s="5" t="s">
        <v>708</v>
      </c>
    </row>
    <row r="6" spans="1:10" x14ac:dyDescent="0.25">
      <c r="A6" s="5" t="s">
        <v>15</v>
      </c>
      <c r="B6" s="5" t="s">
        <v>16</v>
      </c>
      <c r="C6" s="5" t="s">
        <v>17</v>
      </c>
      <c r="D6" s="5"/>
      <c r="E6" s="5" t="s">
        <v>288</v>
      </c>
      <c r="F6" s="5" t="s">
        <v>19</v>
      </c>
      <c r="G6" s="5" t="s">
        <v>289</v>
      </c>
      <c r="H6" s="5" t="s">
        <v>17</v>
      </c>
      <c r="I6" s="5" t="s">
        <v>17</v>
      </c>
      <c r="J6" s="5" t="s">
        <v>290</v>
      </c>
    </row>
    <row r="7" spans="1:10" x14ac:dyDescent="0.25">
      <c r="A7" s="5" t="s">
        <v>15</v>
      </c>
      <c r="B7" s="5" t="s">
        <v>16</v>
      </c>
      <c r="C7" s="5" t="s">
        <v>17</v>
      </c>
      <c r="D7" s="5"/>
      <c r="E7" s="5" t="s">
        <v>3224</v>
      </c>
      <c r="F7" s="5" t="s">
        <v>19</v>
      </c>
      <c r="G7" s="5" t="s">
        <v>3225</v>
      </c>
      <c r="H7" s="5" t="s">
        <v>17</v>
      </c>
      <c r="I7" s="5" t="s">
        <v>17</v>
      </c>
      <c r="J7" s="5" t="s">
        <v>711</v>
      </c>
    </row>
    <row r="8" spans="1:10" x14ac:dyDescent="0.25">
      <c r="A8" s="5" t="s">
        <v>15</v>
      </c>
      <c r="B8" s="5" t="s">
        <v>16</v>
      </c>
      <c r="C8" s="5" t="s">
        <v>17</v>
      </c>
      <c r="D8" s="5"/>
      <c r="E8" s="5" t="s">
        <v>3226</v>
      </c>
      <c r="F8" s="5" t="s">
        <v>19</v>
      </c>
      <c r="G8" s="5" t="s">
        <v>31</v>
      </c>
      <c r="H8" s="5" t="s">
        <v>17</v>
      </c>
      <c r="I8" s="5" t="s">
        <v>17</v>
      </c>
      <c r="J8" s="5" t="s">
        <v>713</v>
      </c>
    </row>
    <row r="9" spans="1:10" x14ac:dyDescent="0.25">
      <c r="A9" s="5" t="s">
        <v>15</v>
      </c>
      <c r="B9" s="5" t="s">
        <v>16</v>
      </c>
      <c r="C9" s="5" t="s">
        <v>17</v>
      </c>
      <c r="D9" s="5"/>
      <c r="E9" s="5" t="s">
        <v>3227</v>
      </c>
      <c r="F9" s="5" t="s">
        <v>19</v>
      </c>
      <c r="G9" s="5" t="s">
        <v>3228</v>
      </c>
      <c r="H9" s="5" t="s">
        <v>17</v>
      </c>
      <c r="I9" s="5" t="s">
        <v>17</v>
      </c>
      <c r="J9" s="5" t="s">
        <v>719</v>
      </c>
    </row>
    <row r="10" spans="1:10" x14ac:dyDescent="0.25">
      <c r="A10" s="5" t="s">
        <v>19</v>
      </c>
      <c r="B10" s="5" t="s">
        <v>16</v>
      </c>
      <c r="C10" s="5" t="s">
        <v>17</v>
      </c>
      <c r="D10" s="5"/>
      <c r="E10" s="5" t="s">
        <v>3229</v>
      </c>
      <c r="F10" s="5" t="s">
        <v>19</v>
      </c>
      <c r="G10" s="5" t="s">
        <v>31</v>
      </c>
      <c r="H10" s="5" t="s">
        <v>17</v>
      </c>
      <c r="I10" s="5" t="s">
        <v>17</v>
      </c>
      <c r="J10" s="5" t="s">
        <v>3230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3736</v>
      </c>
      <c r="B1" s="1"/>
      <c r="C1" s="1"/>
      <c r="D1" s="1"/>
      <c r="E1" s="1"/>
      <c r="F1" s="1"/>
      <c r="G1" s="1"/>
      <c r="H1" s="1"/>
      <c r="I1" s="1"/>
      <c r="J1" s="1"/>
    </row>
    <row r="2" spans="1:10" x14ac:dyDescent="0.25">
      <c r="A2" s="2" t="s">
        <v>1</v>
      </c>
      <c r="B2" s="3" t="s">
        <v>3737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728</v>
      </c>
      <c r="F5" s="5" t="s">
        <v>19</v>
      </c>
      <c r="G5" s="5" t="s">
        <v>729</v>
      </c>
      <c r="H5" s="5" t="s">
        <v>17</v>
      </c>
      <c r="I5" s="5" t="s">
        <v>17</v>
      </c>
      <c r="J5" s="5" t="s">
        <v>730</v>
      </c>
    </row>
    <row r="6" spans="1:10" x14ac:dyDescent="0.25">
      <c r="A6" s="5" t="s">
        <v>15</v>
      </c>
      <c r="B6" s="5" t="s">
        <v>16</v>
      </c>
      <c r="C6" s="5" t="s">
        <v>17</v>
      </c>
      <c r="D6" s="5"/>
      <c r="E6" s="5" t="s">
        <v>731</v>
      </c>
      <c r="F6" s="5" t="s">
        <v>19</v>
      </c>
      <c r="G6" s="5" t="s">
        <v>732</v>
      </c>
      <c r="H6" s="5" t="s">
        <v>17</v>
      </c>
      <c r="I6" s="5" t="s">
        <v>17</v>
      </c>
      <c r="J6" s="5" t="s">
        <v>733</v>
      </c>
    </row>
    <row r="7" spans="1:10" x14ac:dyDescent="0.25">
      <c r="A7" s="5" t="s">
        <v>15</v>
      </c>
      <c r="B7" s="5" t="s">
        <v>291</v>
      </c>
      <c r="C7" s="5" t="s">
        <v>17</v>
      </c>
      <c r="D7" s="5"/>
      <c r="E7" s="5" t="s">
        <v>30</v>
      </c>
      <c r="F7" s="5" t="s">
        <v>19</v>
      </c>
      <c r="G7" s="5" t="s">
        <v>293</v>
      </c>
      <c r="H7" s="5" t="s">
        <v>17</v>
      </c>
      <c r="I7" s="5" t="s">
        <v>17</v>
      </c>
      <c r="J7" s="5" t="s">
        <v>734</v>
      </c>
    </row>
    <row r="8" spans="1:10" x14ac:dyDescent="0.25">
      <c r="A8" s="5" t="s">
        <v>15</v>
      </c>
      <c r="B8" s="5" t="s">
        <v>291</v>
      </c>
      <c r="C8" s="5" t="s">
        <v>17</v>
      </c>
      <c r="D8" s="5"/>
      <c r="E8" s="5" t="s">
        <v>33</v>
      </c>
      <c r="F8" s="5" t="s">
        <v>19</v>
      </c>
      <c r="G8" s="5" t="s">
        <v>293</v>
      </c>
      <c r="H8" s="5" t="s">
        <v>17</v>
      </c>
      <c r="I8" s="5" t="s">
        <v>17</v>
      </c>
      <c r="J8" s="5" t="s">
        <v>735</v>
      </c>
    </row>
    <row r="9" spans="1:10" x14ac:dyDescent="0.25">
      <c r="A9" s="5" t="s">
        <v>15</v>
      </c>
      <c r="B9" s="5" t="s">
        <v>63</v>
      </c>
      <c r="C9" s="5" t="s">
        <v>17</v>
      </c>
      <c r="D9" s="5"/>
      <c r="E9" s="5" t="s">
        <v>3240</v>
      </c>
      <c r="F9" s="5" t="s">
        <v>19</v>
      </c>
      <c r="G9" s="5">
        <v>276.0886</v>
      </c>
      <c r="H9" s="5" t="s">
        <v>17</v>
      </c>
      <c r="I9" s="5" t="s">
        <v>17</v>
      </c>
      <c r="J9" s="5" t="s">
        <v>3241</v>
      </c>
    </row>
    <row r="10" spans="1:10" x14ac:dyDescent="0.25">
      <c r="A10" s="5" t="s">
        <v>15</v>
      </c>
      <c r="B10" s="5" t="s">
        <v>63</v>
      </c>
      <c r="C10" s="5" t="s">
        <v>17</v>
      </c>
      <c r="D10" s="5"/>
      <c r="E10" s="5" t="s">
        <v>3242</v>
      </c>
      <c r="F10" s="5" t="s">
        <v>19</v>
      </c>
      <c r="G10" s="5">
        <v>0.3504</v>
      </c>
      <c r="H10" s="5" t="s">
        <v>17</v>
      </c>
      <c r="I10" s="5" t="s">
        <v>17</v>
      </c>
      <c r="J10" s="5" t="s">
        <v>3243</v>
      </c>
    </row>
    <row r="11" spans="1:10" x14ac:dyDescent="0.25">
      <c r="A11" s="5" t="s">
        <v>15</v>
      </c>
      <c r="B11" s="5" t="s">
        <v>63</v>
      </c>
      <c r="C11" s="5" t="s">
        <v>17</v>
      </c>
      <c r="D11" s="5"/>
      <c r="E11" s="5" t="s">
        <v>2029</v>
      </c>
      <c r="F11" s="5" t="s">
        <v>19</v>
      </c>
      <c r="G11" s="5">
        <v>0</v>
      </c>
      <c r="H11" s="5" t="s">
        <v>17</v>
      </c>
      <c r="I11" s="5" t="s">
        <v>17</v>
      </c>
      <c r="J11" s="5" t="s">
        <v>3244</v>
      </c>
    </row>
    <row r="12" spans="1:10" x14ac:dyDescent="0.25">
      <c r="A12" s="5" t="s">
        <v>15</v>
      </c>
      <c r="B12" s="5" t="s">
        <v>63</v>
      </c>
      <c r="C12" s="5" t="s">
        <v>17</v>
      </c>
      <c r="D12" s="5"/>
      <c r="E12" s="5" t="s">
        <v>3245</v>
      </c>
      <c r="F12" s="5" t="s">
        <v>19</v>
      </c>
      <c r="G12" s="5">
        <v>275.738</v>
      </c>
      <c r="H12" s="5" t="s">
        <v>17</v>
      </c>
      <c r="I12" s="5" t="s">
        <v>17</v>
      </c>
      <c r="J12" s="5" t="s">
        <v>3246</v>
      </c>
    </row>
    <row r="13" spans="1:10" x14ac:dyDescent="0.25">
      <c r="A13" s="5" t="s">
        <v>15</v>
      </c>
      <c r="B13" s="5" t="s">
        <v>63</v>
      </c>
      <c r="C13" s="5" t="s">
        <v>17</v>
      </c>
      <c r="D13" s="5"/>
      <c r="E13" s="5" t="s">
        <v>3247</v>
      </c>
      <c r="F13" s="5" t="s">
        <v>19</v>
      </c>
      <c r="G13" s="5">
        <v>0</v>
      </c>
      <c r="H13" s="5" t="s">
        <v>17</v>
      </c>
      <c r="I13" s="5" t="s">
        <v>17</v>
      </c>
      <c r="J13" s="5" t="s">
        <v>3248</v>
      </c>
    </row>
    <row r="14" spans="1:10" x14ac:dyDescent="0.25">
      <c r="A14" s="5" t="s">
        <v>15</v>
      </c>
      <c r="B14" s="5" t="s">
        <v>63</v>
      </c>
      <c r="C14" s="5" t="s">
        <v>17</v>
      </c>
      <c r="D14" s="5"/>
      <c r="E14" s="5" t="s">
        <v>3249</v>
      </c>
      <c r="F14" s="5" t="s">
        <v>19</v>
      </c>
      <c r="G14" s="5">
        <v>275.738</v>
      </c>
      <c r="H14" s="5" t="s">
        <v>17</v>
      </c>
      <c r="I14" s="5" t="s">
        <v>17</v>
      </c>
      <c r="J14" s="5" t="s">
        <v>3250</v>
      </c>
    </row>
    <row r="15" spans="1:10" x14ac:dyDescent="0.25">
      <c r="A15" s="5" t="s">
        <v>19</v>
      </c>
      <c r="B15" s="5" t="s">
        <v>63</v>
      </c>
      <c r="C15" s="5" t="s">
        <v>17</v>
      </c>
      <c r="D15" s="5"/>
      <c r="E15" s="5" t="s">
        <v>3251</v>
      </c>
      <c r="F15" s="5" t="s">
        <v>19</v>
      </c>
      <c r="G15" s="5">
        <v>1</v>
      </c>
      <c r="H15" s="5" t="s">
        <v>17</v>
      </c>
      <c r="I15" s="5" t="s">
        <v>17</v>
      </c>
      <c r="J15" s="5" t="s">
        <v>3252</v>
      </c>
    </row>
    <row r="16" spans="1:10" x14ac:dyDescent="0.25">
      <c r="A16" s="5" t="s">
        <v>19</v>
      </c>
      <c r="B16" s="5" t="s">
        <v>63</v>
      </c>
      <c r="C16" s="5" t="s">
        <v>17</v>
      </c>
      <c r="D16" s="5"/>
      <c r="E16" s="5" t="s">
        <v>2037</v>
      </c>
      <c r="F16" s="5" t="s">
        <v>19</v>
      </c>
      <c r="G16" s="5">
        <v>1</v>
      </c>
      <c r="H16" s="5" t="s">
        <v>17</v>
      </c>
      <c r="I16" s="5" t="s">
        <v>17</v>
      </c>
      <c r="J16" s="5" t="s">
        <v>2038</v>
      </c>
    </row>
    <row r="17" spans="1:10" x14ac:dyDescent="0.25">
      <c r="A17" s="5" t="s">
        <v>19</v>
      </c>
      <c r="B17" s="5" t="s">
        <v>63</v>
      </c>
      <c r="C17" s="5" t="s">
        <v>17</v>
      </c>
      <c r="D17" s="5"/>
      <c r="E17" s="5" t="s">
        <v>2039</v>
      </c>
      <c r="F17" s="5" t="s">
        <v>19</v>
      </c>
      <c r="G17" s="5">
        <v>1</v>
      </c>
      <c r="H17" s="5" t="s">
        <v>17</v>
      </c>
      <c r="I17" s="5" t="s">
        <v>17</v>
      </c>
      <c r="J17" s="5" t="s">
        <v>2040</v>
      </c>
    </row>
    <row r="18" spans="1:10" x14ac:dyDescent="0.25">
      <c r="A18" s="5" t="s">
        <v>19</v>
      </c>
      <c r="B18" s="5" t="s">
        <v>63</v>
      </c>
      <c r="C18" s="5" t="s">
        <v>17</v>
      </c>
      <c r="D18" s="5"/>
      <c r="E18" s="5" t="s">
        <v>2041</v>
      </c>
      <c r="F18" s="5" t="s">
        <v>19</v>
      </c>
      <c r="G18" s="5">
        <v>1</v>
      </c>
      <c r="H18" s="5" t="s">
        <v>17</v>
      </c>
      <c r="I18" s="5" t="s">
        <v>17</v>
      </c>
      <c r="J18" s="5" t="s">
        <v>2042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3738</v>
      </c>
      <c r="B1" s="1"/>
      <c r="C1" s="1"/>
      <c r="D1" s="1"/>
      <c r="E1" s="1"/>
      <c r="F1" s="1"/>
      <c r="G1" s="1"/>
      <c r="H1" s="1"/>
      <c r="I1" s="1"/>
      <c r="J1" s="1"/>
    </row>
    <row r="2" spans="1:10" x14ac:dyDescent="0.25">
      <c r="A2" s="2" t="s">
        <v>1</v>
      </c>
      <c r="B2" s="3" t="s">
        <v>3739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3234</v>
      </c>
      <c r="F5" s="5" t="s">
        <v>19</v>
      </c>
      <c r="G5" s="5" t="s">
        <v>3235</v>
      </c>
      <c r="H5" s="5" t="s">
        <v>17</v>
      </c>
      <c r="I5" s="5" t="s">
        <v>17</v>
      </c>
      <c r="J5" s="5" t="s">
        <v>3236</v>
      </c>
    </row>
    <row r="6" spans="1:10" x14ac:dyDescent="0.25">
      <c r="A6" s="5" t="s">
        <v>19</v>
      </c>
      <c r="B6" s="6" t="s">
        <v>3237</v>
      </c>
      <c r="C6" s="5" t="s">
        <v>17</v>
      </c>
      <c r="D6" s="5"/>
      <c r="E6" s="5" t="s">
        <v>3238</v>
      </c>
      <c r="F6" s="5" t="s">
        <v>15</v>
      </c>
      <c r="G6" s="5" t="s">
        <v>17</v>
      </c>
      <c r="H6" s="5" t="s">
        <v>17</v>
      </c>
      <c r="I6" s="5" t="s">
        <v>17</v>
      </c>
      <c r="J6" s="5" t="s">
        <v>3239</v>
      </c>
    </row>
    <row r="7" spans="1:10" x14ac:dyDescent="0.25" outlineLevel="1" collapsed="1">
      <c r="A7" s="7" t="s">
        <v>15</v>
      </c>
      <c r="B7" s="7" t="s">
        <v>16</v>
      </c>
      <c r="C7" s="7" t="s">
        <v>17</v>
      </c>
      <c r="D7" s="7"/>
      <c r="E7" s="7" t="s">
        <v>728</v>
      </c>
      <c r="F7" s="7" t="s">
        <v>19</v>
      </c>
      <c r="G7" s="7" t="s">
        <v>729</v>
      </c>
      <c r="H7" s="7" t="s">
        <v>17</v>
      </c>
      <c r="I7" s="7" t="s">
        <v>17</v>
      </c>
      <c r="J7" s="7" t="s">
        <v>730</v>
      </c>
    </row>
    <row r="8" spans="1:10" x14ac:dyDescent="0.25" outlineLevel="1" collapsed="1">
      <c r="A8" s="7" t="s">
        <v>15</v>
      </c>
      <c r="B8" s="7" t="s">
        <v>16</v>
      </c>
      <c r="C8" s="7" t="s">
        <v>17</v>
      </c>
      <c r="D8" s="7"/>
      <c r="E8" s="7" t="s">
        <v>731</v>
      </c>
      <c r="F8" s="7" t="s">
        <v>19</v>
      </c>
      <c r="G8" s="7" t="s">
        <v>732</v>
      </c>
      <c r="H8" s="7" t="s">
        <v>17</v>
      </c>
      <c r="I8" s="7" t="s">
        <v>17</v>
      </c>
      <c r="J8" s="7" t="s">
        <v>733</v>
      </c>
    </row>
    <row r="9" spans="1:10" x14ac:dyDescent="0.25" outlineLevel="1" collapsed="1">
      <c r="A9" s="7" t="s">
        <v>15</v>
      </c>
      <c r="B9" s="7" t="s">
        <v>291</v>
      </c>
      <c r="C9" s="7" t="s">
        <v>17</v>
      </c>
      <c r="D9" s="7"/>
      <c r="E9" s="7" t="s">
        <v>30</v>
      </c>
      <c r="F9" s="7" t="s">
        <v>19</v>
      </c>
      <c r="G9" s="7" t="s">
        <v>293</v>
      </c>
      <c r="H9" s="7" t="s">
        <v>17</v>
      </c>
      <c r="I9" s="7" t="s">
        <v>17</v>
      </c>
      <c r="J9" s="7" t="s">
        <v>734</v>
      </c>
    </row>
    <row r="10" spans="1:10" x14ac:dyDescent="0.25" outlineLevel="1" collapsed="1">
      <c r="A10" s="7" t="s">
        <v>15</v>
      </c>
      <c r="B10" s="7" t="s">
        <v>291</v>
      </c>
      <c r="C10" s="7" t="s">
        <v>17</v>
      </c>
      <c r="D10" s="7"/>
      <c r="E10" s="7" t="s">
        <v>33</v>
      </c>
      <c r="F10" s="7" t="s">
        <v>19</v>
      </c>
      <c r="G10" s="7" t="s">
        <v>293</v>
      </c>
      <c r="H10" s="7" t="s">
        <v>17</v>
      </c>
      <c r="I10" s="7" t="s">
        <v>17</v>
      </c>
      <c r="J10" s="7" t="s">
        <v>735</v>
      </c>
    </row>
    <row r="11" spans="1:10" x14ac:dyDescent="0.25" outlineLevel="1" collapsed="1">
      <c r="A11" s="7" t="s">
        <v>15</v>
      </c>
      <c r="B11" s="7" t="s">
        <v>63</v>
      </c>
      <c r="C11" s="7" t="s">
        <v>17</v>
      </c>
      <c r="D11" s="7"/>
      <c r="E11" s="7" t="s">
        <v>3240</v>
      </c>
      <c r="F11" s="7" t="s">
        <v>19</v>
      </c>
      <c r="G11" s="7">
        <v>276.0886</v>
      </c>
      <c r="H11" s="7" t="s">
        <v>17</v>
      </c>
      <c r="I11" s="7" t="s">
        <v>17</v>
      </c>
      <c r="J11" s="7" t="s">
        <v>3241</v>
      </c>
    </row>
    <row r="12" spans="1:10" x14ac:dyDescent="0.25" outlineLevel="1" collapsed="1">
      <c r="A12" s="7" t="s">
        <v>15</v>
      </c>
      <c r="B12" s="7" t="s">
        <v>63</v>
      </c>
      <c r="C12" s="7" t="s">
        <v>17</v>
      </c>
      <c r="D12" s="7"/>
      <c r="E12" s="7" t="s">
        <v>3242</v>
      </c>
      <c r="F12" s="7" t="s">
        <v>19</v>
      </c>
      <c r="G12" s="7">
        <v>0.3504</v>
      </c>
      <c r="H12" s="7" t="s">
        <v>17</v>
      </c>
      <c r="I12" s="7" t="s">
        <v>17</v>
      </c>
      <c r="J12" s="7" t="s">
        <v>3243</v>
      </c>
    </row>
    <row r="13" spans="1:10" x14ac:dyDescent="0.25" outlineLevel="1" collapsed="1">
      <c r="A13" s="7" t="s">
        <v>15</v>
      </c>
      <c r="B13" s="7" t="s">
        <v>63</v>
      </c>
      <c r="C13" s="7" t="s">
        <v>17</v>
      </c>
      <c r="D13" s="7"/>
      <c r="E13" s="7" t="s">
        <v>2029</v>
      </c>
      <c r="F13" s="7" t="s">
        <v>19</v>
      </c>
      <c r="G13" s="7">
        <v>0</v>
      </c>
      <c r="H13" s="7" t="s">
        <v>17</v>
      </c>
      <c r="I13" s="7" t="s">
        <v>17</v>
      </c>
      <c r="J13" s="7" t="s">
        <v>3244</v>
      </c>
    </row>
    <row r="14" spans="1:10" x14ac:dyDescent="0.25" outlineLevel="1" collapsed="1">
      <c r="A14" s="7" t="s">
        <v>15</v>
      </c>
      <c r="B14" s="7" t="s">
        <v>63</v>
      </c>
      <c r="C14" s="7" t="s">
        <v>17</v>
      </c>
      <c r="D14" s="7"/>
      <c r="E14" s="7" t="s">
        <v>3245</v>
      </c>
      <c r="F14" s="7" t="s">
        <v>19</v>
      </c>
      <c r="G14" s="7">
        <v>275.738</v>
      </c>
      <c r="H14" s="7" t="s">
        <v>17</v>
      </c>
      <c r="I14" s="7" t="s">
        <v>17</v>
      </c>
      <c r="J14" s="7" t="s">
        <v>3246</v>
      </c>
    </row>
    <row r="15" spans="1:10" x14ac:dyDescent="0.25" outlineLevel="1" collapsed="1">
      <c r="A15" s="7" t="s">
        <v>15</v>
      </c>
      <c r="B15" s="7" t="s">
        <v>63</v>
      </c>
      <c r="C15" s="7" t="s">
        <v>17</v>
      </c>
      <c r="D15" s="7"/>
      <c r="E15" s="7" t="s">
        <v>3247</v>
      </c>
      <c r="F15" s="7" t="s">
        <v>19</v>
      </c>
      <c r="G15" s="7">
        <v>0</v>
      </c>
      <c r="H15" s="7" t="s">
        <v>17</v>
      </c>
      <c r="I15" s="7" t="s">
        <v>17</v>
      </c>
      <c r="J15" s="7" t="s">
        <v>3248</v>
      </c>
    </row>
    <row r="16" spans="1:10" x14ac:dyDescent="0.25" outlineLevel="1" collapsed="1">
      <c r="A16" s="7" t="s">
        <v>15</v>
      </c>
      <c r="B16" s="7" t="s">
        <v>63</v>
      </c>
      <c r="C16" s="7" t="s">
        <v>17</v>
      </c>
      <c r="D16" s="7"/>
      <c r="E16" s="7" t="s">
        <v>3249</v>
      </c>
      <c r="F16" s="7" t="s">
        <v>19</v>
      </c>
      <c r="G16" s="7">
        <v>275.738</v>
      </c>
      <c r="H16" s="7" t="s">
        <v>17</v>
      </c>
      <c r="I16" s="7" t="s">
        <v>17</v>
      </c>
      <c r="J16" s="7" t="s">
        <v>3250</v>
      </c>
    </row>
    <row r="17" spans="1:10" x14ac:dyDescent="0.25" outlineLevel="1" collapsed="1">
      <c r="A17" s="7" t="s">
        <v>19</v>
      </c>
      <c r="B17" s="7" t="s">
        <v>63</v>
      </c>
      <c r="C17" s="7" t="s">
        <v>17</v>
      </c>
      <c r="D17" s="7"/>
      <c r="E17" s="7" t="s">
        <v>3251</v>
      </c>
      <c r="F17" s="7" t="s">
        <v>19</v>
      </c>
      <c r="G17" s="7">
        <v>1</v>
      </c>
      <c r="H17" s="7" t="s">
        <v>17</v>
      </c>
      <c r="I17" s="7" t="s">
        <v>17</v>
      </c>
      <c r="J17" s="7" t="s">
        <v>3252</v>
      </c>
    </row>
    <row r="18" spans="1:10" x14ac:dyDescent="0.25" outlineLevel="1" collapsed="1">
      <c r="A18" s="7" t="s">
        <v>19</v>
      </c>
      <c r="B18" s="7" t="s">
        <v>63</v>
      </c>
      <c r="C18" s="7" t="s">
        <v>17</v>
      </c>
      <c r="D18" s="7"/>
      <c r="E18" s="7" t="s">
        <v>2037</v>
      </c>
      <c r="F18" s="7" t="s">
        <v>19</v>
      </c>
      <c r="G18" s="7">
        <v>1</v>
      </c>
      <c r="H18" s="7" t="s">
        <v>17</v>
      </c>
      <c r="I18" s="7" t="s">
        <v>17</v>
      </c>
      <c r="J18" s="7" t="s">
        <v>2038</v>
      </c>
    </row>
    <row r="19" spans="1:10" x14ac:dyDescent="0.25" outlineLevel="1" collapsed="1">
      <c r="A19" s="7" t="s">
        <v>19</v>
      </c>
      <c r="B19" s="7" t="s">
        <v>63</v>
      </c>
      <c r="C19" s="7" t="s">
        <v>17</v>
      </c>
      <c r="D19" s="7"/>
      <c r="E19" s="7" t="s">
        <v>2039</v>
      </c>
      <c r="F19" s="7" t="s">
        <v>19</v>
      </c>
      <c r="G19" s="7">
        <v>1</v>
      </c>
      <c r="H19" s="7" t="s">
        <v>17</v>
      </c>
      <c r="I19" s="7" t="s">
        <v>17</v>
      </c>
      <c r="J19" s="7" t="s">
        <v>2040</v>
      </c>
    </row>
    <row r="20" spans="1:10" x14ac:dyDescent="0.25" outlineLevel="1" collapsed="1">
      <c r="A20" s="7" t="s">
        <v>19</v>
      </c>
      <c r="B20" s="7" t="s">
        <v>63</v>
      </c>
      <c r="C20" s="7" t="s">
        <v>17</v>
      </c>
      <c r="D20" s="7"/>
      <c r="E20" s="7" t="s">
        <v>2041</v>
      </c>
      <c r="F20" s="7" t="s">
        <v>19</v>
      </c>
      <c r="G20" s="7">
        <v>1</v>
      </c>
      <c r="H20" s="7" t="s">
        <v>17</v>
      </c>
      <c r="I20" s="7" t="s">
        <v>17</v>
      </c>
      <c r="J20" s="7" t="s">
        <v>2042</v>
      </c>
    </row>
    <row r="21" spans="1:10" x14ac:dyDescent="0.25">
      <c r="A21" s="5" t="s">
        <v>19</v>
      </c>
      <c r="B21" s="5" t="s">
        <v>16</v>
      </c>
      <c r="C21" s="5" t="s">
        <v>17</v>
      </c>
      <c r="D21" s="5"/>
      <c r="E21" s="5" t="s">
        <v>2258</v>
      </c>
      <c r="F21" s="5" t="s">
        <v>19</v>
      </c>
      <c r="G21" s="5" t="s">
        <v>31</v>
      </c>
      <c r="H21" s="5" t="s">
        <v>17</v>
      </c>
      <c r="I21" s="5" t="s">
        <v>17</v>
      </c>
      <c r="J21" s="5" t="s">
        <v>2259</v>
      </c>
    </row>
    <row r="22" spans="1:10" x14ac:dyDescent="0.25">
      <c r="A22" s="5" t="s">
        <v>19</v>
      </c>
      <c r="B22" s="5" t="s">
        <v>16</v>
      </c>
      <c r="C22" s="5" t="s">
        <v>17</v>
      </c>
      <c r="D22" s="5"/>
      <c r="E22" s="5" t="s">
        <v>2260</v>
      </c>
      <c r="F22" s="5" t="s">
        <v>19</v>
      </c>
      <c r="G22" s="5" t="s">
        <v>31</v>
      </c>
      <c r="H22" s="5" t="s">
        <v>17</v>
      </c>
      <c r="I22" s="5" t="s">
        <v>17</v>
      </c>
      <c r="J22" s="5" t="s">
        <v>2261</v>
      </c>
    </row>
    <row r="23" spans="1:10" x14ac:dyDescent="0.25">
      <c r="A23" s="5" t="s">
        <v>19</v>
      </c>
      <c r="B23" s="5" t="s">
        <v>16</v>
      </c>
      <c r="C23" s="5" t="s">
        <v>17</v>
      </c>
      <c r="D23" s="5"/>
      <c r="E23" s="5" t="s">
        <v>3253</v>
      </c>
      <c r="F23" s="5" t="s">
        <v>19</v>
      </c>
      <c r="G23" s="5" t="s">
        <v>31</v>
      </c>
      <c r="H23" s="5" t="s">
        <v>17</v>
      </c>
      <c r="I23" s="5" t="s">
        <v>17</v>
      </c>
      <c r="J23" s="5" t="s">
        <v>3254</v>
      </c>
    </row>
  </sheetData>
  <mergeCells count="3">
    <mergeCell ref="A1:J1"/>
    <mergeCell ref="B2:J2"/>
    <mergeCell ref="B3:J3"/>
  </mergeCells>
  <hyperlinks>
    <hyperlink ref="B6" r:id="rId1" location="#'Estimated reductions by vintag'!A1"/>
  </hyperlinks>
  <pageMargins left="0.7" right="0.7" top="0.75" bottom="0.75" header="0.3" footer="0.3"/>
  <pageSetup orientation="portrait" horizontalDpi="4294967295" verticalDpi="4294967295" scale="100" fitToWidth="1" fitToHeight="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3740</v>
      </c>
      <c r="B1" s="1"/>
      <c r="C1" s="1"/>
      <c r="D1" s="1"/>
      <c r="E1" s="1"/>
      <c r="F1" s="1"/>
      <c r="G1" s="1"/>
      <c r="H1" s="1"/>
      <c r="I1" s="1"/>
      <c r="J1" s="1"/>
    </row>
    <row r="2" spans="1:10" x14ac:dyDescent="0.25">
      <c r="A2" s="2" t="s">
        <v>1</v>
      </c>
      <c r="B2" s="3" t="s">
        <v>3741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3222</v>
      </c>
      <c r="C5" s="5" t="s">
        <v>17</v>
      </c>
      <c r="D5" s="5"/>
      <c r="E5" s="5" t="s">
        <v>3223</v>
      </c>
      <c r="F5" s="5" t="s">
        <v>19</v>
      </c>
      <c r="G5" s="5" t="s">
        <v>17</v>
      </c>
      <c r="H5" s="5" t="s">
        <v>17</v>
      </c>
      <c r="I5" s="5" t="s">
        <v>17</v>
      </c>
      <c r="J5" s="5" t="s">
        <v>706</v>
      </c>
    </row>
    <row r="6" spans="1:10" x14ac:dyDescent="0.25" outlineLevel="1" collapsed="1">
      <c r="A6" s="7" t="s">
        <v>15</v>
      </c>
      <c r="B6" s="7" t="s">
        <v>291</v>
      </c>
      <c r="C6" s="7" t="s">
        <v>17</v>
      </c>
      <c r="D6" s="7"/>
      <c r="E6" s="7" t="s">
        <v>707</v>
      </c>
      <c r="F6" s="7" t="s">
        <v>19</v>
      </c>
      <c r="G6" s="7" t="s">
        <v>293</v>
      </c>
      <c r="H6" s="7" t="s">
        <v>17</v>
      </c>
      <c r="I6" s="7" t="s">
        <v>17</v>
      </c>
      <c r="J6" s="7" t="s">
        <v>708</v>
      </c>
    </row>
    <row r="7" spans="1:10" x14ac:dyDescent="0.25" outlineLevel="1" collapsed="1">
      <c r="A7" s="7" t="s">
        <v>15</v>
      </c>
      <c r="B7" s="7" t="s">
        <v>16</v>
      </c>
      <c r="C7" s="7" t="s">
        <v>17</v>
      </c>
      <c r="D7" s="7"/>
      <c r="E7" s="7" t="s">
        <v>288</v>
      </c>
      <c r="F7" s="7" t="s">
        <v>19</v>
      </c>
      <c r="G7" s="7" t="s">
        <v>289</v>
      </c>
      <c r="H7" s="7" t="s">
        <v>17</v>
      </c>
      <c r="I7" s="7" t="s">
        <v>17</v>
      </c>
      <c r="J7" s="7" t="s">
        <v>290</v>
      </c>
    </row>
    <row r="8" spans="1:10" x14ac:dyDescent="0.25" outlineLevel="1" collapsed="1">
      <c r="A8" s="7" t="s">
        <v>15</v>
      </c>
      <c r="B8" s="7" t="s">
        <v>16</v>
      </c>
      <c r="C8" s="7" t="s">
        <v>17</v>
      </c>
      <c r="D8" s="7"/>
      <c r="E8" s="7" t="s">
        <v>3224</v>
      </c>
      <c r="F8" s="7" t="s">
        <v>19</v>
      </c>
      <c r="G8" s="7" t="s">
        <v>3225</v>
      </c>
      <c r="H8" s="7" t="s">
        <v>17</v>
      </c>
      <c r="I8" s="7" t="s">
        <v>17</v>
      </c>
      <c r="J8" s="7" t="s">
        <v>711</v>
      </c>
    </row>
    <row r="9" spans="1:10" x14ac:dyDescent="0.25" outlineLevel="1" collapsed="1">
      <c r="A9" s="7" t="s">
        <v>15</v>
      </c>
      <c r="B9" s="7" t="s">
        <v>16</v>
      </c>
      <c r="C9" s="7" t="s">
        <v>17</v>
      </c>
      <c r="D9" s="7"/>
      <c r="E9" s="7" t="s">
        <v>3226</v>
      </c>
      <c r="F9" s="7" t="s">
        <v>19</v>
      </c>
      <c r="G9" s="7" t="s">
        <v>31</v>
      </c>
      <c r="H9" s="7" t="s">
        <v>17</v>
      </c>
      <c r="I9" s="7" t="s">
        <v>17</v>
      </c>
      <c r="J9" s="7" t="s">
        <v>713</v>
      </c>
    </row>
    <row r="10" spans="1:10" x14ac:dyDescent="0.25" outlineLevel="1" collapsed="1">
      <c r="A10" s="7" t="s">
        <v>15</v>
      </c>
      <c r="B10" s="7" t="s">
        <v>16</v>
      </c>
      <c r="C10" s="7" t="s">
        <v>17</v>
      </c>
      <c r="D10" s="7"/>
      <c r="E10" s="7" t="s">
        <v>3227</v>
      </c>
      <c r="F10" s="7" t="s">
        <v>19</v>
      </c>
      <c r="G10" s="7" t="s">
        <v>3228</v>
      </c>
      <c r="H10" s="7" t="s">
        <v>17</v>
      </c>
      <c r="I10" s="7" t="s">
        <v>17</v>
      </c>
      <c r="J10" s="7" t="s">
        <v>719</v>
      </c>
    </row>
    <row r="11" spans="1:10" x14ac:dyDescent="0.25" outlineLevel="1" collapsed="1">
      <c r="A11" s="7" t="s">
        <v>19</v>
      </c>
      <c r="B11" s="7" t="s">
        <v>16</v>
      </c>
      <c r="C11" s="7" t="s">
        <v>17</v>
      </c>
      <c r="D11" s="7"/>
      <c r="E11" s="7" t="s">
        <v>3229</v>
      </c>
      <c r="F11" s="7" t="s">
        <v>19</v>
      </c>
      <c r="G11" s="7" t="s">
        <v>31</v>
      </c>
      <c r="H11" s="7" t="s">
        <v>17</v>
      </c>
      <c r="I11" s="7" t="s">
        <v>17</v>
      </c>
      <c r="J11" s="7" t="s">
        <v>3230</v>
      </c>
    </row>
    <row r="12" spans="1:10" x14ac:dyDescent="0.25">
      <c r="A12" s="5" t="s">
        <v>15</v>
      </c>
      <c r="B12" s="6" t="s">
        <v>3231</v>
      </c>
      <c r="C12" s="5" t="s">
        <v>17</v>
      </c>
      <c r="D12" s="5"/>
      <c r="E12" s="5" t="s">
        <v>3232</v>
      </c>
      <c r="F12" s="5" t="s">
        <v>19</v>
      </c>
      <c r="G12" s="5" t="s">
        <v>17</v>
      </c>
      <c r="H12" s="5" t="s">
        <v>17</v>
      </c>
      <c r="I12" s="5" t="s">
        <v>17</v>
      </c>
      <c r="J12" s="5" t="s">
        <v>3233</v>
      </c>
    </row>
    <row r="13" spans="1:10" x14ac:dyDescent="0.25" outlineLevel="1" collapsed="1">
      <c r="A13" s="7" t="s">
        <v>15</v>
      </c>
      <c r="B13" s="7" t="s">
        <v>16</v>
      </c>
      <c r="C13" s="7" t="s">
        <v>17</v>
      </c>
      <c r="D13" s="7"/>
      <c r="E13" s="7" t="s">
        <v>3234</v>
      </c>
      <c r="F13" s="7" t="s">
        <v>19</v>
      </c>
      <c r="G13" s="7" t="s">
        <v>3235</v>
      </c>
      <c r="H13" s="7" t="s">
        <v>17</v>
      </c>
      <c r="I13" s="7" t="s">
        <v>17</v>
      </c>
      <c r="J13" s="7" t="s">
        <v>3236</v>
      </c>
    </row>
    <row r="14" spans="1:10" x14ac:dyDescent="0.25" outlineLevel="1" collapsed="1">
      <c r="A14" s="8" t="s">
        <v>19</v>
      </c>
      <c r="B14" s="9" t="s">
        <v>3237</v>
      </c>
      <c r="C14" s="8" t="s">
        <v>17</v>
      </c>
      <c r="D14" s="8"/>
      <c r="E14" s="8" t="s">
        <v>3238</v>
      </c>
      <c r="F14" s="8" t="s">
        <v>15</v>
      </c>
      <c r="G14" s="8" t="s">
        <v>17</v>
      </c>
      <c r="H14" s="8" t="s">
        <v>17</v>
      </c>
      <c r="I14" s="8" t="s">
        <v>17</v>
      </c>
      <c r="J14" s="8" t="s">
        <v>3239</v>
      </c>
    </row>
    <row r="15" spans="1:10" x14ac:dyDescent="0.25" outlineLevel="2" collapsed="1">
      <c r="A15" s="7" t="s">
        <v>15</v>
      </c>
      <c r="B15" s="7" t="s">
        <v>16</v>
      </c>
      <c r="C15" s="7" t="s">
        <v>17</v>
      </c>
      <c r="D15" s="7"/>
      <c r="E15" s="7" t="s">
        <v>728</v>
      </c>
      <c r="F15" s="7" t="s">
        <v>19</v>
      </c>
      <c r="G15" s="7" t="s">
        <v>729</v>
      </c>
      <c r="H15" s="7" t="s">
        <v>17</v>
      </c>
      <c r="I15" s="7" t="s">
        <v>17</v>
      </c>
      <c r="J15" s="7" t="s">
        <v>730</v>
      </c>
    </row>
    <row r="16" spans="1:10" x14ac:dyDescent="0.25" outlineLevel="2" collapsed="1">
      <c r="A16" s="7" t="s">
        <v>15</v>
      </c>
      <c r="B16" s="7" t="s">
        <v>16</v>
      </c>
      <c r="C16" s="7" t="s">
        <v>17</v>
      </c>
      <c r="D16" s="7"/>
      <c r="E16" s="7" t="s">
        <v>731</v>
      </c>
      <c r="F16" s="7" t="s">
        <v>19</v>
      </c>
      <c r="G16" s="7" t="s">
        <v>732</v>
      </c>
      <c r="H16" s="7" t="s">
        <v>17</v>
      </c>
      <c r="I16" s="7" t="s">
        <v>17</v>
      </c>
      <c r="J16" s="7" t="s">
        <v>733</v>
      </c>
    </row>
    <row r="17" spans="1:10" x14ac:dyDescent="0.25" outlineLevel="2" collapsed="1">
      <c r="A17" s="7" t="s">
        <v>15</v>
      </c>
      <c r="B17" s="7" t="s">
        <v>291</v>
      </c>
      <c r="C17" s="7" t="s">
        <v>17</v>
      </c>
      <c r="D17" s="7"/>
      <c r="E17" s="7" t="s">
        <v>30</v>
      </c>
      <c r="F17" s="7" t="s">
        <v>19</v>
      </c>
      <c r="G17" s="7" t="s">
        <v>293</v>
      </c>
      <c r="H17" s="7" t="s">
        <v>17</v>
      </c>
      <c r="I17" s="7" t="s">
        <v>17</v>
      </c>
      <c r="J17" s="7" t="s">
        <v>734</v>
      </c>
    </row>
    <row r="18" spans="1:10" x14ac:dyDescent="0.25" outlineLevel="2" collapsed="1">
      <c r="A18" s="7" t="s">
        <v>15</v>
      </c>
      <c r="B18" s="7" t="s">
        <v>291</v>
      </c>
      <c r="C18" s="7" t="s">
        <v>17</v>
      </c>
      <c r="D18" s="7"/>
      <c r="E18" s="7" t="s">
        <v>33</v>
      </c>
      <c r="F18" s="7" t="s">
        <v>19</v>
      </c>
      <c r="G18" s="7" t="s">
        <v>293</v>
      </c>
      <c r="H18" s="7" t="s">
        <v>17</v>
      </c>
      <c r="I18" s="7" t="s">
        <v>17</v>
      </c>
      <c r="J18" s="7" t="s">
        <v>735</v>
      </c>
    </row>
    <row r="19" spans="1:10" x14ac:dyDescent="0.25" outlineLevel="2" collapsed="1">
      <c r="A19" s="7" t="s">
        <v>15</v>
      </c>
      <c r="B19" s="7" t="s">
        <v>63</v>
      </c>
      <c r="C19" s="7" t="s">
        <v>17</v>
      </c>
      <c r="D19" s="7"/>
      <c r="E19" s="7" t="s">
        <v>3240</v>
      </c>
      <c r="F19" s="7" t="s">
        <v>19</v>
      </c>
      <c r="G19" s="7">
        <v>276.0886</v>
      </c>
      <c r="H19" s="7" t="s">
        <v>17</v>
      </c>
      <c r="I19" s="7" t="s">
        <v>17</v>
      </c>
      <c r="J19" s="7" t="s">
        <v>3241</v>
      </c>
    </row>
    <row r="20" spans="1:10" x14ac:dyDescent="0.25" outlineLevel="2" collapsed="1">
      <c r="A20" s="7" t="s">
        <v>15</v>
      </c>
      <c r="B20" s="7" t="s">
        <v>63</v>
      </c>
      <c r="C20" s="7" t="s">
        <v>17</v>
      </c>
      <c r="D20" s="7"/>
      <c r="E20" s="7" t="s">
        <v>3242</v>
      </c>
      <c r="F20" s="7" t="s">
        <v>19</v>
      </c>
      <c r="G20" s="7">
        <v>0.3504</v>
      </c>
      <c r="H20" s="7" t="s">
        <v>17</v>
      </c>
      <c r="I20" s="7" t="s">
        <v>17</v>
      </c>
      <c r="J20" s="7" t="s">
        <v>3243</v>
      </c>
    </row>
    <row r="21" spans="1:10" x14ac:dyDescent="0.25" outlineLevel="2" collapsed="1">
      <c r="A21" s="7" t="s">
        <v>15</v>
      </c>
      <c r="B21" s="7" t="s">
        <v>63</v>
      </c>
      <c r="C21" s="7" t="s">
        <v>17</v>
      </c>
      <c r="D21" s="7"/>
      <c r="E21" s="7" t="s">
        <v>2029</v>
      </c>
      <c r="F21" s="7" t="s">
        <v>19</v>
      </c>
      <c r="G21" s="7">
        <v>0</v>
      </c>
      <c r="H21" s="7" t="s">
        <v>17</v>
      </c>
      <c r="I21" s="7" t="s">
        <v>17</v>
      </c>
      <c r="J21" s="7" t="s">
        <v>3244</v>
      </c>
    </row>
    <row r="22" spans="1:10" x14ac:dyDescent="0.25" outlineLevel="2" collapsed="1">
      <c r="A22" s="7" t="s">
        <v>15</v>
      </c>
      <c r="B22" s="7" t="s">
        <v>63</v>
      </c>
      <c r="C22" s="7" t="s">
        <v>17</v>
      </c>
      <c r="D22" s="7"/>
      <c r="E22" s="7" t="s">
        <v>3245</v>
      </c>
      <c r="F22" s="7" t="s">
        <v>19</v>
      </c>
      <c r="G22" s="7">
        <v>275.738</v>
      </c>
      <c r="H22" s="7" t="s">
        <v>17</v>
      </c>
      <c r="I22" s="7" t="s">
        <v>17</v>
      </c>
      <c r="J22" s="7" t="s">
        <v>3246</v>
      </c>
    </row>
    <row r="23" spans="1:10" x14ac:dyDescent="0.25" outlineLevel="2" collapsed="1">
      <c r="A23" s="7" t="s">
        <v>15</v>
      </c>
      <c r="B23" s="7" t="s">
        <v>63</v>
      </c>
      <c r="C23" s="7" t="s">
        <v>17</v>
      </c>
      <c r="D23" s="7"/>
      <c r="E23" s="7" t="s">
        <v>3247</v>
      </c>
      <c r="F23" s="7" t="s">
        <v>19</v>
      </c>
      <c r="G23" s="7">
        <v>0</v>
      </c>
      <c r="H23" s="7" t="s">
        <v>17</v>
      </c>
      <c r="I23" s="7" t="s">
        <v>17</v>
      </c>
      <c r="J23" s="7" t="s">
        <v>3248</v>
      </c>
    </row>
    <row r="24" spans="1:10" x14ac:dyDescent="0.25" outlineLevel="2" collapsed="1">
      <c r="A24" s="7" t="s">
        <v>15</v>
      </c>
      <c r="B24" s="7" t="s">
        <v>63</v>
      </c>
      <c r="C24" s="7" t="s">
        <v>17</v>
      </c>
      <c r="D24" s="7"/>
      <c r="E24" s="7" t="s">
        <v>3249</v>
      </c>
      <c r="F24" s="7" t="s">
        <v>19</v>
      </c>
      <c r="G24" s="7">
        <v>275.738</v>
      </c>
      <c r="H24" s="7" t="s">
        <v>17</v>
      </c>
      <c r="I24" s="7" t="s">
        <v>17</v>
      </c>
      <c r="J24" s="7" t="s">
        <v>3250</v>
      </c>
    </row>
    <row r="25" spans="1:10" x14ac:dyDescent="0.25" outlineLevel="2" collapsed="1">
      <c r="A25" s="7" t="s">
        <v>19</v>
      </c>
      <c r="B25" s="7" t="s">
        <v>63</v>
      </c>
      <c r="C25" s="7" t="s">
        <v>17</v>
      </c>
      <c r="D25" s="7"/>
      <c r="E25" s="7" t="s">
        <v>3251</v>
      </c>
      <c r="F25" s="7" t="s">
        <v>19</v>
      </c>
      <c r="G25" s="7">
        <v>1</v>
      </c>
      <c r="H25" s="7" t="s">
        <v>17</v>
      </c>
      <c r="I25" s="7" t="s">
        <v>17</v>
      </c>
      <c r="J25" s="7" t="s">
        <v>3252</v>
      </c>
    </row>
    <row r="26" spans="1:10" x14ac:dyDescent="0.25" outlineLevel="2" collapsed="1">
      <c r="A26" s="7" t="s">
        <v>19</v>
      </c>
      <c r="B26" s="7" t="s">
        <v>63</v>
      </c>
      <c r="C26" s="7" t="s">
        <v>17</v>
      </c>
      <c r="D26" s="7"/>
      <c r="E26" s="7" t="s">
        <v>2037</v>
      </c>
      <c r="F26" s="7" t="s">
        <v>19</v>
      </c>
      <c r="G26" s="7">
        <v>1</v>
      </c>
      <c r="H26" s="7" t="s">
        <v>17</v>
      </c>
      <c r="I26" s="7" t="s">
        <v>17</v>
      </c>
      <c r="J26" s="7" t="s">
        <v>2038</v>
      </c>
    </row>
    <row r="27" spans="1:10" x14ac:dyDescent="0.25" outlineLevel="2" collapsed="1">
      <c r="A27" s="7" t="s">
        <v>19</v>
      </c>
      <c r="B27" s="7" t="s">
        <v>63</v>
      </c>
      <c r="C27" s="7" t="s">
        <v>17</v>
      </c>
      <c r="D27" s="7"/>
      <c r="E27" s="7" t="s">
        <v>2039</v>
      </c>
      <c r="F27" s="7" t="s">
        <v>19</v>
      </c>
      <c r="G27" s="7">
        <v>1</v>
      </c>
      <c r="H27" s="7" t="s">
        <v>17</v>
      </c>
      <c r="I27" s="7" t="s">
        <v>17</v>
      </c>
      <c r="J27" s="7" t="s">
        <v>2040</v>
      </c>
    </row>
    <row r="28" spans="1:10" x14ac:dyDescent="0.25" outlineLevel="2" collapsed="1">
      <c r="A28" s="7" t="s">
        <v>19</v>
      </c>
      <c r="B28" s="7" t="s">
        <v>63</v>
      </c>
      <c r="C28" s="7" t="s">
        <v>17</v>
      </c>
      <c r="D28" s="7"/>
      <c r="E28" s="7" t="s">
        <v>2041</v>
      </c>
      <c r="F28" s="7" t="s">
        <v>19</v>
      </c>
      <c r="G28" s="7">
        <v>1</v>
      </c>
      <c r="H28" s="7" t="s">
        <v>17</v>
      </c>
      <c r="I28" s="7" t="s">
        <v>17</v>
      </c>
      <c r="J28" s="7" t="s">
        <v>2042</v>
      </c>
    </row>
    <row r="29" spans="1:10" x14ac:dyDescent="0.25" outlineLevel="1" collapsed="1">
      <c r="A29" s="7" t="s">
        <v>19</v>
      </c>
      <c r="B29" s="7" t="s">
        <v>16</v>
      </c>
      <c r="C29" s="7" t="s">
        <v>17</v>
      </c>
      <c r="D29" s="7"/>
      <c r="E29" s="7" t="s">
        <v>2258</v>
      </c>
      <c r="F29" s="7" t="s">
        <v>19</v>
      </c>
      <c r="G29" s="7" t="s">
        <v>31</v>
      </c>
      <c r="H29" s="7" t="s">
        <v>17</v>
      </c>
      <c r="I29" s="7" t="s">
        <v>17</v>
      </c>
      <c r="J29" s="7" t="s">
        <v>2259</v>
      </c>
    </row>
    <row r="30" spans="1:10" x14ac:dyDescent="0.25" outlineLevel="1" collapsed="1">
      <c r="A30" s="7" t="s">
        <v>19</v>
      </c>
      <c r="B30" s="7" t="s">
        <v>16</v>
      </c>
      <c r="C30" s="7" t="s">
        <v>17</v>
      </c>
      <c r="D30" s="7"/>
      <c r="E30" s="7" t="s">
        <v>2260</v>
      </c>
      <c r="F30" s="7" t="s">
        <v>19</v>
      </c>
      <c r="G30" s="7" t="s">
        <v>31</v>
      </c>
      <c r="H30" s="7" t="s">
        <v>17</v>
      </c>
      <c r="I30" s="7" t="s">
        <v>17</v>
      </c>
      <c r="J30" s="7" t="s">
        <v>2261</v>
      </c>
    </row>
    <row r="31" spans="1:10" x14ac:dyDescent="0.25" outlineLevel="1" collapsed="1">
      <c r="A31" s="7" t="s">
        <v>19</v>
      </c>
      <c r="B31" s="7" t="s">
        <v>16</v>
      </c>
      <c r="C31" s="7" t="s">
        <v>17</v>
      </c>
      <c r="D31" s="7"/>
      <c r="E31" s="7" t="s">
        <v>3253</v>
      </c>
      <c r="F31" s="7" t="s">
        <v>19</v>
      </c>
      <c r="G31" s="7" t="s">
        <v>31</v>
      </c>
      <c r="H31" s="7" t="s">
        <v>17</v>
      </c>
      <c r="I31" s="7" t="s">
        <v>17</v>
      </c>
      <c r="J31" s="7" t="s">
        <v>3254</v>
      </c>
    </row>
  </sheetData>
  <mergeCells count="3">
    <mergeCell ref="A1:J1"/>
    <mergeCell ref="B2:J2"/>
    <mergeCell ref="B3:J3"/>
  </mergeCells>
  <hyperlinks>
    <hyperlink ref="B5" r:id="rId1" location="#'4.1 Validation Conclusion Summ'!A1"/>
    <hyperlink ref="B12" r:id="rId2" location="#'4.2 Conclusion on Estimated Re'!A1"/>
    <hyperlink ref="B14" r:id="rId3" location="#'Estimated reductions by vintag'!A1"/>
  </hyperlinks>
  <pageMargins left="0.7" right="0.7" top="0.75" bottom="0.75" header="0.3" footer="0.3"/>
  <pageSetup orientation="portrait" horizontalDpi="4294967295" verticalDpi="4294967295" scale="100" fitToWidth="1" fitToHeight="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3742</v>
      </c>
      <c r="B1" s="1"/>
      <c r="C1" s="1"/>
      <c r="D1" s="1"/>
      <c r="E1" s="1"/>
      <c r="F1" s="1"/>
      <c r="G1" s="1"/>
      <c r="H1" s="1"/>
      <c r="I1" s="1"/>
      <c r="J1" s="1"/>
    </row>
    <row r="2" spans="1:10" x14ac:dyDescent="0.25">
      <c r="A2" s="2" t="s">
        <v>1</v>
      </c>
      <c r="B2" s="3" t="s">
        <v>3743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834</v>
      </c>
      <c r="F5" s="5" t="s">
        <v>19</v>
      </c>
      <c r="G5" s="5" t="s">
        <v>31</v>
      </c>
      <c r="H5" s="5" t="s">
        <v>17</v>
      </c>
      <c r="I5" s="5" t="s">
        <v>17</v>
      </c>
      <c r="J5" s="5" t="s">
        <v>835</v>
      </c>
    </row>
    <row r="6" spans="1:10" x14ac:dyDescent="0.25">
      <c r="A6" s="5" t="s">
        <v>19</v>
      </c>
      <c r="B6" s="5" t="s">
        <v>16</v>
      </c>
      <c r="C6" s="5" t="s">
        <v>17</v>
      </c>
      <c r="D6" s="5"/>
      <c r="E6" s="5" t="s">
        <v>836</v>
      </c>
      <c r="F6" s="5" t="s">
        <v>19</v>
      </c>
      <c r="G6" s="5" t="s">
        <v>31</v>
      </c>
      <c r="H6" s="5" t="s">
        <v>17</v>
      </c>
      <c r="I6" s="5" t="s">
        <v>17</v>
      </c>
      <c r="J6" s="5" t="s">
        <v>837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952</v>
      </c>
      <c r="B1" s="1"/>
      <c r="C1" s="1"/>
      <c r="D1" s="1"/>
      <c r="E1" s="1"/>
      <c r="F1" s="1"/>
      <c r="G1" s="1"/>
      <c r="H1" s="1"/>
      <c r="I1" s="1"/>
      <c r="J1" s="1"/>
    </row>
    <row r="2" spans="1:10" x14ac:dyDescent="0.25">
      <c r="A2" s="2" t="s">
        <v>1</v>
      </c>
      <c r="B2" s="3" t="s">
        <v>3744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955</v>
      </c>
      <c r="F5" s="5" t="s">
        <v>19</v>
      </c>
      <c r="G5" s="5" t="s">
        <v>956</v>
      </c>
      <c r="H5" s="5" t="s">
        <v>17</v>
      </c>
      <c r="I5" s="5" t="s">
        <v>17</v>
      </c>
      <c r="J5" s="5" t="s">
        <v>957</v>
      </c>
    </row>
    <row r="6" spans="1:10" x14ac:dyDescent="0.25">
      <c r="A6" s="5" t="s">
        <v>15</v>
      </c>
      <c r="B6" s="5" t="s">
        <v>284</v>
      </c>
      <c r="C6" s="10" t="s">
        <v>958</v>
      </c>
      <c r="D6" s="5"/>
      <c r="E6" s="5" t="s">
        <v>959</v>
      </c>
      <c r="F6" s="5" t="s">
        <v>19</v>
      </c>
      <c r="G6" s="5" t="s">
        <v>960</v>
      </c>
      <c r="H6" s="5" t="s">
        <v>17</v>
      </c>
      <c r="I6" s="5" t="s">
        <v>17</v>
      </c>
      <c r="J6" s="5" t="s">
        <v>961</v>
      </c>
    </row>
    <row r="7" spans="1:10" x14ac:dyDescent="0.25">
      <c r="A7" s="5" t="s">
        <v>15</v>
      </c>
      <c r="B7" s="5" t="s">
        <v>16</v>
      </c>
      <c r="C7" s="5" t="s">
        <v>17</v>
      </c>
      <c r="D7" s="5"/>
      <c r="E7" s="5" t="s">
        <v>962</v>
      </c>
      <c r="F7" s="5" t="s">
        <v>19</v>
      </c>
      <c r="G7" s="5" t="s">
        <v>963</v>
      </c>
      <c r="H7" s="5" t="s">
        <v>17</v>
      </c>
      <c r="I7" s="5" t="s">
        <v>17</v>
      </c>
      <c r="J7" s="5" t="s">
        <v>964</v>
      </c>
    </row>
    <row r="8" spans="1:10" x14ac:dyDescent="0.25">
      <c r="A8" s="5" t="s">
        <v>19</v>
      </c>
      <c r="B8" s="5" t="s">
        <v>291</v>
      </c>
      <c r="C8" s="5" t="s">
        <v>17</v>
      </c>
      <c r="D8" s="5"/>
      <c r="E8" s="5" t="s">
        <v>965</v>
      </c>
      <c r="F8" s="5" t="s">
        <v>19</v>
      </c>
      <c r="G8" s="5" t="s">
        <v>293</v>
      </c>
      <c r="H8" s="5" t="s">
        <v>17</v>
      </c>
      <c r="I8" s="5" t="s">
        <v>17</v>
      </c>
      <c r="J8" s="5" t="s">
        <v>966</v>
      </c>
    </row>
    <row r="9" spans="1:10" x14ac:dyDescent="0.25">
      <c r="A9" s="5" t="s">
        <v>19</v>
      </c>
      <c r="B9" s="5" t="s">
        <v>16</v>
      </c>
      <c r="C9" s="5" t="s">
        <v>17</v>
      </c>
      <c r="D9" s="5"/>
      <c r="E9" s="5" t="s">
        <v>967</v>
      </c>
      <c r="F9" s="5" t="s">
        <v>19</v>
      </c>
      <c r="G9" s="5" t="s">
        <v>968</v>
      </c>
      <c r="H9" s="5" t="s">
        <v>17</v>
      </c>
      <c r="I9" s="5" t="s">
        <v>17</v>
      </c>
      <c r="J9" s="5" t="s">
        <v>843</v>
      </c>
    </row>
  </sheetData>
  <mergeCells count="3">
    <mergeCell ref="A1:J1"/>
    <mergeCell ref="B2:J2"/>
    <mergeCell ref="B3:J3"/>
  </mergeCells>
  <dataValidations count="1">
    <dataValidation type="list" allowBlank="1" sqref="G6:I6">
      <formula1>'Enums'!C802:C810</formula1>
    </dataValidation>
  </dataValidations>
  <pageMargins left="0.7" right="0.7" top="0.75" bottom="0.75" header="0.3" footer="0.3"/>
  <pageSetup orientation="portrait" horizontalDpi="4294967295" verticalDpi="4294967295" scale="100" fitToWidth="1" fitToHeight="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3745</v>
      </c>
      <c r="B1" s="1"/>
      <c r="C1" s="1"/>
      <c r="D1" s="1"/>
      <c r="E1" s="1"/>
      <c r="F1" s="1"/>
      <c r="G1" s="1"/>
      <c r="H1" s="1"/>
      <c r="I1" s="1"/>
      <c r="J1" s="1"/>
    </row>
    <row r="2" spans="1:10" x14ac:dyDescent="0.25">
      <c r="A2" s="2" t="s">
        <v>1</v>
      </c>
      <c r="B2" s="3" t="s">
        <v>3746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1969</v>
      </c>
      <c r="F5" s="5" t="s">
        <v>19</v>
      </c>
      <c r="G5" s="5" t="s">
        <v>1970</v>
      </c>
      <c r="H5" s="5" t="s">
        <v>17</v>
      </c>
      <c r="I5" s="5" t="s">
        <v>17</v>
      </c>
      <c r="J5" s="5" t="s">
        <v>1971</v>
      </c>
    </row>
    <row r="6" spans="1:10" x14ac:dyDescent="0.25">
      <c r="A6" s="5" t="s">
        <v>15</v>
      </c>
      <c r="B6" s="5" t="s">
        <v>291</v>
      </c>
      <c r="C6" s="5" t="s">
        <v>17</v>
      </c>
      <c r="D6" s="5"/>
      <c r="E6" s="5" t="s">
        <v>1972</v>
      </c>
      <c r="F6" s="5" t="s">
        <v>19</v>
      </c>
      <c r="G6" s="5" t="s">
        <v>293</v>
      </c>
      <c r="H6" s="5" t="s">
        <v>17</v>
      </c>
      <c r="I6" s="5" t="s">
        <v>17</v>
      </c>
      <c r="J6" s="5" t="s">
        <v>1973</v>
      </c>
    </row>
    <row r="7" spans="1:10" x14ac:dyDescent="0.25">
      <c r="A7" s="5" t="s">
        <v>15</v>
      </c>
      <c r="B7" s="5" t="s">
        <v>16</v>
      </c>
      <c r="C7" s="5" t="s">
        <v>17</v>
      </c>
      <c r="D7" s="5"/>
      <c r="E7" s="5" t="s">
        <v>1974</v>
      </c>
      <c r="F7" s="5" t="s">
        <v>19</v>
      </c>
      <c r="G7" s="5" t="s">
        <v>1975</v>
      </c>
      <c r="H7" s="5" t="s">
        <v>17</v>
      </c>
      <c r="I7" s="5" t="s">
        <v>17</v>
      </c>
      <c r="J7" s="5" t="s">
        <v>1976</v>
      </c>
    </row>
    <row r="8" spans="1:10" x14ac:dyDescent="0.25">
      <c r="A8" s="5" t="s">
        <v>15</v>
      </c>
      <c r="B8" s="5" t="s">
        <v>16</v>
      </c>
      <c r="C8" s="5" t="s">
        <v>17</v>
      </c>
      <c r="D8" s="5"/>
      <c r="E8" s="5" t="s">
        <v>1977</v>
      </c>
      <c r="F8" s="5" t="s">
        <v>19</v>
      </c>
      <c r="G8" s="5" t="s">
        <v>1978</v>
      </c>
      <c r="H8" s="5" t="s">
        <v>17</v>
      </c>
      <c r="I8" s="5" t="s">
        <v>17</v>
      </c>
      <c r="J8" s="5" t="s">
        <v>1979</v>
      </c>
    </row>
    <row r="9" spans="1:10" x14ac:dyDescent="0.25">
      <c r="A9" s="5" t="s">
        <v>15</v>
      </c>
      <c r="B9" s="5" t="s">
        <v>16</v>
      </c>
      <c r="C9" s="5" t="s">
        <v>17</v>
      </c>
      <c r="D9" s="5"/>
      <c r="E9" s="5" t="s">
        <v>1980</v>
      </c>
      <c r="F9" s="5" t="s">
        <v>19</v>
      </c>
      <c r="G9" s="5" t="s">
        <v>1981</v>
      </c>
      <c r="H9" s="5" t="s">
        <v>17</v>
      </c>
      <c r="I9" s="5" t="s">
        <v>17</v>
      </c>
      <c r="J9" s="5" t="s">
        <v>1982</v>
      </c>
    </row>
    <row r="10" spans="1:10" x14ac:dyDescent="0.25">
      <c r="A10" s="5" t="s">
        <v>19</v>
      </c>
      <c r="B10" s="5" t="s">
        <v>16</v>
      </c>
      <c r="C10" s="5" t="s">
        <v>17</v>
      </c>
      <c r="D10" s="5"/>
      <c r="E10" s="5" t="s">
        <v>1983</v>
      </c>
      <c r="F10" s="5" t="s">
        <v>19</v>
      </c>
      <c r="G10" s="5" t="s">
        <v>31</v>
      </c>
      <c r="H10" s="5" t="s">
        <v>17</v>
      </c>
      <c r="I10" s="5" t="s">
        <v>17</v>
      </c>
      <c r="J10" s="5" t="s">
        <v>1984</v>
      </c>
    </row>
    <row r="11" spans="1:10" x14ac:dyDescent="0.25">
      <c r="A11" s="5" t="s">
        <v>15</v>
      </c>
      <c r="B11" s="5" t="s">
        <v>16</v>
      </c>
      <c r="C11" s="5" t="s">
        <v>17</v>
      </c>
      <c r="D11" s="5"/>
      <c r="E11" s="5" t="s">
        <v>1985</v>
      </c>
      <c r="F11" s="5" t="s">
        <v>19</v>
      </c>
      <c r="G11" s="5" t="s">
        <v>1986</v>
      </c>
      <c r="H11" s="5" t="s">
        <v>17</v>
      </c>
      <c r="I11" s="5" t="s">
        <v>17</v>
      </c>
      <c r="J11" s="5" t="s">
        <v>1987</v>
      </c>
    </row>
    <row r="12" spans="1:10" x14ac:dyDescent="0.25">
      <c r="A12" s="5" t="s">
        <v>15</v>
      </c>
      <c r="B12" s="5" t="s">
        <v>16</v>
      </c>
      <c r="C12" s="5" t="s">
        <v>17</v>
      </c>
      <c r="D12" s="5"/>
      <c r="E12" s="5" t="s">
        <v>1988</v>
      </c>
      <c r="F12" s="5" t="s">
        <v>19</v>
      </c>
      <c r="G12" s="5" t="s">
        <v>1989</v>
      </c>
      <c r="H12" s="5" t="s">
        <v>17</v>
      </c>
      <c r="I12" s="5" t="s">
        <v>17</v>
      </c>
      <c r="J12" s="5" t="s">
        <v>1990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3747</v>
      </c>
      <c r="B1" s="1"/>
      <c r="C1" s="1"/>
      <c r="D1" s="1"/>
      <c r="E1" s="1"/>
      <c r="F1" s="1"/>
      <c r="G1" s="1"/>
      <c r="H1" s="1"/>
      <c r="I1" s="1"/>
      <c r="J1" s="1"/>
    </row>
    <row r="2" spans="1:10" x14ac:dyDescent="0.25">
      <c r="A2" s="2" t="s">
        <v>1</v>
      </c>
      <c r="B2" s="3" t="s">
        <v>3748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1994</v>
      </c>
      <c r="D5" s="5"/>
      <c r="E5" s="5" t="s">
        <v>1995</v>
      </c>
      <c r="F5" s="5" t="s">
        <v>19</v>
      </c>
      <c r="G5" s="5" t="s">
        <v>1996</v>
      </c>
      <c r="H5" s="5" t="s">
        <v>17</v>
      </c>
      <c r="I5" s="5" t="s">
        <v>17</v>
      </c>
      <c r="J5" s="5" t="s">
        <v>1997</v>
      </c>
    </row>
    <row r="6" spans="1:10" x14ac:dyDescent="0.25">
      <c r="A6" s="5" t="s">
        <v>15</v>
      </c>
      <c r="B6" s="5" t="s">
        <v>16</v>
      </c>
      <c r="C6" s="5" t="s">
        <v>17</v>
      </c>
      <c r="D6" s="5"/>
      <c r="E6" s="5" t="s">
        <v>1998</v>
      </c>
      <c r="F6" s="5" t="s">
        <v>19</v>
      </c>
      <c r="G6" s="5" t="s">
        <v>1999</v>
      </c>
      <c r="H6" s="5" t="s">
        <v>17</v>
      </c>
      <c r="I6" s="5" t="s">
        <v>17</v>
      </c>
      <c r="J6" s="5" t="s">
        <v>1844</v>
      </c>
    </row>
    <row r="7" spans="1:10" x14ac:dyDescent="0.25">
      <c r="A7" s="5" t="s">
        <v>15</v>
      </c>
      <c r="B7" s="5" t="s">
        <v>159</v>
      </c>
      <c r="C7" s="5" t="s">
        <v>17</v>
      </c>
      <c r="D7" s="5"/>
      <c r="E7" s="5" t="s">
        <v>2000</v>
      </c>
      <c r="F7" s="5" t="s">
        <v>19</v>
      </c>
      <c r="G7" s="5" t="b">
        <v>1</v>
      </c>
      <c r="H7" s="5" t="s">
        <v>17</v>
      </c>
      <c r="I7" s="5" t="s">
        <v>17</v>
      </c>
      <c r="J7" s="5" t="s">
        <v>2001</v>
      </c>
    </row>
    <row r="8" spans="1:10" x14ac:dyDescent="0.25">
      <c r="A8" s="5" t="s">
        <v>15</v>
      </c>
      <c r="B8" s="5" t="s">
        <v>63</v>
      </c>
      <c r="C8" s="5" t="s">
        <v>17</v>
      </c>
      <c r="D8" s="5"/>
      <c r="E8" s="5" t="s">
        <v>2002</v>
      </c>
      <c r="F8" s="5" t="s">
        <v>19</v>
      </c>
      <c r="G8" s="5">
        <v>100</v>
      </c>
      <c r="H8" s="5" t="s">
        <v>17</v>
      </c>
      <c r="I8" s="5" t="s">
        <v>17</v>
      </c>
      <c r="J8" s="5" t="s">
        <v>2003</v>
      </c>
    </row>
    <row r="9" spans="1:10" x14ac:dyDescent="0.25">
      <c r="A9" s="5" t="s">
        <v>15</v>
      </c>
      <c r="B9" s="5" t="s">
        <v>63</v>
      </c>
      <c r="C9" s="5" t="s">
        <v>17</v>
      </c>
      <c r="D9" s="5"/>
      <c r="E9" s="5" t="s">
        <v>2004</v>
      </c>
      <c r="F9" s="5" t="s">
        <v>19</v>
      </c>
      <c r="G9" s="5">
        <v>0</v>
      </c>
      <c r="H9" s="5" t="s">
        <v>17</v>
      </c>
      <c r="I9" s="5" t="s">
        <v>17</v>
      </c>
      <c r="J9" s="5" t="s">
        <v>2005</v>
      </c>
    </row>
    <row r="10" spans="1:10" x14ac:dyDescent="0.25">
      <c r="A10" s="5" t="s">
        <v>19</v>
      </c>
      <c r="B10" s="5" t="s">
        <v>63</v>
      </c>
      <c r="C10" s="5" t="s">
        <v>17</v>
      </c>
      <c r="D10" s="5"/>
      <c r="E10" s="5" t="s">
        <v>2006</v>
      </c>
      <c r="F10" s="5" t="s">
        <v>19</v>
      </c>
      <c r="G10" s="5">
        <v>0</v>
      </c>
      <c r="H10" s="5" t="s">
        <v>17</v>
      </c>
      <c r="I10" s="5" t="s">
        <v>17</v>
      </c>
      <c r="J10" s="5" t="s">
        <v>2007</v>
      </c>
    </row>
    <row r="11" spans="1:10" x14ac:dyDescent="0.25">
      <c r="A11" s="5" t="s">
        <v>19</v>
      </c>
      <c r="B11" s="5" t="s">
        <v>16</v>
      </c>
      <c r="C11" s="5" t="s">
        <v>17</v>
      </c>
      <c r="D11" s="5"/>
      <c r="E11" s="5" t="s">
        <v>2008</v>
      </c>
      <c r="F11" s="5" t="s">
        <v>19</v>
      </c>
      <c r="G11" s="5" t="s">
        <v>2009</v>
      </c>
      <c r="H11" s="5" t="s">
        <v>17</v>
      </c>
      <c r="I11" s="5" t="s">
        <v>17</v>
      </c>
      <c r="J11" s="5" t="s">
        <v>2010</v>
      </c>
    </row>
  </sheetData>
  <mergeCells count="3">
    <mergeCell ref="A1:J1"/>
    <mergeCell ref="B2:J2"/>
    <mergeCell ref="B3:J3"/>
  </mergeCells>
  <dataValidations count="1">
    <dataValidation type="list" allowBlank="1" sqref="G5:I5">
      <formula1>'Enums'!C811:C812</formula1>
    </dataValidation>
  </dataValidations>
  <pageMargins left="0.7" right="0.7" top="0.75" bottom="0.75" header="0.3" footer="0.3"/>
  <pageSetup orientation="portrait" horizontalDpi="4294967295" verticalDpi="4294967295" scale="100" fitToWidth="1" fitToHeight="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3749</v>
      </c>
      <c r="B1" s="1"/>
      <c r="C1" s="1"/>
      <c r="D1" s="1"/>
      <c r="E1" s="1"/>
      <c r="F1" s="1"/>
      <c r="G1" s="1"/>
      <c r="H1" s="1"/>
      <c r="I1" s="1"/>
      <c r="J1" s="1"/>
    </row>
    <row r="2" spans="1:10" x14ac:dyDescent="0.25">
      <c r="A2" s="2" t="s">
        <v>1</v>
      </c>
      <c r="B2" s="3" t="s">
        <v>3750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30</v>
      </c>
      <c r="F5" s="5" t="s">
        <v>19</v>
      </c>
      <c r="G5" s="5" t="s">
        <v>293</v>
      </c>
      <c r="H5" s="5" t="s">
        <v>17</v>
      </c>
      <c r="I5" s="5" t="s">
        <v>17</v>
      </c>
      <c r="J5" s="5" t="s">
        <v>734</v>
      </c>
    </row>
    <row r="6" spans="1:10" x14ac:dyDescent="0.25">
      <c r="A6" s="5" t="s">
        <v>15</v>
      </c>
      <c r="B6" s="5" t="s">
        <v>291</v>
      </c>
      <c r="C6" s="5" t="s">
        <v>17</v>
      </c>
      <c r="D6" s="5"/>
      <c r="E6" s="5" t="s">
        <v>33</v>
      </c>
      <c r="F6" s="5" t="s">
        <v>19</v>
      </c>
      <c r="G6" s="5" t="s">
        <v>293</v>
      </c>
      <c r="H6" s="5" t="s">
        <v>17</v>
      </c>
      <c r="I6" s="5" t="s">
        <v>17</v>
      </c>
      <c r="J6" s="5" t="s">
        <v>735</v>
      </c>
    </row>
    <row r="7" spans="1:10" x14ac:dyDescent="0.25">
      <c r="A7" s="5" t="s">
        <v>15</v>
      </c>
      <c r="B7" s="5" t="s">
        <v>63</v>
      </c>
      <c r="C7" s="5" t="s">
        <v>17</v>
      </c>
      <c r="D7" s="5"/>
      <c r="E7" s="5" t="s">
        <v>1570</v>
      </c>
      <c r="F7" s="5" t="s">
        <v>19</v>
      </c>
      <c r="G7" s="5">
        <v>276.0886</v>
      </c>
      <c r="H7" s="5" t="s">
        <v>17</v>
      </c>
      <c r="I7" s="5" t="s">
        <v>17</v>
      </c>
      <c r="J7" s="5" t="s">
        <v>1571</v>
      </c>
    </row>
    <row r="8" spans="1:10" x14ac:dyDescent="0.25">
      <c r="A8" s="5" t="s">
        <v>15</v>
      </c>
      <c r="B8" s="5" t="s">
        <v>63</v>
      </c>
      <c r="C8" s="5" t="s">
        <v>17</v>
      </c>
      <c r="D8" s="5"/>
      <c r="E8" s="5" t="s">
        <v>1572</v>
      </c>
      <c r="F8" s="5" t="s">
        <v>19</v>
      </c>
      <c r="G8" s="5">
        <v>0.3504</v>
      </c>
      <c r="H8" s="5" t="s">
        <v>17</v>
      </c>
      <c r="I8" s="5" t="s">
        <v>17</v>
      </c>
      <c r="J8" s="5" t="s">
        <v>1573</v>
      </c>
    </row>
    <row r="9" spans="1:10" x14ac:dyDescent="0.25">
      <c r="A9" s="5" t="s">
        <v>15</v>
      </c>
      <c r="B9" s="5" t="s">
        <v>63</v>
      </c>
      <c r="C9" s="5" t="s">
        <v>17</v>
      </c>
      <c r="D9" s="5"/>
      <c r="E9" s="5" t="s">
        <v>740</v>
      </c>
      <c r="F9" s="5" t="s">
        <v>19</v>
      </c>
      <c r="G9" s="5">
        <v>0</v>
      </c>
      <c r="H9" s="5" t="s">
        <v>17</v>
      </c>
      <c r="I9" s="5" t="s">
        <v>17</v>
      </c>
      <c r="J9" s="5" t="s">
        <v>741</v>
      </c>
    </row>
    <row r="10" spans="1:10" x14ac:dyDescent="0.25">
      <c r="A10" s="5" t="s">
        <v>15</v>
      </c>
      <c r="B10" s="5" t="s">
        <v>63</v>
      </c>
      <c r="C10" s="5" t="s">
        <v>17</v>
      </c>
      <c r="D10" s="5"/>
      <c r="E10" s="5" t="s">
        <v>1574</v>
      </c>
      <c r="F10" s="5" t="s">
        <v>19</v>
      </c>
      <c r="G10" s="5">
        <v>275.738</v>
      </c>
      <c r="H10" s="5" t="s">
        <v>17</v>
      </c>
      <c r="I10" s="5" t="s">
        <v>17</v>
      </c>
      <c r="J10" s="5" t="s">
        <v>1575</v>
      </c>
    </row>
    <row r="11" spans="1:10" x14ac:dyDescent="0.25">
      <c r="A11" s="5" t="s">
        <v>15</v>
      </c>
      <c r="B11" s="5" t="s">
        <v>63</v>
      </c>
      <c r="C11" s="5" t="s">
        <v>17</v>
      </c>
      <c r="D11" s="5"/>
      <c r="E11" s="5" t="s">
        <v>1576</v>
      </c>
      <c r="F11" s="5" t="s">
        <v>19</v>
      </c>
      <c r="G11" s="5">
        <v>0</v>
      </c>
      <c r="H11" s="5" t="s">
        <v>17</v>
      </c>
      <c r="I11" s="5" t="s">
        <v>17</v>
      </c>
      <c r="J11" s="5" t="s">
        <v>1577</v>
      </c>
    </row>
    <row r="12" spans="1:10" x14ac:dyDescent="0.25">
      <c r="A12" s="5" t="s">
        <v>15</v>
      </c>
      <c r="B12" s="5" t="s">
        <v>63</v>
      </c>
      <c r="C12" s="5" t="s">
        <v>17</v>
      </c>
      <c r="D12" s="5"/>
      <c r="E12" s="5" t="s">
        <v>1578</v>
      </c>
      <c r="F12" s="5" t="s">
        <v>19</v>
      </c>
      <c r="G12" s="5">
        <v>275.738</v>
      </c>
      <c r="H12" s="5" t="s">
        <v>17</v>
      </c>
      <c r="I12" s="5" t="s">
        <v>17</v>
      </c>
      <c r="J12" s="5" t="s">
        <v>747</v>
      </c>
    </row>
    <row r="13" spans="1:10" x14ac:dyDescent="0.25">
      <c r="A13" s="5" t="s">
        <v>19</v>
      </c>
      <c r="B13" s="5" t="s">
        <v>16</v>
      </c>
      <c r="C13" s="5" t="s">
        <v>17</v>
      </c>
      <c r="D13" s="5"/>
      <c r="E13" s="5" t="s">
        <v>728</v>
      </c>
      <c r="F13" s="5" t="s">
        <v>19</v>
      </c>
      <c r="G13" s="5" t="s">
        <v>31</v>
      </c>
      <c r="H13" s="5" t="s">
        <v>17</v>
      </c>
      <c r="I13" s="5" t="s">
        <v>17</v>
      </c>
      <c r="J13" s="5" t="s">
        <v>730</v>
      </c>
    </row>
    <row r="14" spans="1:10" x14ac:dyDescent="0.25">
      <c r="A14" s="5" t="s">
        <v>19</v>
      </c>
      <c r="B14" s="5" t="s">
        <v>16</v>
      </c>
      <c r="C14" s="5" t="s">
        <v>17</v>
      </c>
      <c r="D14" s="5"/>
      <c r="E14" s="5" t="s">
        <v>731</v>
      </c>
      <c r="F14" s="5" t="s">
        <v>19</v>
      </c>
      <c r="G14" s="5" t="s">
        <v>31</v>
      </c>
      <c r="H14" s="5" t="s">
        <v>17</v>
      </c>
      <c r="I14" s="5" t="s">
        <v>17</v>
      </c>
      <c r="J14" s="5" t="s">
        <v>733</v>
      </c>
    </row>
    <row r="15" spans="1:10" x14ac:dyDescent="0.25">
      <c r="A15" s="5" t="s">
        <v>19</v>
      </c>
      <c r="B15" s="5" t="s">
        <v>63</v>
      </c>
      <c r="C15" s="5" t="s">
        <v>17</v>
      </c>
      <c r="D15" s="5"/>
      <c r="E15" s="5" t="s">
        <v>736</v>
      </c>
      <c r="F15" s="5" t="s">
        <v>19</v>
      </c>
      <c r="G15" s="5">
        <v>1</v>
      </c>
      <c r="H15" s="5" t="s">
        <v>17</v>
      </c>
      <c r="I15" s="5" t="s">
        <v>17</v>
      </c>
      <c r="J15" s="5" t="s">
        <v>759</v>
      </c>
    </row>
    <row r="16" spans="1:10" x14ac:dyDescent="0.25">
      <c r="A16" s="5" t="s">
        <v>19</v>
      </c>
      <c r="B16" s="5" t="s">
        <v>63</v>
      </c>
      <c r="C16" s="5" t="s">
        <v>17</v>
      </c>
      <c r="D16" s="5"/>
      <c r="E16" s="5" t="s">
        <v>738</v>
      </c>
      <c r="F16" s="5" t="s">
        <v>19</v>
      </c>
      <c r="G16" s="5">
        <v>1</v>
      </c>
      <c r="H16" s="5" t="s">
        <v>17</v>
      </c>
      <c r="I16" s="5" t="s">
        <v>17</v>
      </c>
      <c r="J16" s="5" t="s">
        <v>760</v>
      </c>
    </row>
    <row r="17" spans="1:10" x14ac:dyDescent="0.25">
      <c r="A17" s="5" t="s">
        <v>19</v>
      </c>
      <c r="B17" s="5" t="s">
        <v>63</v>
      </c>
      <c r="C17" s="5" t="s">
        <v>17</v>
      </c>
      <c r="D17" s="5"/>
      <c r="E17" s="5" t="s">
        <v>751</v>
      </c>
      <c r="F17" s="5" t="s">
        <v>19</v>
      </c>
      <c r="G17" s="5">
        <v>1</v>
      </c>
      <c r="H17" s="5" t="s">
        <v>17</v>
      </c>
      <c r="I17" s="5" t="s">
        <v>17</v>
      </c>
      <c r="J17" s="5" t="s">
        <v>1579</v>
      </c>
    </row>
    <row r="18" spans="1:10" x14ac:dyDescent="0.25">
      <c r="A18" s="5" t="s">
        <v>19</v>
      </c>
      <c r="B18" s="5" t="s">
        <v>63</v>
      </c>
      <c r="C18" s="5" t="s">
        <v>17</v>
      </c>
      <c r="D18" s="5"/>
      <c r="E18" s="5" t="s">
        <v>753</v>
      </c>
      <c r="F18" s="5" t="s">
        <v>19</v>
      </c>
      <c r="G18" s="5">
        <v>1</v>
      </c>
      <c r="H18" s="5" t="s">
        <v>17</v>
      </c>
      <c r="I18" s="5" t="s">
        <v>17</v>
      </c>
      <c r="J18" s="5" t="s">
        <v>1580</v>
      </c>
    </row>
    <row r="19" spans="1:10" x14ac:dyDescent="0.25">
      <c r="A19" s="5" t="s">
        <v>19</v>
      </c>
      <c r="B19" s="5" t="s">
        <v>63</v>
      </c>
      <c r="C19" s="5" t="s">
        <v>17</v>
      </c>
      <c r="D19" s="5"/>
      <c r="E19" s="5" t="s">
        <v>755</v>
      </c>
      <c r="F19" s="5" t="s">
        <v>19</v>
      </c>
      <c r="G19" s="5">
        <v>1</v>
      </c>
      <c r="H19" s="5" t="s">
        <v>17</v>
      </c>
      <c r="I19" s="5" t="s">
        <v>17</v>
      </c>
      <c r="J19" s="5" t="s">
        <v>1581</v>
      </c>
    </row>
    <row r="20" spans="1:10" x14ac:dyDescent="0.25">
      <c r="A20" s="5" t="s">
        <v>19</v>
      </c>
      <c r="B20" s="5" t="s">
        <v>63</v>
      </c>
      <c r="C20" s="5" t="s">
        <v>17</v>
      </c>
      <c r="D20" s="5"/>
      <c r="E20" s="5" t="s">
        <v>757</v>
      </c>
      <c r="F20" s="5" t="s">
        <v>19</v>
      </c>
      <c r="G20" s="5">
        <v>1</v>
      </c>
      <c r="H20" s="5" t="s">
        <v>17</v>
      </c>
      <c r="I20" s="5" t="s">
        <v>17</v>
      </c>
      <c r="J20" s="5" t="s">
        <v>1582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3507</v>
      </c>
      <c r="B1" s="1"/>
      <c r="C1" s="1"/>
      <c r="D1" s="1"/>
      <c r="E1" s="1"/>
      <c r="F1" s="1"/>
      <c r="G1" s="1"/>
      <c r="H1" s="1"/>
      <c r="I1" s="1"/>
      <c r="J1" s="1"/>
    </row>
    <row r="2" spans="1:10" x14ac:dyDescent="0.25">
      <c r="A2" s="2" t="s">
        <v>1</v>
      </c>
      <c r="B2" s="3" t="s">
        <v>3751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3510</v>
      </c>
      <c r="F5" s="5" t="s">
        <v>19</v>
      </c>
      <c r="G5" s="5" t="s">
        <v>1669</v>
      </c>
      <c r="H5" s="5" t="s">
        <v>17</v>
      </c>
      <c r="I5" s="5" t="s">
        <v>17</v>
      </c>
      <c r="J5" s="5" t="s">
        <v>1894</v>
      </c>
    </row>
    <row r="6" spans="1:10" x14ac:dyDescent="0.25">
      <c r="A6" s="5" t="s">
        <v>19</v>
      </c>
      <c r="B6" s="5" t="s">
        <v>63</v>
      </c>
      <c r="C6" s="5" t="s">
        <v>17</v>
      </c>
      <c r="D6" s="5"/>
      <c r="E6" s="5" t="s">
        <v>3511</v>
      </c>
      <c r="F6" s="5" t="s">
        <v>19</v>
      </c>
      <c r="G6" s="5">
        <v>90</v>
      </c>
      <c r="H6" s="5" t="s">
        <v>17</v>
      </c>
      <c r="I6" s="5" t="s">
        <v>17</v>
      </c>
      <c r="J6" s="5" t="s">
        <v>3512</v>
      </c>
    </row>
    <row r="7" spans="1:10" x14ac:dyDescent="0.25">
      <c r="A7" s="5" t="s">
        <v>19</v>
      </c>
      <c r="B7" s="5" t="s">
        <v>63</v>
      </c>
      <c r="C7" s="5" t="s">
        <v>17</v>
      </c>
      <c r="D7" s="5"/>
      <c r="E7" s="5" t="s">
        <v>3513</v>
      </c>
      <c r="F7" s="5" t="s">
        <v>19</v>
      </c>
      <c r="G7" s="5">
        <v>10</v>
      </c>
      <c r="H7" s="5" t="s">
        <v>17</v>
      </c>
      <c r="I7" s="5" t="s">
        <v>17</v>
      </c>
      <c r="J7" s="5" t="s">
        <v>3514</v>
      </c>
    </row>
    <row r="8" spans="1:10" x14ac:dyDescent="0.25">
      <c r="A8" s="5" t="s">
        <v>19</v>
      </c>
      <c r="B8" s="5" t="s">
        <v>63</v>
      </c>
      <c r="C8" s="5" t="s">
        <v>17</v>
      </c>
      <c r="D8" s="5"/>
      <c r="E8" s="5" t="s">
        <v>3515</v>
      </c>
      <c r="F8" s="5" t="s">
        <v>19</v>
      </c>
      <c r="G8" s="5">
        <v>500</v>
      </c>
      <c r="H8" s="5" t="s">
        <v>17</v>
      </c>
      <c r="I8" s="5" t="s">
        <v>17</v>
      </c>
      <c r="J8" s="5" t="s">
        <v>3516</v>
      </c>
    </row>
    <row r="9" spans="1:10" x14ac:dyDescent="0.25">
      <c r="A9" s="5" t="s">
        <v>19</v>
      </c>
      <c r="B9" s="5" t="s">
        <v>63</v>
      </c>
      <c r="C9" s="5" t="s">
        <v>17</v>
      </c>
      <c r="D9" s="5"/>
      <c r="E9" s="5" t="s">
        <v>3517</v>
      </c>
      <c r="F9" s="5" t="s">
        <v>19</v>
      </c>
      <c r="G9" s="5">
        <v>0.8</v>
      </c>
      <c r="H9" s="5" t="s">
        <v>17</v>
      </c>
      <c r="I9" s="5" t="s">
        <v>17</v>
      </c>
      <c r="J9" s="5" t="s">
        <v>3518</v>
      </c>
    </row>
    <row r="10" spans="1:10" x14ac:dyDescent="0.25">
      <c r="A10" s="5" t="s">
        <v>19</v>
      </c>
      <c r="B10" s="5" t="s">
        <v>63</v>
      </c>
      <c r="C10" s="5" t="s">
        <v>17</v>
      </c>
      <c r="D10" s="5"/>
      <c r="E10" s="5" t="s">
        <v>3519</v>
      </c>
      <c r="F10" s="5" t="s">
        <v>19</v>
      </c>
      <c r="G10" s="5">
        <v>100</v>
      </c>
      <c r="H10" s="5" t="s">
        <v>17</v>
      </c>
      <c r="I10" s="5" t="s">
        <v>17</v>
      </c>
      <c r="J10" s="5" t="s">
        <v>1900</v>
      </c>
    </row>
    <row r="11" spans="1:10" x14ac:dyDescent="0.25">
      <c r="A11" s="5" t="s">
        <v>19</v>
      </c>
      <c r="B11" s="5" t="s">
        <v>63</v>
      </c>
      <c r="C11" s="5" t="s">
        <v>17</v>
      </c>
      <c r="D11" s="5"/>
      <c r="E11" s="5" t="s">
        <v>3520</v>
      </c>
      <c r="F11" s="5" t="s">
        <v>19</v>
      </c>
      <c r="G11" s="5">
        <v>0</v>
      </c>
      <c r="H11" s="5" t="s">
        <v>17</v>
      </c>
      <c r="I11" s="5" t="s">
        <v>17</v>
      </c>
      <c r="J11" s="5" t="s">
        <v>3521</v>
      </c>
    </row>
    <row r="12" spans="1:10" x14ac:dyDescent="0.25">
      <c r="A12" s="5" t="s">
        <v>19</v>
      </c>
      <c r="B12" s="5" t="s">
        <v>63</v>
      </c>
      <c r="C12" s="5" t="s">
        <v>17</v>
      </c>
      <c r="D12" s="5"/>
      <c r="E12" s="5" t="s">
        <v>3522</v>
      </c>
      <c r="F12" s="5" t="s">
        <v>19</v>
      </c>
      <c r="G12" s="5">
        <v>30</v>
      </c>
      <c r="H12" s="5" t="s">
        <v>17</v>
      </c>
      <c r="I12" s="5" t="s">
        <v>17</v>
      </c>
      <c r="J12" s="5" t="s">
        <v>3523</v>
      </c>
    </row>
    <row r="13" spans="1:10" x14ac:dyDescent="0.25">
      <c r="A13" s="5" t="s">
        <v>19</v>
      </c>
      <c r="B13" s="5" t="s">
        <v>159</v>
      </c>
      <c r="C13" s="5" t="s">
        <v>17</v>
      </c>
      <c r="D13" s="5"/>
      <c r="E13" s="5" t="s">
        <v>3524</v>
      </c>
      <c r="F13" s="5" t="s">
        <v>19</v>
      </c>
      <c r="G13" s="5" t="b">
        <v>1</v>
      </c>
      <c r="H13" s="5" t="s">
        <v>17</v>
      </c>
      <c r="I13" s="5" t="s">
        <v>17</v>
      </c>
      <c r="J13" s="5" t="s">
        <v>3525</v>
      </c>
    </row>
    <row r="14" spans="1:10" x14ac:dyDescent="0.25">
      <c r="A14" s="5" t="s">
        <v>19</v>
      </c>
      <c r="B14" s="5" t="s">
        <v>159</v>
      </c>
      <c r="C14" s="5" t="s">
        <v>17</v>
      </c>
      <c r="D14" s="5"/>
      <c r="E14" s="5" t="s">
        <v>3526</v>
      </c>
      <c r="F14" s="5" t="s">
        <v>19</v>
      </c>
      <c r="G14" s="5" t="b">
        <v>1</v>
      </c>
      <c r="H14" s="5" t="s">
        <v>17</v>
      </c>
      <c r="I14" s="5" t="s">
        <v>17</v>
      </c>
      <c r="J14" s="5" t="s">
        <v>3527</v>
      </c>
    </row>
    <row r="15" spans="1:10" x14ac:dyDescent="0.25">
      <c r="A15" s="5" t="s">
        <v>19</v>
      </c>
      <c r="B15" s="5" t="s">
        <v>16</v>
      </c>
      <c r="C15" s="5" t="s">
        <v>17</v>
      </c>
      <c r="D15" s="5"/>
      <c r="E15" s="5" t="s">
        <v>3528</v>
      </c>
      <c r="F15" s="5" t="s">
        <v>19</v>
      </c>
      <c r="G15" s="5" t="s">
        <v>31</v>
      </c>
      <c r="H15" s="5" t="s">
        <v>17</v>
      </c>
      <c r="I15" s="5" t="s">
        <v>17</v>
      </c>
      <c r="J15" s="5" t="s">
        <v>3529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3752</v>
      </c>
      <c r="B1" s="1"/>
      <c r="C1" s="1"/>
      <c r="D1" s="1"/>
      <c r="E1" s="1"/>
      <c r="F1" s="1"/>
      <c r="G1" s="1"/>
      <c r="H1" s="1"/>
      <c r="I1" s="1"/>
      <c r="J1" s="1"/>
    </row>
    <row r="2" spans="1:10" x14ac:dyDescent="0.25">
      <c r="A2" s="2" t="s">
        <v>1</v>
      </c>
      <c r="B2" s="3" t="s">
        <v>3753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649</v>
      </c>
      <c r="C5" s="5" t="s">
        <v>17</v>
      </c>
      <c r="D5" s="5"/>
      <c r="E5" s="5" t="s">
        <v>3187</v>
      </c>
      <c r="F5" s="5" t="s">
        <v>15</v>
      </c>
      <c r="G5" s="5" t="s">
        <v>17</v>
      </c>
      <c r="H5" s="5" t="s">
        <v>17</v>
      </c>
      <c r="I5" s="5" t="s">
        <v>17</v>
      </c>
      <c r="J5" s="5" t="s">
        <v>651</v>
      </c>
    </row>
    <row r="6" spans="1:10" x14ac:dyDescent="0.25" outlineLevel="1" collapsed="1">
      <c r="A6" s="7" t="s">
        <v>15</v>
      </c>
      <c r="B6" s="7" t="s">
        <v>16</v>
      </c>
      <c r="C6" s="7" t="s">
        <v>17</v>
      </c>
      <c r="D6" s="7"/>
      <c r="E6" s="7" t="s">
        <v>652</v>
      </c>
      <c r="F6" s="7" t="s">
        <v>19</v>
      </c>
      <c r="G6" s="7" t="s">
        <v>653</v>
      </c>
      <c r="H6" s="7" t="s">
        <v>17</v>
      </c>
      <c r="I6" s="7" t="s">
        <v>17</v>
      </c>
      <c r="J6" s="7" t="s">
        <v>654</v>
      </c>
    </row>
    <row r="7" spans="1:10" x14ac:dyDescent="0.25" outlineLevel="1" collapsed="1">
      <c r="A7" s="7" t="s">
        <v>15</v>
      </c>
      <c r="B7" s="7" t="s">
        <v>16</v>
      </c>
      <c r="C7" s="7" t="s">
        <v>17</v>
      </c>
      <c r="D7" s="7"/>
      <c r="E7" s="7" t="s">
        <v>655</v>
      </c>
      <c r="F7" s="7" t="s">
        <v>19</v>
      </c>
      <c r="G7" s="7" t="s">
        <v>656</v>
      </c>
      <c r="H7" s="7" t="s">
        <v>17</v>
      </c>
      <c r="I7" s="7" t="s">
        <v>17</v>
      </c>
      <c r="J7" s="7" t="s">
        <v>657</v>
      </c>
    </row>
    <row r="8" spans="1:10" x14ac:dyDescent="0.25">
      <c r="A8" s="5" t="s">
        <v>19</v>
      </c>
      <c r="B8" s="6" t="s">
        <v>649</v>
      </c>
      <c r="C8" s="5" t="s">
        <v>17</v>
      </c>
      <c r="D8" s="5"/>
      <c r="E8" s="5" t="s">
        <v>3188</v>
      </c>
      <c r="F8" s="5" t="s">
        <v>15</v>
      </c>
      <c r="G8" s="5" t="s">
        <v>17</v>
      </c>
      <c r="H8" s="5" t="s">
        <v>17</v>
      </c>
      <c r="I8" s="5" t="s">
        <v>17</v>
      </c>
      <c r="J8" s="5" t="s">
        <v>659</v>
      </c>
    </row>
    <row r="9" spans="1:10" x14ac:dyDescent="0.25" outlineLevel="1" collapsed="1">
      <c r="A9" s="7" t="s">
        <v>15</v>
      </c>
      <c r="B9" s="7" t="s">
        <v>16</v>
      </c>
      <c r="C9" s="7" t="s">
        <v>17</v>
      </c>
      <c r="D9" s="7"/>
      <c r="E9" s="7" t="s">
        <v>652</v>
      </c>
      <c r="F9" s="7" t="s">
        <v>19</v>
      </c>
      <c r="G9" s="7" t="s">
        <v>653</v>
      </c>
      <c r="H9" s="7" t="s">
        <v>17</v>
      </c>
      <c r="I9" s="7" t="s">
        <v>17</v>
      </c>
      <c r="J9" s="7" t="s">
        <v>654</v>
      </c>
    </row>
    <row r="10" spans="1:10" x14ac:dyDescent="0.25" outlineLevel="1" collapsed="1">
      <c r="A10" s="7" t="s">
        <v>15</v>
      </c>
      <c r="B10" s="7" t="s">
        <v>16</v>
      </c>
      <c r="C10" s="7" t="s">
        <v>17</v>
      </c>
      <c r="D10" s="7"/>
      <c r="E10" s="7" t="s">
        <v>655</v>
      </c>
      <c r="F10" s="7" t="s">
        <v>19</v>
      </c>
      <c r="G10" s="7" t="s">
        <v>656</v>
      </c>
      <c r="H10" s="7" t="s">
        <v>17</v>
      </c>
      <c r="I10" s="7" t="s">
        <v>17</v>
      </c>
      <c r="J10" s="7" t="s">
        <v>657</v>
      </c>
    </row>
  </sheetData>
  <mergeCells count="3">
    <mergeCell ref="A1:J1"/>
    <mergeCell ref="B2:J2"/>
    <mergeCell ref="B3:J3"/>
  </mergeCells>
  <hyperlinks>
    <hyperlink ref="B5" r:id="rId1" location="#'Safeguards assessment row item'!A1"/>
    <hyperlink ref="B8" r:id="rId2" location="#'Safeguards assessment row item'!A1"/>
  </hyperlinks>
  <pageMargins left="0.7" right="0.7" top="0.75" bottom="0.75" header="0.3" footer="0.3"/>
  <pageSetup orientation="portrait" horizontalDpi="4294967295" verticalDpi="4294967295" scale="100" fitToWidth="1" fitToHeight="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3754</v>
      </c>
      <c r="B1" s="1"/>
      <c r="C1" s="1"/>
      <c r="D1" s="1"/>
      <c r="E1" s="1"/>
      <c r="F1" s="1"/>
      <c r="G1" s="1"/>
      <c r="H1" s="1"/>
      <c r="I1" s="1"/>
      <c r="J1" s="1"/>
    </row>
    <row r="2" spans="1:10" x14ac:dyDescent="0.25">
      <c r="A2" s="2" t="s">
        <v>1</v>
      </c>
      <c r="B2" s="3" t="s">
        <v>3755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649</v>
      </c>
      <c r="C5" s="5" t="s">
        <v>17</v>
      </c>
      <c r="D5" s="5"/>
      <c r="E5" s="5" t="s">
        <v>650</v>
      </c>
      <c r="F5" s="5" t="s">
        <v>15</v>
      </c>
      <c r="G5" s="5" t="s">
        <v>17</v>
      </c>
      <c r="H5" s="5" t="s">
        <v>17</v>
      </c>
      <c r="I5" s="5" t="s">
        <v>17</v>
      </c>
      <c r="J5" s="5" t="s">
        <v>651</v>
      </c>
    </row>
    <row r="6" spans="1:10" x14ac:dyDescent="0.25" outlineLevel="1" collapsed="1">
      <c r="A6" s="7" t="s">
        <v>15</v>
      </c>
      <c r="B6" s="7" t="s">
        <v>16</v>
      </c>
      <c r="C6" s="7" t="s">
        <v>17</v>
      </c>
      <c r="D6" s="7"/>
      <c r="E6" s="7" t="s">
        <v>652</v>
      </c>
      <c r="F6" s="7" t="s">
        <v>19</v>
      </c>
      <c r="G6" s="7" t="s">
        <v>653</v>
      </c>
      <c r="H6" s="7" t="s">
        <v>17</v>
      </c>
      <c r="I6" s="7" t="s">
        <v>17</v>
      </c>
      <c r="J6" s="7" t="s">
        <v>654</v>
      </c>
    </row>
    <row r="7" spans="1:10" x14ac:dyDescent="0.25" outlineLevel="1" collapsed="1">
      <c r="A7" s="7" t="s">
        <v>15</v>
      </c>
      <c r="B7" s="7" t="s">
        <v>16</v>
      </c>
      <c r="C7" s="7" t="s">
        <v>17</v>
      </c>
      <c r="D7" s="7"/>
      <c r="E7" s="7" t="s">
        <v>655</v>
      </c>
      <c r="F7" s="7" t="s">
        <v>19</v>
      </c>
      <c r="G7" s="7" t="s">
        <v>656</v>
      </c>
      <c r="H7" s="7" t="s">
        <v>17</v>
      </c>
      <c r="I7" s="7" t="s">
        <v>17</v>
      </c>
      <c r="J7" s="7" t="s">
        <v>657</v>
      </c>
    </row>
    <row r="8" spans="1:10" x14ac:dyDescent="0.25">
      <c r="A8" s="5" t="s">
        <v>19</v>
      </c>
      <c r="B8" s="6" t="s">
        <v>649</v>
      </c>
      <c r="C8" s="5" t="s">
        <v>17</v>
      </c>
      <c r="D8" s="5"/>
      <c r="E8" s="5" t="s">
        <v>658</v>
      </c>
      <c r="F8" s="5" t="s">
        <v>15</v>
      </c>
      <c r="G8" s="5" t="s">
        <v>17</v>
      </c>
      <c r="H8" s="5" t="s">
        <v>17</v>
      </c>
      <c r="I8" s="5" t="s">
        <v>17</v>
      </c>
      <c r="J8" s="5" t="s">
        <v>659</v>
      </c>
    </row>
    <row r="9" spans="1:10" x14ac:dyDescent="0.25" outlineLevel="1" collapsed="1">
      <c r="A9" s="7" t="s">
        <v>15</v>
      </c>
      <c r="B9" s="7" t="s">
        <v>16</v>
      </c>
      <c r="C9" s="7" t="s">
        <v>17</v>
      </c>
      <c r="D9" s="7"/>
      <c r="E9" s="7" t="s">
        <v>652</v>
      </c>
      <c r="F9" s="7" t="s">
        <v>19</v>
      </c>
      <c r="G9" s="7" t="s">
        <v>653</v>
      </c>
      <c r="H9" s="7" t="s">
        <v>17</v>
      </c>
      <c r="I9" s="7" t="s">
        <v>17</v>
      </c>
      <c r="J9" s="7" t="s">
        <v>654</v>
      </c>
    </row>
    <row r="10" spans="1:10" x14ac:dyDescent="0.25" outlineLevel="1" collapsed="1">
      <c r="A10" s="7" t="s">
        <v>15</v>
      </c>
      <c r="B10" s="7" t="s">
        <v>16</v>
      </c>
      <c r="C10" s="7" t="s">
        <v>17</v>
      </c>
      <c r="D10" s="7"/>
      <c r="E10" s="7" t="s">
        <v>655</v>
      </c>
      <c r="F10" s="7" t="s">
        <v>19</v>
      </c>
      <c r="G10" s="7" t="s">
        <v>656</v>
      </c>
      <c r="H10" s="7" t="s">
        <v>17</v>
      </c>
      <c r="I10" s="7" t="s">
        <v>17</v>
      </c>
      <c r="J10" s="7" t="s">
        <v>657</v>
      </c>
    </row>
  </sheetData>
  <mergeCells count="3">
    <mergeCell ref="A1:J1"/>
    <mergeCell ref="B2:J2"/>
    <mergeCell ref="B3:J3"/>
  </mergeCells>
  <hyperlinks>
    <hyperlink ref="B5" r:id="rId1" location="#'Safeguards assessment row item'!A1"/>
    <hyperlink ref="B8" r:id="rId2" location="#'Safeguards assessment row item'!A1"/>
  </hyperlinks>
  <pageMargins left="0.7" right="0.7" top="0.75" bottom="0.75" header="0.3" footer="0.3"/>
  <pageSetup orientation="portrait" horizontalDpi="4294967295" verticalDpi="4294967295" scale="100" fitToWidth="1" fitToHeight="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3756</v>
      </c>
      <c r="B1" s="1"/>
      <c r="C1" s="1"/>
      <c r="D1" s="1"/>
      <c r="E1" s="1"/>
      <c r="F1" s="1"/>
      <c r="G1" s="1"/>
      <c r="H1" s="1"/>
      <c r="I1" s="1"/>
      <c r="J1" s="1"/>
    </row>
    <row r="2" spans="1:10" x14ac:dyDescent="0.25">
      <c r="A2" s="2" t="s">
        <v>1</v>
      </c>
      <c r="B2" s="3" t="s">
        <v>3757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159</v>
      </c>
      <c r="C5" s="5" t="s">
        <v>17</v>
      </c>
      <c r="D5" s="5"/>
      <c r="E5" s="5" t="s">
        <v>2995</v>
      </c>
      <c r="F5" s="5" t="s">
        <v>19</v>
      </c>
      <c r="G5" s="5" t="b">
        <v>1</v>
      </c>
      <c r="H5" s="5" t="s">
        <v>17</v>
      </c>
      <c r="I5" s="5" t="s">
        <v>17</v>
      </c>
      <c r="J5" s="5" t="s">
        <v>2996</v>
      </c>
    </row>
    <row r="6" spans="1:10" x14ac:dyDescent="0.25">
      <c r="A6" s="5" t="s">
        <v>19</v>
      </c>
      <c r="B6" s="5" t="s">
        <v>159</v>
      </c>
      <c r="C6" s="5" t="s">
        <v>17</v>
      </c>
      <c r="D6" s="5"/>
      <c r="E6" s="5" t="s">
        <v>2997</v>
      </c>
      <c r="F6" s="5" t="s">
        <v>19</v>
      </c>
      <c r="G6" s="5" t="b">
        <v>1</v>
      </c>
      <c r="H6" s="5" t="s">
        <v>17</v>
      </c>
      <c r="I6" s="5" t="s">
        <v>17</v>
      </c>
      <c r="J6" s="5" t="s">
        <v>2998</v>
      </c>
    </row>
    <row r="7" spans="1:10" x14ac:dyDescent="0.25">
      <c r="A7" s="5" t="s">
        <v>19</v>
      </c>
      <c r="B7" s="5" t="s">
        <v>159</v>
      </c>
      <c r="C7" s="5" t="s">
        <v>17</v>
      </c>
      <c r="D7" s="5"/>
      <c r="E7" s="5" t="s">
        <v>2999</v>
      </c>
      <c r="F7" s="5" t="s">
        <v>19</v>
      </c>
      <c r="G7" s="5" t="b">
        <v>1</v>
      </c>
      <c r="H7" s="5" t="s">
        <v>17</v>
      </c>
      <c r="I7" s="5" t="s">
        <v>17</v>
      </c>
      <c r="J7" s="5" t="s">
        <v>3000</v>
      </c>
    </row>
    <row r="8" spans="1:10" x14ac:dyDescent="0.25">
      <c r="A8" s="5" t="s">
        <v>15</v>
      </c>
      <c r="B8" s="5" t="s">
        <v>16</v>
      </c>
      <c r="C8" s="5" t="s">
        <v>17</v>
      </c>
      <c r="D8" s="5"/>
      <c r="E8" s="5" t="s">
        <v>3001</v>
      </c>
      <c r="F8" s="5" t="s">
        <v>19</v>
      </c>
      <c r="G8" s="5" t="s">
        <v>31</v>
      </c>
      <c r="H8" s="5" t="s">
        <v>17</v>
      </c>
      <c r="I8" s="5" t="s">
        <v>17</v>
      </c>
      <c r="J8" s="5" t="s">
        <v>494</v>
      </c>
    </row>
    <row r="9" spans="1:10" x14ac:dyDescent="0.25">
      <c r="A9" s="5" t="s">
        <v>15</v>
      </c>
      <c r="B9" s="5" t="s">
        <v>16</v>
      </c>
      <c r="C9" s="5" t="s">
        <v>17</v>
      </c>
      <c r="D9" s="5"/>
      <c r="E9" s="5" t="s">
        <v>3002</v>
      </c>
      <c r="F9" s="5" t="s">
        <v>19</v>
      </c>
      <c r="G9" s="5" t="s">
        <v>31</v>
      </c>
      <c r="H9" s="5" t="s">
        <v>17</v>
      </c>
      <c r="I9" s="5" t="s">
        <v>17</v>
      </c>
      <c r="J9"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3758</v>
      </c>
      <c r="B1" s="1"/>
      <c r="C1" s="1"/>
      <c r="D1" s="1"/>
      <c r="E1" s="1"/>
      <c r="F1" s="1"/>
      <c r="G1" s="1"/>
      <c r="H1" s="1"/>
      <c r="I1" s="1"/>
      <c r="J1" s="1"/>
    </row>
    <row r="2" spans="1:10" x14ac:dyDescent="0.25">
      <c r="A2" s="2" t="s">
        <v>1</v>
      </c>
      <c r="B2" s="3" t="s">
        <v>3759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3006</v>
      </c>
      <c r="F5" s="5" t="s">
        <v>19</v>
      </c>
      <c r="G5" s="5" t="s">
        <v>31</v>
      </c>
      <c r="H5" s="5" t="s">
        <v>17</v>
      </c>
      <c r="I5" s="5" t="s">
        <v>17</v>
      </c>
      <c r="J5" s="5" t="s">
        <v>494</v>
      </c>
    </row>
    <row r="6" spans="1:10" x14ac:dyDescent="0.25">
      <c r="A6" s="5" t="s">
        <v>15</v>
      </c>
      <c r="B6" s="5" t="s">
        <v>16</v>
      </c>
      <c r="C6" s="5" t="s">
        <v>17</v>
      </c>
      <c r="D6" s="5"/>
      <c r="E6" s="5" t="s">
        <v>3007</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3760</v>
      </c>
      <c r="B1" s="1"/>
      <c r="C1" s="1"/>
      <c r="D1" s="1"/>
      <c r="E1" s="1"/>
      <c r="F1" s="1"/>
      <c r="G1" s="1"/>
      <c r="H1" s="1"/>
      <c r="I1" s="1"/>
      <c r="J1" s="1"/>
    </row>
    <row r="2" spans="1:10" x14ac:dyDescent="0.25">
      <c r="A2" s="2" t="s">
        <v>1</v>
      </c>
      <c r="B2" s="3" t="s">
        <v>3761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159</v>
      </c>
      <c r="C5" s="5" t="s">
        <v>17</v>
      </c>
      <c r="D5" s="5"/>
      <c r="E5" s="5" t="s">
        <v>3011</v>
      </c>
      <c r="F5" s="5" t="s">
        <v>19</v>
      </c>
      <c r="G5" s="5" t="b">
        <v>1</v>
      </c>
      <c r="H5" s="5" t="s">
        <v>17</v>
      </c>
      <c r="I5" s="5" t="s">
        <v>17</v>
      </c>
      <c r="J5" s="5" t="s">
        <v>2996</v>
      </c>
    </row>
    <row r="6" spans="1:10" x14ac:dyDescent="0.25">
      <c r="A6" s="5" t="s">
        <v>19</v>
      </c>
      <c r="B6" s="5" t="s">
        <v>159</v>
      </c>
      <c r="C6" s="5" t="s">
        <v>17</v>
      </c>
      <c r="D6" s="5"/>
      <c r="E6" s="5" t="s">
        <v>3012</v>
      </c>
      <c r="F6" s="5" t="s">
        <v>19</v>
      </c>
      <c r="G6" s="5" t="b">
        <v>1</v>
      </c>
      <c r="H6" s="5" t="s">
        <v>17</v>
      </c>
      <c r="I6" s="5" t="s">
        <v>17</v>
      </c>
      <c r="J6" s="5" t="s">
        <v>2998</v>
      </c>
    </row>
    <row r="7" spans="1:10" x14ac:dyDescent="0.25">
      <c r="A7" s="5" t="s">
        <v>19</v>
      </c>
      <c r="B7" s="5" t="s">
        <v>159</v>
      </c>
      <c r="C7" s="5" t="s">
        <v>17</v>
      </c>
      <c r="D7" s="5"/>
      <c r="E7" s="5" t="s">
        <v>3013</v>
      </c>
      <c r="F7" s="5" t="s">
        <v>19</v>
      </c>
      <c r="G7" s="5" t="b">
        <v>1</v>
      </c>
      <c r="H7" s="5" t="s">
        <v>17</v>
      </c>
      <c r="I7" s="5" t="s">
        <v>17</v>
      </c>
      <c r="J7" s="5" t="s">
        <v>3000</v>
      </c>
    </row>
    <row r="8" spans="1:10" x14ac:dyDescent="0.25">
      <c r="A8" s="5" t="s">
        <v>19</v>
      </c>
      <c r="B8" s="5" t="s">
        <v>159</v>
      </c>
      <c r="C8" s="5" t="s">
        <v>17</v>
      </c>
      <c r="D8" s="5"/>
      <c r="E8" s="5" t="s">
        <v>3014</v>
      </c>
      <c r="F8" s="5" t="s">
        <v>19</v>
      </c>
      <c r="G8" s="5" t="b">
        <v>1</v>
      </c>
      <c r="H8" s="5" t="s">
        <v>17</v>
      </c>
      <c r="I8" s="5" t="s">
        <v>17</v>
      </c>
      <c r="J8" s="5" t="s">
        <v>3015</v>
      </c>
    </row>
    <row r="9" spans="1:10" x14ac:dyDescent="0.25">
      <c r="A9" s="5" t="s">
        <v>15</v>
      </c>
      <c r="B9" s="5" t="s">
        <v>16</v>
      </c>
      <c r="C9" s="5" t="s">
        <v>17</v>
      </c>
      <c r="D9" s="5"/>
      <c r="E9" s="5" t="s">
        <v>3016</v>
      </c>
      <c r="F9" s="5" t="s">
        <v>19</v>
      </c>
      <c r="G9" s="5" t="s">
        <v>31</v>
      </c>
      <c r="H9" s="5" t="s">
        <v>17</v>
      </c>
      <c r="I9" s="5" t="s">
        <v>17</v>
      </c>
      <c r="J9" s="5" t="s">
        <v>494</v>
      </c>
    </row>
    <row r="10" spans="1:10" x14ac:dyDescent="0.25">
      <c r="A10" s="5" t="s">
        <v>15</v>
      </c>
      <c r="B10" s="5" t="s">
        <v>16</v>
      </c>
      <c r="C10" s="5" t="s">
        <v>17</v>
      </c>
      <c r="D10" s="5"/>
      <c r="E10" s="5" t="s">
        <v>3017</v>
      </c>
      <c r="F10" s="5" t="s">
        <v>19</v>
      </c>
      <c r="G10" s="5" t="s">
        <v>31</v>
      </c>
      <c r="H10" s="5" t="s">
        <v>17</v>
      </c>
      <c r="I10" s="5" t="s">
        <v>17</v>
      </c>
      <c r="J10"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3762</v>
      </c>
      <c r="B1" s="1"/>
      <c r="C1" s="1"/>
      <c r="D1" s="1"/>
      <c r="E1" s="1"/>
      <c r="F1" s="1"/>
      <c r="G1" s="1"/>
      <c r="H1" s="1"/>
      <c r="I1" s="1"/>
      <c r="J1" s="1"/>
    </row>
    <row r="2" spans="1:10" x14ac:dyDescent="0.25">
      <c r="A2" s="2" t="s">
        <v>1</v>
      </c>
      <c r="B2" s="3" t="s">
        <v>3763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3020</v>
      </c>
      <c r="F5" s="5" t="s">
        <v>19</v>
      </c>
      <c r="G5" s="5" t="s">
        <v>31</v>
      </c>
      <c r="H5" s="5" t="s">
        <v>17</v>
      </c>
      <c r="I5" s="5" t="s">
        <v>17</v>
      </c>
      <c r="J5" s="5" t="s">
        <v>494</v>
      </c>
    </row>
    <row r="6" spans="1:10" x14ac:dyDescent="0.25">
      <c r="A6" s="5" t="s">
        <v>15</v>
      </c>
      <c r="B6" s="5" t="s">
        <v>16</v>
      </c>
      <c r="C6" s="5" t="s">
        <v>17</v>
      </c>
      <c r="D6" s="5"/>
      <c r="E6" s="5" t="s">
        <v>3021</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3764</v>
      </c>
      <c r="B1" s="1"/>
      <c r="C1" s="1"/>
      <c r="D1" s="1"/>
      <c r="E1" s="1"/>
      <c r="F1" s="1"/>
      <c r="G1" s="1"/>
      <c r="H1" s="1"/>
      <c r="I1" s="1"/>
      <c r="J1" s="1"/>
    </row>
    <row r="2" spans="1:10" x14ac:dyDescent="0.25">
      <c r="A2" s="2" t="s">
        <v>1</v>
      </c>
      <c r="B2" s="3" t="s">
        <v>3765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3042</v>
      </c>
      <c r="F5" s="5" t="s">
        <v>19</v>
      </c>
      <c r="G5" s="5" t="s">
        <v>31</v>
      </c>
      <c r="H5" s="5" t="s">
        <v>17</v>
      </c>
      <c r="I5" s="5" t="s">
        <v>17</v>
      </c>
      <c r="J5" s="5" t="s">
        <v>494</v>
      </c>
    </row>
    <row r="6" spans="1:10" x14ac:dyDescent="0.25">
      <c r="A6" s="5" t="s">
        <v>15</v>
      </c>
      <c r="B6" s="5" t="s">
        <v>16</v>
      </c>
      <c r="C6" s="5" t="s">
        <v>17</v>
      </c>
      <c r="D6" s="5"/>
      <c r="E6" s="5" t="s">
        <v>3043</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3766</v>
      </c>
      <c r="B1" s="1"/>
      <c r="C1" s="1"/>
      <c r="D1" s="1"/>
      <c r="E1" s="1"/>
      <c r="F1" s="1"/>
      <c r="G1" s="1"/>
      <c r="H1" s="1"/>
      <c r="I1" s="1"/>
      <c r="J1" s="1"/>
    </row>
    <row r="2" spans="1:10" x14ac:dyDescent="0.25">
      <c r="A2" s="2" t="s">
        <v>1</v>
      </c>
      <c r="B2" s="3" t="s">
        <v>3767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3047</v>
      </c>
      <c r="F5" s="5" t="s">
        <v>19</v>
      </c>
      <c r="G5" s="5" t="s">
        <v>31</v>
      </c>
      <c r="H5" s="5" t="s">
        <v>17</v>
      </c>
      <c r="I5" s="5" t="s">
        <v>17</v>
      </c>
      <c r="J5" s="5" t="s">
        <v>494</v>
      </c>
    </row>
    <row r="6" spans="1:10" x14ac:dyDescent="0.25">
      <c r="A6" s="5" t="s">
        <v>15</v>
      </c>
      <c r="B6" s="5" t="s">
        <v>16</v>
      </c>
      <c r="C6" s="5" t="s">
        <v>17</v>
      </c>
      <c r="D6" s="5"/>
      <c r="E6" s="5" t="s">
        <v>3048</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3768</v>
      </c>
      <c r="B1" s="1"/>
      <c r="C1" s="1"/>
      <c r="D1" s="1"/>
      <c r="E1" s="1"/>
      <c r="F1" s="1"/>
      <c r="G1" s="1"/>
      <c r="H1" s="1"/>
      <c r="I1" s="1"/>
      <c r="J1" s="1"/>
    </row>
    <row r="2" spans="1:10" x14ac:dyDescent="0.25">
      <c r="A2" s="2" t="s">
        <v>1</v>
      </c>
      <c r="B2" s="3" t="s">
        <v>3769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3052</v>
      </c>
      <c r="F5" s="5" t="s">
        <v>19</v>
      </c>
      <c r="G5" s="5" t="s">
        <v>31</v>
      </c>
      <c r="H5" s="5" t="s">
        <v>17</v>
      </c>
      <c r="I5" s="5" t="s">
        <v>17</v>
      </c>
      <c r="J5" s="5" t="s">
        <v>494</v>
      </c>
    </row>
    <row r="6" spans="1:10" x14ac:dyDescent="0.25">
      <c r="A6" s="5" t="s">
        <v>15</v>
      </c>
      <c r="B6" s="5" t="s">
        <v>16</v>
      </c>
      <c r="C6" s="5" t="s">
        <v>17</v>
      </c>
      <c r="D6" s="5"/>
      <c r="E6" s="5" t="s">
        <v>3053</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3770</v>
      </c>
      <c r="B1" s="1"/>
      <c r="C1" s="1"/>
      <c r="D1" s="1"/>
      <c r="E1" s="1"/>
      <c r="F1" s="1"/>
      <c r="G1" s="1"/>
      <c r="H1" s="1"/>
      <c r="I1" s="1"/>
      <c r="J1" s="1"/>
    </row>
    <row r="2" spans="1:10" x14ac:dyDescent="0.25">
      <c r="A2" s="2" t="s">
        <v>1</v>
      </c>
      <c r="B2" s="3" t="s">
        <v>3771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3059</v>
      </c>
      <c r="F5" s="5" t="s">
        <v>19</v>
      </c>
      <c r="G5" s="5" t="s">
        <v>31</v>
      </c>
      <c r="H5" s="5" t="s">
        <v>17</v>
      </c>
      <c r="I5" s="5" t="s">
        <v>17</v>
      </c>
      <c r="J5" s="5" t="s">
        <v>494</v>
      </c>
    </row>
    <row r="6" spans="1:10" x14ac:dyDescent="0.25">
      <c r="A6" s="5" t="s">
        <v>15</v>
      </c>
      <c r="B6" s="5" t="s">
        <v>16</v>
      </c>
      <c r="C6" s="5" t="s">
        <v>17</v>
      </c>
      <c r="D6" s="5"/>
      <c r="E6" s="5" t="s">
        <v>3060</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3772</v>
      </c>
      <c r="B1" s="1"/>
      <c r="C1" s="1"/>
      <c r="D1" s="1"/>
      <c r="E1" s="1"/>
      <c r="F1" s="1"/>
      <c r="G1" s="1"/>
      <c r="H1" s="1"/>
      <c r="I1" s="1"/>
      <c r="J1" s="1"/>
    </row>
    <row r="2" spans="1:10" x14ac:dyDescent="0.25">
      <c r="A2" s="2" t="s">
        <v>1</v>
      </c>
      <c r="B2" s="3" t="s">
        <v>3773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3064</v>
      </c>
      <c r="F5" s="5" t="s">
        <v>19</v>
      </c>
      <c r="G5" s="5" t="s">
        <v>31</v>
      </c>
      <c r="H5" s="5" t="s">
        <v>17</v>
      </c>
      <c r="I5" s="5" t="s">
        <v>17</v>
      </c>
      <c r="J5" s="5" t="s">
        <v>494</v>
      </c>
    </row>
    <row r="6" spans="1:10" x14ac:dyDescent="0.25">
      <c r="A6" s="5" t="s">
        <v>15</v>
      </c>
      <c r="B6" s="5" t="s">
        <v>16</v>
      </c>
      <c r="C6" s="5" t="s">
        <v>17</v>
      </c>
      <c r="D6" s="5"/>
      <c r="E6" s="5" t="s">
        <v>3065</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3774</v>
      </c>
      <c r="B1" s="1"/>
      <c r="C1" s="1"/>
      <c r="D1" s="1"/>
      <c r="E1" s="1"/>
      <c r="F1" s="1"/>
      <c r="G1" s="1"/>
      <c r="H1" s="1"/>
      <c r="I1" s="1"/>
      <c r="J1" s="1"/>
    </row>
    <row r="2" spans="1:10" x14ac:dyDescent="0.25">
      <c r="A2" s="2" t="s">
        <v>1</v>
      </c>
      <c r="B2" s="3" t="s">
        <v>3775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3068</v>
      </c>
      <c r="F5" s="5" t="s">
        <v>19</v>
      </c>
      <c r="G5" s="5" t="s">
        <v>31</v>
      </c>
      <c r="H5" s="5" t="s">
        <v>17</v>
      </c>
      <c r="I5" s="5" t="s">
        <v>17</v>
      </c>
      <c r="J5" s="5" t="s">
        <v>494</v>
      </c>
    </row>
    <row r="6" spans="1:10" x14ac:dyDescent="0.25">
      <c r="A6" s="5" t="s">
        <v>15</v>
      </c>
      <c r="B6" s="5" t="s">
        <v>16</v>
      </c>
      <c r="C6" s="5" t="s">
        <v>17</v>
      </c>
      <c r="D6" s="5"/>
      <c r="E6" s="5" t="s">
        <v>3069</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3776</v>
      </c>
      <c r="B1" s="1"/>
      <c r="C1" s="1"/>
      <c r="D1" s="1"/>
      <c r="E1" s="1"/>
      <c r="F1" s="1"/>
      <c r="G1" s="1"/>
      <c r="H1" s="1"/>
      <c r="I1" s="1"/>
      <c r="J1" s="1"/>
    </row>
    <row r="2" spans="1:10" x14ac:dyDescent="0.25">
      <c r="A2" s="2" t="s">
        <v>1</v>
      </c>
      <c r="B2" s="3" t="s">
        <v>3777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3075</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3778</v>
      </c>
      <c r="B1" s="1"/>
      <c r="C1" s="1"/>
      <c r="D1" s="1"/>
      <c r="E1" s="1"/>
      <c r="F1" s="1"/>
      <c r="G1" s="1"/>
      <c r="H1" s="1"/>
      <c r="I1" s="1"/>
      <c r="J1" s="1"/>
    </row>
    <row r="2" spans="1:10" x14ac:dyDescent="0.25">
      <c r="A2" s="2" t="s">
        <v>1</v>
      </c>
      <c r="B2" s="3" t="s">
        <v>3779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3077</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3780</v>
      </c>
      <c r="B1" s="1"/>
      <c r="C1" s="1"/>
      <c r="D1" s="1"/>
      <c r="E1" s="1"/>
      <c r="F1" s="1"/>
      <c r="G1" s="1"/>
      <c r="H1" s="1"/>
      <c r="I1" s="1"/>
      <c r="J1" s="1"/>
    </row>
    <row r="2" spans="1:10" x14ac:dyDescent="0.25">
      <c r="A2" s="2" t="s">
        <v>1</v>
      </c>
      <c r="B2" s="3" t="s">
        <v>3781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3080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3782</v>
      </c>
      <c r="B1" s="1"/>
      <c r="C1" s="1"/>
      <c r="D1" s="1"/>
      <c r="E1" s="1"/>
      <c r="F1" s="1"/>
      <c r="G1" s="1"/>
      <c r="H1" s="1"/>
      <c r="I1" s="1"/>
      <c r="J1" s="1"/>
    </row>
    <row r="2" spans="1:10" x14ac:dyDescent="0.25">
      <c r="A2" s="2" t="s">
        <v>1</v>
      </c>
      <c r="B2" s="3" t="s">
        <v>3783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3108</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3784</v>
      </c>
      <c r="B1" s="1"/>
      <c r="C1" s="1"/>
      <c r="D1" s="1"/>
      <c r="E1" s="1"/>
      <c r="F1" s="1"/>
      <c r="G1" s="1"/>
      <c r="H1" s="1"/>
      <c r="I1" s="1"/>
      <c r="J1" s="1"/>
    </row>
    <row r="2" spans="1:10" x14ac:dyDescent="0.25">
      <c r="A2" s="2" t="s">
        <v>1</v>
      </c>
      <c r="B2" s="3" t="s">
        <v>3785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3113</v>
      </c>
      <c r="F5" s="5" t="s">
        <v>19</v>
      </c>
      <c r="G5" s="5" t="s">
        <v>3114</v>
      </c>
      <c r="H5" s="5" t="s">
        <v>17</v>
      </c>
      <c r="I5" s="5" t="s">
        <v>17</v>
      </c>
      <c r="J5" s="5" t="s">
        <v>3115</v>
      </c>
    </row>
    <row r="6" spans="1:10" x14ac:dyDescent="0.25">
      <c r="A6" s="5" t="s">
        <v>19</v>
      </c>
      <c r="B6" s="5" t="s">
        <v>16</v>
      </c>
      <c r="C6" s="5" t="s">
        <v>17</v>
      </c>
      <c r="D6" s="5"/>
      <c r="E6" s="5" t="s">
        <v>3116</v>
      </c>
      <c r="F6" s="5" t="s">
        <v>19</v>
      </c>
      <c r="G6" s="5" t="s">
        <v>31</v>
      </c>
      <c r="H6" s="5" t="s">
        <v>17</v>
      </c>
      <c r="I6" s="5" t="s">
        <v>17</v>
      </c>
      <c r="J6" s="5" t="s">
        <v>979</v>
      </c>
    </row>
    <row r="7" spans="1:10" x14ac:dyDescent="0.25">
      <c r="A7" s="5" t="s">
        <v>19</v>
      </c>
      <c r="B7" s="5" t="s">
        <v>16</v>
      </c>
      <c r="C7" s="5" t="s">
        <v>17</v>
      </c>
      <c r="D7" s="5"/>
      <c r="E7" s="5" t="s">
        <v>3117</v>
      </c>
      <c r="F7" s="5" t="s">
        <v>19</v>
      </c>
      <c r="G7" s="5" t="s">
        <v>31</v>
      </c>
      <c r="H7" s="5" t="s">
        <v>17</v>
      </c>
      <c r="I7" s="5" t="s">
        <v>17</v>
      </c>
      <c r="J7" s="5" t="s">
        <v>497</v>
      </c>
    </row>
    <row r="8" spans="1:10" x14ac:dyDescent="0.25">
      <c r="A8" s="5" t="s">
        <v>19</v>
      </c>
      <c r="B8" s="5" t="s">
        <v>16</v>
      </c>
      <c r="C8" s="5" t="s">
        <v>17</v>
      </c>
      <c r="D8" s="5"/>
      <c r="E8" s="5" t="s">
        <v>3118</v>
      </c>
      <c r="F8" s="5" t="s">
        <v>19</v>
      </c>
      <c r="G8" s="5" t="s">
        <v>31</v>
      </c>
      <c r="H8" s="5" t="s">
        <v>17</v>
      </c>
      <c r="I8" s="5" t="s">
        <v>17</v>
      </c>
      <c r="J8"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3786</v>
      </c>
      <c r="B1" s="1"/>
      <c r="C1" s="1"/>
      <c r="D1" s="1"/>
      <c r="E1" s="1"/>
      <c r="F1" s="1"/>
      <c r="G1" s="1"/>
      <c r="H1" s="1"/>
      <c r="I1" s="1"/>
      <c r="J1" s="1"/>
    </row>
    <row r="2" spans="1:10" x14ac:dyDescent="0.25">
      <c r="A2" s="2" t="s">
        <v>1</v>
      </c>
      <c r="B2" s="3" t="s">
        <v>3787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3111</v>
      </c>
      <c r="C5" s="5" t="s">
        <v>17</v>
      </c>
      <c r="D5" s="5"/>
      <c r="E5" s="5" t="s">
        <v>3112</v>
      </c>
      <c r="F5" s="5" t="s">
        <v>15</v>
      </c>
      <c r="G5" s="5" t="s">
        <v>17</v>
      </c>
      <c r="H5" s="5" t="s">
        <v>17</v>
      </c>
      <c r="I5" s="5" t="s">
        <v>17</v>
      </c>
      <c r="J5" s="5" t="s">
        <v>868</v>
      </c>
    </row>
    <row r="6" spans="1:10" x14ac:dyDescent="0.25" outlineLevel="1" collapsed="1">
      <c r="A6" s="7" t="s">
        <v>19</v>
      </c>
      <c r="B6" s="7" t="s">
        <v>16</v>
      </c>
      <c r="C6" s="7" t="s">
        <v>17</v>
      </c>
      <c r="D6" s="7"/>
      <c r="E6" s="7" t="s">
        <v>3113</v>
      </c>
      <c r="F6" s="7" t="s">
        <v>19</v>
      </c>
      <c r="G6" s="7" t="s">
        <v>3114</v>
      </c>
      <c r="H6" s="7" t="s">
        <v>17</v>
      </c>
      <c r="I6" s="7" t="s">
        <v>17</v>
      </c>
      <c r="J6" s="7" t="s">
        <v>3115</v>
      </c>
    </row>
    <row r="7" spans="1:10" x14ac:dyDescent="0.25" outlineLevel="1" collapsed="1">
      <c r="A7" s="7" t="s">
        <v>19</v>
      </c>
      <c r="B7" s="7" t="s">
        <v>16</v>
      </c>
      <c r="C7" s="7" t="s">
        <v>17</v>
      </c>
      <c r="D7" s="7"/>
      <c r="E7" s="7" t="s">
        <v>3116</v>
      </c>
      <c r="F7" s="7" t="s">
        <v>19</v>
      </c>
      <c r="G7" s="7" t="s">
        <v>31</v>
      </c>
      <c r="H7" s="7" t="s">
        <v>17</v>
      </c>
      <c r="I7" s="7" t="s">
        <v>17</v>
      </c>
      <c r="J7" s="7" t="s">
        <v>979</v>
      </c>
    </row>
    <row r="8" spans="1:10" x14ac:dyDescent="0.25" outlineLevel="1" collapsed="1">
      <c r="A8" s="7" t="s">
        <v>19</v>
      </c>
      <c r="B8" s="7" t="s">
        <v>16</v>
      </c>
      <c r="C8" s="7" t="s">
        <v>17</v>
      </c>
      <c r="D8" s="7"/>
      <c r="E8" s="7" t="s">
        <v>3117</v>
      </c>
      <c r="F8" s="7" t="s">
        <v>19</v>
      </c>
      <c r="G8" s="7" t="s">
        <v>31</v>
      </c>
      <c r="H8" s="7" t="s">
        <v>17</v>
      </c>
      <c r="I8" s="7" t="s">
        <v>17</v>
      </c>
      <c r="J8" s="7" t="s">
        <v>497</v>
      </c>
    </row>
    <row r="9" spans="1:10" x14ac:dyDescent="0.25" outlineLevel="1" collapsed="1">
      <c r="A9" s="7" t="s">
        <v>19</v>
      </c>
      <c r="B9" s="7" t="s">
        <v>16</v>
      </c>
      <c r="C9" s="7" t="s">
        <v>17</v>
      </c>
      <c r="D9" s="7"/>
      <c r="E9" s="7" t="s">
        <v>3118</v>
      </c>
      <c r="F9" s="7" t="s">
        <v>19</v>
      </c>
      <c r="G9" s="7" t="s">
        <v>31</v>
      </c>
      <c r="H9" s="7" t="s">
        <v>17</v>
      </c>
      <c r="I9" s="7" t="s">
        <v>17</v>
      </c>
      <c r="J9" s="7" t="s">
        <v>494</v>
      </c>
    </row>
  </sheetData>
  <mergeCells count="3">
    <mergeCell ref="A1:J1"/>
    <mergeCell ref="B2:J2"/>
    <mergeCell ref="B3:J3"/>
  </mergeCells>
  <hyperlinks>
    <hyperlink ref="B5" r:id="rId1" location="#'3.3.2.2 Applicability conditio'!A1"/>
  </hyperlinks>
  <pageMargins left="0.7" right="0.7" top="0.75" bottom="0.75" header="0.3" footer="0.3"/>
  <pageSetup orientation="portrait" horizontalDpi="4294967295" verticalDpi="4294967295" scale="100" fitToWidth="1" fitToHeight="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3788</v>
      </c>
      <c r="B1" s="1"/>
      <c r="C1" s="1"/>
      <c r="D1" s="1"/>
      <c r="E1" s="1"/>
      <c r="F1" s="1"/>
      <c r="G1" s="1"/>
      <c r="H1" s="1"/>
      <c r="I1" s="1"/>
      <c r="J1" s="1"/>
    </row>
    <row r="2" spans="1:10" x14ac:dyDescent="0.25">
      <c r="A2" s="2" t="s">
        <v>1</v>
      </c>
      <c r="B2" s="3" t="s">
        <v>3789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3123</v>
      </c>
      <c r="F5" s="5" t="s">
        <v>19</v>
      </c>
      <c r="G5" s="5" t="s">
        <v>31</v>
      </c>
      <c r="H5" s="5" t="s">
        <v>17</v>
      </c>
      <c r="I5" s="5" t="s">
        <v>17</v>
      </c>
      <c r="J5" s="5" t="s">
        <v>494</v>
      </c>
    </row>
    <row r="6" spans="1:10" x14ac:dyDescent="0.25">
      <c r="A6" s="5" t="s">
        <v>15</v>
      </c>
      <c r="B6" s="5" t="s">
        <v>16</v>
      </c>
      <c r="C6" s="5" t="s">
        <v>17</v>
      </c>
      <c r="D6" s="5"/>
      <c r="E6" s="5" t="s">
        <v>3124</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3790</v>
      </c>
      <c r="B1" s="1"/>
      <c r="C1" s="1"/>
      <c r="D1" s="1"/>
      <c r="E1" s="1"/>
      <c r="F1" s="1"/>
      <c r="G1" s="1"/>
      <c r="H1" s="1"/>
      <c r="I1" s="1"/>
      <c r="J1" s="1"/>
    </row>
    <row r="2" spans="1:10" x14ac:dyDescent="0.25">
      <c r="A2" s="2" t="s">
        <v>1</v>
      </c>
      <c r="B2" s="3" t="s">
        <v>3791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3127</v>
      </c>
      <c r="F5" s="5" t="s">
        <v>19</v>
      </c>
      <c r="G5" s="5" t="s">
        <v>31</v>
      </c>
      <c r="H5" s="5" t="s">
        <v>17</v>
      </c>
      <c r="I5" s="5" t="s">
        <v>17</v>
      </c>
      <c r="J5" s="5" t="s">
        <v>494</v>
      </c>
    </row>
    <row r="6" spans="1:10" x14ac:dyDescent="0.25">
      <c r="A6" s="5" t="s">
        <v>15</v>
      </c>
      <c r="B6" s="5" t="s">
        <v>16</v>
      </c>
      <c r="C6" s="5" t="s">
        <v>17</v>
      </c>
      <c r="D6" s="5"/>
      <c r="E6" s="5" t="s">
        <v>3128</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3792</v>
      </c>
      <c r="B1" s="1"/>
      <c r="C1" s="1"/>
      <c r="D1" s="1"/>
      <c r="E1" s="1"/>
      <c r="F1" s="1"/>
      <c r="G1" s="1"/>
      <c r="H1" s="1"/>
      <c r="I1" s="1"/>
      <c r="J1" s="1"/>
    </row>
    <row r="2" spans="1:10" x14ac:dyDescent="0.25">
      <c r="A2" s="2" t="s">
        <v>1</v>
      </c>
      <c r="B2" s="3" t="s">
        <v>3793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3132</v>
      </c>
      <c r="F5" s="5" t="s">
        <v>19</v>
      </c>
      <c r="G5" s="5" t="s">
        <v>31</v>
      </c>
      <c r="H5" s="5" t="s">
        <v>17</v>
      </c>
      <c r="I5" s="5" t="s">
        <v>17</v>
      </c>
      <c r="J5" s="5" t="s">
        <v>494</v>
      </c>
    </row>
    <row r="6" spans="1:10" x14ac:dyDescent="0.25">
      <c r="A6" s="5" t="s">
        <v>15</v>
      </c>
      <c r="B6" s="5" t="s">
        <v>16</v>
      </c>
      <c r="C6" s="5" t="s">
        <v>17</v>
      </c>
      <c r="D6" s="5"/>
      <c r="E6" s="5" t="s">
        <v>3133</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3794</v>
      </c>
      <c r="B1" s="1"/>
      <c r="C1" s="1"/>
      <c r="D1" s="1"/>
      <c r="E1" s="1"/>
      <c r="F1" s="1"/>
      <c r="G1" s="1"/>
      <c r="H1" s="1"/>
      <c r="I1" s="1"/>
      <c r="J1" s="1"/>
    </row>
    <row r="2" spans="1:10" x14ac:dyDescent="0.25">
      <c r="A2" s="2" t="s">
        <v>1</v>
      </c>
      <c r="B2" s="3" t="s">
        <v>3795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3135</v>
      </c>
      <c r="F5" s="5" t="s">
        <v>19</v>
      </c>
      <c r="G5" s="5" t="s">
        <v>31</v>
      </c>
      <c r="H5" s="5" t="s">
        <v>17</v>
      </c>
      <c r="I5" s="5" t="s">
        <v>17</v>
      </c>
      <c r="J5" s="5" t="s">
        <v>494</v>
      </c>
    </row>
    <row r="6" spans="1:10" x14ac:dyDescent="0.25">
      <c r="A6" s="5" t="s">
        <v>15</v>
      </c>
      <c r="B6" s="5" t="s">
        <v>16</v>
      </c>
      <c r="C6" s="5" t="s">
        <v>17</v>
      </c>
      <c r="D6" s="5"/>
      <c r="E6" s="5" t="s">
        <v>3136</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3796</v>
      </c>
      <c r="B1" s="1"/>
      <c r="C1" s="1"/>
      <c r="D1" s="1"/>
      <c r="E1" s="1"/>
      <c r="F1" s="1"/>
      <c r="G1" s="1"/>
      <c r="H1" s="1"/>
      <c r="I1" s="1"/>
      <c r="J1" s="1"/>
    </row>
    <row r="2" spans="1:10" x14ac:dyDescent="0.25">
      <c r="A2" s="2" t="s">
        <v>1</v>
      </c>
      <c r="B2" s="3" t="s">
        <v>3797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159</v>
      </c>
      <c r="C5" s="5" t="s">
        <v>17</v>
      </c>
      <c r="D5" s="5"/>
      <c r="E5" s="5" t="s">
        <v>3169</v>
      </c>
      <c r="F5" s="5" t="s">
        <v>19</v>
      </c>
      <c r="G5" s="5" t="b">
        <v>1</v>
      </c>
      <c r="H5" s="5" t="s">
        <v>17</v>
      </c>
      <c r="I5" s="5" t="s">
        <v>17</v>
      </c>
      <c r="J5" s="5" t="s">
        <v>2996</v>
      </c>
    </row>
    <row r="6" spans="1:10" x14ac:dyDescent="0.25">
      <c r="A6" s="5" t="s">
        <v>15</v>
      </c>
      <c r="B6" s="5" t="s">
        <v>16</v>
      </c>
      <c r="C6" s="5" t="s">
        <v>17</v>
      </c>
      <c r="D6" s="5"/>
      <c r="E6" s="5" t="s">
        <v>3170</v>
      </c>
      <c r="F6" s="5" t="s">
        <v>19</v>
      </c>
      <c r="G6" s="5" t="s">
        <v>31</v>
      </c>
      <c r="H6" s="5" t="s">
        <v>17</v>
      </c>
      <c r="I6" s="5" t="s">
        <v>17</v>
      </c>
      <c r="J6"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3798</v>
      </c>
      <c r="B1" s="1"/>
      <c r="C1" s="1"/>
      <c r="D1" s="1"/>
      <c r="E1" s="1"/>
      <c r="F1" s="1"/>
      <c r="G1" s="1"/>
      <c r="H1" s="1"/>
      <c r="I1" s="1"/>
      <c r="J1" s="1"/>
    </row>
    <row r="2" spans="1:10" x14ac:dyDescent="0.25">
      <c r="A2" s="2" t="s">
        <v>1</v>
      </c>
      <c r="B2" s="3" t="s">
        <v>3799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3174</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3800</v>
      </c>
      <c r="B1" s="1"/>
      <c r="C1" s="1"/>
      <c r="D1" s="1"/>
      <c r="E1" s="1"/>
      <c r="F1" s="1"/>
      <c r="G1" s="1"/>
      <c r="H1" s="1"/>
      <c r="I1" s="1"/>
      <c r="J1" s="1"/>
    </row>
    <row r="2" spans="1:10" x14ac:dyDescent="0.25">
      <c r="A2" s="2" t="s">
        <v>1</v>
      </c>
      <c r="B2" s="3" t="s">
        <v>3801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3177</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3802</v>
      </c>
      <c r="B1" s="1"/>
      <c r="C1" s="1"/>
      <c r="D1" s="1"/>
      <c r="E1" s="1"/>
      <c r="F1" s="1"/>
      <c r="G1" s="1"/>
      <c r="H1" s="1"/>
      <c r="I1" s="1"/>
      <c r="J1" s="1"/>
    </row>
    <row r="2" spans="1:10" x14ac:dyDescent="0.25">
      <c r="A2" s="2" t="s">
        <v>1</v>
      </c>
      <c r="B2" s="3" t="s">
        <v>3803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31</v>
      </c>
      <c r="H5" s="5" t="s">
        <v>17</v>
      </c>
      <c r="I5" s="5" t="s">
        <v>17</v>
      </c>
      <c r="J5" s="5" t="s">
        <v>730</v>
      </c>
    </row>
    <row r="6" spans="1:10" x14ac:dyDescent="0.25">
      <c r="A6" s="5" t="s">
        <v>19</v>
      </c>
      <c r="B6" s="5" t="s">
        <v>16</v>
      </c>
      <c r="C6" s="5" t="s">
        <v>17</v>
      </c>
      <c r="D6" s="5"/>
      <c r="E6" s="5" t="s">
        <v>731</v>
      </c>
      <c r="F6" s="5" t="s">
        <v>19</v>
      </c>
      <c r="G6" s="5" t="s">
        <v>31</v>
      </c>
      <c r="H6" s="5" t="s">
        <v>17</v>
      </c>
      <c r="I6" s="5" t="s">
        <v>17</v>
      </c>
      <c r="J6" s="5" t="s">
        <v>733</v>
      </c>
    </row>
    <row r="7" spans="1:10" x14ac:dyDescent="0.25">
      <c r="A7" s="5" t="s">
        <v>19</v>
      </c>
      <c r="B7" s="5" t="s">
        <v>16</v>
      </c>
      <c r="C7" s="5" t="s">
        <v>17</v>
      </c>
      <c r="D7" s="5"/>
      <c r="E7" s="5" t="s">
        <v>1529</v>
      </c>
      <c r="F7" s="5" t="s">
        <v>19</v>
      </c>
      <c r="G7" s="5" t="s">
        <v>31</v>
      </c>
      <c r="H7" s="5" t="s">
        <v>17</v>
      </c>
      <c r="I7" s="5" t="s">
        <v>17</v>
      </c>
      <c r="J7" s="5" t="s">
        <v>2203</v>
      </c>
    </row>
    <row r="8" spans="1:10" x14ac:dyDescent="0.25">
      <c r="A8" s="5" t="s">
        <v>19</v>
      </c>
      <c r="B8" s="5" t="s">
        <v>16</v>
      </c>
      <c r="C8" s="5" t="s">
        <v>17</v>
      </c>
      <c r="D8" s="5"/>
      <c r="E8" s="5" t="s">
        <v>1531</v>
      </c>
      <c r="F8" s="5" t="s">
        <v>19</v>
      </c>
      <c r="G8" s="5" t="s">
        <v>31</v>
      </c>
      <c r="H8" s="5" t="s">
        <v>17</v>
      </c>
      <c r="I8" s="5" t="s">
        <v>17</v>
      </c>
      <c r="J8" s="5" t="s">
        <v>2204</v>
      </c>
    </row>
    <row r="9" spans="1:10" x14ac:dyDescent="0.25">
      <c r="A9" s="5" t="s">
        <v>19</v>
      </c>
      <c r="B9" s="5" t="s">
        <v>16</v>
      </c>
      <c r="C9" s="5" t="s">
        <v>17</v>
      </c>
      <c r="D9" s="5"/>
      <c r="E9" s="5" t="s">
        <v>1533</v>
      </c>
      <c r="F9" s="5" t="s">
        <v>19</v>
      </c>
      <c r="G9" s="5" t="s">
        <v>31</v>
      </c>
      <c r="H9" s="5" t="s">
        <v>17</v>
      </c>
      <c r="I9" s="5" t="s">
        <v>17</v>
      </c>
      <c r="J9" s="5" t="s">
        <v>2205</v>
      </c>
    </row>
    <row r="10" spans="1:10" x14ac:dyDescent="0.25">
      <c r="A10" s="5" t="s">
        <v>19</v>
      </c>
      <c r="B10" s="5" t="s">
        <v>16</v>
      </c>
      <c r="C10" s="5" t="s">
        <v>17</v>
      </c>
      <c r="D10" s="5"/>
      <c r="E10" s="5" t="s">
        <v>1535</v>
      </c>
      <c r="F10" s="5" t="s">
        <v>19</v>
      </c>
      <c r="G10" s="5" t="s">
        <v>31</v>
      </c>
      <c r="H10" s="5" t="s">
        <v>17</v>
      </c>
      <c r="I10" s="5" t="s">
        <v>17</v>
      </c>
      <c r="J10" s="5" t="s">
        <v>2206</v>
      </c>
    </row>
    <row r="11" spans="1:10" x14ac:dyDescent="0.25">
      <c r="A11" s="5" t="s">
        <v>19</v>
      </c>
      <c r="B11" s="5" t="s">
        <v>16</v>
      </c>
      <c r="C11" s="5" t="s">
        <v>17</v>
      </c>
      <c r="D11" s="5"/>
      <c r="E11" s="5" t="s">
        <v>1537</v>
      </c>
      <c r="F11" s="5" t="s">
        <v>19</v>
      </c>
      <c r="G11" s="5" t="s">
        <v>31</v>
      </c>
      <c r="H11" s="5" t="s">
        <v>17</v>
      </c>
      <c r="I11" s="5" t="s">
        <v>17</v>
      </c>
      <c r="J11" s="5" t="s">
        <v>2207</v>
      </c>
    </row>
    <row r="12" spans="1:10" x14ac:dyDescent="0.25">
      <c r="A12" s="5" t="s">
        <v>19</v>
      </c>
      <c r="B12" s="5" t="s">
        <v>16</v>
      </c>
      <c r="C12" s="5" t="s">
        <v>17</v>
      </c>
      <c r="D12" s="5"/>
      <c r="E12" s="5" t="s">
        <v>1539</v>
      </c>
      <c r="F12" s="5" t="s">
        <v>19</v>
      </c>
      <c r="G12" s="5" t="s">
        <v>31</v>
      </c>
      <c r="H12" s="5" t="s">
        <v>17</v>
      </c>
      <c r="I12" s="5" t="s">
        <v>17</v>
      </c>
      <c r="J12" s="5" t="s">
        <v>752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3804</v>
      </c>
      <c r="B1" s="1"/>
      <c r="C1" s="1"/>
      <c r="D1" s="1"/>
      <c r="E1" s="1"/>
      <c r="F1" s="1"/>
      <c r="G1" s="1"/>
      <c r="H1" s="1"/>
      <c r="I1" s="1"/>
      <c r="J1" s="1"/>
    </row>
    <row r="2" spans="1:10" x14ac:dyDescent="0.25">
      <c r="A2" s="2" t="s">
        <v>1</v>
      </c>
      <c r="B2" s="3" t="s">
        <v>3805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31</v>
      </c>
      <c r="H5" s="5" t="s">
        <v>17</v>
      </c>
      <c r="I5" s="5" t="s">
        <v>17</v>
      </c>
      <c r="J5" s="5" t="s">
        <v>730</v>
      </c>
    </row>
    <row r="6" spans="1:10" x14ac:dyDescent="0.25">
      <c r="A6" s="5" t="s">
        <v>19</v>
      </c>
      <c r="B6" s="5" t="s">
        <v>16</v>
      </c>
      <c r="C6" s="5" t="s">
        <v>17</v>
      </c>
      <c r="D6" s="5"/>
      <c r="E6" s="5" t="s">
        <v>731</v>
      </c>
      <c r="F6" s="5" t="s">
        <v>19</v>
      </c>
      <c r="G6" s="5" t="s">
        <v>31</v>
      </c>
      <c r="H6" s="5" t="s">
        <v>17</v>
      </c>
      <c r="I6" s="5" t="s">
        <v>17</v>
      </c>
      <c r="J6" s="5" t="s">
        <v>733</v>
      </c>
    </row>
    <row r="7" spans="1:10" x14ac:dyDescent="0.25">
      <c r="A7" s="5" t="s">
        <v>19</v>
      </c>
      <c r="B7" s="5" t="s">
        <v>16</v>
      </c>
      <c r="C7" s="5" t="s">
        <v>17</v>
      </c>
      <c r="D7" s="5"/>
      <c r="E7" s="5" t="s">
        <v>1559</v>
      </c>
      <c r="F7" s="5" t="s">
        <v>19</v>
      </c>
      <c r="G7" s="5" t="s">
        <v>31</v>
      </c>
      <c r="H7" s="5" t="s">
        <v>17</v>
      </c>
      <c r="I7" s="5" t="s">
        <v>17</v>
      </c>
      <c r="J7" s="5" t="s">
        <v>2211</v>
      </c>
    </row>
    <row r="8" spans="1:10" x14ac:dyDescent="0.25">
      <c r="A8" s="5" t="s">
        <v>19</v>
      </c>
      <c r="B8" s="5" t="s">
        <v>16</v>
      </c>
      <c r="C8" s="5" t="s">
        <v>17</v>
      </c>
      <c r="D8" s="5"/>
      <c r="E8" s="5" t="s">
        <v>1533</v>
      </c>
      <c r="F8" s="5" t="s">
        <v>19</v>
      </c>
      <c r="G8" s="5" t="s">
        <v>31</v>
      </c>
      <c r="H8" s="5" t="s">
        <v>17</v>
      </c>
      <c r="I8" s="5" t="s">
        <v>17</v>
      </c>
      <c r="J8" s="5" t="s">
        <v>2205</v>
      </c>
    </row>
    <row r="9" spans="1:10" x14ac:dyDescent="0.25">
      <c r="A9" s="5" t="s">
        <v>19</v>
      </c>
      <c r="B9" s="5" t="s">
        <v>16</v>
      </c>
      <c r="C9" s="5" t="s">
        <v>17</v>
      </c>
      <c r="D9" s="5"/>
      <c r="E9" s="5" t="s">
        <v>1539</v>
      </c>
      <c r="F9" s="5" t="s">
        <v>19</v>
      </c>
      <c r="G9" s="5" t="s">
        <v>31</v>
      </c>
      <c r="H9" s="5" t="s">
        <v>17</v>
      </c>
      <c r="I9" s="5" t="s">
        <v>17</v>
      </c>
      <c r="J9" s="5" t="s">
        <v>752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3806</v>
      </c>
      <c r="B1" s="1"/>
      <c r="C1" s="1"/>
      <c r="D1" s="1"/>
      <c r="E1" s="1"/>
      <c r="F1" s="1"/>
      <c r="G1" s="1"/>
      <c r="H1" s="1"/>
      <c r="I1" s="1"/>
      <c r="J1" s="1"/>
    </row>
    <row r="2" spans="1:10" x14ac:dyDescent="0.25">
      <c r="A2" s="2" t="s">
        <v>1</v>
      </c>
      <c r="B2" s="3" t="s">
        <v>3807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159</v>
      </c>
      <c r="C5" s="5" t="s">
        <v>17</v>
      </c>
      <c r="D5" s="5"/>
      <c r="E5" s="5" t="s">
        <v>2198</v>
      </c>
      <c r="F5" s="5" t="s">
        <v>19</v>
      </c>
      <c r="G5" s="5" t="b">
        <v>1</v>
      </c>
      <c r="H5" s="5" t="s">
        <v>17</v>
      </c>
      <c r="I5" s="5" t="s">
        <v>17</v>
      </c>
      <c r="J5" s="5" t="s">
        <v>1501</v>
      </c>
    </row>
    <row r="6" spans="1:10" x14ac:dyDescent="0.25">
      <c r="A6" s="5" t="s">
        <v>19</v>
      </c>
      <c r="B6" s="5" t="s">
        <v>16</v>
      </c>
      <c r="C6" s="5" t="s">
        <v>17</v>
      </c>
      <c r="D6" s="5"/>
      <c r="E6" s="5" t="s">
        <v>2199</v>
      </c>
      <c r="F6" s="5" t="s">
        <v>19</v>
      </c>
      <c r="G6" s="5" t="s">
        <v>31</v>
      </c>
      <c r="H6" s="5" t="s">
        <v>17</v>
      </c>
      <c r="I6" s="5" t="s">
        <v>17</v>
      </c>
      <c r="J6" s="5" t="s">
        <v>1504</v>
      </c>
    </row>
    <row r="7" spans="1:10" x14ac:dyDescent="0.25">
      <c r="A7" s="5" t="s">
        <v>19</v>
      </c>
      <c r="B7" s="6" t="s">
        <v>2200</v>
      </c>
      <c r="C7" s="5" t="s">
        <v>17</v>
      </c>
      <c r="D7" s="5"/>
      <c r="E7" s="5" t="s">
        <v>2201</v>
      </c>
      <c r="F7" s="5" t="s">
        <v>15</v>
      </c>
      <c r="G7" s="5" t="s">
        <v>17</v>
      </c>
      <c r="H7" s="5" t="s">
        <v>17</v>
      </c>
      <c r="I7" s="5" t="s">
        <v>17</v>
      </c>
      <c r="J7" s="5" t="s">
        <v>2202</v>
      </c>
    </row>
    <row r="8" spans="1:10" x14ac:dyDescent="0.25" outlineLevel="1" collapsed="1">
      <c r="A8" s="7" t="s">
        <v>19</v>
      </c>
      <c r="B8" s="7" t="s">
        <v>16</v>
      </c>
      <c r="C8" s="7" t="s">
        <v>17</v>
      </c>
      <c r="D8" s="7"/>
      <c r="E8" s="7" t="s">
        <v>728</v>
      </c>
      <c r="F8" s="7" t="s">
        <v>19</v>
      </c>
      <c r="G8" s="7" t="s">
        <v>31</v>
      </c>
      <c r="H8" s="7" t="s">
        <v>17</v>
      </c>
      <c r="I8" s="7" t="s">
        <v>17</v>
      </c>
      <c r="J8" s="7" t="s">
        <v>730</v>
      </c>
    </row>
    <row r="9" spans="1:10" x14ac:dyDescent="0.25" outlineLevel="1" collapsed="1">
      <c r="A9" s="7" t="s">
        <v>19</v>
      </c>
      <c r="B9" s="7" t="s">
        <v>16</v>
      </c>
      <c r="C9" s="7" t="s">
        <v>17</v>
      </c>
      <c r="D9" s="7"/>
      <c r="E9" s="7" t="s">
        <v>731</v>
      </c>
      <c r="F9" s="7" t="s">
        <v>19</v>
      </c>
      <c r="G9" s="7" t="s">
        <v>31</v>
      </c>
      <c r="H9" s="7" t="s">
        <v>17</v>
      </c>
      <c r="I9" s="7" t="s">
        <v>17</v>
      </c>
      <c r="J9" s="7" t="s">
        <v>733</v>
      </c>
    </row>
    <row r="10" spans="1:10" x14ac:dyDescent="0.25" outlineLevel="1" collapsed="1">
      <c r="A10" s="7" t="s">
        <v>19</v>
      </c>
      <c r="B10" s="7" t="s">
        <v>16</v>
      </c>
      <c r="C10" s="7" t="s">
        <v>17</v>
      </c>
      <c r="D10" s="7"/>
      <c r="E10" s="7" t="s">
        <v>1529</v>
      </c>
      <c r="F10" s="7" t="s">
        <v>19</v>
      </c>
      <c r="G10" s="7" t="s">
        <v>31</v>
      </c>
      <c r="H10" s="7" t="s">
        <v>17</v>
      </c>
      <c r="I10" s="7" t="s">
        <v>17</v>
      </c>
      <c r="J10" s="7" t="s">
        <v>2203</v>
      </c>
    </row>
    <row r="11" spans="1:10" x14ac:dyDescent="0.25" outlineLevel="1" collapsed="1">
      <c r="A11" s="7" t="s">
        <v>19</v>
      </c>
      <c r="B11" s="7" t="s">
        <v>16</v>
      </c>
      <c r="C11" s="7" t="s">
        <v>17</v>
      </c>
      <c r="D11" s="7"/>
      <c r="E11" s="7" t="s">
        <v>1531</v>
      </c>
      <c r="F11" s="7" t="s">
        <v>19</v>
      </c>
      <c r="G11" s="7" t="s">
        <v>31</v>
      </c>
      <c r="H11" s="7" t="s">
        <v>17</v>
      </c>
      <c r="I11" s="7" t="s">
        <v>17</v>
      </c>
      <c r="J11" s="7" t="s">
        <v>2204</v>
      </c>
    </row>
    <row r="12" spans="1:10" x14ac:dyDescent="0.25" outlineLevel="1" collapsed="1">
      <c r="A12" s="7" t="s">
        <v>19</v>
      </c>
      <c r="B12" s="7" t="s">
        <v>16</v>
      </c>
      <c r="C12" s="7" t="s">
        <v>17</v>
      </c>
      <c r="D12" s="7"/>
      <c r="E12" s="7" t="s">
        <v>1533</v>
      </c>
      <c r="F12" s="7" t="s">
        <v>19</v>
      </c>
      <c r="G12" s="7" t="s">
        <v>31</v>
      </c>
      <c r="H12" s="7" t="s">
        <v>17</v>
      </c>
      <c r="I12" s="7" t="s">
        <v>17</v>
      </c>
      <c r="J12" s="7" t="s">
        <v>2205</v>
      </c>
    </row>
    <row r="13" spans="1:10" x14ac:dyDescent="0.25" outlineLevel="1" collapsed="1">
      <c r="A13" s="7" t="s">
        <v>19</v>
      </c>
      <c r="B13" s="7" t="s">
        <v>16</v>
      </c>
      <c r="C13" s="7" t="s">
        <v>17</v>
      </c>
      <c r="D13" s="7"/>
      <c r="E13" s="7" t="s">
        <v>1535</v>
      </c>
      <c r="F13" s="7" t="s">
        <v>19</v>
      </c>
      <c r="G13" s="7" t="s">
        <v>31</v>
      </c>
      <c r="H13" s="7" t="s">
        <v>17</v>
      </c>
      <c r="I13" s="7" t="s">
        <v>17</v>
      </c>
      <c r="J13" s="7" t="s">
        <v>2206</v>
      </c>
    </row>
    <row r="14" spans="1:10" x14ac:dyDescent="0.25" outlineLevel="1" collapsed="1">
      <c r="A14" s="7" t="s">
        <v>19</v>
      </c>
      <c r="B14" s="7" t="s">
        <v>16</v>
      </c>
      <c r="C14" s="7" t="s">
        <v>17</v>
      </c>
      <c r="D14" s="7"/>
      <c r="E14" s="7" t="s">
        <v>1537</v>
      </c>
      <c r="F14" s="7" t="s">
        <v>19</v>
      </c>
      <c r="G14" s="7" t="s">
        <v>31</v>
      </c>
      <c r="H14" s="7" t="s">
        <v>17</v>
      </c>
      <c r="I14" s="7" t="s">
        <v>17</v>
      </c>
      <c r="J14" s="7" t="s">
        <v>2207</v>
      </c>
    </row>
    <row r="15" spans="1:10" x14ac:dyDescent="0.25" outlineLevel="1" collapsed="1">
      <c r="A15" s="7" t="s">
        <v>19</v>
      </c>
      <c r="B15" s="7" t="s">
        <v>16</v>
      </c>
      <c r="C15" s="7" t="s">
        <v>17</v>
      </c>
      <c r="D15" s="7"/>
      <c r="E15" s="7" t="s">
        <v>1539</v>
      </c>
      <c r="F15" s="7" t="s">
        <v>19</v>
      </c>
      <c r="G15" s="7" t="s">
        <v>31</v>
      </c>
      <c r="H15" s="7" t="s">
        <v>17</v>
      </c>
      <c r="I15" s="7" t="s">
        <v>17</v>
      </c>
      <c r="J15" s="7" t="s">
        <v>752</v>
      </c>
    </row>
    <row r="16" spans="1:10" x14ac:dyDescent="0.25">
      <c r="A16" s="5" t="s">
        <v>19</v>
      </c>
      <c r="B16" s="6" t="s">
        <v>2208</v>
      </c>
      <c r="C16" s="5" t="s">
        <v>17</v>
      </c>
      <c r="D16" s="5"/>
      <c r="E16" s="5" t="s">
        <v>2209</v>
      </c>
      <c r="F16" s="5" t="s">
        <v>15</v>
      </c>
      <c r="G16" s="5" t="s">
        <v>17</v>
      </c>
      <c r="H16" s="5" t="s">
        <v>17</v>
      </c>
      <c r="I16" s="5" t="s">
        <v>17</v>
      </c>
      <c r="J16" s="5" t="s">
        <v>2210</v>
      </c>
    </row>
    <row r="17" spans="1:10" x14ac:dyDescent="0.25" outlineLevel="1" collapsed="1">
      <c r="A17" s="7" t="s">
        <v>19</v>
      </c>
      <c r="B17" s="7" t="s">
        <v>16</v>
      </c>
      <c r="C17" s="7" t="s">
        <v>17</v>
      </c>
      <c r="D17" s="7"/>
      <c r="E17" s="7" t="s">
        <v>728</v>
      </c>
      <c r="F17" s="7" t="s">
        <v>19</v>
      </c>
      <c r="G17" s="7" t="s">
        <v>31</v>
      </c>
      <c r="H17" s="7" t="s">
        <v>17</v>
      </c>
      <c r="I17" s="7" t="s">
        <v>17</v>
      </c>
      <c r="J17" s="7" t="s">
        <v>730</v>
      </c>
    </row>
    <row r="18" spans="1:10" x14ac:dyDescent="0.25" outlineLevel="1" collapsed="1">
      <c r="A18" s="7" t="s">
        <v>19</v>
      </c>
      <c r="B18" s="7" t="s">
        <v>16</v>
      </c>
      <c r="C18" s="7" t="s">
        <v>17</v>
      </c>
      <c r="D18" s="7"/>
      <c r="E18" s="7" t="s">
        <v>731</v>
      </c>
      <c r="F18" s="7" t="s">
        <v>19</v>
      </c>
      <c r="G18" s="7" t="s">
        <v>31</v>
      </c>
      <c r="H18" s="7" t="s">
        <v>17</v>
      </c>
      <c r="I18" s="7" t="s">
        <v>17</v>
      </c>
      <c r="J18" s="7" t="s">
        <v>733</v>
      </c>
    </row>
    <row r="19" spans="1:10" x14ac:dyDescent="0.25" outlineLevel="1" collapsed="1">
      <c r="A19" s="7" t="s">
        <v>19</v>
      </c>
      <c r="B19" s="7" t="s">
        <v>16</v>
      </c>
      <c r="C19" s="7" t="s">
        <v>17</v>
      </c>
      <c r="D19" s="7"/>
      <c r="E19" s="7" t="s">
        <v>1559</v>
      </c>
      <c r="F19" s="7" t="s">
        <v>19</v>
      </c>
      <c r="G19" s="7" t="s">
        <v>31</v>
      </c>
      <c r="H19" s="7" t="s">
        <v>17</v>
      </c>
      <c r="I19" s="7" t="s">
        <v>17</v>
      </c>
      <c r="J19" s="7" t="s">
        <v>2211</v>
      </c>
    </row>
    <row r="20" spans="1:10" x14ac:dyDescent="0.25" outlineLevel="1" collapsed="1">
      <c r="A20" s="7" t="s">
        <v>19</v>
      </c>
      <c r="B20" s="7" t="s">
        <v>16</v>
      </c>
      <c r="C20" s="7" t="s">
        <v>17</v>
      </c>
      <c r="D20" s="7"/>
      <c r="E20" s="7" t="s">
        <v>1533</v>
      </c>
      <c r="F20" s="7" t="s">
        <v>19</v>
      </c>
      <c r="G20" s="7" t="s">
        <v>31</v>
      </c>
      <c r="H20" s="7" t="s">
        <v>17</v>
      </c>
      <c r="I20" s="7" t="s">
        <v>17</v>
      </c>
      <c r="J20" s="7" t="s">
        <v>2205</v>
      </c>
    </row>
    <row r="21" spans="1:10" x14ac:dyDescent="0.25" outlineLevel="1" collapsed="1">
      <c r="A21" s="7" t="s">
        <v>19</v>
      </c>
      <c r="B21" s="7" t="s">
        <v>16</v>
      </c>
      <c r="C21" s="7" t="s">
        <v>17</v>
      </c>
      <c r="D21" s="7"/>
      <c r="E21" s="7" t="s">
        <v>1539</v>
      </c>
      <c r="F21" s="7" t="s">
        <v>19</v>
      </c>
      <c r="G21" s="7" t="s">
        <v>31</v>
      </c>
      <c r="H21" s="7" t="s">
        <v>17</v>
      </c>
      <c r="I21" s="7" t="s">
        <v>17</v>
      </c>
      <c r="J21" s="7" t="s">
        <v>752</v>
      </c>
    </row>
  </sheetData>
  <mergeCells count="3">
    <mergeCell ref="A1:J1"/>
    <mergeCell ref="B2:J2"/>
    <mergeCell ref="B3:J3"/>
  </mergeCells>
  <hyperlinks>
    <hyperlink ref="B7" r:id="rId1" location="#'4.4.2 Buffer pool allocation r'!A1"/>
    <hyperlink ref="B16" r:id="rId2" location="#'4.4.2 Buffer pool allocatio 2'!A1"/>
  </hyperlinks>
  <pageMargins left="0.7" right="0.7" top="0.75" bottom="0.75" header="0.3" footer="0.3"/>
  <pageSetup orientation="portrait" horizontalDpi="4294967295" verticalDpi="4294967295" scale="100" fitToWidth="1" fitToHeight="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3808</v>
      </c>
      <c r="B1" s="1"/>
      <c r="C1" s="1"/>
      <c r="D1" s="1"/>
      <c r="E1" s="1"/>
      <c r="F1" s="1"/>
      <c r="G1" s="1"/>
      <c r="H1" s="1"/>
      <c r="I1" s="1"/>
      <c r="J1" s="1"/>
    </row>
    <row r="2" spans="1:10" x14ac:dyDescent="0.25">
      <c r="A2" s="2" t="s">
        <v>1</v>
      </c>
      <c r="B2" s="3" t="s">
        <v>3809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3810</v>
      </c>
      <c r="B1" s="1"/>
      <c r="C1" s="1"/>
      <c r="D1" s="1"/>
      <c r="E1" s="1"/>
      <c r="F1" s="1"/>
      <c r="G1" s="1"/>
      <c r="H1" s="1"/>
      <c r="I1" s="1"/>
      <c r="J1" s="1"/>
    </row>
    <row r="2" spans="1:10" x14ac:dyDescent="0.25">
      <c r="A2" s="2" t="s">
        <v>1</v>
      </c>
      <c r="B2" s="3" t="s">
        <v>3811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3812</v>
      </c>
      <c r="B1" s="1"/>
      <c r="C1" s="1"/>
      <c r="D1" s="1"/>
      <c r="E1" s="1"/>
      <c r="F1" s="1"/>
      <c r="G1" s="1"/>
      <c r="H1" s="1"/>
      <c r="I1" s="1"/>
      <c r="J1" s="1"/>
    </row>
    <row r="2" spans="1:10" x14ac:dyDescent="0.25">
      <c r="A2" s="2" t="s">
        <v>1</v>
      </c>
      <c r="B2" s="3" t="s">
        <v>3813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3814</v>
      </c>
      <c r="B1" s="1"/>
      <c r="C1" s="1"/>
      <c r="D1" s="1"/>
      <c r="E1" s="1"/>
      <c r="F1" s="1"/>
      <c r="G1" s="1"/>
      <c r="H1" s="1"/>
      <c r="I1" s="1"/>
      <c r="J1" s="1"/>
    </row>
    <row r="2" spans="1:10" x14ac:dyDescent="0.25">
      <c r="A2" s="2" t="s">
        <v>1</v>
      </c>
      <c r="B2" s="3" t="s">
        <v>3815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3816</v>
      </c>
      <c r="B1" s="1"/>
      <c r="C1" s="1"/>
      <c r="D1" s="1"/>
      <c r="E1" s="1"/>
      <c r="F1" s="1"/>
      <c r="G1" s="1"/>
      <c r="H1" s="1"/>
      <c r="I1" s="1"/>
      <c r="J1" s="1"/>
    </row>
    <row r="2" spans="1:10" x14ac:dyDescent="0.25">
      <c r="A2" s="2" t="s">
        <v>1</v>
      </c>
      <c r="B2" s="3" t="s">
        <v>3817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2513</v>
      </c>
      <c r="F5" s="5" t="s">
        <v>19</v>
      </c>
      <c r="G5" s="5" t="s">
        <v>31</v>
      </c>
      <c r="H5" s="5" t="s">
        <v>17</v>
      </c>
      <c r="I5" s="5" t="s">
        <v>17</v>
      </c>
      <c r="J5" s="5" t="s">
        <v>2514</v>
      </c>
    </row>
    <row r="6" spans="1:10" x14ac:dyDescent="0.25">
      <c r="A6" s="5" t="s">
        <v>19</v>
      </c>
      <c r="B6" s="5" t="s">
        <v>16</v>
      </c>
      <c r="C6" s="5" t="s">
        <v>17</v>
      </c>
      <c r="D6" s="5"/>
      <c r="E6" s="5" t="s">
        <v>3147</v>
      </c>
      <c r="F6" s="5" t="s">
        <v>19</v>
      </c>
      <c r="G6" s="5" t="s">
        <v>31</v>
      </c>
      <c r="H6" s="5" t="s">
        <v>17</v>
      </c>
      <c r="I6" s="5" t="s">
        <v>17</v>
      </c>
      <c r="J6" s="5" t="s">
        <v>2510</v>
      </c>
    </row>
    <row r="7" spans="1:10" x14ac:dyDescent="0.25">
      <c r="A7" s="5" t="s">
        <v>19</v>
      </c>
      <c r="B7" s="5" t="s">
        <v>16</v>
      </c>
      <c r="C7" s="5" t="s">
        <v>17</v>
      </c>
      <c r="D7" s="5"/>
      <c r="E7" s="5" t="s">
        <v>1256</v>
      </c>
      <c r="F7" s="5" t="s">
        <v>19</v>
      </c>
      <c r="G7" s="5" t="s">
        <v>31</v>
      </c>
      <c r="H7" s="5" t="s">
        <v>17</v>
      </c>
      <c r="I7" s="5" t="s">
        <v>17</v>
      </c>
      <c r="J7" s="5" t="s">
        <v>1257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3818</v>
      </c>
      <c r="B1" s="1"/>
      <c r="C1" s="1"/>
      <c r="D1" s="1"/>
      <c r="E1" s="1"/>
      <c r="F1" s="1"/>
      <c r="G1" s="1"/>
      <c r="H1" s="1"/>
      <c r="I1" s="1"/>
      <c r="J1" s="1"/>
    </row>
    <row r="2" spans="1:10" x14ac:dyDescent="0.25">
      <c r="A2" s="2" t="s">
        <v>1</v>
      </c>
      <c r="B2" s="3" t="s">
        <v>3819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2538</v>
      </c>
      <c r="F5" s="5" t="s">
        <v>19</v>
      </c>
      <c r="G5" s="5" t="s">
        <v>31</v>
      </c>
      <c r="H5" s="5" t="s">
        <v>17</v>
      </c>
      <c r="I5" s="5" t="s">
        <v>17</v>
      </c>
      <c r="J5" s="5" t="s">
        <v>2539</v>
      </c>
    </row>
    <row r="6" spans="1:10" x14ac:dyDescent="0.25">
      <c r="A6" s="5" t="s">
        <v>19</v>
      </c>
      <c r="B6" s="5" t="s">
        <v>16</v>
      </c>
      <c r="C6" s="5" t="s">
        <v>17</v>
      </c>
      <c r="D6" s="5"/>
      <c r="E6" s="5" t="s">
        <v>2540</v>
      </c>
      <c r="F6" s="5" t="s">
        <v>19</v>
      </c>
      <c r="G6" s="5" t="s">
        <v>31</v>
      </c>
      <c r="H6" s="5" t="s">
        <v>17</v>
      </c>
      <c r="I6" s="5" t="s">
        <v>17</v>
      </c>
      <c r="J6" s="5" t="s">
        <v>606</v>
      </c>
    </row>
    <row r="7" spans="1:10" x14ac:dyDescent="0.25">
      <c r="A7" s="5" t="s">
        <v>19</v>
      </c>
      <c r="B7" s="5" t="s">
        <v>16</v>
      </c>
      <c r="C7" s="5" t="s">
        <v>17</v>
      </c>
      <c r="D7" s="5"/>
      <c r="E7" s="5" t="s">
        <v>2541</v>
      </c>
      <c r="F7" s="5" t="s">
        <v>19</v>
      </c>
      <c r="G7" s="5" t="s">
        <v>31</v>
      </c>
      <c r="H7" s="5" t="s">
        <v>17</v>
      </c>
      <c r="I7" s="5" t="s">
        <v>17</v>
      </c>
      <c r="J7" s="5" t="s">
        <v>2542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3820</v>
      </c>
      <c r="B1" s="1"/>
      <c r="C1" s="1"/>
      <c r="D1" s="1"/>
      <c r="E1" s="1"/>
      <c r="F1" s="1"/>
      <c r="G1" s="1"/>
      <c r="H1" s="1"/>
      <c r="I1" s="1"/>
      <c r="J1" s="1"/>
    </row>
    <row r="2" spans="1:10" x14ac:dyDescent="0.25">
      <c r="A2" s="2" t="s">
        <v>1</v>
      </c>
      <c r="B2" s="3" t="s">
        <v>3821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794</v>
      </c>
      <c r="F5" s="5" t="s">
        <v>19</v>
      </c>
      <c r="G5" s="5" t="s">
        <v>31</v>
      </c>
      <c r="H5" s="5" t="s">
        <v>17</v>
      </c>
      <c r="I5" s="5" t="s">
        <v>17</v>
      </c>
      <c r="J5" s="5" t="s">
        <v>796</v>
      </c>
    </row>
    <row r="6" spans="1:10" x14ac:dyDescent="0.25">
      <c r="A6" s="5" t="s">
        <v>19</v>
      </c>
      <c r="B6" s="5" t="s">
        <v>16</v>
      </c>
      <c r="C6" s="5" t="s">
        <v>17</v>
      </c>
      <c r="D6" s="5"/>
      <c r="E6" s="5" t="s">
        <v>797</v>
      </c>
      <c r="F6" s="5" t="s">
        <v>19</v>
      </c>
      <c r="G6" s="5" t="s">
        <v>31</v>
      </c>
      <c r="H6" s="5" t="s">
        <v>17</v>
      </c>
      <c r="I6" s="5" t="s">
        <v>17</v>
      </c>
      <c r="J6" s="5" t="s">
        <v>1049</v>
      </c>
    </row>
    <row r="7" spans="1:10" x14ac:dyDescent="0.25">
      <c r="A7" s="5" t="s">
        <v>19</v>
      </c>
      <c r="B7" s="5" t="s">
        <v>16</v>
      </c>
      <c r="C7" s="5" t="s">
        <v>17</v>
      </c>
      <c r="D7" s="5"/>
      <c r="E7" s="5" t="s">
        <v>1050</v>
      </c>
      <c r="F7" s="5" t="s">
        <v>19</v>
      </c>
      <c r="G7" s="5" t="s">
        <v>31</v>
      </c>
      <c r="H7" s="5" t="s">
        <v>17</v>
      </c>
      <c r="I7" s="5" t="s">
        <v>17</v>
      </c>
      <c r="J7" s="5" t="s">
        <v>1051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3822</v>
      </c>
      <c r="B1" s="1"/>
      <c r="C1" s="1"/>
      <c r="D1" s="1"/>
      <c r="E1" s="1"/>
      <c r="F1" s="1"/>
      <c r="G1" s="1"/>
      <c r="H1" s="1"/>
      <c r="I1" s="1"/>
      <c r="J1" s="1"/>
    </row>
    <row r="2" spans="1:10" x14ac:dyDescent="0.25">
      <c r="A2" s="2" t="s">
        <v>1</v>
      </c>
      <c r="B2" s="3" t="s">
        <v>3823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2426</v>
      </c>
      <c r="F5" s="5" t="s">
        <v>19</v>
      </c>
      <c r="G5" s="5" t="s">
        <v>31</v>
      </c>
      <c r="H5" s="5" t="s">
        <v>17</v>
      </c>
      <c r="I5" s="5" t="s">
        <v>17</v>
      </c>
      <c r="J5" s="5" t="s">
        <v>2427</v>
      </c>
    </row>
    <row r="6" spans="1:10" x14ac:dyDescent="0.25">
      <c r="A6" s="5" t="s">
        <v>19</v>
      </c>
      <c r="B6" s="5" t="s">
        <v>16</v>
      </c>
      <c r="C6" s="5" t="s">
        <v>17</v>
      </c>
      <c r="D6" s="5"/>
      <c r="E6" s="5" t="s">
        <v>2428</v>
      </c>
      <c r="F6" s="5" t="s">
        <v>19</v>
      </c>
      <c r="G6" s="5" t="s">
        <v>31</v>
      </c>
      <c r="H6" s="5" t="s">
        <v>17</v>
      </c>
      <c r="I6" s="5" t="s">
        <v>17</v>
      </c>
      <c r="J6" s="5" t="s">
        <v>2429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3824</v>
      </c>
      <c r="B1" s="1"/>
      <c r="C1" s="1"/>
      <c r="D1" s="1"/>
      <c r="E1" s="1"/>
      <c r="F1" s="1"/>
      <c r="G1" s="1"/>
      <c r="H1" s="1"/>
      <c r="I1" s="1"/>
      <c r="J1" s="1"/>
    </row>
    <row r="2" spans="1:10" x14ac:dyDescent="0.25">
      <c r="A2" s="2" t="s">
        <v>1</v>
      </c>
      <c r="B2" s="3" t="s">
        <v>3825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505</v>
      </c>
      <c r="F5" s="5" t="s">
        <v>19</v>
      </c>
      <c r="G5" s="5" t="s">
        <v>31</v>
      </c>
      <c r="H5" s="5" t="s">
        <v>17</v>
      </c>
      <c r="I5" s="5" t="s">
        <v>17</v>
      </c>
      <c r="J5" s="5" t="s">
        <v>506</v>
      </c>
    </row>
    <row r="6" spans="1:10" x14ac:dyDescent="0.25">
      <c r="A6" s="5" t="s">
        <v>19</v>
      </c>
      <c r="B6" s="5" t="s">
        <v>16</v>
      </c>
      <c r="C6" s="5" t="s">
        <v>17</v>
      </c>
      <c r="D6" s="5"/>
      <c r="E6" s="5" t="s">
        <v>501</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3826</v>
      </c>
      <c r="B1" s="1"/>
      <c r="C1" s="1"/>
      <c r="D1" s="1"/>
      <c r="E1" s="1"/>
      <c r="F1" s="1"/>
      <c r="G1" s="1"/>
      <c r="H1" s="1"/>
      <c r="I1" s="1"/>
      <c r="J1" s="1"/>
    </row>
    <row r="2" spans="1:10" x14ac:dyDescent="0.25">
      <c r="A2" s="2" t="s">
        <v>1</v>
      </c>
      <c r="B2" s="3" t="s">
        <v>3827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1242</v>
      </c>
      <c r="F5" s="5" t="s">
        <v>19</v>
      </c>
      <c r="G5" s="5" t="s">
        <v>31</v>
      </c>
      <c r="H5" s="5" t="s">
        <v>17</v>
      </c>
      <c r="I5" s="5" t="s">
        <v>17</v>
      </c>
      <c r="J5" s="5" t="s">
        <v>1243</v>
      </c>
    </row>
    <row r="6" spans="1:10" x14ac:dyDescent="0.25">
      <c r="A6" s="5" t="s">
        <v>19</v>
      </c>
      <c r="B6" s="5" t="s">
        <v>16</v>
      </c>
      <c r="C6" s="5" t="s">
        <v>17</v>
      </c>
      <c r="D6" s="5"/>
      <c r="E6" s="5" t="s">
        <v>1244</v>
      </c>
      <c r="F6" s="5" t="s">
        <v>19</v>
      </c>
      <c r="G6" s="5" t="s">
        <v>31</v>
      </c>
      <c r="H6" s="5" t="s">
        <v>17</v>
      </c>
      <c r="I6" s="5" t="s">
        <v>17</v>
      </c>
      <c r="J6" s="5" t="s">
        <v>1245</v>
      </c>
    </row>
    <row r="7" spans="1:10" x14ac:dyDescent="0.25">
      <c r="A7" s="5" t="s">
        <v>19</v>
      </c>
      <c r="B7" s="5" t="s">
        <v>16</v>
      </c>
      <c r="C7" s="5" t="s">
        <v>17</v>
      </c>
      <c r="D7" s="5"/>
      <c r="E7" s="5" t="s">
        <v>1246</v>
      </c>
      <c r="F7" s="5" t="s">
        <v>19</v>
      </c>
      <c r="G7" s="5" t="s">
        <v>31</v>
      </c>
      <c r="H7" s="5" t="s">
        <v>17</v>
      </c>
      <c r="I7" s="5" t="s">
        <v>17</v>
      </c>
      <c r="J7" s="5" t="s">
        <v>1247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3828</v>
      </c>
      <c r="B1" s="1"/>
      <c r="C1" s="1"/>
      <c r="D1" s="1"/>
      <c r="E1" s="1"/>
      <c r="F1" s="1"/>
      <c r="G1" s="1"/>
      <c r="H1" s="1"/>
      <c r="I1" s="1"/>
      <c r="J1" s="1"/>
    </row>
    <row r="2" spans="1:10" x14ac:dyDescent="0.25">
      <c r="A2" s="2" t="s">
        <v>1</v>
      </c>
      <c r="B2" s="3" t="s">
        <v>3829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3830</v>
      </c>
      <c r="B1" s="1"/>
      <c r="C1" s="1"/>
      <c r="D1" s="1"/>
      <c r="E1" s="1"/>
      <c r="F1" s="1"/>
      <c r="G1" s="1"/>
      <c r="H1" s="1"/>
      <c r="I1" s="1"/>
      <c r="J1" s="1"/>
    </row>
    <row r="2" spans="1:10" x14ac:dyDescent="0.25">
      <c r="A2" s="2" t="s">
        <v>1</v>
      </c>
      <c r="B2" s="3" t="s">
        <v>3831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2426</v>
      </c>
      <c r="F5" s="5" t="s">
        <v>19</v>
      </c>
      <c r="G5" s="5" t="s">
        <v>31</v>
      </c>
      <c r="H5" s="5" t="s">
        <v>17</v>
      </c>
      <c r="I5" s="5" t="s">
        <v>17</v>
      </c>
      <c r="J5" s="5" t="s">
        <v>2427</v>
      </c>
    </row>
    <row r="6" spans="1:10" x14ac:dyDescent="0.25">
      <c r="A6" s="5" t="s">
        <v>19</v>
      </c>
      <c r="B6" s="5" t="s">
        <v>16</v>
      </c>
      <c r="C6" s="5" t="s">
        <v>17</v>
      </c>
      <c r="D6" s="5"/>
      <c r="E6" s="5" t="s">
        <v>2586</v>
      </c>
      <c r="F6" s="5" t="s">
        <v>19</v>
      </c>
      <c r="G6" s="5" t="s">
        <v>31</v>
      </c>
      <c r="H6" s="5" t="s">
        <v>17</v>
      </c>
      <c r="I6" s="5" t="s">
        <v>17</v>
      </c>
      <c r="J6" s="5" t="s">
        <v>2587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3832</v>
      </c>
      <c r="B1" s="1"/>
      <c r="C1" s="1"/>
      <c r="D1" s="1"/>
      <c r="E1" s="1"/>
      <c r="F1" s="1"/>
      <c r="G1" s="1"/>
      <c r="H1" s="1"/>
      <c r="I1" s="1"/>
      <c r="J1" s="1"/>
    </row>
    <row r="2" spans="1:10" x14ac:dyDescent="0.25">
      <c r="A2" s="2" t="s">
        <v>1</v>
      </c>
      <c r="B2" s="3" t="s">
        <v>3833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v>
      </c>
      <c r="F5" s="5" t="s">
        <v>19</v>
      </c>
      <c r="G5" s="5" t="s">
        <v>31</v>
      </c>
      <c r="H5" s="5" t="s">
        <v>17</v>
      </c>
      <c r="I5" s="5" t="s">
        <v>17</v>
      </c>
      <c r="J5" s="5" t="s">
        <v>32</v>
      </c>
    </row>
    <row r="6" spans="1:10" x14ac:dyDescent="0.25">
      <c r="A6" s="5" t="s">
        <v>19</v>
      </c>
      <c r="B6" s="5" t="s">
        <v>16</v>
      </c>
      <c r="C6" s="5" t="s">
        <v>17</v>
      </c>
      <c r="D6" s="5"/>
      <c r="E6" s="5" t="s">
        <v>33</v>
      </c>
      <c r="F6" s="5" t="s">
        <v>19</v>
      </c>
      <c r="G6" s="5" t="s">
        <v>31</v>
      </c>
      <c r="H6" s="5" t="s">
        <v>17</v>
      </c>
      <c r="I6" s="5" t="s">
        <v>17</v>
      </c>
      <c r="J6" s="5" t="s">
        <v>34</v>
      </c>
    </row>
    <row r="7" spans="1:10" x14ac:dyDescent="0.25">
      <c r="A7" s="5" t="s">
        <v>19</v>
      </c>
      <c r="B7" s="5" t="s">
        <v>16</v>
      </c>
      <c r="C7" s="5" t="s">
        <v>17</v>
      </c>
      <c r="D7" s="5"/>
      <c r="E7" s="5" t="s">
        <v>35</v>
      </c>
      <c r="F7" s="5" t="s">
        <v>19</v>
      </c>
      <c r="G7" s="5" t="s">
        <v>31</v>
      </c>
      <c r="H7" s="5" t="s">
        <v>17</v>
      </c>
      <c r="I7" s="5" t="s">
        <v>17</v>
      </c>
      <c r="J7" s="5" t="s">
        <v>36</v>
      </c>
    </row>
    <row r="8" spans="1:10" x14ac:dyDescent="0.25">
      <c r="A8" s="5" t="s">
        <v>19</v>
      </c>
      <c r="B8" s="5" t="s">
        <v>16</v>
      </c>
      <c r="C8" s="5" t="s">
        <v>17</v>
      </c>
      <c r="D8" s="5"/>
      <c r="E8" s="5" t="s">
        <v>37</v>
      </c>
      <c r="F8" s="5" t="s">
        <v>19</v>
      </c>
      <c r="G8" s="5" t="s">
        <v>31</v>
      </c>
      <c r="H8" s="5" t="s">
        <v>17</v>
      </c>
      <c r="I8" s="5" t="s">
        <v>17</v>
      </c>
      <c r="J8" s="5" t="s">
        <v>38</v>
      </c>
    </row>
    <row r="9" spans="1:10" x14ac:dyDescent="0.25">
      <c r="A9" s="5" t="s">
        <v>19</v>
      </c>
      <c r="B9" s="5" t="s">
        <v>16</v>
      </c>
      <c r="C9" s="5" t="s">
        <v>17</v>
      </c>
      <c r="D9" s="5"/>
      <c r="E9" s="5" t="s">
        <v>39</v>
      </c>
      <c r="F9" s="5" t="s">
        <v>19</v>
      </c>
      <c r="G9" s="5" t="s">
        <v>31</v>
      </c>
      <c r="H9" s="5" t="s">
        <v>17</v>
      </c>
      <c r="I9" s="5" t="s">
        <v>17</v>
      </c>
      <c r="J9"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3834</v>
      </c>
      <c r="B1" s="1"/>
      <c r="C1" s="1"/>
      <c r="D1" s="1"/>
      <c r="E1" s="1"/>
      <c r="F1" s="1"/>
      <c r="G1" s="1"/>
      <c r="H1" s="1"/>
      <c r="I1" s="1"/>
      <c r="J1" s="1"/>
    </row>
    <row r="2" spans="1:10" x14ac:dyDescent="0.25">
      <c r="A2" s="2" t="s">
        <v>1</v>
      </c>
      <c r="B2" s="3" t="s">
        <v>3835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135</v>
      </c>
      <c r="F5" s="5" t="s">
        <v>19</v>
      </c>
      <c r="G5" s="5" t="s">
        <v>31</v>
      </c>
      <c r="H5" s="5" t="s">
        <v>17</v>
      </c>
      <c r="I5" s="5" t="s">
        <v>17</v>
      </c>
      <c r="J5" s="5" t="s">
        <v>136</v>
      </c>
    </row>
    <row r="6" spans="1:10" x14ac:dyDescent="0.25">
      <c r="A6" s="5" t="s">
        <v>19</v>
      </c>
      <c r="B6" s="5" t="s">
        <v>16</v>
      </c>
      <c r="C6" s="5" t="s">
        <v>17</v>
      </c>
      <c r="D6" s="5"/>
      <c r="E6" s="5" t="s">
        <v>1288</v>
      </c>
      <c r="F6" s="5" t="s">
        <v>19</v>
      </c>
      <c r="G6" s="5" t="s">
        <v>31</v>
      </c>
      <c r="H6" s="5" t="s">
        <v>17</v>
      </c>
      <c r="I6" s="5" t="s">
        <v>17</v>
      </c>
      <c r="J6" s="5" t="s">
        <v>1289</v>
      </c>
    </row>
    <row r="7" spans="1:10" x14ac:dyDescent="0.25">
      <c r="A7" s="5" t="s">
        <v>19</v>
      </c>
      <c r="B7" s="5" t="s">
        <v>16</v>
      </c>
      <c r="C7" s="5" t="s">
        <v>17</v>
      </c>
      <c r="D7" s="5"/>
      <c r="E7" s="5" t="s">
        <v>164</v>
      </c>
      <c r="F7" s="5" t="s">
        <v>19</v>
      </c>
      <c r="G7" s="5" t="s">
        <v>31</v>
      </c>
      <c r="H7" s="5" t="s">
        <v>17</v>
      </c>
      <c r="I7" s="5" t="s">
        <v>17</v>
      </c>
      <c r="J7" s="5" t="s">
        <v>165</v>
      </c>
    </row>
    <row r="8" spans="1:10" x14ac:dyDescent="0.25">
      <c r="A8" s="5" t="s">
        <v>19</v>
      </c>
      <c r="B8" s="5" t="s">
        <v>16</v>
      </c>
      <c r="C8" s="5" t="s">
        <v>17</v>
      </c>
      <c r="D8" s="5"/>
      <c r="E8" s="5" t="s">
        <v>1290</v>
      </c>
      <c r="F8" s="5" t="s">
        <v>19</v>
      </c>
      <c r="G8" s="5" t="s">
        <v>31</v>
      </c>
      <c r="H8" s="5" t="s">
        <v>17</v>
      </c>
      <c r="I8" s="5" t="s">
        <v>17</v>
      </c>
      <c r="J8" s="5" t="s">
        <v>1291</v>
      </c>
    </row>
    <row r="9" spans="1:10" x14ac:dyDescent="0.25">
      <c r="A9" s="5" t="s">
        <v>19</v>
      </c>
      <c r="B9" s="5" t="s">
        <v>16</v>
      </c>
      <c r="C9" s="5" t="s">
        <v>17</v>
      </c>
      <c r="D9" s="5"/>
      <c r="E9" s="5" t="s">
        <v>166</v>
      </c>
      <c r="F9" s="5" t="s">
        <v>19</v>
      </c>
      <c r="G9" s="5" t="s">
        <v>31</v>
      </c>
      <c r="H9" s="5" t="s">
        <v>17</v>
      </c>
      <c r="I9" s="5" t="s">
        <v>17</v>
      </c>
      <c r="J9" s="5" t="s">
        <v>167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3836</v>
      </c>
      <c r="B1" s="1"/>
      <c r="C1" s="1"/>
      <c r="D1" s="1"/>
      <c r="E1" s="1"/>
      <c r="F1" s="1"/>
      <c r="G1" s="1"/>
      <c r="H1" s="1"/>
      <c r="I1" s="1"/>
      <c r="J1" s="1"/>
    </row>
    <row r="2" spans="1:10" x14ac:dyDescent="0.25">
      <c r="A2" s="2" t="s">
        <v>1</v>
      </c>
      <c r="B2" s="3" t="s">
        <v>3837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3838</v>
      </c>
      <c r="B1" s="1"/>
      <c r="C1" s="1"/>
      <c r="D1" s="1"/>
      <c r="E1" s="1"/>
      <c r="F1" s="1"/>
      <c r="G1" s="1"/>
      <c r="H1" s="1"/>
      <c r="I1" s="1"/>
      <c r="J1" s="1"/>
    </row>
    <row r="2" spans="1:10" x14ac:dyDescent="0.25">
      <c r="A2" s="2" t="s">
        <v>1</v>
      </c>
      <c r="B2" s="3" t="s">
        <v>3839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3840</v>
      </c>
      <c r="B1" s="1"/>
      <c r="C1" s="1"/>
      <c r="D1" s="1"/>
      <c r="E1" s="1"/>
      <c r="F1" s="1"/>
      <c r="G1" s="1"/>
      <c r="H1" s="1"/>
      <c r="I1" s="1"/>
      <c r="J1" s="1"/>
    </row>
    <row r="2" spans="1:10" x14ac:dyDescent="0.25">
      <c r="A2" s="2" t="s">
        <v>1</v>
      </c>
      <c r="B2" s="3" t="s">
        <v>3841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3842</v>
      </c>
      <c r="B1" s="1"/>
      <c r="C1" s="1"/>
      <c r="D1" s="1"/>
      <c r="E1" s="1"/>
      <c r="F1" s="1"/>
      <c r="G1" s="1"/>
      <c r="H1" s="1"/>
      <c r="I1" s="1"/>
      <c r="J1" s="1"/>
    </row>
    <row r="2" spans="1:10" x14ac:dyDescent="0.25">
      <c r="A2" s="2" t="s">
        <v>1</v>
      </c>
      <c r="B2" s="3" t="s">
        <v>3843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1242</v>
      </c>
      <c r="F5" s="5" t="s">
        <v>19</v>
      </c>
      <c r="G5" s="5" t="s">
        <v>31</v>
      </c>
      <c r="H5" s="5" t="s">
        <v>17</v>
      </c>
      <c r="I5" s="5" t="s">
        <v>17</v>
      </c>
      <c r="J5" s="5" t="s">
        <v>1243</v>
      </c>
    </row>
    <row r="6" spans="1:10" x14ac:dyDescent="0.25">
      <c r="A6" s="5" t="s">
        <v>19</v>
      </c>
      <c r="B6" s="5" t="s">
        <v>16</v>
      </c>
      <c r="C6" s="5" t="s">
        <v>17</v>
      </c>
      <c r="D6" s="5"/>
      <c r="E6" s="5" t="s">
        <v>1244</v>
      </c>
      <c r="F6" s="5" t="s">
        <v>19</v>
      </c>
      <c r="G6" s="5" t="s">
        <v>31</v>
      </c>
      <c r="H6" s="5" t="s">
        <v>17</v>
      </c>
      <c r="I6" s="5" t="s">
        <v>17</v>
      </c>
      <c r="J6" s="5" t="s">
        <v>1245</v>
      </c>
    </row>
    <row r="7" spans="1:10" x14ac:dyDescent="0.25">
      <c r="A7" s="5" t="s">
        <v>19</v>
      </c>
      <c r="B7" s="5" t="s">
        <v>16</v>
      </c>
      <c r="C7" s="5" t="s">
        <v>17</v>
      </c>
      <c r="D7" s="5"/>
      <c r="E7" s="5" t="s">
        <v>2349</v>
      </c>
      <c r="F7" s="5" t="s">
        <v>19</v>
      </c>
      <c r="G7" s="5" t="s">
        <v>31</v>
      </c>
      <c r="H7" s="5" t="s">
        <v>17</v>
      </c>
      <c r="I7" s="5" t="s">
        <v>17</v>
      </c>
      <c r="J7" s="5" t="s">
        <v>2350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3844</v>
      </c>
      <c r="B1" s="1"/>
      <c r="C1" s="1"/>
      <c r="D1" s="1"/>
      <c r="E1" s="1"/>
      <c r="F1" s="1"/>
      <c r="G1" s="1"/>
      <c r="H1" s="1"/>
      <c r="I1" s="1"/>
      <c r="J1" s="1"/>
    </row>
    <row r="2" spans="1:10" x14ac:dyDescent="0.25">
      <c r="A2" s="2" t="s">
        <v>1</v>
      </c>
      <c r="B2" s="3" t="s">
        <v>3845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3846</v>
      </c>
      <c r="B1" s="1"/>
      <c r="C1" s="1"/>
      <c r="D1" s="1"/>
      <c r="E1" s="1"/>
      <c r="F1" s="1"/>
      <c r="G1" s="1"/>
      <c r="H1" s="1"/>
      <c r="I1" s="1"/>
      <c r="J1" s="1"/>
    </row>
    <row r="2" spans="1:10" x14ac:dyDescent="0.25">
      <c r="A2" s="2" t="s">
        <v>1</v>
      </c>
      <c r="B2" s="3" t="s">
        <v>3847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478</v>
      </c>
      <c r="F5" s="5" t="s">
        <v>19</v>
      </c>
      <c r="G5" s="5" t="s">
        <v>31</v>
      </c>
      <c r="H5" s="5" t="s">
        <v>17</v>
      </c>
      <c r="I5" s="5" t="s">
        <v>17</v>
      </c>
      <c r="J5" s="5" t="s">
        <v>1323</v>
      </c>
    </row>
    <row r="6" spans="1:10" x14ac:dyDescent="0.25">
      <c r="A6" s="5" t="s">
        <v>19</v>
      </c>
      <c r="B6" s="5" t="s">
        <v>16</v>
      </c>
      <c r="C6" s="5" t="s">
        <v>17</v>
      </c>
      <c r="D6" s="5"/>
      <c r="E6" s="5" t="s">
        <v>1324</v>
      </c>
      <c r="F6" s="5" t="s">
        <v>19</v>
      </c>
      <c r="G6" s="5" t="s">
        <v>31</v>
      </c>
      <c r="H6" s="5" t="s">
        <v>17</v>
      </c>
      <c r="I6" s="5" t="s">
        <v>17</v>
      </c>
      <c r="J6" s="5" t="s">
        <v>1325</v>
      </c>
    </row>
    <row r="7" spans="1:10" x14ac:dyDescent="0.25">
      <c r="A7" s="5" t="s">
        <v>19</v>
      </c>
      <c r="B7" s="5" t="s">
        <v>16</v>
      </c>
      <c r="C7" s="5" t="s">
        <v>17</v>
      </c>
      <c r="D7" s="5"/>
      <c r="E7" s="5" t="s">
        <v>1326</v>
      </c>
      <c r="F7" s="5" t="s">
        <v>19</v>
      </c>
      <c r="G7" s="5" t="s">
        <v>31</v>
      </c>
      <c r="H7" s="5" t="s">
        <v>17</v>
      </c>
      <c r="I7" s="5" t="s">
        <v>17</v>
      </c>
      <c r="J7" s="5" t="s">
        <v>1327</v>
      </c>
    </row>
    <row r="8" spans="1:10" x14ac:dyDescent="0.25">
      <c r="A8" s="5" t="s">
        <v>19</v>
      </c>
      <c r="B8" s="5" t="s">
        <v>16</v>
      </c>
      <c r="C8" s="5" t="s">
        <v>17</v>
      </c>
      <c r="D8" s="5"/>
      <c r="E8" s="5" t="s">
        <v>1328</v>
      </c>
      <c r="F8" s="5" t="s">
        <v>19</v>
      </c>
      <c r="G8" s="5" t="s">
        <v>31</v>
      </c>
      <c r="H8" s="5" t="s">
        <v>17</v>
      </c>
      <c r="I8" s="5" t="s">
        <v>17</v>
      </c>
      <c r="J8" s="5" t="s">
        <v>824</v>
      </c>
    </row>
    <row r="9" spans="1:10" x14ac:dyDescent="0.25">
      <c r="A9" s="5" t="s">
        <v>19</v>
      </c>
      <c r="B9" s="5" t="s">
        <v>16</v>
      </c>
      <c r="C9" s="5" t="s">
        <v>17</v>
      </c>
      <c r="D9" s="5"/>
      <c r="E9" s="5" t="s">
        <v>3140</v>
      </c>
      <c r="F9" s="5" t="s">
        <v>19</v>
      </c>
      <c r="G9" s="5" t="s">
        <v>31</v>
      </c>
      <c r="H9" s="5" t="s">
        <v>17</v>
      </c>
      <c r="I9" s="5" t="s">
        <v>17</v>
      </c>
      <c r="J9" s="5" t="s">
        <v>818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3848</v>
      </c>
      <c r="B1" s="1"/>
      <c r="C1" s="1"/>
      <c r="D1" s="1"/>
      <c r="E1" s="1"/>
      <c r="F1" s="1"/>
      <c r="G1" s="1"/>
      <c r="H1" s="1"/>
      <c r="I1" s="1"/>
      <c r="J1" s="1"/>
    </row>
    <row r="2" spans="1:10" x14ac:dyDescent="0.25">
      <c r="A2" s="2" t="s">
        <v>1</v>
      </c>
      <c r="B2" s="3" t="s">
        <v>3849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3850</v>
      </c>
      <c r="B1" s="1"/>
      <c r="C1" s="1"/>
      <c r="D1" s="1"/>
      <c r="E1" s="1"/>
      <c r="F1" s="1"/>
      <c r="G1" s="1"/>
      <c r="H1" s="1"/>
      <c r="I1" s="1"/>
      <c r="J1" s="1"/>
    </row>
    <row r="2" spans="1:10" x14ac:dyDescent="0.25">
      <c r="A2" s="2" t="s">
        <v>1</v>
      </c>
      <c r="B2" s="3" t="s">
        <v>3851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3852</v>
      </c>
      <c r="B1" s="1"/>
      <c r="C1" s="1"/>
      <c r="D1" s="1"/>
      <c r="E1" s="1"/>
      <c r="F1" s="1"/>
      <c r="G1" s="1"/>
      <c r="H1" s="1"/>
      <c r="I1" s="1"/>
      <c r="J1" s="1"/>
    </row>
    <row r="2" spans="1:10" x14ac:dyDescent="0.25">
      <c r="A2" s="2" t="s">
        <v>1</v>
      </c>
      <c r="B2" s="3" t="s">
        <v>3853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31</v>
      </c>
      <c r="H5" s="5" t="s">
        <v>17</v>
      </c>
      <c r="I5" s="5" t="s">
        <v>17</v>
      </c>
      <c r="J5" s="5" t="s">
        <v>730</v>
      </c>
    </row>
    <row r="6" spans="1:10" x14ac:dyDescent="0.25">
      <c r="A6" s="5" t="s">
        <v>19</v>
      </c>
      <c r="B6" s="5" t="s">
        <v>16</v>
      </c>
      <c r="C6" s="5" t="s">
        <v>17</v>
      </c>
      <c r="D6" s="5"/>
      <c r="E6" s="5" t="s">
        <v>731</v>
      </c>
      <c r="F6" s="5" t="s">
        <v>19</v>
      </c>
      <c r="G6" s="5" t="s">
        <v>31</v>
      </c>
      <c r="H6" s="5" t="s">
        <v>17</v>
      </c>
      <c r="I6" s="5" t="s">
        <v>17</v>
      </c>
      <c r="J6" s="5" t="s">
        <v>733</v>
      </c>
    </row>
    <row r="7" spans="1:10" x14ac:dyDescent="0.25">
      <c r="A7" s="5" t="s">
        <v>19</v>
      </c>
      <c r="B7" s="5" t="s">
        <v>63</v>
      </c>
      <c r="C7" s="5" t="s">
        <v>17</v>
      </c>
      <c r="D7" s="5"/>
      <c r="E7" s="5" t="s">
        <v>1529</v>
      </c>
      <c r="F7" s="5" t="s">
        <v>19</v>
      </c>
      <c r="G7" s="5">
        <v>1</v>
      </c>
      <c r="H7" s="5" t="s">
        <v>17</v>
      </c>
      <c r="I7" s="5" t="s">
        <v>17</v>
      </c>
      <c r="J7" s="5" t="s">
        <v>1530</v>
      </c>
    </row>
    <row r="8" spans="1:10" x14ac:dyDescent="0.25">
      <c r="A8" s="5" t="s">
        <v>19</v>
      </c>
      <c r="B8" s="5" t="s">
        <v>63</v>
      </c>
      <c r="C8" s="5" t="s">
        <v>17</v>
      </c>
      <c r="D8" s="5"/>
      <c r="E8" s="5" t="s">
        <v>1531</v>
      </c>
      <c r="F8" s="5" t="s">
        <v>19</v>
      </c>
      <c r="G8" s="5">
        <v>1</v>
      </c>
      <c r="H8" s="5" t="s">
        <v>17</v>
      </c>
      <c r="I8" s="5" t="s">
        <v>17</v>
      </c>
      <c r="J8" s="5" t="s">
        <v>1532</v>
      </c>
    </row>
    <row r="9" spans="1:10" x14ac:dyDescent="0.25">
      <c r="A9" s="5" t="s">
        <v>19</v>
      </c>
      <c r="B9" s="5" t="s">
        <v>63</v>
      </c>
      <c r="C9" s="5" t="s">
        <v>17</v>
      </c>
      <c r="D9" s="5"/>
      <c r="E9" s="5" t="s">
        <v>1533</v>
      </c>
      <c r="F9" s="5" t="s">
        <v>19</v>
      </c>
      <c r="G9" s="5">
        <v>1</v>
      </c>
      <c r="H9" s="5" t="s">
        <v>17</v>
      </c>
      <c r="I9" s="5" t="s">
        <v>17</v>
      </c>
      <c r="J9" s="5" t="s">
        <v>1534</v>
      </c>
    </row>
    <row r="10" spans="1:10" x14ac:dyDescent="0.25">
      <c r="A10" s="5" t="s">
        <v>19</v>
      </c>
      <c r="B10" s="5" t="s">
        <v>16</v>
      </c>
      <c r="C10" s="5" t="s">
        <v>17</v>
      </c>
      <c r="D10" s="5"/>
      <c r="E10" s="5" t="s">
        <v>1535</v>
      </c>
      <c r="F10" s="5" t="s">
        <v>19</v>
      </c>
      <c r="G10" s="5" t="s">
        <v>31</v>
      </c>
      <c r="H10" s="5" t="s">
        <v>17</v>
      </c>
      <c r="I10" s="5" t="s">
        <v>17</v>
      </c>
      <c r="J10" s="5" t="s">
        <v>1536</v>
      </c>
    </row>
    <row r="11" spans="1:10" x14ac:dyDescent="0.25">
      <c r="A11" s="5" t="s">
        <v>19</v>
      </c>
      <c r="B11" s="5" t="s">
        <v>16</v>
      </c>
      <c r="C11" s="5" t="s">
        <v>17</v>
      </c>
      <c r="D11" s="5"/>
      <c r="E11" s="5" t="s">
        <v>1537</v>
      </c>
      <c r="F11" s="5" t="s">
        <v>19</v>
      </c>
      <c r="G11" s="5" t="s">
        <v>31</v>
      </c>
      <c r="H11" s="5" t="s">
        <v>17</v>
      </c>
      <c r="I11" s="5" t="s">
        <v>17</v>
      </c>
      <c r="J11" s="5" t="s">
        <v>1538</v>
      </c>
    </row>
    <row r="12" spans="1:10" x14ac:dyDescent="0.25">
      <c r="A12" s="5" t="s">
        <v>19</v>
      </c>
      <c r="B12" s="5" t="s">
        <v>16</v>
      </c>
      <c r="C12" s="5" t="s">
        <v>17</v>
      </c>
      <c r="D12" s="5"/>
      <c r="E12" s="5" t="s">
        <v>1539</v>
      </c>
      <c r="F12" s="5" t="s">
        <v>19</v>
      </c>
      <c r="G12" s="5" t="s">
        <v>31</v>
      </c>
      <c r="H12" s="5" t="s">
        <v>17</v>
      </c>
      <c r="I12" s="5" t="s">
        <v>17</v>
      </c>
      <c r="J12" s="5" t="s">
        <v>752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3854</v>
      </c>
      <c r="B1" s="1"/>
      <c r="C1" s="1"/>
      <c r="D1" s="1"/>
      <c r="E1" s="1"/>
      <c r="F1" s="1"/>
      <c r="G1" s="1"/>
      <c r="H1" s="1"/>
      <c r="I1" s="1"/>
      <c r="J1" s="1"/>
    </row>
    <row r="2" spans="1:10" x14ac:dyDescent="0.25">
      <c r="A2" s="2" t="s">
        <v>1</v>
      </c>
      <c r="B2" s="3" t="s">
        <v>3855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3856</v>
      </c>
      <c r="B1" s="1"/>
      <c r="C1" s="1"/>
      <c r="D1" s="1"/>
      <c r="E1" s="1"/>
      <c r="F1" s="1"/>
      <c r="G1" s="1"/>
      <c r="H1" s="1"/>
      <c r="I1" s="1"/>
      <c r="J1" s="1"/>
    </row>
    <row r="2" spans="1:10" x14ac:dyDescent="0.25">
      <c r="A2" s="2" t="s">
        <v>1</v>
      </c>
      <c r="B2" s="3" t="s">
        <v>3857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1200</v>
      </c>
      <c r="F5" s="5" t="s">
        <v>19</v>
      </c>
      <c r="G5" s="5" t="s">
        <v>31</v>
      </c>
      <c r="H5" s="5" t="s">
        <v>17</v>
      </c>
      <c r="I5" s="5" t="s">
        <v>17</v>
      </c>
      <c r="J5" s="5" t="s">
        <v>1201</v>
      </c>
    </row>
    <row r="6" spans="1:10" x14ac:dyDescent="0.25">
      <c r="A6" s="5" t="s">
        <v>19</v>
      </c>
      <c r="B6" s="5" t="s">
        <v>16</v>
      </c>
      <c r="C6" s="5" t="s">
        <v>17</v>
      </c>
      <c r="D6" s="5"/>
      <c r="E6" s="5" t="s">
        <v>1202</v>
      </c>
      <c r="F6" s="5" t="s">
        <v>19</v>
      </c>
      <c r="G6" s="5" t="s">
        <v>31</v>
      </c>
      <c r="H6" s="5" t="s">
        <v>17</v>
      </c>
      <c r="I6" s="5" t="s">
        <v>17</v>
      </c>
      <c r="J6" s="5" t="s">
        <v>1203</v>
      </c>
    </row>
    <row r="7" spans="1:10" x14ac:dyDescent="0.25">
      <c r="A7" s="5" t="s">
        <v>19</v>
      </c>
      <c r="B7" s="5" t="s">
        <v>16</v>
      </c>
      <c r="C7" s="5" t="s">
        <v>17</v>
      </c>
      <c r="D7" s="5"/>
      <c r="E7" s="5" t="s">
        <v>1204</v>
      </c>
      <c r="F7" s="5" t="s">
        <v>19</v>
      </c>
      <c r="G7" s="5" t="s">
        <v>31</v>
      </c>
      <c r="H7" s="5" t="s">
        <v>17</v>
      </c>
      <c r="I7" s="5" t="s">
        <v>17</v>
      </c>
      <c r="J7" s="5" t="s">
        <v>1205</v>
      </c>
    </row>
    <row r="8" spans="1:10" x14ac:dyDescent="0.25">
      <c r="A8" s="5" t="s">
        <v>19</v>
      </c>
      <c r="B8" s="5" t="s">
        <v>16</v>
      </c>
      <c r="C8" s="5" t="s">
        <v>17</v>
      </c>
      <c r="D8" s="5"/>
      <c r="E8" s="5" t="s">
        <v>1206</v>
      </c>
      <c r="F8" s="5" t="s">
        <v>19</v>
      </c>
      <c r="G8" s="5" t="s">
        <v>31</v>
      </c>
      <c r="H8" s="5" t="s">
        <v>17</v>
      </c>
      <c r="I8" s="5" t="s">
        <v>17</v>
      </c>
      <c r="J8" s="5" t="s">
        <v>1207</v>
      </c>
    </row>
    <row r="9" spans="1:10" x14ac:dyDescent="0.25">
      <c r="A9" s="5" t="s">
        <v>19</v>
      </c>
      <c r="B9" s="5" t="s">
        <v>16</v>
      </c>
      <c r="C9" s="5" t="s">
        <v>17</v>
      </c>
      <c r="D9" s="5"/>
      <c r="E9" s="5" t="s">
        <v>1208</v>
      </c>
      <c r="F9" s="5" t="s">
        <v>19</v>
      </c>
      <c r="G9" s="5" t="s">
        <v>31</v>
      </c>
      <c r="H9" s="5" t="s">
        <v>17</v>
      </c>
      <c r="I9" s="5" t="s">
        <v>17</v>
      </c>
      <c r="J9" s="5" t="s">
        <v>1209</v>
      </c>
    </row>
    <row r="10" spans="1:10" x14ac:dyDescent="0.25">
      <c r="A10" s="5" t="s">
        <v>19</v>
      </c>
      <c r="B10" s="5" t="s">
        <v>16</v>
      </c>
      <c r="C10" s="5" t="s">
        <v>17</v>
      </c>
      <c r="D10" s="5"/>
      <c r="E10" s="5" t="s">
        <v>1210</v>
      </c>
      <c r="F10" s="5" t="s">
        <v>19</v>
      </c>
      <c r="G10" s="5" t="s">
        <v>31</v>
      </c>
      <c r="H10" s="5" t="s">
        <v>17</v>
      </c>
      <c r="I10" s="5" t="s">
        <v>17</v>
      </c>
      <c r="J10" s="5" t="s">
        <v>1211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3858</v>
      </c>
      <c r="B1" s="1"/>
      <c r="C1" s="1"/>
      <c r="D1" s="1"/>
      <c r="E1" s="1"/>
      <c r="F1" s="1"/>
      <c r="G1" s="1"/>
      <c r="H1" s="1"/>
      <c r="I1" s="1"/>
      <c r="J1" s="1"/>
    </row>
    <row r="2" spans="1:10" x14ac:dyDescent="0.25">
      <c r="A2" s="2" t="s">
        <v>1</v>
      </c>
      <c r="B2" s="3" t="s">
        <v>3859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3860</v>
      </c>
      <c r="B1" s="1"/>
      <c r="C1" s="1"/>
      <c r="D1" s="1"/>
      <c r="E1" s="1"/>
      <c r="F1" s="1"/>
      <c r="G1" s="1"/>
      <c r="H1" s="1"/>
      <c r="I1" s="1"/>
      <c r="J1" s="1"/>
    </row>
    <row r="2" spans="1:10" x14ac:dyDescent="0.25">
      <c r="A2" s="2" t="s">
        <v>1</v>
      </c>
      <c r="B2" s="3" t="s">
        <v>3861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3862</v>
      </c>
      <c r="B1" s="1"/>
      <c r="C1" s="1"/>
      <c r="D1" s="1"/>
      <c r="E1" s="1"/>
      <c r="F1" s="1"/>
      <c r="G1" s="1"/>
      <c r="H1" s="1"/>
      <c r="I1" s="1"/>
      <c r="J1" s="1"/>
    </row>
    <row r="2" spans="1:10" x14ac:dyDescent="0.25">
      <c r="A2" s="2" t="s">
        <v>1</v>
      </c>
      <c r="B2" s="3" t="s">
        <v>3863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3142</v>
      </c>
      <c r="F5" s="5" t="s">
        <v>19</v>
      </c>
      <c r="G5" s="5" t="s">
        <v>31</v>
      </c>
      <c r="H5" s="5" t="s">
        <v>17</v>
      </c>
      <c r="I5" s="5" t="s">
        <v>17</v>
      </c>
      <c r="J5" s="5" t="s">
        <v>3143</v>
      </c>
    </row>
    <row r="6" spans="1:10" x14ac:dyDescent="0.25">
      <c r="A6" s="5" t="s">
        <v>19</v>
      </c>
      <c r="B6" s="5" t="s">
        <v>16</v>
      </c>
      <c r="C6" s="5" t="s">
        <v>17</v>
      </c>
      <c r="D6" s="5"/>
      <c r="E6" s="5" t="s">
        <v>978</v>
      </c>
      <c r="F6" s="5" t="s">
        <v>19</v>
      </c>
      <c r="G6" s="5" t="s">
        <v>31</v>
      </c>
      <c r="H6" s="5" t="s">
        <v>17</v>
      </c>
      <c r="I6" s="5" t="s">
        <v>17</v>
      </c>
      <c r="J6" s="5" t="s">
        <v>979</v>
      </c>
    </row>
    <row r="7" spans="1:10" x14ac:dyDescent="0.25">
      <c r="A7" s="5" t="s">
        <v>19</v>
      </c>
      <c r="B7" s="5" t="s">
        <v>16</v>
      </c>
      <c r="C7" s="5" t="s">
        <v>17</v>
      </c>
      <c r="D7" s="5"/>
      <c r="E7" s="5" t="s">
        <v>501</v>
      </c>
      <c r="F7" s="5" t="s">
        <v>19</v>
      </c>
      <c r="G7" s="5" t="s">
        <v>31</v>
      </c>
      <c r="H7" s="5" t="s">
        <v>17</v>
      </c>
      <c r="I7" s="5" t="s">
        <v>17</v>
      </c>
      <c r="J7" s="5" t="s">
        <v>497</v>
      </c>
    </row>
    <row r="8" spans="1:10" x14ac:dyDescent="0.25">
      <c r="A8" s="5" t="s">
        <v>19</v>
      </c>
      <c r="B8" s="5" t="s">
        <v>16</v>
      </c>
      <c r="C8" s="5" t="s">
        <v>17</v>
      </c>
      <c r="D8" s="5"/>
      <c r="E8" s="5" t="s">
        <v>500</v>
      </c>
      <c r="F8" s="5" t="s">
        <v>19</v>
      </c>
      <c r="G8" s="5" t="s">
        <v>31</v>
      </c>
      <c r="H8" s="5" t="s">
        <v>17</v>
      </c>
      <c r="I8" s="5" t="s">
        <v>17</v>
      </c>
      <c r="J8"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3864</v>
      </c>
      <c r="B1" s="1"/>
      <c r="C1" s="1"/>
      <c r="D1" s="1"/>
      <c r="E1" s="1"/>
      <c r="F1" s="1"/>
      <c r="G1" s="1"/>
      <c r="H1" s="1"/>
      <c r="I1" s="1"/>
      <c r="J1" s="1"/>
    </row>
    <row r="2" spans="1:10" x14ac:dyDescent="0.25">
      <c r="A2" s="2" t="s">
        <v>1</v>
      </c>
      <c r="B2" s="3" t="s">
        <v>3865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3866</v>
      </c>
      <c r="B1" s="1"/>
      <c r="C1" s="1"/>
      <c r="D1" s="1"/>
      <c r="E1" s="1"/>
      <c r="F1" s="1"/>
      <c r="G1" s="1"/>
      <c r="H1" s="1"/>
      <c r="I1" s="1"/>
      <c r="J1" s="1"/>
    </row>
    <row r="2" spans="1:10" x14ac:dyDescent="0.25">
      <c r="A2" s="2" t="s">
        <v>1</v>
      </c>
      <c r="B2" s="3" t="s">
        <v>3867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3868</v>
      </c>
      <c r="B1" s="1"/>
      <c r="C1" s="1"/>
      <c r="D1" s="1"/>
      <c r="E1" s="1"/>
      <c r="F1" s="1"/>
      <c r="G1" s="1"/>
      <c r="H1" s="1"/>
      <c r="I1" s="1"/>
      <c r="J1" s="1"/>
    </row>
    <row r="2" spans="1:10" x14ac:dyDescent="0.25">
      <c r="A2" s="2" t="s">
        <v>1</v>
      </c>
      <c r="B2" s="3" t="s">
        <v>3869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135</v>
      </c>
      <c r="F5" s="5" t="s">
        <v>19</v>
      </c>
      <c r="G5" s="5" t="s">
        <v>31</v>
      </c>
      <c r="H5" s="5" t="s">
        <v>17</v>
      </c>
      <c r="I5" s="5" t="s">
        <v>17</v>
      </c>
      <c r="J5" s="5" t="s">
        <v>136</v>
      </c>
    </row>
    <row r="6" spans="1:10" x14ac:dyDescent="0.25">
      <c r="A6" s="5" t="s">
        <v>19</v>
      </c>
      <c r="B6" s="5" t="s">
        <v>16</v>
      </c>
      <c r="C6" s="5" t="s">
        <v>17</v>
      </c>
      <c r="D6" s="5"/>
      <c r="E6" s="5" t="s">
        <v>137</v>
      </c>
      <c r="F6" s="5" t="s">
        <v>19</v>
      </c>
      <c r="G6" s="5" t="s">
        <v>31</v>
      </c>
      <c r="H6" s="5" t="s">
        <v>17</v>
      </c>
      <c r="I6" s="5" t="s">
        <v>17</v>
      </c>
      <c r="J6" s="5" t="s">
        <v>138</v>
      </c>
    </row>
    <row r="7" spans="1:10" x14ac:dyDescent="0.25">
      <c r="A7" s="5" t="s">
        <v>19</v>
      </c>
      <c r="B7" s="5" t="s">
        <v>16</v>
      </c>
      <c r="C7" s="5" t="s">
        <v>17</v>
      </c>
      <c r="D7" s="5"/>
      <c r="E7" s="5" t="s">
        <v>139</v>
      </c>
      <c r="F7" s="5" t="s">
        <v>19</v>
      </c>
      <c r="G7" s="5" t="s">
        <v>31</v>
      </c>
      <c r="H7" s="5" t="s">
        <v>17</v>
      </c>
      <c r="I7" s="5" t="s">
        <v>17</v>
      </c>
      <c r="J7" s="5" t="s">
        <v>140</v>
      </c>
    </row>
    <row r="8" spans="1:10" x14ac:dyDescent="0.25">
      <c r="A8" s="5" t="s">
        <v>19</v>
      </c>
      <c r="B8" s="5" t="s">
        <v>16</v>
      </c>
      <c r="C8" s="5" t="s">
        <v>17</v>
      </c>
      <c r="D8" s="5"/>
      <c r="E8" s="5" t="s">
        <v>141</v>
      </c>
      <c r="F8" s="5" t="s">
        <v>19</v>
      </c>
      <c r="G8" s="5" t="s">
        <v>31</v>
      </c>
      <c r="H8" s="5" t="s">
        <v>17</v>
      </c>
      <c r="I8" s="5" t="s">
        <v>17</v>
      </c>
      <c r="J8" s="5" t="s">
        <v>142</v>
      </c>
    </row>
    <row r="9" spans="1:10" x14ac:dyDescent="0.25">
      <c r="A9" s="5" t="s">
        <v>19</v>
      </c>
      <c r="B9" s="5" t="s">
        <v>16</v>
      </c>
      <c r="C9" s="5" t="s">
        <v>17</v>
      </c>
      <c r="D9" s="5"/>
      <c r="E9" s="5" t="s">
        <v>143</v>
      </c>
      <c r="F9" s="5" t="s">
        <v>19</v>
      </c>
      <c r="G9" s="5" t="s">
        <v>31</v>
      </c>
      <c r="H9" s="5" t="s">
        <v>17</v>
      </c>
      <c r="I9" s="5" t="s">
        <v>17</v>
      </c>
      <c r="J9" s="5" t="s">
        <v>144</v>
      </c>
    </row>
    <row r="10" spans="1:10" x14ac:dyDescent="0.25">
      <c r="A10" s="5" t="s">
        <v>19</v>
      </c>
      <c r="B10" s="5" t="s">
        <v>16</v>
      </c>
      <c r="C10" s="5" t="s">
        <v>17</v>
      </c>
      <c r="D10" s="5"/>
      <c r="E10" s="5" t="s">
        <v>145</v>
      </c>
      <c r="F10" s="5" t="s">
        <v>19</v>
      </c>
      <c r="G10" s="5" t="s">
        <v>31</v>
      </c>
      <c r="H10" s="5" t="s">
        <v>17</v>
      </c>
      <c r="I10" s="5" t="s">
        <v>17</v>
      </c>
      <c r="J10" s="5" t="s">
        <v>146</v>
      </c>
    </row>
    <row r="11" spans="1:10" x14ac:dyDescent="0.25">
      <c r="A11" s="5" t="s">
        <v>19</v>
      </c>
      <c r="B11" s="5" t="s">
        <v>16</v>
      </c>
      <c r="C11" s="5" t="s">
        <v>17</v>
      </c>
      <c r="D11" s="5"/>
      <c r="E11" s="5" t="s">
        <v>147</v>
      </c>
      <c r="F11" s="5" t="s">
        <v>19</v>
      </c>
      <c r="G11" s="5" t="s">
        <v>31</v>
      </c>
      <c r="H11" s="5" t="s">
        <v>17</v>
      </c>
      <c r="I11" s="5" t="s">
        <v>17</v>
      </c>
      <c r="J11" s="5" t="s">
        <v>148</v>
      </c>
    </row>
    <row r="12" spans="1:10" x14ac:dyDescent="0.25">
      <c r="A12" s="5" t="s">
        <v>19</v>
      </c>
      <c r="B12" s="5" t="s">
        <v>16</v>
      </c>
      <c r="C12" s="5" t="s">
        <v>17</v>
      </c>
      <c r="D12" s="5"/>
      <c r="E12" s="5" t="s">
        <v>149</v>
      </c>
      <c r="F12" s="5" t="s">
        <v>19</v>
      </c>
      <c r="G12" s="5" t="s">
        <v>31</v>
      </c>
      <c r="H12" s="5" t="s">
        <v>17</v>
      </c>
      <c r="I12" s="5" t="s">
        <v>17</v>
      </c>
      <c r="J12" s="5" t="s">
        <v>150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3870</v>
      </c>
      <c r="B1" s="1"/>
      <c r="C1" s="1"/>
      <c r="D1" s="1"/>
      <c r="E1" s="1"/>
      <c r="F1" s="1"/>
      <c r="G1" s="1"/>
      <c r="H1" s="1"/>
      <c r="I1" s="1"/>
      <c r="J1" s="1"/>
    </row>
    <row r="2" spans="1:10" x14ac:dyDescent="0.25">
      <c r="A2" s="2" t="s">
        <v>1</v>
      </c>
      <c r="B2" s="3" t="s">
        <v>3871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478</v>
      </c>
      <c r="F5" s="5" t="s">
        <v>19</v>
      </c>
      <c r="G5" s="5" t="s">
        <v>31</v>
      </c>
      <c r="H5" s="5" t="s">
        <v>17</v>
      </c>
      <c r="I5" s="5" t="s">
        <v>17</v>
      </c>
      <c r="J5" s="5" t="s">
        <v>1323</v>
      </c>
    </row>
    <row r="6" spans="1:10" x14ac:dyDescent="0.25">
      <c r="A6" s="5" t="s">
        <v>19</v>
      </c>
      <c r="B6" s="5" t="s">
        <v>16</v>
      </c>
      <c r="C6" s="5" t="s">
        <v>17</v>
      </c>
      <c r="D6" s="5"/>
      <c r="E6" s="5" t="s">
        <v>1324</v>
      </c>
      <c r="F6" s="5" t="s">
        <v>19</v>
      </c>
      <c r="G6" s="5" t="s">
        <v>31</v>
      </c>
      <c r="H6" s="5" t="s">
        <v>17</v>
      </c>
      <c r="I6" s="5" t="s">
        <v>17</v>
      </c>
      <c r="J6" s="5" t="s">
        <v>1325</v>
      </c>
    </row>
    <row r="7" spans="1:10" x14ac:dyDescent="0.25">
      <c r="A7" s="5" t="s">
        <v>19</v>
      </c>
      <c r="B7" s="5" t="s">
        <v>16</v>
      </c>
      <c r="C7" s="5" t="s">
        <v>17</v>
      </c>
      <c r="D7" s="5"/>
      <c r="E7" s="5" t="s">
        <v>1326</v>
      </c>
      <c r="F7" s="5" t="s">
        <v>19</v>
      </c>
      <c r="G7" s="5" t="s">
        <v>31</v>
      </c>
      <c r="H7" s="5" t="s">
        <v>17</v>
      </c>
      <c r="I7" s="5" t="s">
        <v>17</v>
      </c>
      <c r="J7" s="5" t="s">
        <v>1327</v>
      </c>
    </row>
    <row r="8" spans="1:10" x14ac:dyDescent="0.25">
      <c r="A8" s="5" t="s">
        <v>19</v>
      </c>
      <c r="B8" s="5" t="s">
        <v>16</v>
      </c>
      <c r="C8" s="5" t="s">
        <v>17</v>
      </c>
      <c r="D8" s="5"/>
      <c r="E8" s="5" t="s">
        <v>1328</v>
      </c>
      <c r="F8" s="5" t="s">
        <v>19</v>
      </c>
      <c r="G8" s="5" t="s">
        <v>31</v>
      </c>
      <c r="H8" s="5" t="s">
        <v>17</v>
      </c>
      <c r="I8" s="5" t="s">
        <v>17</v>
      </c>
      <c r="J8" s="5" t="s">
        <v>824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3872</v>
      </c>
      <c r="B1" s="1"/>
      <c r="C1" s="1"/>
      <c r="D1" s="1"/>
      <c r="E1" s="1"/>
      <c r="F1" s="1"/>
      <c r="G1" s="1"/>
      <c r="H1" s="1"/>
      <c r="I1" s="1"/>
      <c r="J1" s="1"/>
    </row>
    <row r="2" spans="1:10" x14ac:dyDescent="0.25">
      <c r="A2" s="2" t="s">
        <v>1</v>
      </c>
      <c r="B2" s="3" t="s">
        <v>3873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v>
      </c>
      <c r="F5" s="5" t="s">
        <v>19</v>
      </c>
      <c r="G5" s="5" t="s">
        <v>31</v>
      </c>
      <c r="H5" s="5" t="s">
        <v>17</v>
      </c>
      <c r="I5" s="5" t="s">
        <v>17</v>
      </c>
      <c r="J5" s="5" t="s">
        <v>32</v>
      </c>
    </row>
    <row r="6" spans="1:10" x14ac:dyDescent="0.25">
      <c r="A6" s="5" t="s">
        <v>19</v>
      </c>
      <c r="B6" s="5" t="s">
        <v>16</v>
      </c>
      <c r="C6" s="5" t="s">
        <v>17</v>
      </c>
      <c r="D6" s="5"/>
      <c r="E6" s="5" t="s">
        <v>33</v>
      </c>
      <c r="F6" s="5" t="s">
        <v>19</v>
      </c>
      <c r="G6" s="5" t="s">
        <v>31</v>
      </c>
      <c r="H6" s="5" t="s">
        <v>17</v>
      </c>
      <c r="I6" s="5" t="s">
        <v>17</v>
      </c>
      <c r="J6" s="5" t="s">
        <v>34</v>
      </c>
    </row>
    <row r="7" spans="1:10" x14ac:dyDescent="0.25">
      <c r="A7" s="5" t="s">
        <v>19</v>
      </c>
      <c r="B7" s="5" t="s">
        <v>63</v>
      </c>
      <c r="C7" s="5" t="s">
        <v>17</v>
      </c>
      <c r="D7" s="5"/>
      <c r="E7" s="5" t="s">
        <v>2025</v>
      </c>
      <c r="F7" s="5" t="s">
        <v>19</v>
      </c>
      <c r="G7" s="5">
        <v>1</v>
      </c>
      <c r="H7" s="5" t="s">
        <v>17</v>
      </c>
      <c r="I7" s="5" t="s">
        <v>17</v>
      </c>
      <c r="J7" s="5" t="s">
        <v>2026</v>
      </c>
    </row>
    <row r="8" spans="1:10" x14ac:dyDescent="0.25">
      <c r="A8" s="5" t="s">
        <v>19</v>
      </c>
      <c r="B8" s="5" t="s">
        <v>63</v>
      </c>
      <c r="C8" s="5" t="s">
        <v>17</v>
      </c>
      <c r="D8" s="5"/>
      <c r="E8" s="5" t="s">
        <v>2027</v>
      </c>
      <c r="F8" s="5" t="s">
        <v>19</v>
      </c>
      <c r="G8" s="5">
        <v>1</v>
      </c>
      <c r="H8" s="5" t="s">
        <v>17</v>
      </c>
      <c r="I8" s="5" t="s">
        <v>17</v>
      </c>
      <c r="J8" s="5" t="s">
        <v>2028</v>
      </c>
    </row>
    <row r="9" spans="1:10" x14ac:dyDescent="0.25">
      <c r="A9" s="5" t="s">
        <v>19</v>
      </c>
      <c r="B9" s="5" t="s">
        <v>63</v>
      </c>
      <c r="C9" s="5" t="s">
        <v>17</v>
      </c>
      <c r="D9" s="5"/>
      <c r="E9" s="5" t="s">
        <v>2029</v>
      </c>
      <c r="F9" s="5" t="s">
        <v>19</v>
      </c>
      <c r="G9" s="5">
        <v>1</v>
      </c>
      <c r="H9" s="5" t="s">
        <v>17</v>
      </c>
      <c r="I9" s="5" t="s">
        <v>17</v>
      </c>
      <c r="J9" s="5" t="s">
        <v>2030</v>
      </c>
    </row>
    <row r="10" spans="1:10" x14ac:dyDescent="0.25">
      <c r="A10" s="5" t="s">
        <v>19</v>
      </c>
      <c r="B10" s="5" t="s">
        <v>63</v>
      </c>
      <c r="C10" s="5" t="s">
        <v>17</v>
      </c>
      <c r="D10" s="5"/>
      <c r="E10" s="5" t="s">
        <v>2031</v>
      </c>
      <c r="F10" s="5" t="s">
        <v>19</v>
      </c>
      <c r="G10" s="5">
        <v>1</v>
      </c>
      <c r="H10" s="5" t="s">
        <v>17</v>
      </c>
      <c r="I10" s="5" t="s">
        <v>17</v>
      </c>
      <c r="J10" s="5" t="s">
        <v>2032</v>
      </c>
    </row>
    <row r="11" spans="1:10" x14ac:dyDescent="0.25">
      <c r="A11" s="5" t="s">
        <v>19</v>
      </c>
      <c r="B11" s="5" t="s">
        <v>63</v>
      </c>
      <c r="C11" s="5" t="s">
        <v>17</v>
      </c>
      <c r="D11" s="5"/>
      <c r="E11" s="5" t="s">
        <v>2033</v>
      </c>
      <c r="F11" s="5" t="s">
        <v>19</v>
      </c>
      <c r="G11" s="5">
        <v>1</v>
      </c>
      <c r="H11" s="5" t="s">
        <v>17</v>
      </c>
      <c r="I11" s="5" t="s">
        <v>17</v>
      </c>
      <c r="J11" s="5" t="s">
        <v>2034</v>
      </c>
    </row>
    <row r="12" spans="1:10" x14ac:dyDescent="0.25">
      <c r="A12" s="5" t="s">
        <v>19</v>
      </c>
      <c r="B12" s="5" t="s">
        <v>63</v>
      </c>
      <c r="C12" s="5" t="s">
        <v>17</v>
      </c>
      <c r="D12" s="5"/>
      <c r="E12" s="5" t="s">
        <v>2035</v>
      </c>
      <c r="F12" s="5" t="s">
        <v>19</v>
      </c>
      <c r="G12" s="5">
        <v>1</v>
      </c>
      <c r="H12" s="5" t="s">
        <v>17</v>
      </c>
      <c r="I12" s="5" t="s">
        <v>17</v>
      </c>
      <c r="J12" s="5" t="s">
        <v>2036</v>
      </c>
    </row>
    <row r="13" spans="1:10" x14ac:dyDescent="0.25">
      <c r="A13" s="5" t="s">
        <v>19</v>
      </c>
      <c r="B13" s="5" t="s">
        <v>63</v>
      </c>
      <c r="C13" s="5" t="s">
        <v>17</v>
      </c>
      <c r="D13" s="5"/>
      <c r="E13" s="5" t="s">
        <v>751</v>
      </c>
      <c r="F13" s="5" t="s">
        <v>19</v>
      </c>
      <c r="G13" s="5">
        <v>1</v>
      </c>
      <c r="H13" s="5" t="s">
        <v>17</v>
      </c>
      <c r="I13" s="5" t="s">
        <v>17</v>
      </c>
      <c r="J13" s="5" t="s">
        <v>1579</v>
      </c>
    </row>
    <row r="14" spans="1:10" x14ac:dyDescent="0.25">
      <c r="A14" s="5" t="s">
        <v>19</v>
      </c>
      <c r="B14" s="5" t="s">
        <v>63</v>
      </c>
      <c r="C14" s="5" t="s">
        <v>17</v>
      </c>
      <c r="D14" s="5"/>
      <c r="E14" s="5" t="s">
        <v>2037</v>
      </c>
      <c r="F14" s="5" t="s">
        <v>19</v>
      </c>
      <c r="G14" s="5">
        <v>1</v>
      </c>
      <c r="H14" s="5" t="s">
        <v>17</v>
      </c>
      <c r="I14" s="5" t="s">
        <v>17</v>
      </c>
      <c r="J14" s="5" t="s">
        <v>2038</v>
      </c>
    </row>
    <row r="15" spans="1:10" x14ac:dyDescent="0.25">
      <c r="A15" s="5" t="s">
        <v>19</v>
      </c>
      <c r="B15" s="5" t="s">
        <v>63</v>
      </c>
      <c r="C15" s="5" t="s">
        <v>17</v>
      </c>
      <c r="D15" s="5"/>
      <c r="E15" s="5" t="s">
        <v>2039</v>
      </c>
      <c r="F15" s="5" t="s">
        <v>19</v>
      </c>
      <c r="G15" s="5">
        <v>1</v>
      </c>
      <c r="H15" s="5" t="s">
        <v>17</v>
      </c>
      <c r="I15" s="5" t="s">
        <v>17</v>
      </c>
      <c r="J15" s="5" t="s">
        <v>2040</v>
      </c>
    </row>
    <row r="16" spans="1:10" x14ac:dyDescent="0.25">
      <c r="A16" s="5" t="s">
        <v>19</v>
      </c>
      <c r="B16" s="5" t="s">
        <v>63</v>
      </c>
      <c r="C16" s="5" t="s">
        <v>17</v>
      </c>
      <c r="D16" s="5"/>
      <c r="E16" s="5" t="s">
        <v>2041</v>
      </c>
      <c r="F16" s="5" t="s">
        <v>19</v>
      </c>
      <c r="G16" s="5">
        <v>1</v>
      </c>
      <c r="H16" s="5" t="s">
        <v>17</v>
      </c>
      <c r="I16" s="5" t="s">
        <v>17</v>
      </c>
      <c r="J16" s="5" t="s">
        <v>2042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3874</v>
      </c>
      <c r="B1" s="1"/>
      <c r="C1" s="1"/>
      <c r="D1" s="1"/>
      <c r="E1" s="1"/>
      <c r="F1" s="1"/>
      <c r="G1" s="1"/>
      <c r="H1" s="1"/>
      <c r="I1" s="1"/>
      <c r="J1" s="1"/>
    </row>
    <row r="2" spans="1:10" x14ac:dyDescent="0.25">
      <c r="A2" s="2" t="s">
        <v>1</v>
      </c>
      <c r="B2" s="3" t="s">
        <v>3875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3876</v>
      </c>
      <c r="B1" s="1"/>
      <c r="C1" s="1"/>
      <c r="D1" s="1"/>
      <c r="E1" s="1"/>
      <c r="F1" s="1"/>
      <c r="G1" s="1"/>
      <c r="H1" s="1"/>
      <c r="I1" s="1"/>
      <c r="J1" s="1"/>
    </row>
    <row r="2" spans="1:10" x14ac:dyDescent="0.25">
      <c r="A2" s="2" t="s">
        <v>1</v>
      </c>
      <c r="B2" s="3" t="s">
        <v>3877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3878</v>
      </c>
      <c r="B1" s="1"/>
      <c r="C1" s="1"/>
      <c r="D1" s="1"/>
      <c r="E1" s="1"/>
      <c r="F1" s="1"/>
      <c r="G1" s="1"/>
      <c r="H1" s="1"/>
      <c r="I1" s="1"/>
      <c r="J1" s="1"/>
    </row>
    <row r="2" spans="1:10" x14ac:dyDescent="0.25">
      <c r="A2" s="2" t="s">
        <v>1</v>
      </c>
      <c r="B2" s="3" t="s">
        <v>3879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3880</v>
      </c>
      <c r="B1" s="1"/>
      <c r="C1" s="1"/>
      <c r="D1" s="1"/>
      <c r="E1" s="1"/>
      <c r="F1" s="1"/>
      <c r="G1" s="1"/>
      <c r="H1" s="1"/>
      <c r="I1" s="1"/>
      <c r="J1" s="1"/>
    </row>
    <row r="2" spans="1:10" x14ac:dyDescent="0.25">
      <c r="A2" s="2" t="s">
        <v>1</v>
      </c>
      <c r="B2" s="3" t="s">
        <v>3881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2267</v>
      </c>
      <c r="F5" s="5" t="s">
        <v>19</v>
      </c>
      <c r="G5" s="5" t="s">
        <v>31</v>
      </c>
      <c r="H5" s="5" t="s">
        <v>17</v>
      </c>
      <c r="I5" s="5" t="s">
        <v>17</v>
      </c>
      <c r="J5" s="5" t="s">
        <v>2268</v>
      </c>
    </row>
    <row r="6" spans="1:10" x14ac:dyDescent="0.25">
      <c r="A6" s="5" t="s">
        <v>19</v>
      </c>
      <c r="B6" s="5" t="s">
        <v>16</v>
      </c>
      <c r="C6" s="5" t="s">
        <v>17</v>
      </c>
      <c r="D6" s="5"/>
      <c r="E6" s="5" t="s">
        <v>9</v>
      </c>
      <c r="F6" s="5" t="s">
        <v>19</v>
      </c>
      <c r="G6" s="5" t="s">
        <v>31</v>
      </c>
      <c r="H6" s="5" t="s">
        <v>17</v>
      </c>
      <c r="I6" s="5" t="s">
        <v>17</v>
      </c>
      <c r="J6"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3882</v>
      </c>
      <c r="B1" s="1"/>
      <c r="C1" s="1"/>
      <c r="D1" s="1"/>
      <c r="E1" s="1"/>
      <c r="F1" s="1"/>
      <c r="G1" s="1"/>
      <c r="H1" s="1"/>
      <c r="I1" s="1"/>
      <c r="J1" s="1"/>
    </row>
    <row r="2" spans="1:10" x14ac:dyDescent="0.25">
      <c r="A2" s="2" t="s">
        <v>1</v>
      </c>
      <c r="B2" s="3" t="s">
        <v>3883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3884</v>
      </c>
      <c r="B1" s="1"/>
      <c r="C1" s="1"/>
      <c r="D1" s="1"/>
      <c r="E1" s="1"/>
      <c r="F1" s="1"/>
      <c r="G1" s="1"/>
      <c r="H1" s="1"/>
      <c r="I1" s="1"/>
      <c r="J1" s="1"/>
    </row>
    <row r="2" spans="1:10" x14ac:dyDescent="0.25">
      <c r="A2" s="2" t="s">
        <v>1</v>
      </c>
      <c r="B2" s="3" t="s">
        <v>3885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3886</v>
      </c>
      <c r="B1" s="1"/>
      <c r="C1" s="1"/>
      <c r="D1" s="1"/>
      <c r="E1" s="1"/>
      <c r="F1" s="1"/>
      <c r="G1" s="1"/>
      <c r="H1" s="1"/>
      <c r="I1" s="1"/>
      <c r="J1" s="1"/>
    </row>
    <row r="2" spans="1:10" x14ac:dyDescent="0.25">
      <c r="A2" s="2" t="s">
        <v>1</v>
      </c>
      <c r="B2" s="3" t="s">
        <v>3887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3888</v>
      </c>
      <c r="B1" s="1"/>
      <c r="C1" s="1"/>
      <c r="D1" s="1"/>
      <c r="E1" s="1"/>
      <c r="F1" s="1"/>
      <c r="G1" s="1"/>
      <c r="H1" s="1"/>
      <c r="I1" s="1"/>
      <c r="J1" s="1"/>
    </row>
    <row r="2" spans="1:10" x14ac:dyDescent="0.25">
      <c r="A2" s="2" t="s">
        <v>1</v>
      </c>
      <c r="B2" s="3" t="s">
        <v>3889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135</v>
      </c>
      <c r="F5" s="5" t="s">
        <v>19</v>
      </c>
      <c r="G5" s="5" t="s">
        <v>31</v>
      </c>
      <c r="H5" s="5" t="s">
        <v>17</v>
      </c>
      <c r="I5" s="5" t="s">
        <v>17</v>
      </c>
      <c r="J5" s="5" t="s">
        <v>136</v>
      </c>
    </row>
    <row r="6" spans="1:10" x14ac:dyDescent="0.25">
      <c r="A6" s="5" t="s">
        <v>19</v>
      </c>
      <c r="B6" s="5" t="s">
        <v>16</v>
      </c>
      <c r="C6" s="5" t="s">
        <v>17</v>
      </c>
      <c r="D6" s="5"/>
      <c r="E6" s="5" t="s">
        <v>137</v>
      </c>
      <c r="F6" s="5" t="s">
        <v>19</v>
      </c>
      <c r="G6" s="5" t="s">
        <v>31</v>
      </c>
      <c r="H6" s="5" t="s">
        <v>17</v>
      </c>
      <c r="I6" s="5" t="s">
        <v>17</v>
      </c>
      <c r="J6" s="5" t="s">
        <v>138</v>
      </c>
    </row>
    <row r="7" spans="1:10" x14ac:dyDescent="0.25">
      <c r="A7" s="5" t="s">
        <v>19</v>
      </c>
      <c r="B7" s="5" t="s">
        <v>16</v>
      </c>
      <c r="C7" s="5" t="s">
        <v>17</v>
      </c>
      <c r="D7" s="5"/>
      <c r="E7" s="5" t="s">
        <v>139</v>
      </c>
      <c r="F7" s="5" t="s">
        <v>19</v>
      </c>
      <c r="G7" s="5" t="s">
        <v>31</v>
      </c>
      <c r="H7" s="5" t="s">
        <v>17</v>
      </c>
      <c r="I7" s="5" t="s">
        <v>17</v>
      </c>
      <c r="J7" s="5" t="s">
        <v>140</v>
      </c>
    </row>
    <row r="8" spans="1:10" x14ac:dyDescent="0.25">
      <c r="A8" s="5" t="s">
        <v>19</v>
      </c>
      <c r="B8" s="5" t="s">
        <v>16</v>
      </c>
      <c r="C8" s="5" t="s">
        <v>17</v>
      </c>
      <c r="D8" s="5"/>
      <c r="E8" s="5" t="s">
        <v>141</v>
      </c>
      <c r="F8" s="5" t="s">
        <v>19</v>
      </c>
      <c r="G8" s="5" t="s">
        <v>31</v>
      </c>
      <c r="H8" s="5" t="s">
        <v>17</v>
      </c>
      <c r="I8" s="5" t="s">
        <v>17</v>
      </c>
      <c r="J8" s="5" t="s">
        <v>142</v>
      </c>
    </row>
    <row r="9" spans="1:10" x14ac:dyDescent="0.25">
      <c r="A9" s="5" t="s">
        <v>19</v>
      </c>
      <c r="B9" s="5" t="s">
        <v>16</v>
      </c>
      <c r="C9" s="5" t="s">
        <v>17</v>
      </c>
      <c r="D9" s="5"/>
      <c r="E9" s="5" t="s">
        <v>1272</v>
      </c>
      <c r="F9" s="5" t="s">
        <v>19</v>
      </c>
      <c r="G9" s="5" t="s">
        <v>31</v>
      </c>
      <c r="H9" s="5" t="s">
        <v>17</v>
      </c>
      <c r="I9" s="5" t="s">
        <v>17</v>
      </c>
      <c r="J9" s="5" t="s">
        <v>1273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3890</v>
      </c>
      <c r="B1" s="1"/>
      <c r="C1" s="1"/>
      <c r="D1" s="1"/>
      <c r="E1" s="1"/>
      <c r="F1" s="1"/>
      <c r="G1" s="1"/>
      <c r="H1" s="1"/>
      <c r="I1" s="1"/>
      <c r="J1" s="1"/>
    </row>
    <row r="2" spans="1:10" x14ac:dyDescent="0.25">
      <c r="A2" s="2" t="s">
        <v>1</v>
      </c>
      <c r="B2" s="3" t="s">
        <v>3891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3892</v>
      </c>
      <c r="B1" s="1"/>
      <c r="C1" s="1"/>
      <c r="D1" s="1"/>
      <c r="E1" s="1"/>
      <c r="F1" s="1"/>
      <c r="G1" s="1"/>
      <c r="H1" s="1"/>
      <c r="I1" s="1"/>
      <c r="J1" s="1"/>
    </row>
    <row r="2" spans="1:10" x14ac:dyDescent="0.25">
      <c r="A2" s="2" t="s">
        <v>1</v>
      </c>
      <c r="B2" s="3" t="s">
        <v>3893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3894</v>
      </c>
      <c r="B1" s="1"/>
      <c r="C1" s="1"/>
      <c r="D1" s="1"/>
      <c r="E1" s="1"/>
      <c r="F1" s="1"/>
      <c r="G1" s="1"/>
      <c r="H1" s="1"/>
      <c r="I1" s="1"/>
      <c r="J1" s="1"/>
    </row>
    <row r="2" spans="1:10" x14ac:dyDescent="0.25">
      <c r="A2" s="2" t="s">
        <v>1</v>
      </c>
      <c r="B2" s="3" t="s">
        <v>3895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3896</v>
      </c>
      <c r="B1" s="1"/>
      <c r="C1" s="1"/>
      <c r="D1" s="1"/>
      <c r="E1" s="1"/>
      <c r="F1" s="1"/>
      <c r="G1" s="1"/>
      <c r="H1" s="1"/>
      <c r="I1" s="1"/>
      <c r="J1" s="1"/>
    </row>
    <row r="2" spans="1:10" x14ac:dyDescent="0.25">
      <c r="A2" s="2" t="s">
        <v>1</v>
      </c>
      <c r="B2" s="3" t="s">
        <v>3897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291</v>
      </c>
      <c r="F5" s="5" t="s">
        <v>19</v>
      </c>
      <c r="G5" s="5" t="s">
        <v>31</v>
      </c>
      <c r="H5" s="5" t="s">
        <v>17</v>
      </c>
      <c r="I5" s="5" t="s">
        <v>17</v>
      </c>
      <c r="J5" s="5" t="s">
        <v>371</v>
      </c>
    </row>
    <row r="6" spans="1:10" x14ac:dyDescent="0.25">
      <c r="A6" s="5" t="s">
        <v>19</v>
      </c>
      <c r="B6" s="5" t="s">
        <v>16</v>
      </c>
      <c r="C6" s="5" t="s">
        <v>17</v>
      </c>
      <c r="D6" s="5"/>
      <c r="E6" s="5" t="s">
        <v>1349</v>
      </c>
      <c r="F6" s="5" t="s">
        <v>19</v>
      </c>
      <c r="G6" s="5" t="s">
        <v>31</v>
      </c>
      <c r="H6" s="5" t="s">
        <v>17</v>
      </c>
      <c r="I6" s="5" t="s">
        <v>17</v>
      </c>
      <c r="J6" s="5" t="s">
        <v>1350</v>
      </c>
    </row>
    <row r="7" spans="1:10" x14ac:dyDescent="0.25">
      <c r="A7" s="5" t="s">
        <v>19</v>
      </c>
      <c r="B7" s="5" t="s">
        <v>16</v>
      </c>
      <c r="C7" s="5" t="s">
        <v>17</v>
      </c>
      <c r="D7" s="5"/>
      <c r="E7" s="5" t="s">
        <v>9</v>
      </c>
      <c r="F7" s="5" t="s">
        <v>19</v>
      </c>
      <c r="G7" s="5" t="s">
        <v>31</v>
      </c>
      <c r="H7" s="5" t="s">
        <v>17</v>
      </c>
      <c r="I7" s="5" t="s">
        <v>17</v>
      </c>
      <c r="J7"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3898</v>
      </c>
      <c r="B1" s="1"/>
      <c r="C1" s="1"/>
      <c r="D1" s="1"/>
      <c r="E1" s="1"/>
      <c r="F1" s="1"/>
      <c r="G1" s="1"/>
      <c r="H1" s="1"/>
      <c r="I1" s="1"/>
      <c r="J1" s="1"/>
    </row>
    <row r="2" spans="1:10" x14ac:dyDescent="0.25">
      <c r="A2" s="2" t="s">
        <v>1</v>
      </c>
      <c r="B2" s="3" t="s">
        <v>3899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3900</v>
      </c>
      <c r="B1" s="1"/>
      <c r="C1" s="1"/>
      <c r="D1" s="1"/>
      <c r="E1" s="1"/>
      <c r="F1" s="1"/>
      <c r="G1" s="1"/>
      <c r="H1" s="1"/>
      <c r="I1" s="1"/>
      <c r="J1" s="1"/>
    </row>
    <row r="2" spans="1:10" x14ac:dyDescent="0.25">
      <c r="A2" s="2" t="s">
        <v>1</v>
      </c>
      <c r="B2" s="3" t="s">
        <v>3901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3902</v>
      </c>
      <c r="B1" s="1"/>
      <c r="C1" s="1"/>
      <c r="D1" s="1"/>
      <c r="E1" s="1"/>
      <c r="F1" s="1"/>
      <c r="G1" s="1"/>
      <c r="H1" s="1"/>
      <c r="I1" s="1"/>
      <c r="J1" s="1"/>
    </row>
    <row r="2" spans="1:10" x14ac:dyDescent="0.25">
      <c r="A2" s="2" t="s">
        <v>1</v>
      </c>
      <c r="B2" s="3" t="s">
        <v>3903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v>
      </c>
      <c r="F5" s="5" t="s">
        <v>19</v>
      </c>
      <c r="G5" s="5" t="s">
        <v>31</v>
      </c>
      <c r="H5" s="5" t="s">
        <v>17</v>
      </c>
      <c r="I5" s="5" t="s">
        <v>17</v>
      </c>
      <c r="J5" s="5" t="s">
        <v>32</v>
      </c>
    </row>
    <row r="6" spans="1:10" x14ac:dyDescent="0.25">
      <c r="A6" s="5" t="s">
        <v>19</v>
      </c>
      <c r="B6" s="5" t="s">
        <v>16</v>
      </c>
      <c r="C6" s="5" t="s">
        <v>17</v>
      </c>
      <c r="D6" s="5"/>
      <c r="E6" s="5" t="s">
        <v>33</v>
      </c>
      <c r="F6" s="5" t="s">
        <v>19</v>
      </c>
      <c r="G6" s="5" t="s">
        <v>31</v>
      </c>
      <c r="H6" s="5" t="s">
        <v>17</v>
      </c>
      <c r="I6" s="5" t="s">
        <v>17</v>
      </c>
      <c r="J6" s="5" t="s">
        <v>34</v>
      </c>
    </row>
    <row r="7" spans="1:10" x14ac:dyDescent="0.25">
      <c r="A7" s="5" t="s">
        <v>19</v>
      </c>
      <c r="B7" s="5" t="s">
        <v>63</v>
      </c>
      <c r="C7" s="5" t="s">
        <v>17</v>
      </c>
      <c r="D7" s="5"/>
      <c r="E7" s="5" t="s">
        <v>64</v>
      </c>
      <c r="F7" s="5" t="s">
        <v>19</v>
      </c>
      <c r="G7" s="5">
        <v>1</v>
      </c>
      <c r="H7" s="5" t="s">
        <v>17</v>
      </c>
      <c r="I7" s="5" t="s">
        <v>17</v>
      </c>
      <c r="J7" s="5" t="s">
        <v>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3904</v>
      </c>
      <c r="B1" s="1"/>
      <c r="C1" s="1"/>
      <c r="D1" s="1"/>
      <c r="E1" s="1"/>
      <c r="F1" s="1"/>
      <c r="G1" s="1"/>
      <c r="H1" s="1"/>
      <c r="I1" s="1"/>
      <c r="J1" s="1"/>
    </row>
    <row r="2" spans="1:10" x14ac:dyDescent="0.25">
      <c r="A2" s="2" t="s">
        <v>1</v>
      </c>
      <c r="B2" s="3" t="s">
        <v>3905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3906</v>
      </c>
      <c r="B1" s="1"/>
      <c r="C1" s="1"/>
      <c r="D1" s="1"/>
      <c r="E1" s="1"/>
      <c r="F1" s="1"/>
      <c r="G1" s="1"/>
      <c r="H1" s="1"/>
      <c r="I1" s="1"/>
      <c r="J1" s="1"/>
    </row>
    <row r="2" spans="1:10" x14ac:dyDescent="0.25">
      <c r="A2" s="2" t="s">
        <v>1</v>
      </c>
      <c r="B2" s="3" t="s">
        <v>3907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3217</v>
      </c>
      <c r="F6" s="5" t="s">
        <v>19</v>
      </c>
      <c r="G6" s="5" t="s">
        <v>31</v>
      </c>
      <c r="H6" s="5" t="s">
        <v>17</v>
      </c>
      <c r="I6" s="5" t="s">
        <v>17</v>
      </c>
      <c r="J6" s="5" t="s">
        <v>3218</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3908</v>
      </c>
      <c r="B1" s="1"/>
      <c r="C1" s="1"/>
      <c r="D1" s="1"/>
      <c r="E1" s="1"/>
      <c r="F1" s="1"/>
      <c r="G1" s="1"/>
      <c r="H1" s="1"/>
      <c r="I1" s="1"/>
      <c r="J1" s="1"/>
    </row>
    <row r="2" spans="1:10" x14ac:dyDescent="0.25">
      <c r="A2" s="2" t="s">
        <v>1</v>
      </c>
      <c r="B2" s="3" t="s">
        <v>3909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3910</v>
      </c>
      <c r="B1" s="1"/>
      <c r="C1" s="1"/>
      <c r="D1" s="1"/>
      <c r="E1" s="1"/>
      <c r="F1" s="1"/>
      <c r="G1" s="1"/>
      <c r="H1" s="1"/>
      <c r="I1" s="1"/>
      <c r="J1" s="1"/>
    </row>
    <row r="2" spans="1:10" x14ac:dyDescent="0.25">
      <c r="A2" s="2" t="s">
        <v>1</v>
      </c>
      <c r="B2" s="3" t="s">
        <v>3911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1375</v>
      </c>
      <c r="F5" s="5" t="s">
        <v>19</v>
      </c>
      <c r="G5" s="5" t="s">
        <v>31</v>
      </c>
      <c r="H5" s="5" t="s">
        <v>17</v>
      </c>
      <c r="I5" s="5" t="s">
        <v>17</v>
      </c>
      <c r="J5" s="5" t="s">
        <v>1376</v>
      </c>
    </row>
    <row r="6" spans="1:10" x14ac:dyDescent="0.25">
      <c r="A6" s="5" t="s">
        <v>19</v>
      </c>
      <c r="B6" s="5" t="s">
        <v>16</v>
      </c>
      <c r="C6" s="5" t="s">
        <v>17</v>
      </c>
      <c r="D6" s="5"/>
      <c r="E6" s="5" t="s">
        <v>2400</v>
      </c>
      <c r="F6" s="5" t="s">
        <v>19</v>
      </c>
      <c r="G6" s="5" t="s">
        <v>31</v>
      </c>
      <c r="H6" s="5" t="s">
        <v>17</v>
      </c>
      <c r="I6" s="5" t="s">
        <v>17</v>
      </c>
      <c r="J6" s="5" t="s">
        <v>2401</v>
      </c>
    </row>
    <row r="7" spans="1:10" x14ac:dyDescent="0.25">
      <c r="A7" s="5" t="s">
        <v>19</v>
      </c>
      <c r="B7" s="5" t="s">
        <v>16</v>
      </c>
      <c r="C7" s="5" t="s">
        <v>17</v>
      </c>
      <c r="D7" s="5"/>
      <c r="E7" s="5" t="s">
        <v>2402</v>
      </c>
      <c r="F7" s="5" t="s">
        <v>19</v>
      </c>
      <c r="G7" s="5" t="s">
        <v>31</v>
      </c>
      <c r="H7" s="5" t="s">
        <v>17</v>
      </c>
      <c r="I7" s="5" t="s">
        <v>17</v>
      </c>
      <c r="J7" s="5" t="s">
        <v>2403</v>
      </c>
    </row>
    <row r="8" spans="1:10" x14ac:dyDescent="0.25">
      <c r="A8" s="5" t="s">
        <v>19</v>
      </c>
      <c r="B8" s="5" t="s">
        <v>16</v>
      </c>
      <c r="C8" s="5" t="s">
        <v>17</v>
      </c>
      <c r="D8" s="5"/>
      <c r="E8" s="5" t="s">
        <v>2404</v>
      </c>
      <c r="F8" s="5" t="s">
        <v>19</v>
      </c>
      <c r="G8" s="5" t="s">
        <v>31</v>
      </c>
      <c r="H8" s="5" t="s">
        <v>17</v>
      </c>
      <c r="I8" s="5" t="s">
        <v>17</v>
      </c>
      <c r="J8" s="5" t="s">
        <v>2405</v>
      </c>
    </row>
    <row r="9" spans="1:10" x14ac:dyDescent="0.25">
      <c r="A9" s="5" t="s">
        <v>19</v>
      </c>
      <c r="B9" s="5" t="s">
        <v>16</v>
      </c>
      <c r="C9" s="5" t="s">
        <v>17</v>
      </c>
      <c r="D9" s="5"/>
      <c r="E9" s="5" t="s">
        <v>2406</v>
      </c>
      <c r="F9" s="5" t="s">
        <v>19</v>
      </c>
      <c r="G9" s="5" t="s">
        <v>31</v>
      </c>
      <c r="H9" s="5" t="s">
        <v>17</v>
      </c>
      <c r="I9" s="5" t="s">
        <v>17</v>
      </c>
      <c r="J9" s="5" t="s">
        <v>2407</v>
      </c>
    </row>
    <row r="10" spans="1:10" x14ac:dyDescent="0.25">
      <c r="A10" s="5" t="s">
        <v>19</v>
      </c>
      <c r="B10" s="5" t="s">
        <v>16</v>
      </c>
      <c r="C10" s="5" t="s">
        <v>17</v>
      </c>
      <c r="D10" s="5"/>
      <c r="E10" s="5" t="s">
        <v>2408</v>
      </c>
      <c r="F10" s="5" t="s">
        <v>19</v>
      </c>
      <c r="G10" s="5" t="s">
        <v>31</v>
      </c>
      <c r="H10" s="5" t="s">
        <v>17</v>
      </c>
      <c r="I10" s="5" t="s">
        <v>17</v>
      </c>
      <c r="J10" s="5" t="s">
        <v>2409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3912</v>
      </c>
      <c r="B1" s="1"/>
      <c r="C1" s="1"/>
      <c r="D1" s="1"/>
      <c r="E1" s="1"/>
      <c r="F1" s="1"/>
      <c r="G1" s="1"/>
      <c r="H1" s="1"/>
      <c r="I1" s="1"/>
      <c r="J1" s="1"/>
    </row>
    <row r="2" spans="1:10" x14ac:dyDescent="0.25">
      <c r="A2" s="2" t="s">
        <v>1</v>
      </c>
      <c r="B2" s="3" t="s">
        <v>3913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3914</v>
      </c>
      <c r="B1" s="1"/>
      <c r="C1" s="1"/>
      <c r="D1" s="1"/>
      <c r="E1" s="1"/>
      <c r="F1" s="1"/>
      <c r="G1" s="1"/>
      <c r="H1" s="1"/>
      <c r="I1" s="1"/>
      <c r="J1" s="1"/>
    </row>
    <row r="2" spans="1:10" x14ac:dyDescent="0.25">
      <c r="A2" s="2" t="s">
        <v>1</v>
      </c>
      <c r="B2" s="3" t="s">
        <v>3915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3916</v>
      </c>
      <c r="B1" s="1"/>
      <c r="C1" s="1"/>
      <c r="D1" s="1"/>
      <c r="E1" s="1"/>
      <c r="F1" s="1"/>
      <c r="G1" s="1"/>
      <c r="H1" s="1"/>
      <c r="I1" s="1"/>
      <c r="J1" s="1"/>
    </row>
    <row r="2" spans="1:10" x14ac:dyDescent="0.25">
      <c r="A2" s="2" t="s">
        <v>1</v>
      </c>
      <c r="B2" s="3" t="s">
        <v>3917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3918</v>
      </c>
      <c r="B1" s="1"/>
      <c r="C1" s="1"/>
      <c r="D1" s="1"/>
      <c r="E1" s="1"/>
      <c r="F1" s="1"/>
      <c r="G1" s="1"/>
      <c r="H1" s="1"/>
      <c r="I1" s="1"/>
      <c r="J1" s="1"/>
    </row>
    <row r="2" spans="1:10" x14ac:dyDescent="0.25">
      <c r="A2" s="2" t="s">
        <v>1</v>
      </c>
      <c r="B2" s="3" t="s">
        <v>3919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2393</v>
      </c>
      <c r="F5" s="5" t="s">
        <v>19</v>
      </c>
      <c r="G5" s="5" t="s">
        <v>31</v>
      </c>
      <c r="H5" s="5" t="s">
        <v>17</v>
      </c>
      <c r="I5" s="5" t="s">
        <v>17</v>
      </c>
      <c r="J5" s="5" t="s">
        <v>2394</v>
      </c>
    </row>
    <row r="6" spans="1:10" x14ac:dyDescent="0.25">
      <c r="A6" s="5" t="s">
        <v>19</v>
      </c>
      <c r="B6" s="5" t="s">
        <v>16</v>
      </c>
      <c r="C6" s="5" t="s">
        <v>17</v>
      </c>
      <c r="D6" s="5"/>
      <c r="E6" s="5" t="s">
        <v>2395</v>
      </c>
      <c r="F6" s="5" t="s">
        <v>19</v>
      </c>
      <c r="G6" s="5" t="s">
        <v>31</v>
      </c>
      <c r="H6" s="5" t="s">
        <v>17</v>
      </c>
      <c r="I6" s="5" t="s">
        <v>17</v>
      </c>
      <c r="J6" s="5" t="s">
        <v>2396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3920</v>
      </c>
      <c r="B1" s="1"/>
      <c r="C1" s="1"/>
      <c r="D1" s="1"/>
      <c r="E1" s="1"/>
      <c r="F1" s="1"/>
      <c r="G1" s="1"/>
      <c r="H1" s="1"/>
      <c r="I1" s="1"/>
      <c r="J1" s="1"/>
    </row>
    <row r="2" spans="1:10" x14ac:dyDescent="0.25">
      <c r="A2" s="2" t="s">
        <v>1</v>
      </c>
      <c r="B2" s="3" t="s">
        <v>3921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3922</v>
      </c>
      <c r="B1" s="1"/>
      <c r="C1" s="1"/>
      <c r="D1" s="1"/>
      <c r="E1" s="1"/>
      <c r="F1" s="1"/>
      <c r="G1" s="1"/>
      <c r="H1" s="1"/>
      <c r="I1" s="1"/>
      <c r="J1" s="1"/>
    </row>
    <row r="2" spans="1:10" x14ac:dyDescent="0.25">
      <c r="A2" s="2" t="s">
        <v>1</v>
      </c>
      <c r="B2" s="3" t="s">
        <v>3923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2091</v>
      </c>
      <c r="F5" s="5" t="s">
        <v>19</v>
      </c>
      <c r="G5" s="5" t="s">
        <v>31</v>
      </c>
      <c r="H5" s="5" t="s">
        <v>17</v>
      </c>
      <c r="I5" s="5" t="s">
        <v>17</v>
      </c>
      <c r="J5" s="5" t="s">
        <v>2092</v>
      </c>
    </row>
    <row r="6" spans="1:10" x14ac:dyDescent="0.25">
      <c r="A6" s="5" t="s">
        <v>19</v>
      </c>
      <c r="B6" s="5" t="s">
        <v>16</v>
      </c>
      <c r="C6" s="5" t="s">
        <v>17</v>
      </c>
      <c r="D6" s="5"/>
      <c r="E6" s="5" t="s">
        <v>2093</v>
      </c>
      <c r="F6" s="5" t="s">
        <v>19</v>
      </c>
      <c r="G6" s="5" t="s">
        <v>31</v>
      </c>
      <c r="H6" s="5" t="s">
        <v>17</v>
      </c>
      <c r="I6" s="5" t="s">
        <v>17</v>
      </c>
      <c r="J6" s="5" t="s">
        <v>2094</v>
      </c>
    </row>
    <row r="7" spans="1:10" x14ac:dyDescent="0.25">
      <c r="A7" s="5" t="s">
        <v>19</v>
      </c>
      <c r="B7" s="5" t="s">
        <v>16</v>
      </c>
      <c r="C7" s="5" t="s">
        <v>17</v>
      </c>
      <c r="D7" s="5"/>
      <c r="E7" s="5" t="s">
        <v>2095</v>
      </c>
      <c r="F7" s="5" t="s">
        <v>19</v>
      </c>
      <c r="G7" s="5" t="s">
        <v>31</v>
      </c>
      <c r="H7" s="5" t="s">
        <v>17</v>
      </c>
      <c r="I7" s="5" t="s">
        <v>17</v>
      </c>
      <c r="J7" s="5" t="s">
        <v>2096</v>
      </c>
    </row>
    <row r="8" spans="1:10" x14ac:dyDescent="0.25">
      <c r="A8" s="5" t="s">
        <v>19</v>
      </c>
      <c r="B8" s="5" t="s">
        <v>16</v>
      </c>
      <c r="C8" s="5" t="s">
        <v>17</v>
      </c>
      <c r="D8" s="5"/>
      <c r="E8" s="5" t="s">
        <v>2097</v>
      </c>
      <c r="F8" s="5" t="s">
        <v>19</v>
      </c>
      <c r="G8" s="5" t="s">
        <v>31</v>
      </c>
      <c r="H8" s="5" t="s">
        <v>17</v>
      </c>
      <c r="I8" s="5" t="s">
        <v>17</v>
      </c>
      <c r="J8" s="5" t="s">
        <v>2098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3924</v>
      </c>
      <c r="B1" s="1"/>
      <c r="C1" s="1"/>
      <c r="D1" s="1"/>
      <c r="E1" s="1"/>
      <c r="F1" s="1"/>
      <c r="G1" s="1"/>
      <c r="H1" s="1"/>
      <c r="I1" s="1"/>
      <c r="J1" s="1"/>
    </row>
    <row r="2" spans="1:10" x14ac:dyDescent="0.25">
      <c r="A2" s="2" t="s">
        <v>1</v>
      </c>
      <c r="B2" s="3" t="s">
        <v>3925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3926</v>
      </c>
      <c r="B1" s="1"/>
      <c r="C1" s="1"/>
      <c r="D1" s="1"/>
      <c r="E1" s="1"/>
      <c r="F1" s="1"/>
      <c r="G1" s="1"/>
      <c r="H1" s="1"/>
      <c r="I1" s="1"/>
      <c r="J1" s="1"/>
    </row>
    <row r="2" spans="1:10" x14ac:dyDescent="0.25">
      <c r="A2" s="2" t="s">
        <v>1</v>
      </c>
      <c r="B2" s="3" t="s">
        <v>3927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3928</v>
      </c>
      <c r="B1" s="1"/>
      <c r="C1" s="1"/>
      <c r="D1" s="1"/>
      <c r="E1" s="1"/>
      <c r="F1" s="1"/>
      <c r="G1" s="1"/>
      <c r="H1" s="1"/>
      <c r="I1" s="1"/>
      <c r="J1" s="1"/>
    </row>
    <row r="2" spans="1:10" x14ac:dyDescent="0.25">
      <c r="A2" s="2" t="s">
        <v>1</v>
      </c>
      <c r="B2" s="3" t="s">
        <v>3929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3930</v>
      </c>
      <c r="B1" s="1"/>
      <c r="C1" s="1"/>
      <c r="D1" s="1"/>
      <c r="E1" s="1"/>
      <c r="F1" s="1"/>
      <c r="G1" s="1"/>
      <c r="H1" s="1"/>
      <c r="I1" s="1"/>
      <c r="J1" s="1"/>
    </row>
    <row r="2" spans="1:10" x14ac:dyDescent="0.25">
      <c r="A2" s="2" t="s">
        <v>1</v>
      </c>
      <c r="B2" s="3" t="s">
        <v>3931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3932</v>
      </c>
      <c r="B1" s="1"/>
      <c r="C1" s="1"/>
      <c r="D1" s="1"/>
      <c r="E1" s="1"/>
      <c r="F1" s="1"/>
      <c r="G1" s="1"/>
      <c r="H1" s="1"/>
      <c r="I1" s="1"/>
      <c r="J1" s="1"/>
    </row>
    <row r="2" spans="1:10" x14ac:dyDescent="0.25">
      <c r="A2" s="2" t="s">
        <v>1</v>
      </c>
      <c r="B2" s="3" t="s">
        <v>3933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3934</v>
      </c>
      <c r="B1" s="1"/>
      <c r="C1" s="1"/>
      <c r="D1" s="1"/>
      <c r="E1" s="1"/>
      <c r="F1" s="1"/>
      <c r="G1" s="1"/>
      <c r="H1" s="1"/>
      <c r="I1" s="1"/>
      <c r="J1" s="1"/>
    </row>
    <row r="2" spans="1:10" x14ac:dyDescent="0.25">
      <c r="A2" s="2" t="s">
        <v>1</v>
      </c>
      <c r="B2" s="3" t="s">
        <v>3825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3935</v>
      </c>
      <c r="B1" s="1"/>
      <c r="C1" s="1"/>
      <c r="D1" s="1"/>
      <c r="E1" s="1"/>
      <c r="F1" s="1"/>
      <c r="G1" s="1"/>
      <c r="H1" s="1"/>
      <c r="I1" s="1"/>
      <c r="J1" s="1"/>
    </row>
    <row r="2" spans="1:10" x14ac:dyDescent="0.25">
      <c r="A2" s="2" t="s">
        <v>1</v>
      </c>
      <c r="B2" s="3" t="s">
        <v>3936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v>
      </c>
      <c r="F5" s="5" t="s">
        <v>19</v>
      </c>
      <c r="G5" s="5" t="s">
        <v>31</v>
      </c>
      <c r="H5" s="5" t="s">
        <v>17</v>
      </c>
      <c r="I5" s="5" t="s">
        <v>17</v>
      </c>
      <c r="J5" s="5" t="s">
        <v>32</v>
      </c>
    </row>
    <row r="6" spans="1:10" x14ac:dyDescent="0.25">
      <c r="A6" s="5" t="s">
        <v>19</v>
      </c>
      <c r="B6" s="5" t="s">
        <v>16</v>
      </c>
      <c r="C6" s="5" t="s">
        <v>17</v>
      </c>
      <c r="D6" s="5"/>
      <c r="E6" s="5" t="s">
        <v>33</v>
      </c>
      <c r="F6" s="5" t="s">
        <v>19</v>
      </c>
      <c r="G6" s="5" t="s">
        <v>31</v>
      </c>
      <c r="H6" s="5" t="s">
        <v>17</v>
      </c>
      <c r="I6" s="5" t="s">
        <v>17</v>
      </c>
      <c r="J6" s="5" t="s">
        <v>34</v>
      </c>
    </row>
    <row r="7" spans="1:10" x14ac:dyDescent="0.25">
      <c r="A7" s="5" t="s">
        <v>19</v>
      </c>
      <c r="B7" s="5" t="s">
        <v>16</v>
      </c>
      <c r="C7" s="5" t="s">
        <v>17</v>
      </c>
      <c r="D7" s="5"/>
      <c r="E7" s="5" t="s">
        <v>1585</v>
      </c>
      <c r="F7" s="5" t="s">
        <v>19</v>
      </c>
      <c r="G7" s="5" t="s">
        <v>31</v>
      </c>
      <c r="H7" s="5" t="s">
        <v>17</v>
      </c>
      <c r="I7" s="5" t="s">
        <v>17</v>
      </c>
      <c r="J7" s="5" t="s">
        <v>1586</v>
      </c>
    </row>
    <row r="8" spans="1:10" x14ac:dyDescent="0.25">
      <c r="A8" s="5" t="s">
        <v>19</v>
      </c>
      <c r="B8" s="5" t="s">
        <v>16</v>
      </c>
      <c r="C8" s="5" t="s">
        <v>17</v>
      </c>
      <c r="D8" s="5"/>
      <c r="E8" s="5" t="s">
        <v>1587</v>
      </c>
      <c r="F8" s="5" t="s">
        <v>19</v>
      </c>
      <c r="G8" s="5" t="s">
        <v>31</v>
      </c>
      <c r="H8" s="5" t="s">
        <v>17</v>
      </c>
      <c r="I8" s="5" t="s">
        <v>17</v>
      </c>
      <c r="J8" s="5" t="s">
        <v>779</v>
      </c>
    </row>
    <row r="9" spans="1:10" x14ac:dyDescent="0.25">
      <c r="A9" s="5" t="s">
        <v>19</v>
      </c>
      <c r="B9" s="5" t="s">
        <v>16</v>
      </c>
      <c r="C9" s="5" t="s">
        <v>17</v>
      </c>
      <c r="D9" s="5"/>
      <c r="E9" s="5" t="s">
        <v>1588</v>
      </c>
      <c r="F9" s="5" t="s">
        <v>19</v>
      </c>
      <c r="G9" s="5" t="s">
        <v>31</v>
      </c>
      <c r="H9" s="5" t="s">
        <v>17</v>
      </c>
      <c r="I9" s="5" t="s">
        <v>17</v>
      </c>
      <c r="J9" s="5" t="s">
        <v>1589</v>
      </c>
    </row>
    <row r="10" spans="1:10" x14ac:dyDescent="0.25">
      <c r="A10" s="5" t="s">
        <v>19</v>
      </c>
      <c r="B10" s="5" t="s">
        <v>16</v>
      </c>
      <c r="C10" s="5" t="s">
        <v>17</v>
      </c>
      <c r="D10" s="5"/>
      <c r="E10" s="5" t="s">
        <v>782</v>
      </c>
      <c r="F10" s="5" t="s">
        <v>19</v>
      </c>
      <c r="G10" s="5" t="s">
        <v>31</v>
      </c>
      <c r="H10" s="5" t="s">
        <v>17</v>
      </c>
      <c r="I10" s="5" t="s">
        <v>17</v>
      </c>
      <c r="J10" s="5" t="s">
        <v>1590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3937</v>
      </c>
      <c r="B1" s="1"/>
      <c r="C1" s="1"/>
      <c r="D1" s="1"/>
      <c r="E1" s="1"/>
      <c r="F1" s="1"/>
      <c r="G1" s="1"/>
      <c r="H1" s="1"/>
      <c r="I1" s="1"/>
      <c r="J1" s="1"/>
    </row>
    <row r="2" spans="1:10" x14ac:dyDescent="0.25">
      <c r="A2" s="2" t="s">
        <v>1</v>
      </c>
      <c r="B2" s="3" t="s">
        <v>3938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2531</v>
      </c>
      <c r="F5" s="5" t="s">
        <v>19</v>
      </c>
      <c r="G5" s="5" t="s">
        <v>31</v>
      </c>
      <c r="H5" s="5" t="s">
        <v>17</v>
      </c>
      <c r="I5" s="5" t="s">
        <v>17</v>
      </c>
      <c r="J5" s="5" t="s">
        <v>2532</v>
      </c>
    </row>
    <row r="6" spans="1:10" x14ac:dyDescent="0.25">
      <c r="A6" s="5" t="s">
        <v>19</v>
      </c>
      <c r="B6" s="5" t="s">
        <v>16</v>
      </c>
      <c r="C6" s="5" t="s">
        <v>17</v>
      </c>
      <c r="D6" s="5"/>
      <c r="E6" s="5" t="s">
        <v>1345</v>
      </c>
      <c r="F6" s="5" t="s">
        <v>19</v>
      </c>
      <c r="G6" s="5" t="s">
        <v>31</v>
      </c>
      <c r="H6" s="5" t="s">
        <v>17</v>
      </c>
      <c r="I6" s="5" t="s">
        <v>17</v>
      </c>
      <c r="J6" s="5" t="s">
        <v>1346</v>
      </c>
    </row>
    <row r="7" spans="1:10" x14ac:dyDescent="0.25">
      <c r="A7" s="5" t="s">
        <v>19</v>
      </c>
      <c r="B7" s="5" t="s">
        <v>16</v>
      </c>
      <c r="C7" s="5" t="s">
        <v>17</v>
      </c>
      <c r="D7" s="5"/>
      <c r="E7" s="5" t="s">
        <v>1347</v>
      </c>
      <c r="F7" s="5" t="s">
        <v>19</v>
      </c>
      <c r="G7" s="5" t="s">
        <v>31</v>
      </c>
      <c r="H7" s="5" t="s">
        <v>17</v>
      </c>
      <c r="I7" s="5" t="s">
        <v>17</v>
      </c>
      <c r="J7" s="5" t="s">
        <v>1348</v>
      </c>
    </row>
    <row r="8" spans="1:10" x14ac:dyDescent="0.25">
      <c r="A8" s="5" t="s">
        <v>19</v>
      </c>
      <c r="B8" s="5" t="s">
        <v>16</v>
      </c>
      <c r="C8" s="5" t="s">
        <v>17</v>
      </c>
      <c r="D8" s="5"/>
      <c r="E8" s="5" t="s">
        <v>2533</v>
      </c>
      <c r="F8" s="5" t="s">
        <v>19</v>
      </c>
      <c r="G8" s="5" t="s">
        <v>31</v>
      </c>
      <c r="H8" s="5" t="s">
        <v>17</v>
      </c>
      <c r="I8" s="5" t="s">
        <v>17</v>
      </c>
      <c r="J8" s="5" t="s">
        <v>2534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3939</v>
      </c>
      <c r="B1" s="1"/>
      <c r="C1" s="1"/>
      <c r="D1" s="1"/>
      <c r="E1" s="1"/>
      <c r="F1" s="1"/>
      <c r="G1" s="1"/>
      <c r="H1" s="1"/>
      <c r="I1" s="1"/>
      <c r="J1" s="1"/>
    </row>
    <row r="2" spans="1:10" x14ac:dyDescent="0.25">
      <c r="A2" s="2" t="s">
        <v>1</v>
      </c>
      <c r="B2" s="3" t="s">
        <v>3940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976</v>
      </c>
      <c r="F5" s="5" t="s">
        <v>19</v>
      </c>
      <c r="G5" s="5" t="s">
        <v>31</v>
      </c>
      <c r="H5" s="5" t="s">
        <v>17</v>
      </c>
      <c r="I5" s="5" t="s">
        <v>17</v>
      </c>
      <c r="J5" s="5" t="s">
        <v>977</v>
      </c>
    </row>
    <row r="6" spans="1:10" x14ac:dyDescent="0.25">
      <c r="A6" s="5" t="s">
        <v>19</v>
      </c>
      <c r="B6" s="5" t="s">
        <v>16</v>
      </c>
      <c r="C6" s="5" t="s">
        <v>17</v>
      </c>
      <c r="D6" s="5"/>
      <c r="E6" s="5" t="s">
        <v>978</v>
      </c>
      <c r="F6" s="5" t="s">
        <v>19</v>
      </c>
      <c r="G6" s="5" t="s">
        <v>31</v>
      </c>
      <c r="H6" s="5" t="s">
        <v>17</v>
      </c>
      <c r="I6" s="5" t="s">
        <v>17</v>
      </c>
      <c r="J6" s="5" t="s">
        <v>979</v>
      </c>
    </row>
    <row r="7" spans="1:10" x14ac:dyDescent="0.25">
      <c r="A7" s="5" t="s">
        <v>19</v>
      </c>
      <c r="B7" s="5" t="s">
        <v>16</v>
      </c>
      <c r="C7" s="5" t="s">
        <v>17</v>
      </c>
      <c r="D7" s="5"/>
      <c r="E7" s="5" t="s">
        <v>980</v>
      </c>
      <c r="F7" s="5" t="s">
        <v>19</v>
      </c>
      <c r="G7" s="5" t="s">
        <v>31</v>
      </c>
      <c r="H7" s="5" t="s">
        <v>17</v>
      </c>
      <c r="I7" s="5" t="s">
        <v>17</v>
      </c>
      <c r="J7" s="5" t="s">
        <v>981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3941</v>
      </c>
      <c r="B1" s="1"/>
      <c r="C1" s="1"/>
      <c r="D1" s="1"/>
      <c r="E1" s="1"/>
      <c r="F1" s="1"/>
      <c r="G1" s="1"/>
      <c r="H1" s="1"/>
      <c r="I1" s="1"/>
      <c r="J1" s="1"/>
    </row>
    <row r="2" spans="1:10" x14ac:dyDescent="0.25">
      <c r="A2" s="2" t="s">
        <v>1</v>
      </c>
      <c r="B2" s="3" t="s">
        <v>3942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3943</v>
      </c>
      <c r="B1" s="1"/>
      <c r="C1" s="1"/>
      <c r="D1" s="1"/>
      <c r="E1" s="1"/>
      <c r="F1" s="1"/>
      <c r="G1" s="1"/>
      <c r="H1" s="1"/>
      <c r="I1" s="1"/>
      <c r="J1" s="1"/>
    </row>
    <row r="2" spans="1:10" x14ac:dyDescent="0.25">
      <c r="A2" s="2" t="s">
        <v>1</v>
      </c>
      <c r="B2" s="3" t="s">
        <v>3944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1345</v>
      </c>
      <c r="F5" s="5" t="s">
        <v>19</v>
      </c>
      <c r="G5" s="5" t="s">
        <v>31</v>
      </c>
      <c r="H5" s="5" t="s">
        <v>17</v>
      </c>
      <c r="I5" s="5" t="s">
        <v>17</v>
      </c>
      <c r="J5" s="5" t="s">
        <v>1346</v>
      </c>
    </row>
    <row r="6" spans="1:10" x14ac:dyDescent="0.25">
      <c r="A6" s="5" t="s">
        <v>19</v>
      </c>
      <c r="B6" s="5" t="s">
        <v>16</v>
      </c>
      <c r="C6" s="5" t="s">
        <v>17</v>
      </c>
      <c r="D6" s="5"/>
      <c r="E6" s="5" t="s">
        <v>1347</v>
      </c>
      <c r="F6" s="5" t="s">
        <v>19</v>
      </c>
      <c r="G6" s="5" t="s">
        <v>31</v>
      </c>
      <c r="H6" s="5" t="s">
        <v>17</v>
      </c>
      <c r="I6" s="5" t="s">
        <v>17</v>
      </c>
      <c r="J6" s="5" t="s">
        <v>1348</v>
      </c>
    </row>
    <row r="7" spans="1:10" x14ac:dyDescent="0.25">
      <c r="A7" s="5" t="s">
        <v>19</v>
      </c>
      <c r="B7" s="5" t="s">
        <v>16</v>
      </c>
      <c r="C7" s="5" t="s">
        <v>17</v>
      </c>
      <c r="D7" s="5"/>
      <c r="E7" s="5" t="s">
        <v>1349</v>
      </c>
      <c r="F7" s="5" t="s">
        <v>19</v>
      </c>
      <c r="G7" s="5" t="s">
        <v>31</v>
      </c>
      <c r="H7" s="5" t="s">
        <v>17</v>
      </c>
      <c r="I7" s="5" t="s">
        <v>17</v>
      </c>
      <c r="J7" s="5" t="s">
        <v>1350</v>
      </c>
    </row>
    <row r="8" spans="1:10" x14ac:dyDescent="0.25">
      <c r="A8" s="5" t="s">
        <v>19</v>
      </c>
      <c r="B8" s="5" t="s">
        <v>16</v>
      </c>
      <c r="C8" s="5" t="s">
        <v>17</v>
      </c>
      <c r="D8" s="5"/>
      <c r="E8" s="5" t="s">
        <v>9</v>
      </c>
      <c r="F8" s="5" t="s">
        <v>19</v>
      </c>
      <c r="G8" s="5" t="s">
        <v>31</v>
      </c>
      <c r="H8" s="5" t="s">
        <v>17</v>
      </c>
      <c r="I8" s="5" t="s">
        <v>17</v>
      </c>
      <c r="J8"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3945</v>
      </c>
      <c r="B1" s="1"/>
      <c r="C1" s="1"/>
      <c r="D1" s="1"/>
      <c r="E1" s="1"/>
      <c r="F1" s="1"/>
      <c r="G1" s="1"/>
      <c r="H1" s="1"/>
      <c r="I1" s="1"/>
      <c r="J1" s="1"/>
    </row>
    <row r="2" spans="1:10" x14ac:dyDescent="0.25">
      <c r="A2" s="2" t="s">
        <v>1</v>
      </c>
      <c r="B2" s="3" t="s">
        <v>3946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63</v>
      </c>
      <c r="C5" s="5" t="s">
        <v>17</v>
      </c>
      <c r="D5" s="5"/>
      <c r="E5" s="5" t="s">
        <v>1522</v>
      </c>
      <c r="F5" s="5" t="s">
        <v>19</v>
      </c>
      <c r="G5" s="5">
        <v>1</v>
      </c>
      <c r="H5" s="5" t="s">
        <v>17</v>
      </c>
      <c r="I5" s="5" t="s">
        <v>17</v>
      </c>
      <c r="J5" s="5" t="s">
        <v>1523</v>
      </c>
    </row>
    <row r="6" spans="1:10" x14ac:dyDescent="0.25">
      <c r="A6" s="5" t="s">
        <v>19</v>
      </c>
      <c r="B6" s="5" t="s">
        <v>16</v>
      </c>
      <c r="C6" s="5" t="s">
        <v>17</v>
      </c>
      <c r="D6" s="5"/>
      <c r="E6" s="5" t="s">
        <v>1524</v>
      </c>
      <c r="F6" s="5" t="s">
        <v>19</v>
      </c>
      <c r="G6" s="5" t="s">
        <v>31</v>
      </c>
      <c r="H6" s="5" t="s">
        <v>17</v>
      </c>
      <c r="I6" s="5" t="s">
        <v>17</v>
      </c>
      <c r="J6" s="5" t="s">
        <v>1525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3947</v>
      </c>
      <c r="B1" s="1"/>
      <c r="C1" s="1"/>
      <c r="D1" s="1"/>
      <c r="E1" s="1"/>
      <c r="F1" s="1"/>
      <c r="G1" s="1"/>
      <c r="H1" s="1"/>
      <c r="I1" s="1"/>
      <c r="J1" s="1"/>
    </row>
    <row r="2" spans="1:10" x14ac:dyDescent="0.25">
      <c r="A2" s="2" t="s">
        <v>1</v>
      </c>
      <c r="B2" s="3" t="s">
        <v>3948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1375</v>
      </c>
      <c r="F5" s="5" t="s">
        <v>19</v>
      </c>
      <c r="G5" s="5" t="s">
        <v>31</v>
      </c>
      <c r="H5" s="5" t="s">
        <v>17</v>
      </c>
      <c r="I5" s="5" t="s">
        <v>17</v>
      </c>
      <c r="J5" s="5" t="s">
        <v>1376</v>
      </c>
    </row>
    <row r="6" spans="1:10" x14ac:dyDescent="0.25">
      <c r="A6" s="5" t="s">
        <v>19</v>
      </c>
      <c r="B6" s="5" t="s">
        <v>16</v>
      </c>
      <c r="C6" s="5" t="s">
        <v>17</v>
      </c>
      <c r="D6" s="5"/>
      <c r="E6" s="5" t="s">
        <v>1377</v>
      </c>
      <c r="F6" s="5" t="s">
        <v>19</v>
      </c>
      <c r="G6" s="5" t="s">
        <v>31</v>
      </c>
      <c r="H6" s="5" t="s">
        <v>17</v>
      </c>
      <c r="I6" s="5" t="s">
        <v>17</v>
      </c>
      <c r="J6" s="5" t="s">
        <v>1378</v>
      </c>
    </row>
    <row r="7" spans="1:10" x14ac:dyDescent="0.25">
      <c r="A7" s="5" t="s">
        <v>19</v>
      </c>
      <c r="B7" s="5" t="s">
        <v>16</v>
      </c>
      <c r="C7" s="5" t="s">
        <v>17</v>
      </c>
      <c r="D7" s="5"/>
      <c r="E7" s="5" t="s">
        <v>1379</v>
      </c>
      <c r="F7" s="5" t="s">
        <v>19</v>
      </c>
      <c r="G7" s="5" t="s">
        <v>31</v>
      </c>
      <c r="H7" s="5" t="s">
        <v>17</v>
      </c>
      <c r="I7" s="5" t="s">
        <v>17</v>
      </c>
      <c r="J7" s="5" t="s">
        <v>1380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3949</v>
      </c>
      <c r="B1" s="1"/>
      <c r="C1" s="1"/>
      <c r="D1" s="1"/>
      <c r="E1" s="1"/>
      <c r="F1" s="1"/>
      <c r="G1" s="1"/>
      <c r="H1" s="1"/>
      <c r="I1" s="1"/>
      <c r="J1" s="1"/>
    </row>
    <row r="2" spans="1:10" x14ac:dyDescent="0.25">
      <c r="A2" s="2" t="s">
        <v>1</v>
      </c>
      <c r="B2" s="3" t="s">
        <v>3950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378</v>
      </c>
      <c r="F5" s="5" t="s">
        <v>19</v>
      </c>
      <c r="G5" s="5" t="s">
        <v>31</v>
      </c>
      <c r="H5" s="5" t="s">
        <v>17</v>
      </c>
      <c r="I5" s="5" t="s">
        <v>17</v>
      </c>
      <c r="J5" s="5" t="s">
        <v>379</v>
      </c>
    </row>
    <row r="6" spans="1:10" x14ac:dyDescent="0.25">
      <c r="A6" s="5" t="s">
        <v>19</v>
      </c>
      <c r="B6" s="5" t="s">
        <v>16</v>
      </c>
      <c r="C6" s="5" t="s">
        <v>17</v>
      </c>
      <c r="D6" s="5"/>
      <c r="E6" s="5" t="s">
        <v>380</v>
      </c>
      <c r="F6" s="5" t="s">
        <v>19</v>
      </c>
      <c r="G6" s="5" t="s">
        <v>31</v>
      </c>
      <c r="H6" s="5" t="s">
        <v>17</v>
      </c>
      <c r="I6" s="5" t="s">
        <v>17</v>
      </c>
      <c r="J6" s="5" t="s">
        <v>381</v>
      </c>
    </row>
    <row r="7" spans="1:10" x14ac:dyDescent="0.25">
      <c r="A7" s="5" t="s">
        <v>19</v>
      </c>
      <c r="B7" s="5" t="s">
        <v>63</v>
      </c>
      <c r="C7" s="5" t="s">
        <v>17</v>
      </c>
      <c r="D7" s="5"/>
      <c r="E7" s="5" t="s">
        <v>407</v>
      </c>
      <c r="F7" s="5" t="s">
        <v>19</v>
      </c>
      <c r="G7" s="5">
        <v>1</v>
      </c>
      <c r="H7" s="5" t="s">
        <v>17</v>
      </c>
      <c r="I7" s="5" t="s">
        <v>17</v>
      </c>
      <c r="J7" s="5" t="s">
        <v>408</v>
      </c>
    </row>
    <row r="8" spans="1:10" x14ac:dyDescent="0.25">
      <c r="A8" s="5" t="s">
        <v>19</v>
      </c>
      <c r="B8" s="5" t="s">
        <v>16</v>
      </c>
      <c r="C8" s="5" t="s">
        <v>17</v>
      </c>
      <c r="D8" s="5"/>
      <c r="E8" s="5" t="s">
        <v>409</v>
      </c>
      <c r="F8" s="5" t="s">
        <v>19</v>
      </c>
      <c r="G8" s="5" t="s">
        <v>31</v>
      </c>
      <c r="H8" s="5" t="s">
        <v>17</v>
      </c>
      <c r="I8" s="5" t="s">
        <v>17</v>
      </c>
      <c r="J8" s="5" t="s">
        <v>386</v>
      </c>
    </row>
    <row r="9" spans="1:10" x14ac:dyDescent="0.25">
      <c r="A9" s="5" t="s">
        <v>19</v>
      </c>
      <c r="B9" s="5" t="s">
        <v>16</v>
      </c>
      <c r="C9" s="5" t="s">
        <v>17</v>
      </c>
      <c r="D9" s="5"/>
      <c r="E9" s="5" t="s">
        <v>410</v>
      </c>
      <c r="F9" s="5" t="s">
        <v>19</v>
      </c>
      <c r="G9" s="5" t="s">
        <v>31</v>
      </c>
      <c r="H9" s="5" t="s">
        <v>17</v>
      </c>
      <c r="I9" s="5" t="s">
        <v>17</v>
      </c>
      <c r="J9" s="5" t="s">
        <v>411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3951</v>
      </c>
      <c r="B1" s="1"/>
      <c r="C1" s="1"/>
      <c r="D1" s="1"/>
      <c r="E1" s="1"/>
      <c r="F1" s="1"/>
      <c r="G1" s="1"/>
      <c r="H1" s="1"/>
      <c r="I1" s="1"/>
      <c r="J1" s="1"/>
    </row>
    <row r="2" spans="1:10" x14ac:dyDescent="0.25">
      <c r="A2" s="2" t="s">
        <v>1</v>
      </c>
      <c r="B2" s="3" t="s">
        <v>3952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3953</v>
      </c>
      <c r="B1" s="1"/>
      <c r="C1" s="1"/>
      <c r="D1" s="1"/>
      <c r="E1" s="1"/>
      <c r="F1" s="1"/>
      <c r="G1" s="1"/>
      <c r="H1" s="1"/>
      <c r="I1" s="1"/>
      <c r="J1" s="1"/>
    </row>
    <row r="2" spans="1:10" x14ac:dyDescent="0.25">
      <c r="A2" s="2" t="s">
        <v>1</v>
      </c>
      <c r="B2" s="3" t="s">
        <v>3954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3955</v>
      </c>
      <c r="B1" s="1"/>
      <c r="C1" s="1"/>
      <c r="D1" s="1"/>
      <c r="E1" s="1"/>
      <c r="F1" s="1"/>
      <c r="G1" s="1"/>
      <c r="H1" s="1"/>
      <c r="I1" s="1"/>
      <c r="J1" s="1"/>
    </row>
    <row r="2" spans="1:10" x14ac:dyDescent="0.25">
      <c r="A2" s="2" t="s">
        <v>1</v>
      </c>
      <c r="B2" s="3" t="s">
        <v>3956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3957</v>
      </c>
      <c r="B1" s="1"/>
      <c r="C1" s="1"/>
      <c r="D1" s="1"/>
      <c r="E1" s="1"/>
      <c r="F1" s="1"/>
      <c r="G1" s="1"/>
      <c r="H1" s="1"/>
      <c r="I1" s="1"/>
      <c r="J1" s="1"/>
    </row>
    <row r="2" spans="1:10" x14ac:dyDescent="0.25">
      <c r="A2" s="2" t="s">
        <v>1</v>
      </c>
      <c r="B2" s="3" t="s">
        <v>3958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135</v>
      </c>
      <c r="F5" s="5" t="s">
        <v>19</v>
      </c>
      <c r="G5" s="5" t="s">
        <v>31</v>
      </c>
      <c r="H5" s="5" t="s">
        <v>17</v>
      </c>
      <c r="I5" s="5" t="s">
        <v>17</v>
      </c>
      <c r="J5" s="5" t="s">
        <v>136</v>
      </c>
    </row>
    <row r="6" spans="1:10" x14ac:dyDescent="0.25">
      <c r="A6" s="5" t="s">
        <v>19</v>
      </c>
      <c r="B6" s="5" t="s">
        <v>16</v>
      </c>
      <c r="C6" s="5" t="s">
        <v>17</v>
      </c>
      <c r="D6" s="5"/>
      <c r="E6" s="5" t="s">
        <v>1277</v>
      </c>
      <c r="F6" s="5" t="s">
        <v>19</v>
      </c>
      <c r="G6" s="5" t="s">
        <v>31</v>
      </c>
      <c r="H6" s="5" t="s">
        <v>17</v>
      </c>
      <c r="I6" s="5" t="s">
        <v>17</v>
      </c>
      <c r="J6" s="5" t="s">
        <v>1278</v>
      </c>
    </row>
    <row r="7" spans="1:10" x14ac:dyDescent="0.25">
      <c r="A7" s="5" t="s">
        <v>19</v>
      </c>
      <c r="B7" s="5" t="s">
        <v>16</v>
      </c>
      <c r="C7" s="5" t="s">
        <v>17</v>
      </c>
      <c r="D7" s="5"/>
      <c r="E7" s="5" t="s">
        <v>139</v>
      </c>
      <c r="F7" s="5" t="s">
        <v>19</v>
      </c>
      <c r="G7" s="5" t="s">
        <v>31</v>
      </c>
      <c r="H7" s="5" t="s">
        <v>17</v>
      </c>
      <c r="I7" s="5" t="s">
        <v>17</v>
      </c>
      <c r="J7" s="5" t="s">
        <v>140</v>
      </c>
    </row>
    <row r="8" spans="1:10" x14ac:dyDescent="0.25">
      <c r="A8" s="5" t="s">
        <v>19</v>
      </c>
      <c r="B8" s="5" t="s">
        <v>16</v>
      </c>
      <c r="C8" s="5" t="s">
        <v>17</v>
      </c>
      <c r="D8" s="5"/>
      <c r="E8" s="5" t="s">
        <v>1279</v>
      </c>
      <c r="F8" s="5" t="s">
        <v>19</v>
      </c>
      <c r="G8" s="5" t="s">
        <v>31</v>
      </c>
      <c r="H8" s="5" t="s">
        <v>17</v>
      </c>
      <c r="I8" s="5" t="s">
        <v>17</v>
      </c>
      <c r="J8" s="5" t="s">
        <v>1280</v>
      </c>
    </row>
    <row r="9" spans="1:10" x14ac:dyDescent="0.25">
      <c r="A9" s="5" t="s">
        <v>19</v>
      </c>
      <c r="B9" s="5" t="s">
        <v>16</v>
      </c>
      <c r="C9" s="5" t="s">
        <v>17</v>
      </c>
      <c r="D9" s="5"/>
      <c r="E9" s="5" t="s">
        <v>1281</v>
      </c>
      <c r="F9" s="5" t="s">
        <v>19</v>
      </c>
      <c r="G9" s="5" t="s">
        <v>31</v>
      </c>
      <c r="H9" s="5" t="s">
        <v>17</v>
      </c>
      <c r="I9" s="5" t="s">
        <v>17</v>
      </c>
      <c r="J9" s="5" t="s">
        <v>1282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3959</v>
      </c>
      <c r="B1" s="1"/>
      <c r="C1" s="1"/>
      <c r="D1" s="1"/>
      <c r="E1" s="1"/>
      <c r="F1" s="1"/>
      <c r="G1" s="1"/>
      <c r="H1" s="1"/>
      <c r="I1" s="1"/>
      <c r="J1" s="1"/>
    </row>
    <row r="2" spans="1:10" x14ac:dyDescent="0.25">
      <c r="A2" s="2" t="s">
        <v>1</v>
      </c>
      <c r="B2" s="3" t="s">
        <v>3960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474</v>
      </c>
      <c r="F5" s="5" t="s">
        <v>19</v>
      </c>
      <c r="G5" s="5" t="s">
        <v>31</v>
      </c>
      <c r="H5" s="5" t="s">
        <v>17</v>
      </c>
      <c r="I5" s="5" t="s">
        <v>17</v>
      </c>
      <c r="J5" s="5" t="s">
        <v>476</v>
      </c>
    </row>
    <row r="6" spans="1:10" x14ac:dyDescent="0.25">
      <c r="A6" s="5" t="s">
        <v>19</v>
      </c>
      <c r="B6" s="5" t="s">
        <v>16</v>
      </c>
      <c r="C6" s="5" t="s">
        <v>17</v>
      </c>
      <c r="D6" s="5"/>
      <c r="E6" s="5" t="s">
        <v>1387</v>
      </c>
      <c r="F6" s="5" t="s">
        <v>19</v>
      </c>
      <c r="G6" s="5" t="s">
        <v>31</v>
      </c>
      <c r="H6" s="5" t="s">
        <v>17</v>
      </c>
      <c r="I6" s="5" t="s">
        <v>17</v>
      </c>
      <c r="J6" s="5" t="s">
        <v>1388</v>
      </c>
    </row>
    <row r="7" spans="1:10" x14ac:dyDescent="0.25">
      <c r="A7" s="5" t="s">
        <v>19</v>
      </c>
      <c r="B7" s="5" t="s">
        <v>16</v>
      </c>
      <c r="C7" s="5" t="s">
        <v>17</v>
      </c>
      <c r="D7" s="5"/>
      <c r="E7" s="5" t="s">
        <v>1389</v>
      </c>
      <c r="F7" s="5" t="s">
        <v>19</v>
      </c>
      <c r="G7" s="5" t="s">
        <v>31</v>
      </c>
      <c r="H7" s="5" t="s">
        <v>17</v>
      </c>
      <c r="I7" s="5" t="s">
        <v>17</v>
      </c>
      <c r="J7" s="5" t="s">
        <v>1390</v>
      </c>
    </row>
    <row r="8" spans="1:10" x14ac:dyDescent="0.25">
      <c r="A8" s="5" t="s">
        <v>19</v>
      </c>
      <c r="B8" s="5" t="s">
        <v>16</v>
      </c>
      <c r="C8" s="5" t="s">
        <v>17</v>
      </c>
      <c r="D8" s="5"/>
      <c r="E8" s="5" t="s">
        <v>1391</v>
      </c>
      <c r="F8" s="5" t="s">
        <v>19</v>
      </c>
      <c r="G8" s="5" t="s">
        <v>31</v>
      </c>
      <c r="H8" s="5" t="s">
        <v>17</v>
      </c>
      <c r="I8" s="5" t="s">
        <v>17</v>
      </c>
      <c r="J8" s="5" t="s">
        <v>1392</v>
      </c>
    </row>
    <row r="9" spans="1:10" x14ac:dyDescent="0.25">
      <c r="A9" s="5" t="s">
        <v>19</v>
      </c>
      <c r="B9" s="5" t="s">
        <v>16</v>
      </c>
      <c r="C9" s="5" t="s">
        <v>17</v>
      </c>
      <c r="D9" s="5"/>
      <c r="E9" s="5" t="s">
        <v>1393</v>
      </c>
      <c r="F9" s="5" t="s">
        <v>19</v>
      </c>
      <c r="G9" s="5" t="s">
        <v>31</v>
      </c>
      <c r="H9" s="5" t="s">
        <v>17</v>
      </c>
      <c r="I9" s="5" t="s">
        <v>17</v>
      </c>
      <c r="J9" s="5" t="s">
        <v>1394</v>
      </c>
    </row>
    <row r="10" spans="1:10" x14ac:dyDescent="0.25">
      <c r="A10" s="5" t="s">
        <v>19</v>
      </c>
      <c r="B10" s="5" t="s">
        <v>16</v>
      </c>
      <c r="C10" s="5" t="s">
        <v>17</v>
      </c>
      <c r="D10" s="5"/>
      <c r="E10" s="5" t="s">
        <v>1395</v>
      </c>
      <c r="F10" s="5" t="s">
        <v>19</v>
      </c>
      <c r="G10" s="5" t="s">
        <v>31</v>
      </c>
      <c r="H10" s="5" t="s">
        <v>17</v>
      </c>
      <c r="I10" s="5" t="s">
        <v>17</v>
      </c>
      <c r="J10" s="5" t="s">
        <v>1396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3961</v>
      </c>
      <c r="B1" s="1"/>
      <c r="C1" s="1"/>
      <c r="D1" s="1"/>
      <c r="E1" s="1"/>
      <c r="F1" s="1"/>
      <c r="G1" s="1"/>
      <c r="H1" s="1"/>
      <c r="I1" s="1"/>
      <c r="J1" s="1"/>
    </row>
    <row r="2" spans="1:10" x14ac:dyDescent="0.25">
      <c r="A2" s="2" t="s">
        <v>1</v>
      </c>
      <c r="B2" s="3" t="s">
        <v>3962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2515</v>
      </c>
      <c r="F5" s="5" t="s">
        <v>19</v>
      </c>
      <c r="G5" s="5" t="s">
        <v>31</v>
      </c>
      <c r="H5" s="5" t="s">
        <v>17</v>
      </c>
      <c r="I5" s="5" t="s">
        <v>17</v>
      </c>
      <c r="J5" s="5" t="s">
        <v>2516</v>
      </c>
    </row>
    <row r="6" spans="1:10" x14ac:dyDescent="0.25">
      <c r="A6" s="5" t="s">
        <v>19</v>
      </c>
      <c r="B6" s="5" t="s">
        <v>16</v>
      </c>
      <c r="C6" s="5" t="s">
        <v>17</v>
      </c>
      <c r="D6" s="5"/>
      <c r="E6" s="5" t="s">
        <v>478</v>
      </c>
      <c r="F6" s="5" t="s">
        <v>19</v>
      </c>
      <c r="G6" s="5" t="s">
        <v>31</v>
      </c>
      <c r="H6" s="5" t="s">
        <v>17</v>
      </c>
      <c r="I6" s="5" t="s">
        <v>17</v>
      </c>
      <c r="J6" s="5" t="s">
        <v>1323</v>
      </c>
    </row>
    <row r="7" spans="1:10" x14ac:dyDescent="0.25">
      <c r="A7" s="5" t="s">
        <v>19</v>
      </c>
      <c r="B7" s="5" t="s">
        <v>16</v>
      </c>
      <c r="C7" s="5" t="s">
        <v>17</v>
      </c>
      <c r="D7" s="5"/>
      <c r="E7" s="5" t="s">
        <v>3151</v>
      </c>
      <c r="F7" s="5" t="s">
        <v>19</v>
      </c>
      <c r="G7" s="5" t="s">
        <v>31</v>
      </c>
      <c r="H7" s="5" t="s">
        <v>17</v>
      </c>
      <c r="I7" s="5" t="s">
        <v>17</v>
      </c>
      <c r="J7" s="5" t="s">
        <v>2508</v>
      </c>
    </row>
    <row r="8" spans="1:10" x14ac:dyDescent="0.25">
      <c r="A8" s="5" t="s">
        <v>19</v>
      </c>
      <c r="B8" s="5" t="s">
        <v>16</v>
      </c>
      <c r="C8" s="5" t="s">
        <v>17</v>
      </c>
      <c r="D8" s="5"/>
      <c r="E8" s="5" t="s">
        <v>3147</v>
      </c>
      <c r="F8" s="5" t="s">
        <v>19</v>
      </c>
      <c r="G8" s="5" t="s">
        <v>31</v>
      </c>
      <c r="H8" s="5" t="s">
        <v>17</v>
      </c>
      <c r="I8" s="5" t="s">
        <v>17</v>
      </c>
      <c r="J8" s="5" t="s">
        <v>2510</v>
      </c>
    </row>
    <row r="9" spans="1:10" x14ac:dyDescent="0.25">
      <c r="A9" s="5" t="s">
        <v>19</v>
      </c>
      <c r="B9" s="5" t="s">
        <v>16</v>
      </c>
      <c r="C9" s="5" t="s">
        <v>17</v>
      </c>
      <c r="D9" s="5"/>
      <c r="E9" s="5" t="s">
        <v>1256</v>
      </c>
      <c r="F9" s="5" t="s">
        <v>19</v>
      </c>
      <c r="G9" s="5" t="s">
        <v>31</v>
      </c>
      <c r="H9" s="5" t="s">
        <v>17</v>
      </c>
      <c r="I9" s="5" t="s">
        <v>17</v>
      </c>
      <c r="J9" s="5" t="s">
        <v>1257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3963</v>
      </c>
      <c r="B1" s="1"/>
      <c r="C1" s="1"/>
      <c r="D1" s="1"/>
      <c r="E1" s="1"/>
      <c r="F1" s="1"/>
      <c r="G1" s="1"/>
      <c r="H1" s="1"/>
      <c r="I1" s="1"/>
      <c r="J1" s="1"/>
    </row>
    <row r="2" spans="1:10" x14ac:dyDescent="0.25">
      <c r="A2" s="2" t="s">
        <v>1</v>
      </c>
      <c r="B2" s="3" t="s">
        <v>3964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3965</v>
      </c>
      <c r="B1" s="1"/>
      <c r="C1" s="1"/>
      <c r="D1" s="1"/>
      <c r="E1" s="1"/>
      <c r="F1" s="1"/>
      <c r="G1" s="1"/>
      <c r="H1" s="1"/>
      <c r="I1" s="1"/>
      <c r="J1" s="1"/>
    </row>
    <row r="2" spans="1:10" x14ac:dyDescent="0.25">
      <c r="A2" s="2" t="s">
        <v>1</v>
      </c>
      <c r="B2" s="3" t="s">
        <v>3966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474</v>
      </c>
      <c r="F5" s="5" t="s">
        <v>19</v>
      </c>
      <c r="G5" s="5" t="s">
        <v>31</v>
      </c>
      <c r="H5" s="5" t="s">
        <v>17</v>
      </c>
      <c r="I5" s="5" t="s">
        <v>17</v>
      </c>
      <c r="J5" s="5" t="s">
        <v>476</v>
      </c>
    </row>
    <row r="6" spans="1:10" x14ac:dyDescent="0.25">
      <c r="A6" s="5" t="s">
        <v>19</v>
      </c>
      <c r="B6" s="5" t="s">
        <v>16</v>
      </c>
      <c r="C6" s="5" t="s">
        <v>17</v>
      </c>
      <c r="D6" s="5"/>
      <c r="E6" s="5" t="s">
        <v>1387</v>
      </c>
      <c r="F6" s="5" t="s">
        <v>19</v>
      </c>
      <c r="G6" s="5" t="s">
        <v>31</v>
      </c>
      <c r="H6" s="5" t="s">
        <v>17</v>
      </c>
      <c r="I6" s="5" t="s">
        <v>17</v>
      </c>
      <c r="J6" s="5" t="s">
        <v>1388</v>
      </c>
    </row>
    <row r="7" spans="1:10" x14ac:dyDescent="0.25">
      <c r="A7" s="5" t="s">
        <v>19</v>
      </c>
      <c r="B7" s="5" t="s">
        <v>16</v>
      </c>
      <c r="C7" s="5" t="s">
        <v>17</v>
      </c>
      <c r="D7" s="5"/>
      <c r="E7" s="5" t="s">
        <v>264</v>
      </c>
      <c r="F7" s="5" t="s">
        <v>19</v>
      </c>
      <c r="G7" s="5" t="s">
        <v>31</v>
      </c>
      <c r="H7" s="5" t="s">
        <v>17</v>
      </c>
      <c r="I7" s="5" t="s">
        <v>17</v>
      </c>
      <c r="J7" s="5" t="s">
        <v>265</v>
      </c>
    </row>
    <row r="8" spans="1:10" x14ac:dyDescent="0.25">
      <c r="A8" s="5" t="s">
        <v>19</v>
      </c>
      <c r="B8" s="5" t="s">
        <v>16</v>
      </c>
      <c r="C8" s="5" t="s">
        <v>17</v>
      </c>
      <c r="D8" s="5"/>
      <c r="E8" s="5" t="s">
        <v>266</v>
      </c>
      <c r="F8" s="5" t="s">
        <v>19</v>
      </c>
      <c r="G8" s="5" t="s">
        <v>31</v>
      </c>
      <c r="H8" s="5" t="s">
        <v>17</v>
      </c>
      <c r="I8" s="5" t="s">
        <v>17</v>
      </c>
      <c r="J8" s="5" t="s">
        <v>267</v>
      </c>
    </row>
    <row r="9" spans="1:10" x14ac:dyDescent="0.25">
      <c r="A9" s="5" t="s">
        <v>19</v>
      </c>
      <c r="B9" s="5" t="s">
        <v>16</v>
      </c>
      <c r="C9" s="5" t="s">
        <v>17</v>
      </c>
      <c r="D9" s="5"/>
      <c r="E9" s="5" t="s">
        <v>1399</v>
      </c>
      <c r="F9" s="5" t="s">
        <v>19</v>
      </c>
      <c r="G9" s="5" t="s">
        <v>31</v>
      </c>
      <c r="H9" s="5" t="s">
        <v>17</v>
      </c>
      <c r="I9" s="5" t="s">
        <v>17</v>
      </c>
      <c r="J9" s="5" t="s">
        <v>1400</v>
      </c>
    </row>
    <row r="10" spans="1:10" x14ac:dyDescent="0.25">
      <c r="A10" s="5" t="s">
        <v>19</v>
      </c>
      <c r="B10" s="5" t="s">
        <v>16</v>
      </c>
      <c r="C10" s="5" t="s">
        <v>17</v>
      </c>
      <c r="D10" s="5"/>
      <c r="E10" s="5" t="s">
        <v>1401</v>
      </c>
      <c r="F10" s="5" t="s">
        <v>19</v>
      </c>
      <c r="G10" s="5" t="s">
        <v>31</v>
      </c>
      <c r="H10" s="5" t="s">
        <v>17</v>
      </c>
      <c r="I10" s="5" t="s">
        <v>17</v>
      </c>
      <c r="J10" s="5" t="s">
        <v>1402</v>
      </c>
    </row>
    <row r="11" spans="1:10" x14ac:dyDescent="0.25">
      <c r="A11" s="5" t="s">
        <v>19</v>
      </c>
      <c r="B11" s="5" t="s">
        <v>16</v>
      </c>
      <c r="C11" s="5" t="s">
        <v>17</v>
      </c>
      <c r="D11" s="5"/>
      <c r="E11" s="5" t="s">
        <v>1403</v>
      </c>
      <c r="F11" s="5" t="s">
        <v>19</v>
      </c>
      <c r="G11" s="5" t="s">
        <v>31</v>
      </c>
      <c r="H11" s="5" t="s">
        <v>17</v>
      </c>
      <c r="I11" s="5" t="s">
        <v>17</v>
      </c>
      <c r="J11" s="5" t="s">
        <v>1404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3967</v>
      </c>
      <c r="B1" s="1"/>
      <c r="C1" s="1"/>
      <c r="D1" s="1"/>
      <c r="E1" s="1"/>
      <c r="F1" s="1"/>
      <c r="G1" s="1"/>
      <c r="H1" s="1"/>
      <c r="I1" s="1"/>
      <c r="J1" s="1"/>
    </row>
    <row r="2" spans="1:10" x14ac:dyDescent="0.25">
      <c r="A2" s="2" t="s">
        <v>1</v>
      </c>
      <c r="B2" s="3" t="s">
        <v>3968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1351</v>
      </c>
      <c r="B1" s="1"/>
      <c r="C1" s="1"/>
      <c r="D1" s="1"/>
      <c r="E1" s="1"/>
      <c r="F1" s="1"/>
      <c r="G1" s="1"/>
      <c r="H1" s="1"/>
      <c r="I1" s="1"/>
      <c r="J1" s="1"/>
    </row>
    <row r="2" spans="1:10" x14ac:dyDescent="0.25">
      <c r="A2" s="2" t="s">
        <v>1</v>
      </c>
      <c r="B2" s="3" t="s">
        <v>3969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1354</v>
      </c>
      <c r="F5" s="5" t="s">
        <v>19</v>
      </c>
      <c r="G5" s="5" t="s">
        <v>31</v>
      </c>
      <c r="H5" s="5" t="s">
        <v>17</v>
      </c>
      <c r="I5" s="5" t="s">
        <v>17</v>
      </c>
      <c r="J5" s="5" t="s">
        <v>1355</v>
      </c>
    </row>
    <row r="6" spans="1:10" x14ac:dyDescent="0.25">
      <c r="A6" s="5" t="s">
        <v>19</v>
      </c>
      <c r="B6" s="5" t="s">
        <v>16</v>
      </c>
      <c r="C6" s="5" t="s">
        <v>17</v>
      </c>
      <c r="D6" s="5"/>
      <c r="E6" s="5" t="s">
        <v>1356</v>
      </c>
      <c r="F6" s="5" t="s">
        <v>19</v>
      </c>
      <c r="G6" s="5" t="s">
        <v>31</v>
      </c>
      <c r="H6" s="5" t="s">
        <v>17</v>
      </c>
      <c r="I6" s="5" t="s">
        <v>17</v>
      </c>
      <c r="J6" s="5" t="s">
        <v>1357</v>
      </c>
    </row>
    <row r="7" spans="1:10" x14ac:dyDescent="0.25">
      <c r="A7" s="5" t="s">
        <v>19</v>
      </c>
      <c r="B7" s="5" t="s">
        <v>16</v>
      </c>
      <c r="C7" s="5" t="s">
        <v>17</v>
      </c>
      <c r="D7" s="5"/>
      <c r="E7" s="5" t="s">
        <v>1358</v>
      </c>
      <c r="F7" s="5" t="s">
        <v>19</v>
      </c>
      <c r="G7" s="5" t="s">
        <v>31</v>
      </c>
      <c r="H7" s="5" t="s">
        <v>17</v>
      </c>
      <c r="I7" s="5" t="s">
        <v>17</v>
      </c>
      <c r="J7" s="5" t="s">
        <v>1359</v>
      </c>
    </row>
    <row r="8" spans="1:10" x14ac:dyDescent="0.25">
      <c r="A8" s="5" t="s">
        <v>19</v>
      </c>
      <c r="B8" s="5" t="s">
        <v>63</v>
      </c>
      <c r="C8" s="5" t="s">
        <v>17</v>
      </c>
      <c r="D8" s="5"/>
      <c r="E8" s="5" t="s">
        <v>1360</v>
      </c>
      <c r="F8" s="5" t="s">
        <v>19</v>
      </c>
      <c r="G8" s="5">
        <v>1</v>
      </c>
      <c r="H8" s="5" t="s">
        <v>17</v>
      </c>
      <c r="I8" s="5" t="s">
        <v>17</v>
      </c>
      <c r="J8" s="5" t="s">
        <v>1361</v>
      </c>
    </row>
    <row r="9" spans="1:10" x14ac:dyDescent="0.25">
      <c r="A9" s="5" t="s">
        <v>19</v>
      </c>
      <c r="B9" s="5" t="s">
        <v>16</v>
      </c>
      <c r="C9" s="5" t="s">
        <v>17</v>
      </c>
      <c r="D9" s="5"/>
      <c r="E9" s="5" t="s">
        <v>1362</v>
      </c>
      <c r="F9" s="5" t="s">
        <v>19</v>
      </c>
      <c r="G9" s="5" t="s">
        <v>31</v>
      </c>
      <c r="H9" s="5" t="s">
        <v>17</v>
      </c>
      <c r="I9" s="5" t="s">
        <v>17</v>
      </c>
      <c r="J9" s="5" t="s">
        <v>1191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3970</v>
      </c>
      <c r="B1" s="1"/>
      <c r="C1" s="1"/>
      <c r="D1" s="1"/>
      <c r="E1" s="1"/>
      <c r="F1" s="1"/>
      <c r="G1" s="1"/>
      <c r="H1" s="1"/>
      <c r="I1" s="1"/>
      <c r="J1" s="1"/>
    </row>
    <row r="2" spans="1:10" x14ac:dyDescent="0.25">
      <c r="A2" s="2" t="s">
        <v>1</v>
      </c>
      <c r="B2" s="3" t="s">
        <v>3971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31</v>
      </c>
      <c r="H5" s="5" t="s">
        <v>17</v>
      </c>
      <c r="I5" s="5" t="s">
        <v>17</v>
      </c>
      <c r="J5" s="5" t="s">
        <v>730</v>
      </c>
    </row>
    <row r="6" spans="1:10" x14ac:dyDescent="0.25">
      <c r="A6" s="5" t="s">
        <v>19</v>
      </c>
      <c r="B6" s="5" t="s">
        <v>16</v>
      </c>
      <c r="C6" s="5" t="s">
        <v>17</v>
      </c>
      <c r="D6" s="5"/>
      <c r="E6" s="5" t="s">
        <v>731</v>
      </c>
      <c r="F6" s="5" t="s">
        <v>19</v>
      </c>
      <c r="G6" s="5" t="s">
        <v>31</v>
      </c>
      <c r="H6" s="5" t="s">
        <v>17</v>
      </c>
      <c r="I6" s="5" t="s">
        <v>17</v>
      </c>
      <c r="J6" s="5" t="s">
        <v>733</v>
      </c>
    </row>
    <row r="7" spans="1:10" x14ac:dyDescent="0.25">
      <c r="A7" s="5" t="s">
        <v>19</v>
      </c>
      <c r="B7" s="5" t="s">
        <v>16</v>
      </c>
      <c r="C7" s="5" t="s">
        <v>17</v>
      </c>
      <c r="D7" s="5"/>
      <c r="E7" s="5" t="s">
        <v>30</v>
      </c>
      <c r="F7" s="5" t="s">
        <v>19</v>
      </c>
      <c r="G7" s="5" t="s">
        <v>31</v>
      </c>
      <c r="H7" s="5" t="s">
        <v>17</v>
      </c>
      <c r="I7" s="5" t="s">
        <v>17</v>
      </c>
      <c r="J7" s="5" t="s">
        <v>32</v>
      </c>
    </row>
    <row r="8" spans="1:10" x14ac:dyDescent="0.25">
      <c r="A8" s="5" t="s">
        <v>19</v>
      </c>
      <c r="B8" s="5" t="s">
        <v>16</v>
      </c>
      <c r="C8" s="5" t="s">
        <v>17</v>
      </c>
      <c r="D8" s="5"/>
      <c r="E8" s="5" t="s">
        <v>33</v>
      </c>
      <c r="F8" s="5" t="s">
        <v>19</v>
      </c>
      <c r="G8" s="5" t="s">
        <v>31</v>
      </c>
      <c r="H8" s="5" t="s">
        <v>17</v>
      </c>
      <c r="I8" s="5" t="s">
        <v>17</v>
      </c>
      <c r="J8" s="5" t="s">
        <v>34</v>
      </c>
    </row>
    <row r="9" spans="1:10" x14ac:dyDescent="0.25">
      <c r="A9" s="5" t="s">
        <v>19</v>
      </c>
      <c r="B9" s="5" t="s">
        <v>63</v>
      </c>
      <c r="C9" s="5" t="s">
        <v>17</v>
      </c>
      <c r="D9" s="5"/>
      <c r="E9" s="5" t="s">
        <v>1529</v>
      </c>
      <c r="F9" s="5" t="s">
        <v>19</v>
      </c>
      <c r="G9" s="5">
        <v>1</v>
      </c>
      <c r="H9" s="5" t="s">
        <v>17</v>
      </c>
      <c r="I9" s="5" t="s">
        <v>17</v>
      </c>
      <c r="J9" s="5" t="s">
        <v>1530</v>
      </c>
    </row>
    <row r="10" spans="1:10" x14ac:dyDescent="0.25">
      <c r="A10" s="5" t="s">
        <v>19</v>
      </c>
      <c r="B10" s="5" t="s">
        <v>63</v>
      </c>
      <c r="C10" s="5" t="s">
        <v>17</v>
      </c>
      <c r="D10" s="5"/>
      <c r="E10" s="5" t="s">
        <v>1531</v>
      </c>
      <c r="F10" s="5" t="s">
        <v>19</v>
      </c>
      <c r="G10" s="5">
        <v>1</v>
      </c>
      <c r="H10" s="5" t="s">
        <v>17</v>
      </c>
      <c r="I10" s="5" t="s">
        <v>17</v>
      </c>
      <c r="J10" s="5" t="s">
        <v>1532</v>
      </c>
    </row>
    <row r="11" spans="1:10" x14ac:dyDescent="0.25">
      <c r="A11" s="5" t="s">
        <v>19</v>
      </c>
      <c r="B11" s="5" t="s">
        <v>63</v>
      </c>
      <c r="C11" s="5" t="s">
        <v>17</v>
      </c>
      <c r="D11" s="5"/>
      <c r="E11" s="5" t="s">
        <v>1533</v>
      </c>
      <c r="F11" s="5" t="s">
        <v>19</v>
      </c>
      <c r="G11" s="5">
        <v>1</v>
      </c>
      <c r="H11" s="5" t="s">
        <v>17</v>
      </c>
      <c r="I11" s="5" t="s">
        <v>17</v>
      </c>
      <c r="J11" s="5" t="s">
        <v>1534</v>
      </c>
    </row>
    <row r="12" spans="1:10" x14ac:dyDescent="0.25">
      <c r="A12" s="5" t="s">
        <v>19</v>
      </c>
      <c r="B12" s="5" t="s">
        <v>16</v>
      </c>
      <c r="C12" s="5" t="s">
        <v>17</v>
      </c>
      <c r="D12" s="5"/>
      <c r="E12" s="5" t="s">
        <v>1535</v>
      </c>
      <c r="F12" s="5" t="s">
        <v>19</v>
      </c>
      <c r="G12" s="5" t="s">
        <v>31</v>
      </c>
      <c r="H12" s="5" t="s">
        <v>17</v>
      </c>
      <c r="I12" s="5" t="s">
        <v>17</v>
      </c>
      <c r="J12" s="5" t="s">
        <v>1536</v>
      </c>
    </row>
    <row r="13" spans="1:10" x14ac:dyDescent="0.25">
      <c r="A13" s="5" t="s">
        <v>19</v>
      </c>
      <c r="B13" s="5" t="s">
        <v>16</v>
      </c>
      <c r="C13" s="5" t="s">
        <v>17</v>
      </c>
      <c r="D13" s="5"/>
      <c r="E13" s="5" t="s">
        <v>1537</v>
      </c>
      <c r="F13" s="5" t="s">
        <v>19</v>
      </c>
      <c r="G13" s="5" t="s">
        <v>31</v>
      </c>
      <c r="H13" s="5" t="s">
        <v>17</v>
      </c>
      <c r="I13" s="5" t="s">
        <v>17</v>
      </c>
      <c r="J13" s="5" t="s">
        <v>1538</v>
      </c>
    </row>
    <row r="14" spans="1:10" x14ac:dyDescent="0.25">
      <c r="A14" s="5" t="s">
        <v>19</v>
      </c>
      <c r="B14" s="5" t="s">
        <v>16</v>
      </c>
      <c r="C14" s="5" t="s">
        <v>17</v>
      </c>
      <c r="D14" s="5"/>
      <c r="E14" s="5" t="s">
        <v>1539</v>
      </c>
      <c r="F14" s="5" t="s">
        <v>19</v>
      </c>
      <c r="G14" s="5" t="s">
        <v>31</v>
      </c>
      <c r="H14" s="5" t="s">
        <v>17</v>
      </c>
      <c r="I14" s="5" t="s">
        <v>17</v>
      </c>
      <c r="J14" s="5" t="s">
        <v>752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3972</v>
      </c>
      <c r="B1" s="1"/>
      <c r="C1" s="1"/>
      <c r="D1" s="1"/>
      <c r="E1" s="1"/>
      <c r="F1" s="1"/>
      <c r="G1" s="1"/>
      <c r="H1" s="1"/>
      <c r="I1" s="1"/>
      <c r="J1" s="1"/>
    </row>
    <row r="2" spans="1:10" x14ac:dyDescent="0.25">
      <c r="A2" s="2" t="s">
        <v>1</v>
      </c>
      <c r="B2" s="3" t="s">
        <v>3973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3974</v>
      </c>
      <c r="B1" s="1"/>
      <c r="C1" s="1"/>
      <c r="D1" s="1"/>
      <c r="E1" s="1"/>
      <c r="F1" s="1"/>
      <c r="G1" s="1"/>
      <c r="H1" s="1"/>
      <c r="I1" s="1"/>
      <c r="J1" s="1"/>
    </row>
    <row r="2" spans="1:10" x14ac:dyDescent="0.25">
      <c r="A2" s="2" t="s">
        <v>1</v>
      </c>
      <c r="B2" s="3" t="s">
        <v>3975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1200</v>
      </c>
      <c r="F5" s="5" t="s">
        <v>19</v>
      </c>
      <c r="G5" s="5" t="s">
        <v>31</v>
      </c>
      <c r="H5" s="5" t="s">
        <v>17</v>
      </c>
      <c r="I5" s="5" t="s">
        <v>17</v>
      </c>
      <c r="J5" s="5" t="s">
        <v>1201</v>
      </c>
    </row>
    <row r="6" spans="1:10" x14ac:dyDescent="0.25">
      <c r="A6" s="5" t="s">
        <v>19</v>
      </c>
      <c r="B6" s="5" t="s">
        <v>16</v>
      </c>
      <c r="C6" s="5" t="s">
        <v>17</v>
      </c>
      <c r="D6" s="5"/>
      <c r="E6" s="5" t="s">
        <v>1202</v>
      </c>
      <c r="F6" s="5" t="s">
        <v>19</v>
      </c>
      <c r="G6" s="5" t="s">
        <v>31</v>
      </c>
      <c r="H6" s="5" t="s">
        <v>17</v>
      </c>
      <c r="I6" s="5" t="s">
        <v>17</v>
      </c>
      <c r="J6" s="5" t="s">
        <v>1203</v>
      </c>
    </row>
    <row r="7" spans="1:10" x14ac:dyDescent="0.25">
      <c r="A7" s="5" t="s">
        <v>19</v>
      </c>
      <c r="B7" s="5" t="s">
        <v>16</v>
      </c>
      <c r="C7" s="5" t="s">
        <v>17</v>
      </c>
      <c r="D7" s="5"/>
      <c r="E7" s="5" t="s">
        <v>1204</v>
      </c>
      <c r="F7" s="5" t="s">
        <v>19</v>
      </c>
      <c r="G7" s="5" t="s">
        <v>31</v>
      </c>
      <c r="H7" s="5" t="s">
        <v>17</v>
      </c>
      <c r="I7" s="5" t="s">
        <v>17</v>
      </c>
      <c r="J7" s="5" t="s">
        <v>1205</v>
      </c>
    </row>
    <row r="8" spans="1:10" x14ac:dyDescent="0.25">
      <c r="A8" s="5" t="s">
        <v>19</v>
      </c>
      <c r="B8" s="5" t="s">
        <v>16</v>
      </c>
      <c r="C8" s="5" t="s">
        <v>17</v>
      </c>
      <c r="D8" s="5"/>
      <c r="E8" s="5" t="s">
        <v>1206</v>
      </c>
      <c r="F8" s="5" t="s">
        <v>19</v>
      </c>
      <c r="G8" s="5" t="s">
        <v>31</v>
      </c>
      <c r="H8" s="5" t="s">
        <v>17</v>
      </c>
      <c r="I8" s="5" t="s">
        <v>17</v>
      </c>
      <c r="J8" s="5" t="s">
        <v>1207</v>
      </c>
    </row>
    <row r="9" spans="1:10" x14ac:dyDescent="0.25">
      <c r="A9" s="5" t="s">
        <v>19</v>
      </c>
      <c r="B9" s="5" t="s">
        <v>16</v>
      </c>
      <c r="C9" s="5" t="s">
        <v>17</v>
      </c>
      <c r="D9" s="5"/>
      <c r="E9" s="5" t="s">
        <v>2158</v>
      </c>
      <c r="F9" s="5" t="s">
        <v>19</v>
      </c>
      <c r="G9" s="5" t="s">
        <v>31</v>
      </c>
      <c r="H9" s="5" t="s">
        <v>17</v>
      </c>
      <c r="I9" s="5" t="s">
        <v>17</v>
      </c>
      <c r="J9" s="5" t="s">
        <v>2159</v>
      </c>
    </row>
    <row r="10" spans="1:10" x14ac:dyDescent="0.25">
      <c r="A10" s="5" t="s">
        <v>19</v>
      </c>
      <c r="B10" s="5" t="s">
        <v>16</v>
      </c>
      <c r="C10" s="5" t="s">
        <v>17</v>
      </c>
      <c r="D10" s="5"/>
      <c r="E10" s="5" t="s">
        <v>1210</v>
      </c>
      <c r="F10" s="5" t="s">
        <v>19</v>
      </c>
      <c r="G10" s="5" t="s">
        <v>31</v>
      </c>
      <c r="H10" s="5" t="s">
        <v>17</v>
      </c>
      <c r="I10" s="5" t="s">
        <v>17</v>
      </c>
      <c r="J10" s="5" t="s">
        <v>1211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3976</v>
      </c>
      <c r="B1" s="1"/>
      <c r="C1" s="1"/>
      <c r="D1" s="1"/>
      <c r="E1" s="1"/>
      <c r="F1" s="1"/>
      <c r="G1" s="1"/>
      <c r="H1" s="1"/>
      <c r="I1" s="1"/>
      <c r="J1" s="1"/>
    </row>
    <row r="2" spans="1:10" x14ac:dyDescent="0.25">
      <c r="A2" s="2" t="s">
        <v>1</v>
      </c>
      <c r="B2" s="3" t="s">
        <v>3977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841</v>
      </c>
      <c r="F5" s="5" t="s">
        <v>19</v>
      </c>
      <c r="G5" s="5" t="s">
        <v>31</v>
      </c>
      <c r="H5" s="5" t="s">
        <v>17</v>
      </c>
      <c r="I5" s="5" t="s">
        <v>17</v>
      </c>
      <c r="J5" s="5" t="s">
        <v>330</v>
      </c>
    </row>
    <row r="6" spans="1:10" x14ac:dyDescent="0.25">
      <c r="A6" s="5" t="s">
        <v>19</v>
      </c>
      <c r="B6" s="5" t="s">
        <v>16</v>
      </c>
      <c r="C6" s="5" t="s">
        <v>17</v>
      </c>
      <c r="D6" s="5"/>
      <c r="E6" s="5" t="s">
        <v>842</v>
      </c>
      <c r="F6" s="5" t="s">
        <v>19</v>
      </c>
      <c r="G6" s="5" t="s">
        <v>31</v>
      </c>
      <c r="H6" s="5" t="s">
        <v>17</v>
      </c>
      <c r="I6" s="5" t="s">
        <v>17</v>
      </c>
      <c r="J6"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3978</v>
      </c>
      <c r="B1" s="1"/>
      <c r="C1" s="1"/>
      <c r="D1" s="1"/>
      <c r="E1" s="1"/>
      <c r="F1" s="1"/>
      <c r="G1" s="1"/>
      <c r="H1" s="1"/>
      <c r="I1" s="1"/>
      <c r="J1" s="1"/>
    </row>
    <row r="2" spans="1:10" x14ac:dyDescent="0.25">
      <c r="A2" s="2" t="s">
        <v>1</v>
      </c>
      <c r="B2" s="3" t="s">
        <v>3979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31</v>
      </c>
      <c r="H5" s="5" t="s">
        <v>17</v>
      </c>
      <c r="I5" s="5" t="s">
        <v>17</v>
      </c>
      <c r="J5" s="5" t="s">
        <v>730</v>
      </c>
    </row>
    <row r="6" spans="1:10" x14ac:dyDescent="0.25">
      <c r="A6" s="5" t="s">
        <v>19</v>
      </c>
      <c r="B6" s="5" t="s">
        <v>16</v>
      </c>
      <c r="C6" s="5" t="s">
        <v>17</v>
      </c>
      <c r="D6" s="5"/>
      <c r="E6" s="5" t="s">
        <v>731</v>
      </c>
      <c r="F6" s="5" t="s">
        <v>19</v>
      </c>
      <c r="G6" s="5" t="s">
        <v>31</v>
      </c>
      <c r="H6" s="5" t="s">
        <v>17</v>
      </c>
      <c r="I6" s="5" t="s">
        <v>17</v>
      </c>
      <c r="J6" s="5" t="s">
        <v>733</v>
      </c>
    </row>
    <row r="7" spans="1:10" x14ac:dyDescent="0.25">
      <c r="A7" s="5" t="s">
        <v>19</v>
      </c>
      <c r="B7" s="5" t="s">
        <v>16</v>
      </c>
      <c r="C7" s="5" t="s">
        <v>17</v>
      </c>
      <c r="D7" s="5"/>
      <c r="E7" s="5" t="s">
        <v>30</v>
      </c>
      <c r="F7" s="5" t="s">
        <v>19</v>
      </c>
      <c r="G7" s="5" t="s">
        <v>31</v>
      </c>
      <c r="H7" s="5" t="s">
        <v>17</v>
      </c>
      <c r="I7" s="5" t="s">
        <v>17</v>
      </c>
      <c r="J7" s="5" t="s">
        <v>32</v>
      </c>
    </row>
    <row r="8" spans="1:10" x14ac:dyDescent="0.25">
      <c r="A8" s="5" t="s">
        <v>19</v>
      </c>
      <c r="B8" s="5" t="s">
        <v>16</v>
      </c>
      <c r="C8" s="5" t="s">
        <v>17</v>
      </c>
      <c r="D8" s="5"/>
      <c r="E8" s="5" t="s">
        <v>33</v>
      </c>
      <c r="F8" s="5" t="s">
        <v>19</v>
      </c>
      <c r="G8" s="5" t="s">
        <v>31</v>
      </c>
      <c r="H8" s="5" t="s">
        <v>17</v>
      </c>
      <c r="I8" s="5" t="s">
        <v>17</v>
      </c>
      <c r="J8" s="5" t="s">
        <v>34</v>
      </c>
    </row>
    <row r="9" spans="1:10" x14ac:dyDescent="0.25">
      <c r="A9" s="5" t="s">
        <v>19</v>
      </c>
      <c r="B9" s="5" t="s">
        <v>16</v>
      </c>
      <c r="C9" s="5" t="s">
        <v>17</v>
      </c>
      <c r="D9" s="5"/>
      <c r="E9" s="5" t="s">
        <v>1559</v>
      </c>
      <c r="F9" s="5" t="s">
        <v>19</v>
      </c>
      <c r="G9" s="5" t="s">
        <v>31</v>
      </c>
      <c r="H9" s="5" t="s">
        <v>17</v>
      </c>
      <c r="I9" s="5" t="s">
        <v>17</v>
      </c>
      <c r="J9" s="5" t="s">
        <v>1560</v>
      </c>
    </row>
    <row r="10" spans="1:10" x14ac:dyDescent="0.25">
      <c r="A10" s="5" t="s">
        <v>19</v>
      </c>
      <c r="B10" s="5" t="s">
        <v>16</v>
      </c>
      <c r="C10" s="5" t="s">
        <v>17</v>
      </c>
      <c r="D10" s="5"/>
      <c r="E10" s="5" t="s">
        <v>1533</v>
      </c>
      <c r="F10" s="5" t="s">
        <v>19</v>
      </c>
      <c r="G10" s="5" t="s">
        <v>31</v>
      </c>
      <c r="H10" s="5" t="s">
        <v>17</v>
      </c>
      <c r="I10" s="5" t="s">
        <v>17</v>
      </c>
      <c r="J10" s="5" t="s">
        <v>1534</v>
      </c>
    </row>
    <row r="11" spans="1:10" x14ac:dyDescent="0.25">
      <c r="A11" s="5" t="s">
        <v>19</v>
      </c>
      <c r="B11" s="5" t="s">
        <v>16</v>
      </c>
      <c r="C11" s="5" t="s">
        <v>17</v>
      </c>
      <c r="D11" s="5"/>
      <c r="E11" s="5" t="s">
        <v>1539</v>
      </c>
      <c r="F11" s="5" t="s">
        <v>19</v>
      </c>
      <c r="G11" s="5" t="s">
        <v>31</v>
      </c>
      <c r="H11" s="5" t="s">
        <v>17</v>
      </c>
      <c r="I11" s="5" t="s">
        <v>17</v>
      </c>
      <c r="J11" s="5" t="s">
        <v>752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3980</v>
      </c>
      <c r="B1" s="1"/>
      <c r="C1" s="1"/>
      <c r="D1" s="1"/>
      <c r="E1" s="1"/>
      <c r="F1" s="1"/>
      <c r="G1" s="1"/>
      <c r="H1" s="1"/>
      <c r="I1" s="1"/>
      <c r="J1" s="1"/>
    </row>
    <row r="2" spans="1:10" x14ac:dyDescent="0.25">
      <c r="A2" s="2" t="s">
        <v>1</v>
      </c>
      <c r="B2" s="3" t="s">
        <v>3981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841</v>
      </c>
      <c r="F5" s="5" t="s">
        <v>19</v>
      </c>
      <c r="G5" s="5" t="s">
        <v>31</v>
      </c>
      <c r="H5" s="5" t="s">
        <v>17</v>
      </c>
      <c r="I5" s="5" t="s">
        <v>17</v>
      </c>
      <c r="J5" s="5" t="s">
        <v>330</v>
      </c>
    </row>
    <row r="6" spans="1:10" x14ac:dyDescent="0.25">
      <c r="A6" s="5" t="s">
        <v>19</v>
      </c>
      <c r="B6" s="5" t="s">
        <v>16</v>
      </c>
      <c r="C6" s="5" t="s">
        <v>17</v>
      </c>
      <c r="D6" s="5"/>
      <c r="E6" s="5" t="s">
        <v>842</v>
      </c>
      <c r="F6" s="5" t="s">
        <v>19</v>
      </c>
      <c r="G6" s="5" t="s">
        <v>31</v>
      </c>
      <c r="H6" s="5" t="s">
        <v>17</v>
      </c>
      <c r="I6" s="5" t="s">
        <v>17</v>
      </c>
      <c r="J6"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3982</v>
      </c>
      <c r="B1" s="1"/>
      <c r="C1" s="1"/>
      <c r="D1" s="1"/>
      <c r="E1" s="1"/>
      <c r="F1" s="1"/>
      <c r="G1" s="1"/>
      <c r="H1" s="1"/>
      <c r="I1" s="1"/>
      <c r="J1" s="1"/>
    </row>
    <row r="2" spans="1:10" x14ac:dyDescent="0.25">
      <c r="A2" s="2" t="s">
        <v>1</v>
      </c>
      <c r="B2" s="3" t="s">
        <v>3983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841</v>
      </c>
      <c r="F5" s="5" t="s">
        <v>19</v>
      </c>
      <c r="G5" s="5" t="s">
        <v>31</v>
      </c>
      <c r="H5" s="5" t="s">
        <v>17</v>
      </c>
      <c r="I5" s="5" t="s">
        <v>17</v>
      </c>
      <c r="J5" s="5" t="s">
        <v>330</v>
      </c>
    </row>
    <row r="6" spans="1:10" x14ac:dyDescent="0.25">
      <c r="A6" s="5" t="s">
        <v>19</v>
      </c>
      <c r="B6" s="5" t="s">
        <v>16</v>
      </c>
      <c r="C6" s="5" t="s">
        <v>17</v>
      </c>
      <c r="D6" s="5"/>
      <c r="E6" s="5" t="s">
        <v>842</v>
      </c>
      <c r="F6" s="5" t="s">
        <v>19</v>
      </c>
      <c r="G6" s="5" t="s">
        <v>31</v>
      </c>
      <c r="H6" s="5" t="s">
        <v>17</v>
      </c>
      <c r="I6" s="5" t="s">
        <v>17</v>
      </c>
      <c r="J6"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3984</v>
      </c>
      <c r="B1" s="1"/>
      <c r="C1" s="1"/>
      <c r="D1" s="1"/>
      <c r="E1" s="1"/>
      <c r="F1" s="1"/>
      <c r="G1" s="1"/>
      <c r="H1" s="1"/>
      <c r="I1" s="1"/>
      <c r="J1" s="1"/>
    </row>
    <row r="2" spans="1:10" x14ac:dyDescent="0.25">
      <c r="A2" s="2" t="s">
        <v>1</v>
      </c>
      <c r="B2" s="3" t="s">
        <v>3985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1769</v>
      </c>
      <c r="F5" s="5" t="s">
        <v>19</v>
      </c>
      <c r="G5" s="5" t="s">
        <v>31</v>
      </c>
      <c r="H5" s="5" t="s">
        <v>17</v>
      </c>
      <c r="I5" s="5" t="s">
        <v>17</v>
      </c>
      <c r="J5" s="5" t="s">
        <v>1770</v>
      </c>
    </row>
    <row r="6" spans="1:10" x14ac:dyDescent="0.25">
      <c r="A6" s="5" t="s">
        <v>15</v>
      </c>
      <c r="B6" s="5" t="s">
        <v>63</v>
      </c>
      <c r="C6" s="5" t="s">
        <v>17</v>
      </c>
      <c r="D6" s="5"/>
      <c r="E6" s="5" t="s">
        <v>1771</v>
      </c>
      <c r="F6" s="5" t="s">
        <v>19</v>
      </c>
      <c r="G6" s="5">
        <v>1</v>
      </c>
      <c r="H6" s="5" t="s">
        <v>17</v>
      </c>
      <c r="I6" s="5" t="s">
        <v>17</v>
      </c>
      <c r="J6" s="5" t="s">
        <v>1739</v>
      </c>
    </row>
    <row r="7" spans="1:10" x14ac:dyDescent="0.25">
      <c r="A7" s="5" t="s">
        <v>19</v>
      </c>
      <c r="B7" s="5" t="s">
        <v>63</v>
      </c>
      <c r="C7" s="5" t="s">
        <v>17</v>
      </c>
      <c r="D7" s="5"/>
      <c r="E7" s="5" t="s">
        <v>1772</v>
      </c>
      <c r="F7" s="5" t="s">
        <v>19</v>
      </c>
      <c r="G7" s="5">
        <v>1</v>
      </c>
      <c r="H7" s="5" t="s">
        <v>17</v>
      </c>
      <c r="I7" s="5" t="s">
        <v>17</v>
      </c>
      <c r="J7" s="5" t="s">
        <v>1656</v>
      </c>
    </row>
    <row r="8" spans="1:10" x14ac:dyDescent="0.25">
      <c r="A8" s="5" t="s">
        <v>15</v>
      </c>
      <c r="B8" s="5" t="s">
        <v>63</v>
      </c>
      <c r="C8" s="5" t="s">
        <v>17</v>
      </c>
      <c r="D8" s="5"/>
      <c r="E8" s="5" t="s">
        <v>1773</v>
      </c>
      <c r="F8" s="5" t="s">
        <v>19</v>
      </c>
      <c r="G8" s="5">
        <v>1</v>
      </c>
      <c r="H8" s="5" t="s">
        <v>17</v>
      </c>
      <c r="I8" s="5" t="s">
        <v>17</v>
      </c>
      <c r="J8" s="5" t="s">
        <v>1741</v>
      </c>
    </row>
    <row r="9" spans="1:10" x14ac:dyDescent="0.25">
      <c r="A9" s="5" t="s">
        <v>19</v>
      </c>
      <c r="B9" s="5" t="s">
        <v>63</v>
      </c>
      <c r="C9" s="5" t="s">
        <v>17</v>
      </c>
      <c r="D9" s="5"/>
      <c r="E9" s="5" t="s">
        <v>1774</v>
      </c>
      <c r="F9" s="5" t="s">
        <v>19</v>
      </c>
      <c r="G9" s="5">
        <v>1</v>
      </c>
      <c r="H9" s="5" t="s">
        <v>17</v>
      </c>
      <c r="I9" s="5" t="s">
        <v>17</v>
      </c>
      <c r="J9" s="5" t="s">
        <v>1761</v>
      </c>
    </row>
    <row r="10" spans="1:10" x14ac:dyDescent="0.25">
      <c r="A10" s="5" t="s">
        <v>19</v>
      </c>
      <c r="B10" s="5" t="s">
        <v>63</v>
      </c>
      <c r="C10" s="5" t="s">
        <v>17</v>
      </c>
      <c r="D10" s="5"/>
      <c r="E10" s="5" t="s">
        <v>1775</v>
      </c>
      <c r="F10" s="5" t="s">
        <v>19</v>
      </c>
      <c r="G10" s="5">
        <v>1</v>
      </c>
      <c r="H10" s="5" t="s">
        <v>17</v>
      </c>
      <c r="I10" s="5" t="s">
        <v>17</v>
      </c>
      <c r="J10" s="5" t="s">
        <v>1765</v>
      </c>
    </row>
    <row r="11" spans="1:10" x14ac:dyDescent="0.25">
      <c r="A11" s="5" t="s">
        <v>19</v>
      </c>
      <c r="B11" s="5" t="s">
        <v>63</v>
      </c>
      <c r="C11" s="5" t="s">
        <v>17</v>
      </c>
      <c r="D11" s="5"/>
      <c r="E11" s="5" t="s">
        <v>1776</v>
      </c>
      <c r="F11" s="5" t="s">
        <v>19</v>
      </c>
      <c r="G11" s="5">
        <v>1</v>
      </c>
      <c r="H11" s="5" t="s">
        <v>17</v>
      </c>
      <c r="I11" s="5" t="s">
        <v>17</v>
      </c>
      <c r="J11" s="5" t="s">
        <v>1763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3986</v>
      </c>
      <c r="B1" s="1"/>
      <c r="C1" s="1"/>
      <c r="D1" s="1"/>
      <c r="E1" s="1"/>
      <c r="F1" s="1"/>
      <c r="G1" s="1"/>
      <c r="H1" s="1"/>
      <c r="I1" s="1"/>
      <c r="J1" s="1"/>
    </row>
    <row r="2" spans="1:10" x14ac:dyDescent="0.25">
      <c r="A2" s="2" t="s">
        <v>1</v>
      </c>
      <c r="B2" s="3" t="s">
        <v>3987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1718</v>
      </c>
      <c r="F5" s="5" t="s">
        <v>19</v>
      </c>
      <c r="G5" s="5" t="s">
        <v>31</v>
      </c>
      <c r="H5" s="5" t="s">
        <v>17</v>
      </c>
      <c r="I5" s="5" t="s">
        <v>17</v>
      </c>
      <c r="J5" s="5" t="s">
        <v>1719</v>
      </c>
    </row>
    <row r="6" spans="1:10" x14ac:dyDescent="0.25">
      <c r="A6" s="5" t="s">
        <v>15</v>
      </c>
      <c r="B6" s="5" t="s">
        <v>284</v>
      </c>
      <c r="C6" s="10" t="s">
        <v>1720</v>
      </c>
      <c r="D6" s="5"/>
      <c r="E6" s="5" t="s">
        <v>1721</v>
      </c>
      <c r="F6" s="5" t="s">
        <v>19</v>
      </c>
      <c r="G6" s="5" t="s">
        <v>1722</v>
      </c>
      <c r="H6" s="5" t="s">
        <v>17</v>
      </c>
      <c r="I6" s="5" t="s">
        <v>17</v>
      </c>
      <c r="J6" s="5" t="s">
        <v>1723</v>
      </c>
    </row>
    <row r="7" spans="1:10" x14ac:dyDescent="0.25">
      <c r="A7" s="5" t="s">
        <v>15</v>
      </c>
      <c r="B7" s="5" t="s">
        <v>16</v>
      </c>
      <c r="C7" s="5" t="s">
        <v>17</v>
      </c>
      <c r="D7" s="5"/>
      <c r="E7" s="5" t="s">
        <v>1724</v>
      </c>
      <c r="F7" s="5" t="s">
        <v>19</v>
      </c>
      <c r="G7" s="5" t="s">
        <v>31</v>
      </c>
      <c r="H7" s="5" t="s">
        <v>17</v>
      </c>
      <c r="I7" s="5" t="s">
        <v>17</v>
      </c>
      <c r="J7" s="5" t="s">
        <v>1725</v>
      </c>
    </row>
    <row r="8" spans="1:10" x14ac:dyDescent="0.25">
      <c r="A8" s="5" t="s">
        <v>15</v>
      </c>
      <c r="B8" s="5" t="s">
        <v>284</v>
      </c>
      <c r="C8" s="10" t="s">
        <v>1726</v>
      </c>
      <c r="D8" s="5"/>
      <c r="E8" s="5" t="s">
        <v>1727</v>
      </c>
      <c r="F8" s="5" t="s">
        <v>19</v>
      </c>
      <c r="G8" s="5" t="s">
        <v>1709</v>
      </c>
      <c r="H8" s="5" t="s">
        <v>17</v>
      </c>
      <c r="I8" s="5" t="s">
        <v>17</v>
      </c>
      <c r="J8" s="5" t="s">
        <v>1710</v>
      </c>
    </row>
    <row r="9" spans="1:10" x14ac:dyDescent="0.25">
      <c r="A9" s="5" t="s">
        <v>15</v>
      </c>
      <c r="B9" s="5" t="s">
        <v>284</v>
      </c>
      <c r="C9" s="10" t="s">
        <v>1728</v>
      </c>
      <c r="D9" s="5"/>
      <c r="E9" s="5" t="s">
        <v>1729</v>
      </c>
      <c r="F9" s="5" t="s">
        <v>19</v>
      </c>
      <c r="G9" s="5" t="s">
        <v>1713</v>
      </c>
      <c r="H9" s="5" t="s">
        <v>17</v>
      </c>
      <c r="I9" s="5" t="s">
        <v>17</v>
      </c>
      <c r="J9" s="5" t="s">
        <v>1714</v>
      </c>
    </row>
    <row r="10" spans="1:10" x14ac:dyDescent="0.25">
      <c r="A10" s="5" t="s">
        <v>15</v>
      </c>
      <c r="B10" s="5" t="s">
        <v>63</v>
      </c>
      <c r="C10" s="5" t="s">
        <v>17</v>
      </c>
      <c r="D10" s="5"/>
      <c r="E10" s="5" t="s">
        <v>1730</v>
      </c>
      <c r="F10" s="5" t="s">
        <v>19</v>
      </c>
      <c r="G10" s="5">
        <v>1</v>
      </c>
      <c r="H10" s="5" t="s">
        <v>17</v>
      </c>
      <c r="I10" s="5" t="s">
        <v>17</v>
      </c>
      <c r="J10" s="5" t="s">
        <v>1698</v>
      </c>
    </row>
    <row r="11" spans="1:10" x14ac:dyDescent="0.25">
      <c r="A11" s="5" t="s">
        <v>19</v>
      </c>
      <c r="B11" s="5" t="s">
        <v>63</v>
      </c>
      <c r="C11" s="5" t="s">
        <v>17</v>
      </c>
      <c r="D11" s="5"/>
      <c r="E11" s="5" t="s">
        <v>1731</v>
      </c>
      <c r="F11" s="5" t="s">
        <v>19</v>
      </c>
      <c r="G11" s="5">
        <v>1</v>
      </c>
      <c r="H11" s="5" t="s">
        <v>17</v>
      </c>
      <c r="I11" s="5" t="s">
        <v>17</v>
      </c>
      <c r="J11" s="5" t="s">
        <v>1700</v>
      </c>
    </row>
    <row r="12" spans="1:10" x14ac:dyDescent="0.25">
      <c r="A12" s="5" t="s">
        <v>19</v>
      </c>
      <c r="B12" s="5" t="s">
        <v>63</v>
      </c>
      <c r="C12" s="5" t="s">
        <v>17</v>
      </c>
      <c r="D12" s="5"/>
      <c r="E12" s="5" t="s">
        <v>1732</v>
      </c>
      <c r="F12" s="5" t="s">
        <v>19</v>
      </c>
      <c r="G12" s="5">
        <v>1</v>
      </c>
      <c r="H12" s="5" t="s">
        <v>17</v>
      </c>
      <c r="I12" s="5" t="s">
        <v>17</v>
      </c>
      <c r="J12" s="5" t="s">
        <v>1702</v>
      </c>
    </row>
    <row r="13" spans="1:10" x14ac:dyDescent="0.25">
      <c r="A13" s="5" t="s">
        <v>19</v>
      </c>
      <c r="B13" s="5" t="s">
        <v>63</v>
      </c>
      <c r="C13" s="5" t="s">
        <v>17</v>
      </c>
      <c r="D13" s="5"/>
      <c r="E13" s="5" t="s">
        <v>1733</v>
      </c>
      <c r="F13" s="5" t="s">
        <v>19</v>
      </c>
      <c r="G13" s="5">
        <v>1</v>
      </c>
      <c r="H13" s="5" t="s">
        <v>17</v>
      </c>
      <c r="I13" s="5" t="s">
        <v>17</v>
      </c>
      <c r="J13" s="5" t="s">
        <v>1704</v>
      </c>
    </row>
    <row r="14" spans="1:10" x14ac:dyDescent="0.25">
      <c r="A14" s="5" t="s">
        <v>19</v>
      </c>
      <c r="B14" s="5" t="s">
        <v>63</v>
      </c>
      <c r="C14" s="5" t="s">
        <v>17</v>
      </c>
      <c r="D14" s="5"/>
      <c r="E14" s="5" t="s">
        <v>1734</v>
      </c>
      <c r="F14" s="5" t="s">
        <v>19</v>
      </c>
      <c r="G14" s="5">
        <v>1</v>
      </c>
      <c r="H14" s="5" t="s">
        <v>17</v>
      </c>
      <c r="I14" s="5" t="s">
        <v>17</v>
      </c>
      <c r="J14" s="5" t="s">
        <v>1706</v>
      </c>
    </row>
  </sheetData>
  <mergeCells count="3">
    <mergeCell ref="A1:J1"/>
    <mergeCell ref="B2:J2"/>
    <mergeCell ref="B3:J3"/>
  </mergeCells>
  <dataValidations count="3">
    <dataValidation type="list" allowBlank="1" sqref="G6:I6">
      <formula1>'Enums'!C813:C815</formula1>
    </dataValidation>
    <dataValidation type="list" allowBlank="1" sqref="G8:I8">
      <formula1>'Enums'!C816:C817</formula1>
    </dataValidation>
    <dataValidation type="list" allowBlank="1" sqref="G9:I9">
      <formula1>'Enums'!C818:C819</formula1>
    </dataValidation>
  </dataValidations>
  <pageMargins left="0.7" right="0.7" top="0.75" bottom="0.75" header="0.3" footer="0.3"/>
  <pageSetup orientation="portrait" horizontalDpi="4294967295" verticalDpi="4294967295" scale="100" fitToWidth="1" fitToHeight="1"/>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3988</v>
      </c>
      <c r="B1" s="1"/>
      <c r="C1" s="1"/>
      <c r="D1" s="1"/>
      <c r="E1" s="1"/>
      <c r="F1" s="1"/>
      <c r="G1" s="1"/>
      <c r="H1" s="1"/>
      <c r="I1" s="1"/>
      <c r="J1" s="1"/>
    </row>
    <row r="2" spans="1:10" x14ac:dyDescent="0.25">
      <c r="A2" s="2" t="s">
        <v>1</v>
      </c>
      <c r="B2" s="3" t="s">
        <v>3989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1780</v>
      </c>
      <c r="F5" s="5" t="s">
        <v>19</v>
      </c>
      <c r="G5" s="5" t="s">
        <v>31</v>
      </c>
      <c r="H5" s="5" t="s">
        <v>17</v>
      </c>
      <c r="I5" s="5" t="s">
        <v>17</v>
      </c>
      <c r="J5" s="5" t="s">
        <v>1781</v>
      </c>
    </row>
    <row r="6" spans="1:10" x14ac:dyDescent="0.25">
      <c r="A6" s="5" t="s">
        <v>19</v>
      </c>
      <c r="B6" s="5" t="s">
        <v>63</v>
      </c>
      <c r="C6" s="5" t="s">
        <v>17</v>
      </c>
      <c r="D6" s="5"/>
      <c r="E6" s="5" t="s">
        <v>1782</v>
      </c>
      <c r="F6" s="5" t="s">
        <v>19</v>
      </c>
      <c r="G6" s="5">
        <v>1</v>
      </c>
      <c r="H6" s="5" t="s">
        <v>17</v>
      </c>
      <c r="I6" s="5" t="s">
        <v>17</v>
      </c>
      <c r="J6" s="5" t="s">
        <v>1745</v>
      </c>
    </row>
    <row r="7" spans="1:10" x14ac:dyDescent="0.25">
      <c r="A7" s="5" t="s">
        <v>19</v>
      </c>
      <c r="B7" s="5" t="s">
        <v>63</v>
      </c>
      <c r="C7" s="5" t="s">
        <v>17</v>
      </c>
      <c r="D7" s="5"/>
      <c r="E7" s="5" t="s">
        <v>1783</v>
      </c>
      <c r="F7" s="5" t="s">
        <v>19</v>
      </c>
      <c r="G7" s="5">
        <v>1</v>
      </c>
      <c r="H7" s="5" t="s">
        <v>17</v>
      </c>
      <c r="I7" s="5" t="s">
        <v>17</v>
      </c>
      <c r="J7" s="5" t="s">
        <v>1755</v>
      </c>
    </row>
    <row r="8" spans="1:10" x14ac:dyDescent="0.25">
      <c r="A8" s="5" t="s">
        <v>19</v>
      </c>
      <c r="B8" s="5" t="s">
        <v>63</v>
      </c>
      <c r="C8" s="5" t="s">
        <v>17</v>
      </c>
      <c r="D8" s="5"/>
      <c r="E8" s="5" t="s">
        <v>1784</v>
      </c>
      <c r="F8" s="5" t="s">
        <v>19</v>
      </c>
      <c r="G8" s="5">
        <v>1</v>
      </c>
      <c r="H8" s="5" t="s">
        <v>17</v>
      </c>
      <c r="I8" s="5" t="s">
        <v>17</v>
      </c>
      <c r="J8" s="5" t="s">
        <v>1759</v>
      </c>
    </row>
    <row r="9" spans="1:10" x14ac:dyDescent="0.25">
      <c r="A9" s="5" t="s">
        <v>19</v>
      </c>
      <c r="B9" s="5" t="s">
        <v>63</v>
      </c>
      <c r="C9" s="5" t="s">
        <v>17</v>
      </c>
      <c r="D9" s="5"/>
      <c r="E9" s="5" t="s">
        <v>1785</v>
      </c>
      <c r="F9" s="5" t="s">
        <v>19</v>
      </c>
      <c r="G9" s="5">
        <v>1</v>
      </c>
      <c r="H9" s="5" t="s">
        <v>17</v>
      </c>
      <c r="I9" s="5" t="s">
        <v>17</v>
      </c>
      <c r="J9" s="5" t="s">
        <v>1658</v>
      </c>
    </row>
    <row r="10" spans="1:10" x14ac:dyDescent="0.25">
      <c r="A10" s="5" t="s">
        <v>19</v>
      </c>
      <c r="B10" s="5" t="s">
        <v>63</v>
      </c>
      <c r="C10" s="5" t="s">
        <v>17</v>
      </c>
      <c r="D10" s="5"/>
      <c r="E10" s="5" t="s">
        <v>1786</v>
      </c>
      <c r="F10" s="5" t="s">
        <v>19</v>
      </c>
      <c r="G10" s="5">
        <v>1</v>
      </c>
      <c r="H10" s="5" t="s">
        <v>17</v>
      </c>
      <c r="I10" s="5" t="s">
        <v>17</v>
      </c>
      <c r="J10" s="5" t="s">
        <v>1747</v>
      </c>
    </row>
    <row r="11" spans="1:10" x14ac:dyDescent="0.25">
      <c r="A11" s="5" t="s">
        <v>15</v>
      </c>
      <c r="B11" s="5" t="s">
        <v>16</v>
      </c>
      <c r="C11" s="5" t="s">
        <v>17</v>
      </c>
      <c r="D11" s="5"/>
      <c r="E11" s="5" t="s">
        <v>1787</v>
      </c>
      <c r="F11" s="5" t="s">
        <v>19</v>
      </c>
      <c r="G11" s="5" t="s">
        <v>31</v>
      </c>
      <c r="H11" s="5" t="s">
        <v>17</v>
      </c>
      <c r="I11" s="5" t="s">
        <v>17</v>
      </c>
      <c r="J11" s="5" t="s">
        <v>1725</v>
      </c>
    </row>
    <row r="12" spans="1:10" x14ac:dyDescent="0.25">
      <c r="A12" s="5" t="s">
        <v>19</v>
      </c>
      <c r="B12" s="5" t="s">
        <v>63</v>
      </c>
      <c r="C12" s="5" t="s">
        <v>17</v>
      </c>
      <c r="D12" s="5"/>
      <c r="E12" s="5" t="s">
        <v>1788</v>
      </c>
      <c r="F12" s="5" t="s">
        <v>19</v>
      </c>
      <c r="G12" s="5">
        <v>1</v>
      </c>
      <c r="H12" s="5" t="s">
        <v>17</v>
      </c>
      <c r="I12" s="5" t="s">
        <v>17</v>
      </c>
      <c r="J12" s="5" t="s">
        <v>1749</v>
      </c>
    </row>
    <row r="13" spans="1:10" x14ac:dyDescent="0.25">
      <c r="A13" s="5" t="s">
        <v>19</v>
      </c>
      <c r="B13" s="5" t="s">
        <v>63</v>
      </c>
      <c r="C13" s="5" t="s">
        <v>17</v>
      </c>
      <c r="D13" s="5"/>
      <c r="E13" s="5" t="s">
        <v>1789</v>
      </c>
      <c r="F13" s="5" t="s">
        <v>19</v>
      </c>
      <c r="G13" s="5">
        <v>1</v>
      </c>
      <c r="H13" s="5" t="s">
        <v>17</v>
      </c>
      <c r="I13" s="5" t="s">
        <v>17</v>
      </c>
      <c r="J13" s="5" t="s">
        <v>1751</v>
      </c>
    </row>
    <row r="14" spans="1:10" x14ac:dyDescent="0.25">
      <c r="A14" s="5" t="s">
        <v>19</v>
      </c>
      <c r="B14" s="5" t="s">
        <v>63</v>
      </c>
      <c r="C14" s="5" t="s">
        <v>17</v>
      </c>
      <c r="D14" s="5"/>
      <c r="E14" s="5" t="s">
        <v>1790</v>
      </c>
      <c r="F14" s="5" t="s">
        <v>19</v>
      </c>
      <c r="G14" s="5">
        <v>1</v>
      </c>
      <c r="H14" s="5" t="s">
        <v>17</v>
      </c>
      <c r="I14" s="5" t="s">
        <v>17</v>
      </c>
      <c r="J14" s="5" t="s">
        <v>1753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819"/>
  <sheetFormatPr defaultRowHeight="15" outlineLevelRow="0" outlineLevelCol="0" x14ac:dyDescent="55"/>
  <cols>
    <col min="1" max="1" width="30" customWidth="1"/>
    <col min="2" max="2" width="20" customWidth="1"/>
    <col min="3" max="3" width="30" customWidth="1"/>
  </cols>
  <sheetData>
    <row r="1" spans="1:3" x14ac:dyDescent="0.25">
      <c r="A1" s="13" t="s">
        <v>3990</v>
      </c>
      <c r="B1" s="13" t="s">
        <v>3991</v>
      </c>
      <c r="C1" s="13" t="s">
        <v>3992</v>
      </c>
    </row>
    <row r="2" spans="1:3" x14ac:dyDescent="0.25">
      <c r="A2" s="14" t="s">
        <v>285</v>
      </c>
      <c r="B2" s="14" t="s">
        <v>19</v>
      </c>
      <c r="C2" s="14" t="s">
        <v>286</v>
      </c>
    </row>
    <row r="3" spans="1:3" x14ac:dyDescent="0.25">
      <c r="A3" s="14" t="s">
        <v>347</v>
      </c>
      <c r="B3" s="14" t="s">
        <v>19</v>
      </c>
      <c r="C3" s="14" t="s">
        <v>348</v>
      </c>
    </row>
    <row r="4" spans="3:3" x14ac:dyDescent="0.25">
      <c r="C4" s="14" t="s">
        <v>3993</v>
      </c>
    </row>
    <row r="5" spans="1:3" x14ac:dyDescent="0.25">
      <c r="A5" s="14" t="s">
        <v>478</v>
      </c>
      <c r="B5" s="14" t="s">
        <v>19</v>
      </c>
      <c r="C5" s="14" t="s">
        <v>479</v>
      </c>
    </row>
    <row r="6" spans="3:3" x14ac:dyDescent="0.25">
      <c r="C6" s="14" t="s">
        <v>3994</v>
      </c>
    </row>
    <row r="7" spans="3:3" x14ac:dyDescent="0.25">
      <c r="C7" s="14" t="s">
        <v>3995</v>
      </c>
    </row>
    <row r="8" spans="1:3" x14ac:dyDescent="0.25">
      <c r="A8" s="14" t="s">
        <v>784</v>
      </c>
      <c r="B8" s="14" t="s">
        <v>19</v>
      </c>
      <c r="C8" s="14" t="s">
        <v>785</v>
      </c>
    </row>
    <row r="9" spans="3:3" x14ac:dyDescent="0.25">
      <c r="C9" s="14" t="s">
        <v>3996</v>
      </c>
    </row>
    <row r="10" spans="3:3" x14ac:dyDescent="0.25">
      <c r="C10" s="14" t="s">
        <v>3997</v>
      </c>
    </row>
    <row r="11" spans="1:3" x14ac:dyDescent="0.25">
      <c r="A11" s="14" t="s">
        <v>812</v>
      </c>
      <c r="B11" s="14" t="s">
        <v>19</v>
      </c>
      <c r="C11" s="14" t="s">
        <v>479</v>
      </c>
    </row>
    <row r="12" spans="3:3" x14ac:dyDescent="0.25">
      <c r="C12" s="14" t="s">
        <v>3994</v>
      </c>
    </row>
    <row r="13" spans="3:3" x14ac:dyDescent="0.25">
      <c r="C13" s="14" t="s">
        <v>3995</v>
      </c>
    </row>
    <row r="14" spans="1:3" x14ac:dyDescent="0.25">
      <c r="A14" s="14" t="s">
        <v>870</v>
      </c>
      <c r="B14" s="14" t="s">
        <v>19</v>
      </c>
      <c r="C14" s="14" t="s">
        <v>871</v>
      </c>
    </row>
    <row r="15" spans="3:3" x14ac:dyDescent="0.25">
      <c r="C15" s="14" t="s">
        <v>3998</v>
      </c>
    </row>
    <row r="16" spans="3:3" x14ac:dyDescent="0.25">
      <c r="C16" s="14" t="s">
        <v>3999</v>
      </c>
    </row>
    <row r="17" spans="1:3" x14ac:dyDescent="0.25">
      <c r="A17" s="14" t="s">
        <v>876</v>
      </c>
      <c r="B17" s="14" t="s">
        <v>19</v>
      </c>
      <c r="C17" s="14" t="s">
        <v>877</v>
      </c>
    </row>
    <row r="18" spans="3:3" x14ac:dyDescent="0.25">
      <c r="C18" s="14" t="s">
        <v>4000</v>
      </c>
    </row>
    <row r="19" spans="3:3" x14ac:dyDescent="0.25">
      <c r="C19" s="14" t="s">
        <v>3999</v>
      </c>
    </row>
    <row r="20" spans="1:3" x14ac:dyDescent="0.25">
      <c r="A20" s="14" t="s">
        <v>882</v>
      </c>
      <c r="B20" s="14" t="s">
        <v>19</v>
      </c>
      <c r="C20" s="14" t="s">
        <v>883</v>
      </c>
    </row>
    <row r="21" spans="3:3" x14ac:dyDescent="0.25">
      <c r="C21" s="14" t="s">
        <v>4001</v>
      </c>
    </row>
    <row r="22" spans="3:3" x14ac:dyDescent="0.25">
      <c r="C22" s="14" t="s">
        <v>3999</v>
      </c>
    </row>
    <row r="23" spans="1:3" x14ac:dyDescent="0.25">
      <c r="A23" s="14" t="s">
        <v>888</v>
      </c>
      <c r="B23" s="14" t="s">
        <v>19</v>
      </c>
      <c r="C23" s="14" t="s">
        <v>889</v>
      </c>
    </row>
    <row r="24" spans="3:3" x14ac:dyDescent="0.25">
      <c r="C24" s="14" t="s">
        <v>3999</v>
      </c>
    </row>
    <row r="25" spans="1:3" x14ac:dyDescent="0.25">
      <c r="A25" s="14" t="s">
        <v>894</v>
      </c>
      <c r="B25" s="14" t="s">
        <v>19</v>
      </c>
      <c r="C25" s="14" t="s">
        <v>895</v>
      </c>
    </row>
    <row r="26" spans="3:3" x14ac:dyDescent="0.25">
      <c r="C26" s="14" t="s">
        <v>4002</v>
      </c>
    </row>
    <row r="27" spans="3:3" x14ac:dyDescent="0.25">
      <c r="C27" s="14" t="s">
        <v>3999</v>
      </c>
    </row>
    <row r="28" spans="1:3" x14ac:dyDescent="0.25">
      <c r="A28" s="14" t="s">
        <v>900</v>
      </c>
      <c r="B28" s="14" t="s">
        <v>19</v>
      </c>
      <c r="C28" s="14" t="s">
        <v>889</v>
      </c>
    </row>
    <row r="29" spans="3:3" x14ac:dyDescent="0.25">
      <c r="C29" s="14" t="s">
        <v>3999</v>
      </c>
    </row>
    <row r="30" spans="1:3" x14ac:dyDescent="0.25">
      <c r="A30" s="14" t="s">
        <v>905</v>
      </c>
      <c r="B30" s="14" t="s">
        <v>19</v>
      </c>
      <c r="C30" s="14" t="s">
        <v>906</v>
      </c>
    </row>
    <row r="31" spans="3:3" x14ac:dyDescent="0.25">
      <c r="C31" s="14" t="s">
        <v>4003</v>
      </c>
    </row>
    <row r="32" spans="1:3" x14ac:dyDescent="0.25">
      <c r="A32" s="14" t="s">
        <v>959</v>
      </c>
      <c r="B32" s="14" t="s">
        <v>19</v>
      </c>
      <c r="C32" s="14" t="s">
        <v>960</v>
      </c>
    </row>
    <row r="33" spans="3:3" x14ac:dyDescent="0.25">
      <c r="C33" s="14" t="s">
        <v>4004</v>
      </c>
    </row>
    <row r="34" spans="3:3" x14ac:dyDescent="0.25">
      <c r="C34" s="14" t="s">
        <v>4005</v>
      </c>
    </row>
    <row r="35" spans="3:3" x14ac:dyDescent="0.25">
      <c r="C35" s="14" t="s">
        <v>4006</v>
      </c>
    </row>
    <row r="36" spans="3:3" x14ac:dyDescent="0.25">
      <c r="C36" s="14" t="s">
        <v>4007</v>
      </c>
    </row>
    <row r="37" spans="3:3" x14ac:dyDescent="0.25">
      <c r="C37" s="14" t="s">
        <v>4008</v>
      </c>
    </row>
    <row r="38" spans="3:3" x14ac:dyDescent="0.25">
      <c r="C38" s="14" t="s">
        <v>4009</v>
      </c>
    </row>
    <row r="39" spans="3:3" x14ac:dyDescent="0.25">
      <c r="C39" s="14" t="s">
        <v>4010</v>
      </c>
    </row>
    <row r="40" spans="3:3" x14ac:dyDescent="0.25">
      <c r="C40" s="14" t="s">
        <v>4011</v>
      </c>
    </row>
    <row r="41" spans="1:3" x14ac:dyDescent="0.25">
      <c r="A41" s="14" t="s">
        <v>1033</v>
      </c>
      <c r="B41" s="14" t="s">
        <v>19</v>
      </c>
      <c r="C41" s="14" t="s">
        <v>286</v>
      </c>
    </row>
    <row r="42" spans="1:3" x14ac:dyDescent="0.25">
      <c r="A42" s="14" t="s">
        <v>1034</v>
      </c>
      <c r="B42" s="14" t="s">
        <v>19</v>
      </c>
      <c r="C42" s="14" t="s">
        <v>1035</v>
      </c>
    </row>
    <row r="43" spans="1:3" x14ac:dyDescent="0.25">
      <c r="A43" s="14" t="s">
        <v>1428</v>
      </c>
      <c r="B43" s="14" t="s">
        <v>19</v>
      </c>
      <c r="C43" s="14" t="s">
        <v>1429</v>
      </c>
    </row>
    <row r="44" spans="3:3" x14ac:dyDescent="0.25">
      <c r="C44" s="14" t="s">
        <v>4012</v>
      </c>
    </row>
    <row r="45" spans="3:3" x14ac:dyDescent="0.25">
      <c r="C45" s="14" t="s">
        <v>4013</v>
      </c>
    </row>
    <row r="46" spans="3:3" x14ac:dyDescent="0.25">
      <c r="C46" s="14" t="s">
        <v>4014</v>
      </c>
    </row>
    <row r="47" spans="3:3" x14ac:dyDescent="0.25">
      <c r="C47" s="14" t="s">
        <v>4015</v>
      </c>
    </row>
    <row r="48" spans="3:3" x14ac:dyDescent="0.25">
      <c r="C48" s="14" t="s">
        <v>4016</v>
      </c>
    </row>
    <row r="49" spans="3:3" x14ac:dyDescent="0.25">
      <c r="C49" s="14" t="s">
        <v>4017</v>
      </c>
    </row>
    <row r="50" spans="3:3" x14ac:dyDescent="0.25">
      <c r="C50" s="14" t="s">
        <v>4018</v>
      </c>
    </row>
    <row r="51" spans="1:3" x14ac:dyDescent="0.25">
      <c r="A51" s="14" t="s">
        <v>1605</v>
      </c>
      <c r="B51" s="14" t="s">
        <v>19</v>
      </c>
      <c r="C51" s="14" t="s">
        <v>1606</v>
      </c>
    </row>
    <row r="52" spans="3:3" x14ac:dyDescent="0.25">
      <c r="C52" s="14" t="s">
        <v>4019</v>
      </c>
    </row>
    <row r="53" spans="1:3" x14ac:dyDescent="0.25">
      <c r="A53" s="14" t="s">
        <v>1612</v>
      </c>
      <c r="B53" s="14" t="s">
        <v>19</v>
      </c>
      <c r="C53" s="14" t="s">
        <v>1613</v>
      </c>
    </row>
    <row r="54" spans="3:3" x14ac:dyDescent="0.25">
      <c r="C54" s="14" t="s">
        <v>4020</v>
      </c>
    </row>
    <row r="55" spans="3:3" x14ac:dyDescent="0.25">
      <c r="C55" s="14" t="s">
        <v>4021</v>
      </c>
    </row>
    <row r="56" spans="3:3" x14ac:dyDescent="0.25">
      <c r="C56" s="14" t="s">
        <v>4022</v>
      </c>
    </row>
    <row r="57" spans="3:3" x14ac:dyDescent="0.25">
      <c r="C57" s="14" t="s">
        <v>4023</v>
      </c>
    </row>
    <row r="58" spans="1:3" x14ac:dyDescent="0.25">
      <c r="A58" s="14" t="s">
        <v>1634</v>
      </c>
      <c r="B58" s="14" t="s">
        <v>19</v>
      </c>
      <c r="C58" s="14" t="s">
        <v>1635</v>
      </c>
    </row>
    <row r="59" spans="3:3" x14ac:dyDescent="0.25">
      <c r="C59" s="14" t="s">
        <v>4024</v>
      </c>
    </row>
    <row r="60" spans="1:3" x14ac:dyDescent="0.25">
      <c r="A60" s="14" t="s">
        <v>1708</v>
      </c>
      <c r="B60" s="14" t="s">
        <v>19</v>
      </c>
      <c r="C60" s="14" t="s">
        <v>1709</v>
      </c>
    </row>
    <row r="61" spans="3:3" x14ac:dyDescent="0.25">
      <c r="C61" s="14" t="s">
        <v>4025</v>
      </c>
    </row>
    <row r="62" spans="1:3" x14ac:dyDescent="0.25">
      <c r="A62" s="14" t="s">
        <v>1712</v>
      </c>
      <c r="B62" s="14" t="s">
        <v>19</v>
      </c>
      <c r="C62" s="14" t="s">
        <v>1713</v>
      </c>
    </row>
    <row r="63" spans="3:3" x14ac:dyDescent="0.25">
      <c r="C63" s="14" t="s">
        <v>4026</v>
      </c>
    </row>
    <row r="64" spans="1:3" x14ac:dyDescent="0.25">
      <c r="A64" s="14" t="s">
        <v>1721</v>
      </c>
      <c r="B64" s="14" t="s">
        <v>19</v>
      </c>
      <c r="C64" s="14" t="s">
        <v>1722</v>
      </c>
    </row>
    <row r="65" spans="3:3" x14ac:dyDescent="0.25">
      <c r="C65" s="14" t="s">
        <v>4027</v>
      </c>
    </row>
    <row r="66" spans="3:3" x14ac:dyDescent="0.25">
      <c r="C66" s="14" t="s">
        <v>4028</v>
      </c>
    </row>
    <row r="67" spans="1:3" x14ac:dyDescent="0.25">
      <c r="A67" s="14" t="s">
        <v>1727</v>
      </c>
      <c r="B67" s="14" t="s">
        <v>19</v>
      </c>
      <c r="C67" s="14" t="s">
        <v>1709</v>
      </c>
    </row>
    <row r="68" spans="3:3" x14ac:dyDescent="0.25">
      <c r="C68" s="14" t="s">
        <v>4025</v>
      </c>
    </row>
    <row r="69" spans="1:3" x14ac:dyDescent="0.25">
      <c r="A69" s="14" t="s">
        <v>1729</v>
      </c>
      <c r="B69" s="14" t="s">
        <v>19</v>
      </c>
      <c r="C69" s="14" t="s">
        <v>1713</v>
      </c>
    </row>
    <row r="70" spans="3:3" x14ac:dyDescent="0.25">
      <c r="C70" s="14" t="s">
        <v>4026</v>
      </c>
    </row>
    <row r="71" spans="1:3" x14ac:dyDescent="0.25">
      <c r="A71" s="14" t="s">
        <v>1809</v>
      </c>
      <c r="B71" s="14" t="s">
        <v>19</v>
      </c>
      <c r="C71" s="14" t="s">
        <v>1810</v>
      </c>
    </row>
    <row r="72" spans="3:3" x14ac:dyDescent="0.25">
      <c r="C72" s="14" t="s">
        <v>4029</v>
      </c>
    </row>
    <row r="73" spans="3:3" x14ac:dyDescent="0.25">
      <c r="C73" s="14" t="s">
        <v>4030</v>
      </c>
    </row>
    <row r="74" spans="1:3" x14ac:dyDescent="0.25">
      <c r="A74" s="14" t="s">
        <v>1818</v>
      </c>
      <c r="B74" s="14" t="s">
        <v>19</v>
      </c>
      <c r="C74" s="14" t="s">
        <v>1819</v>
      </c>
    </row>
    <row r="75" spans="3:3" x14ac:dyDescent="0.25">
      <c r="C75" s="14" t="s">
        <v>4031</v>
      </c>
    </row>
    <row r="76" spans="3:3" x14ac:dyDescent="0.25">
      <c r="C76" s="14" t="s">
        <v>4032</v>
      </c>
    </row>
    <row r="77" spans="1:3" x14ac:dyDescent="0.25">
      <c r="A77" s="14" t="s">
        <v>4033</v>
      </c>
      <c r="B77" s="14" t="s">
        <v>19</v>
      </c>
      <c r="C77" s="14" t="s">
        <v>960</v>
      </c>
    </row>
    <row r="78" spans="3:3" x14ac:dyDescent="0.25">
      <c r="C78" s="14" t="s">
        <v>4004</v>
      </c>
    </row>
    <row r="79" spans="3:3" x14ac:dyDescent="0.25">
      <c r="C79" s="14" t="s">
        <v>4005</v>
      </c>
    </row>
    <row r="80" spans="3:3" x14ac:dyDescent="0.25">
      <c r="C80" s="14" t="s">
        <v>4006</v>
      </c>
    </row>
    <row r="81" spans="3:3" x14ac:dyDescent="0.25">
      <c r="C81" s="14" t="s">
        <v>4007</v>
      </c>
    </row>
    <row r="82" spans="3:3" x14ac:dyDescent="0.25">
      <c r="C82" s="14" t="s">
        <v>4008</v>
      </c>
    </row>
    <row r="83" spans="3:3" x14ac:dyDescent="0.25">
      <c r="C83" s="14" t="s">
        <v>4009</v>
      </c>
    </row>
    <row r="84" spans="3:3" x14ac:dyDescent="0.25">
      <c r="C84" s="14" t="s">
        <v>4010</v>
      </c>
    </row>
    <row r="85" spans="3:3" x14ac:dyDescent="0.25">
      <c r="C85" s="14" t="s">
        <v>4011</v>
      </c>
    </row>
    <row r="86" spans="1:3" x14ac:dyDescent="0.25">
      <c r="A86" s="14" t="s">
        <v>1828</v>
      </c>
      <c r="B86" s="14" t="s">
        <v>19</v>
      </c>
      <c r="C86" s="14" t="s">
        <v>1829</v>
      </c>
    </row>
    <row r="87" spans="3:3" x14ac:dyDescent="0.25">
      <c r="C87" s="14" t="s">
        <v>4034</v>
      </c>
    </row>
    <row r="88" spans="3:3" x14ac:dyDescent="0.25">
      <c r="C88" s="14" t="s">
        <v>4035</v>
      </c>
    </row>
    <row r="89" spans="3:3" x14ac:dyDescent="0.25">
      <c r="C89" s="14" t="s">
        <v>4036</v>
      </c>
    </row>
    <row r="90" spans="1:3" x14ac:dyDescent="0.25">
      <c r="A90" s="14" t="s">
        <v>1893</v>
      </c>
      <c r="B90" s="14" t="s">
        <v>19</v>
      </c>
      <c r="C90" s="14" t="s">
        <v>1669</v>
      </c>
    </row>
    <row r="91" spans="3:3" x14ac:dyDescent="0.25">
      <c r="C91" s="14" t="s">
        <v>636</v>
      </c>
    </row>
    <row r="92" spans="3:3" x14ac:dyDescent="0.25">
      <c r="C92" s="14" t="s">
        <v>1691</v>
      </c>
    </row>
    <row r="93" spans="3:3" x14ac:dyDescent="0.25">
      <c r="C93" s="14" t="s">
        <v>1684</v>
      </c>
    </row>
    <row r="94" spans="3:3" x14ac:dyDescent="0.25">
      <c r="C94" s="14" t="s">
        <v>1646</v>
      </c>
    </row>
    <row r="95" spans="3:3" x14ac:dyDescent="0.25">
      <c r="C95" s="14" t="s">
        <v>1624</v>
      </c>
    </row>
    <row r="96" spans="3:3" x14ac:dyDescent="0.25">
      <c r="C96" s="14" t="s">
        <v>4037</v>
      </c>
    </row>
    <row r="97" spans="3:3" x14ac:dyDescent="0.25">
      <c r="C97" s="14" t="s">
        <v>4011</v>
      </c>
    </row>
    <row r="98" spans="1:3" x14ac:dyDescent="0.25">
      <c r="A98" s="14" t="s">
        <v>1908</v>
      </c>
      <c r="B98" s="14" t="s">
        <v>19</v>
      </c>
      <c r="C98" s="14" t="s">
        <v>1909</v>
      </c>
    </row>
    <row r="99" spans="3:3" x14ac:dyDescent="0.25">
      <c r="C99" s="14" t="s">
        <v>4038</v>
      </c>
    </row>
    <row r="100" spans="3:3" x14ac:dyDescent="0.25">
      <c r="C100" s="14" t="s">
        <v>4039</v>
      </c>
    </row>
    <row r="101" spans="1:3" x14ac:dyDescent="0.25">
      <c r="A101" s="14" t="s">
        <v>1928</v>
      </c>
      <c r="B101" s="14" t="s">
        <v>19</v>
      </c>
      <c r="C101" s="14" t="s">
        <v>1929</v>
      </c>
    </row>
    <row r="102" spans="3:3" x14ac:dyDescent="0.25">
      <c r="C102" s="14" t="s">
        <v>4040</v>
      </c>
    </row>
    <row r="103" spans="3:3" x14ac:dyDescent="0.25">
      <c r="C103" s="14" t="s">
        <v>4041</v>
      </c>
    </row>
    <row r="104" spans="1:3" x14ac:dyDescent="0.25">
      <c r="A104" s="14" t="s">
        <v>1931</v>
      </c>
      <c r="B104" s="14" t="s">
        <v>19</v>
      </c>
      <c r="C104" s="14" t="s">
        <v>1932</v>
      </c>
    </row>
    <row r="105" spans="3:3" x14ac:dyDescent="0.25">
      <c r="C105" s="14" t="s">
        <v>4042</v>
      </c>
    </row>
    <row r="106" spans="3:3" x14ac:dyDescent="0.25">
      <c r="C106" s="14" t="s">
        <v>4043</v>
      </c>
    </row>
    <row r="107" spans="1:3" x14ac:dyDescent="0.25">
      <c r="A107" s="14" t="s">
        <v>1939</v>
      </c>
      <c r="B107" s="14" t="s">
        <v>19</v>
      </c>
      <c r="C107" s="14" t="s">
        <v>1940</v>
      </c>
    </row>
    <row r="108" spans="3:3" x14ac:dyDescent="0.25">
      <c r="C108" s="14" t="s">
        <v>4044</v>
      </c>
    </row>
    <row r="109" spans="1:3" x14ac:dyDescent="0.25">
      <c r="A109" s="14" t="s">
        <v>1951</v>
      </c>
      <c r="B109" s="14" t="s">
        <v>19</v>
      </c>
      <c r="C109" s="14" t="s">
        <v>1952</v>
      </c>
    </row>
    <row r="110" spans="3:3" x14ac:dyDescent="0.25">
      <c r="C110" s="14" t="s">
        <v>4045</v>
      </c>
    </row>
    <row r="111" spans="1:3" x14ac:dyDescent="0.25">
      <c r="A111" s="14" t="s">
        <v>1995</v>
      </c>
      <c r="B111" s="14" t="s">
        <v>19</v>
      </c>
      <c r="C111" s="14" t="s">
        <v>1996</v>
      </c>
    </row>
    <row r="112" spans="3:3" x14ac:dyDescent="0.25">
      <c r="C112" s="14" t="s">
        <v>4046</v>
      </c>
    </row>
    <row r="113" spans="1:3" x14ac:dyDescent="0.25">
      <c r="A113" s="14" t="s">
        <v>4047</v>
      </c>
      <c r="B113" s="14" t="s">
        <v>19</v>
      </c>
      <c r="C113" s="14" t="s">
        <v>960</v>
      </c>
    </row>
    <row r="114" spans="3:3" x14ac:dyDescent="0.25">
      <c r="C114" s="14" t="s">
        <v>4004</v>
      </c>
    </row>
    <row r="115" spans="3:3" x14ac:dyDescent="0.25">
      <c r="C115" s="14" t="s">
        <v>4005</v>
      </c>
    </row>
    <row r="116" spans="3:3" x14ac:dyDescent="0.25">
      <c r="C116" s="14" t="s">
        <v>4006</v>
      </c>
    </row>
    <row r="117" spans="3:3" x14ac:dyDescent="0.25">
      <c r="C117" s="14" t="s">
        <v>4007</v>
      </c>
    </row>
    <row r="118" spans="3:3" x14ac:dyDescent="0.25">
      <c r="C118" s="14" t="s">
        <v>4008</v>
      </c>
    </row>
    <row r="119" spans="3:3" x14ac:dyDescent="0.25">
      <c r="C119" s="14" t="s">
        <v>4009</v>
      </c>
    </row>
    <row r="120" spans="3:3" x14ac:dyDescent="0.25">
      <c r="C120" s="14" t="s">
        <v>4010</v>
      </c>
    </row>
    <row r="121" spans="3:3" x14ac:dyDescent="0.25">
      <c r="C121" s="14" t="s">
        <v>4011</v>
      </c>
    </row>
    <row r="122" spans="1:3" x14ac:dyDescent="0.25">
      <c r="A122" s="14" t="s">
        <v>2250</v>
      </c>
      <c r="B122" s="14" t="s">
        <v>19</v>
      </c>
      <c r="C122" s="14" t="s">
        <v>286</v>
      </c>
    </row>
    <row r="123" spans="1:3" x14ac:dyDescent="0.25">
      <c r="A123" s="14" t="s">
        <v>2251</v>
      </c>
      <c r="B123" s="14" t="s">
        <v>19</v>
      </c>
      <c r="C123" s="14" t="s">
        <v>2252</v>
      </c>
    </row>
    <row r="124" spans="1:3" x14ac:dyDescent="0.25">
      <c r="A124" s="14" t="s">
        <v>2372</v>
      </c>
      <c r="B124" s="14" t="s">
        <v>19</v>
      </c>
      <c r="C124" s="14" t="s">
        <v>2373</v>
      </c>
    </row>
    <row r="125" spans="3:3" x14ac:dyDescent="0.25">
      <c r="C125" s="14" t="s">
        <v>4048</v>
      </c>
    </row>
    <row r="126" spans="1:3" x14ac:dyDescent="0.25">
      <c r="A126" s="14" t="s">
        <v>4049</v>
      </c>
      <c r="B126" s="14" t="s">
        <v>19</v>
      </c>
      <c r="C126" s="14" t="s">
        <v>871</v>
      </c>
    </row>
    <row r="127" spans="3:3" x14ac:dyDescent="0.25">
      <c r="C127" s="14" t="s">
        <v>3998</v>
      </c>
    </row>
    <row r="128" spans="3:3" x14ac:dyDescent="0.25">
      <c r="C128" s="14" t="s">
        <v>3999</v>
      </c>
    </row>
    <row r="129" spans="1:3" x14ac:dyDescent="0.25">
      <c r="A129" s="14" t="s">
        <v>4050</v>
      </c>
      <c r="B129" s="14" t="s">
        <v>19</v>
      </c>
      <c r="C129" s="14" t="s">
        <v>877</v>
      </c>
    </row>
    <row r="130" spans="3:3" x14ac:dyDescent="0.25">
      <c r="C130" s="14" t="s">
        <v>4000</v>
      </c>
    </row>
    <row r="131" spans="3:3" x14ac:dyDescent="0.25">
      <c r="C131" s="14" t="s">
        <v>3999</v>
      </c>
    </row>
    <row r="132" spans="1:3" x14ac:dyDescent="0.25">
      <c r="A132" s="14" t="s">
        <v>4051</v>
      </c>
      <c r="B132" s="14" t="s">
        <v>19</v>
      </c>
      <c r="C132" s="14" t="s">
        <v>883</v>
      </c>
    </row>
    <row r="133" spans="3:3" x14ac:dyDescent="0.25">
      <c r="C133" s="14" t="s">
        <v>4001</v>
      </c>
    </row>
    <row r="134" spans="3:3" x14ac:dyDescent="0.25">
      <c r="C134" s="14" t="s">
        <v>3999</v>
      </c>
    </row>
    <row r="135" spans="1:3" x14ac:dyDescent="0.25">
      <c r="A135" s="14" t="s">
        <v>4052</v>
      </c>
      <c r="B135" s="14" t="s">
        <v>19</v>
      </c>
      <c r="C135" s="14" t="s">
        <v>889</v>
      </c>
    </row>
    <row r="136" spans="3:3" x14ac:dyDescent="0.25">
      <c r="C136" s="14" t="s">
        <v>3999</v>
      </c>
    </row>
    <row r="137" spans="1:3" x14ac:dyDescent="0.25">
      <c r="A137" s="14" t="s">
        <v>4053</v>
      </c>
      <c r="B137" s="14" t="s">
        <v>19</v>
      </c>
      <c r="C137" s="14" t="s">
        <v>895</v>
      </c>
    </row>
    <row r="138" spans="3:3" x14ac:dyDescent="0.25">
      <c r="C138" s="14" t="s">
        <v>4002</v>
      </c>
    </row>
    <row r="139" spans="3:3" x14ac:dyDescent="0.25">
      <c r="C139" s="14" t="s">
        <v>3999</v>
      </c>
    </row>
    <row r="140" spans="1:3" x14ac:dyDescent="0.25">
      <c r="A140" s="14" t="s">
        <v>4054</v>
      </c>
      <c r="B140" s="14" t="s">
        <v>19</v>
      </c>
      <c r="C140" s="14" t="s">
        <v>889</v>
      </c>
    </row>
    <row r="141" spans="3:3" x14ac:dyDescent="0.25">
      <c r="C141" s="14" t="s">
        <v>3999</v>
      </c>
    </row>
    <row r="142" spans="1:3" x14ac:dyDescent="0.25">
      <c r="A142" s="14" t="s">
        <v>4055</v>
      </c>
      <c r="B142" s="14" t="s">
        <v>19</v>
      </c>
      <c r="C142" s="14" t="s">
        <v>906</v>
      </c>
    </row>
    <row r="143" spans="3:3" x14ac:dyDescent="0.25">
      <c r="C143" s="14" t="s">
        <v>4003</v>
      </c>
    </row>
    <row r="144" spans="1:3" x14ac:dyDescent="0.25">
      <c r="A144" s="14" t="s">
        <v>4056</v>
      </c>
      <c r="B144" s="14" t="s">
        <v>19</v>
      </c>
      <c r="C144" s="14" t="s">
        <v>960</v>
      </c>
    </row>
    <row r="145" spans="3:3" x14ac:dyDescent="0.25">
      <c r="C145" s="14" t="s">
        <v>4004</v>
      </c>
    </row>
    <row r="146" spans="3:3" x14ac:dyDescent="0.25">
      <c r="C146" s="14" t="s">
        <v>4005</v>
      </c>
    </row>
    <row r="147" spans="3:3" x14ac:dyDescent="0.25">
      <c r="C147" s="14" t="s">
        <v>4006</v>
      </c>
    </row>
    <row r="148" spans="3:3" x14ac:dyDescent="0.25">
      <c r="C148" s="14" t="s">
        <v>4007</v>
      </c>
    </row>
    <row r="149" spans="3:3" x14ac:dyDescent="0.25">
      <c r="C149" s="14" t="s">
        <v>4008</v>
      </c>
    </row>
    <row r="150" spans="3:3" x14ac:dyDescent="0.25">
      <c r="C150" s="14" t="s">
        <v>4009</v>
      </c>
    </row>
    <row r="151" spans="3:3" x14ac:dyDescent="0.25">
      <c r="C151" s="14" t="s">
        <v>4010</v>
      </c>
    </row>
    <row r="152" spans="3:3" x14ac:dyDescent="0.25">
      <c r="C152" s="14" t="s">
        <v>4011</v>
      </c>
    </row>
    <row r="153" spans="1:3" x14ac:dyDescent="0.25">
      <c r="A153" s="14" t="s">
        <v>4057</v>
      </c>
      <c r="B153" s="14" t="s">
        <v>19</v>
      </c>
      <c r="C153" s="14" t="s">
        <v>1606</v>
      </c>
    </row>
    <row r="154" spans="3:3" x14ac:dyDescent="0.25">
      <c r="C154" s="14" t="s">
        <v>4019</v>
      </c>
    </row>
    <row r="155" spans="1:3" x14ac:dyDescent="0.25">
      <c r="A155" s="14" t="s">
        <v>4058</v>
      </c>
      <c r="B155" s="14" t="s">
        <v>19</v>
      </c>
      <c r="C155" s="14" t="s">
        <v>1613</v>
      </c>
    </row>
    <row r="156" spans="3:3" x14ac:dyDescent="0.25">
      <c r="C156" s="14" t="s">
        <v>4020</v>
      </c>
    </row>
    <row r="157" spans="3:3" x14ac:dyDescent="0.25">
      <c r="C157" s="14" t="s">
        <v>4021</v>
      </c>
    </row>
    <row r="158" spans="3:3" x14ac:dyDescent="0.25">
      <c r="C158" s="14" t="s">
        <v>4022</v>
      </c>
    </row>
    <row r="159" spans="3:3" x14ac:dyDescent="0.25">
      <c r="C159" s="14" t="s">
        <v>4023</v>
      </c>
    </row>
    <row r="160" spans="1:3" x14ac:dyDescent="0.25">
      <c r="A160" s="14" t="s">
        <v>4059</v>
      </c>
      <c r="B160" s="14" t="s">
        <v>19</v>
      </c>
      <c r="C160" s="14" t="s">
        <v>1635</v>
      </c>
    </row>
    <row r="161" spans="3:3" x14ac:dyDescent="0.25">
      <c r="C161" s="14" t="s">
        <v>4024</v>
      </c>
    </row>
    <row r="162" spans="1:3" x14ac:dyDescent="0.25">
      <c r="A162" s="14" t="s">
        <v>4060</v>
      </c>
      <c r="B162" s="14" t="s">
        <v>19</v>
      </c>
      <c r="C162" s="14" t="s">
        <v>1709</v>
      </c>
    </row>
    <row r="163" spans="3:3" x14ac:dyDescent="0.25">
      <c r="C163" s="14" t="s">
        <v>4025</v>
      </c>
    </row>
    <row r="164" spans="1:3" x14ac:dyDescent="0.25">
      <c r="A164" s="14" t="s">
        <v>4061</v>
      </c>
      <c r="B164" s="14" t="s">
        <v>19</v>
      </c>
      <c r="C164" s="14" t="s">
        <v>1713</v>
      </c>
    </row>
    <row r="165" spans="3:3" x14ac:dyDescent="0.25">
      <c r="C165" s="14" t="s">
        <v>4026</v>
      </c>
    </row>
    <row r="166" spans="1:3" x14ac:dyDescent="0.25">
      <c r="A166" s="14" t="s">
        <v>4062</v>
      </c>
      <c r="B166" s="14" t="s">
        <v>19</v>
      </c>
      <c r="C166" s="14" t="s">
        <v>1722</v>
      </c>
    </row>
    <row r="167" spans="3:3" x14ac:dyDescent="0.25">
      <c r="C167" s="14" t="s">
        <v>4027</v>
      </c>
    </row>
    <row r="168" spans="3:3" x14ac:dyDescent="0.25">
      <c r="C168" s="14" t="s">
        <v>4028</v>
      </c>
    </row>
    <row r="169" spans="1:3" x14ac:dyDescent="0.25">
      <c r="A169" s="14" t="s">
        <v>4063</v>
      </c>
      <c r="B169" s="14" t="s">
        <v>19</v>
      </c>
      <c r="C169" s="14" t="s">
        <v>1709</v>
      </c>
    </row>
    <row r="170" spans="3:3" x14ac:dyDescent="0.25">
      <c r="C170" s="14" t="s">
        <v>4025</v>
      </c>
    </row>
    <row r="171" spans="1:3" x14ac:dyDescent="0.25">
      <c r="A171" s="14" t="s">
        <v>4064</v>
      </c>
      <c r="B171" s="14" t="s">
        <v>19</v>
      </c>
      <c r="C171" s="14" t="s">
        <v>1713</v>
      </c>
    </row>
    <row r="172" spans="3:3" x14ac:dyDescent="0.25">
      <c r="C172" s="14" t="s">
        <v>4026</v>
      </c>
    </row>
    <row r="173" spans="1:3" x14ac:dyDescent="0.25">
      <c r="A173" s="14" t="s">
        <v>2634</v>
      </c>
      <c r="B173" s="14" t="s">
        <v>19</v>
      </c>
      <c r="C173" s="14" t="s">
        <v>2635</v>
      </c>
    </row>
    <row r="174" spans="3:3" x14ac:dyDescent="0.25">
      <c r="C174" s="14" t="s">
        <v>4065</v>
      </c>
    </row>
    <row r="175" spans="3:3" x14ac:dyDescent="0.25">
      <c r="C175" s="14" t="s">
        <v>4066</v>
      </c>
    </row>
    <row r="176" spans="1:3" x14ac:dyDescent="0.25">
      <c r="A176" s="14" t="s">
        <v>2644</v>
      </c>
      <c r="B176" s="14" t="s">
        <v>19</v>
      </c>
      <c r="C176" s="14" t="s">
        <v>1810</v>
      </c>
    </row>
    <row r="177" spans="3:3" x14ac:dyDescent="0.25">
      <c r="C177" s="14" t="s">
        <v>4029</v>
      </c>
    </row>
    <row r="178" spans="3:3" x14ac:dyDescent="0.25">
      <c r="C178" s="14" t="s">
        <v>4030</v>
      </c>
    </row>
    <row r="179" spans="1:3" x14ac:dyDescent="0.25">
      <c r="A179" s="14" t="s">
        <v>2662</v>
      </c>
      <c r="B179" s="14" t="s">
        <v>19</v>
      </c>
      <c r="C179" s="14" t="s">
        <v>2663</v>
      </c>
    </row>
    <row r="180" spans="3:3" x14ac:dyDescent="0.25">
      <c r="C180" s="14" t="s">
        <v>4067</v>
      </c>
    </row>
    <row r="181" spans="1:3" x14ac:dyDescent="0.25">
      <c r="A181" s="14" t="s">
        <v>2666</v>
      </c>
      <c r="B181" s="14" t="s">
        <v>19</v>
      </c>
      <c r="C181" s="14" t="s">
        <v>1929</v>
      </c>
    </row>
    <row r="182" spans="3:3" x14ac:dyDescent="0.25">
      <c r="C182" s="14" t="s">
        <v>4040</v>
      </c>
    </row>
    <row r="183" spans="3:3" x14ac:dyDescent="0.25">
      <c r="C183" s="14" t="s">
        <v>4041</v>
      </c>
    </row>
    <row r="184" spans="3:3" x14ac:dyDescent="0.25">
      <c r="C184" s="14" t="s">
        <v>4068</v>
      </c>
    </row>
    <row r="185" spans="3:3" x14ac:dyDescent="0.25">
      <c r="C185" s="14" t="s">
        <v>4069</v>
      </c>
    </row>
    <row r="186" spans="3:3" x14ac:dyDescent="0.25">
      <c r="C186" s="14" t="s">
        <v>4070</v>
      </c>
    </row>
    <row r="187" spans="3:3" x14ac:dyDescent="0.25">
      <c r="C187" s="14" t="s">
        <v>4071</v>
      </c>
    </row>
    <row r="188" spans="1:3" x14ac:dyDescent="0.25">
      <c r="A188" s="14" t="s">
        <v>2668</v>
      </c>
      <c r="B188" s="14" t="s">
        <v>19</v>
      </c>
      <c r="C188" s="14" t="s">
        <v>2669</v>
      </c>
    </row>
    <row r="189" spans="3:3" x14ac:dyDescent="0.25">
      <c r="C189" s="14" t="s">
        <v>4072</v>
      </c>
    </row>
    <row r="190" spans="3:3" x14ac:dyDescent="0.25">
      <c r="C190" s="14" t="s">
        <v>4073</v>
      </c>
    </row>
    <row r="191" spans="3:3" x14ac:dyDescent="0.25">
      <c r="C191" s="14" t="s">
        <v>4074</v>
      </c>
    </row>
    <row r="192" spans="3:3" x14ac:dyDescent="0.25">
      <c r="C192" s="14" t="s">
        <v>4075</v>
      </c>
    </row>
    <row r="193" spans="1:3" x14ac:dyDescent="0.25">
      <c r="A193" s="14" t="s">
        <v>2678</v>
      </c>
      <c r="B193" s="14" t="s">
        <v>19</v>
      </c>
      <c r="C193" s="14" t="s">
        <v>2679</v>
      </c>
    </row>
    <row r="194" spans="3:3" x14ac:dyDescent="0.25">
      <c r="C194" s="14" t="s">
        <v>4076</v>
      </c>
    </row>
    <row r="195" spans="3:3" x14ac:dyDescent="0.25">
      <c r="C195" s="14" t="s">
        <v>4077</v>
      </c>
    </row>
    <row r="196" spans="1:3" x14ac:dyDescent="0.25">
      <c r="A196" s="14" t="s">
        <v>2700</v>
      </c>
      <c r="B196" s="14" t="s">
        <v>19</v>
      </c>
      <c r="C196" s="14" t="s">
        <v>2669</v>
      </c>
    </row>
    <row r="197" spans="3:3" x14ac:dyDescent="0.25">
      <c r="C197" s="14" t="s">
        <v>4072</v>
      </c>
    </row>
    <row r="198" spans="3:3" x14ac:dyDescent="0.25">
      <c r="C198" s="14" t="s">
        <v>4073</v>
      </c>
    </row>
    <row r="199" spans="3:3" x14ac:dyDescent="0.25">
      <c r="C199" s="14" t="s">
        <v>4074</v>
      </c>
    </row>
    <row r="200" spans="3:3" x14ac:dyDescent="0.25">
      <c r="C200" s="14" t="s">
        <v>4075</v>
      </c>
    </row>
    <row r="201" spans="1:3" x14ac:dyDescent="0.25">
      <c r="A201" s="14" t="s">
        <v>2706</v>
      </c>
      <c r="B201" s="14" t="s">
        <v>19</v>
      </c>
      <c r="C201" s="14" t="s">
        <v>2707</v>
      </c>
    </row>
    <row r="202" spans="3:3" x14ac:dyDescent="0.25">
      <c r="C202" s="14" t="s">
        <v>4078</v>
      </c>
    </row>
    <row r="203" spans="1:3" x14ac:dyDescent="0.25">
      <c r="A203" s="14" t="s">
        <v>2710</v>
      </c>
      <c r="B203" s="14" t="s">
        <v>19</v>
      </c>
      <c r="C203" s="14" t="s">
        <v>2711</v>
      </c>
    </row>
    <row r="204" spans="3:3" x14ac:dyDescent="0.25">
      <c r="C204" s="14" t="s">
        <v>4079</v>
      </c>
    </row>
    <row r="205" spans="3:3" x14ac:dyDescent="0.25">
      <c r="C205" s="14" t="s">
        <v>4080</v>
      </c>
    </row>
    <row r="206" spans="1:3" x14ac:dyDescent="0.25">
      <c r="A206" s="14" t="s">
        <v>4081</v>
      </c>
      <c r="B206" s="14" t="s">
        <v>19</v>
      </c>
      <c r="C206" s="14" t="s">
        <v>1929</v>
      </c>
    </row>
    <row r="207" spans="3:3" x14ac:dyDescent="0.25">
      <c r="C207" s="14" t="s">
        <v>4040</v>
      </c>
    </row>
    <row r="208" spans="3:3" x14ac:dyDescent="0.25">
      <c r="C208" s="14" t="s">
        <v>4041</v>
      </c>
    </row>
    <row r="209" spans="1:3" x14ac:dyDescent="0.25">
      <c r="A209" s="14" t="s">
        <v>4082</v>
      </c>
      <c r="B209" s="14" t="s">
        <v>19</v>
      </c>
      <c r="C209" s="14" t="s">
        <v>1932</v>
      </c>
    </row>
    <row r="210" spans="3:3" x14ac:dyDescent="0.25">
      <c r="C210" s="14" t="s">
        <v>4042</v>
      </c>
    </row>
    <row r="211" spans="3:3" x14ac:dyDescent="0.25">
      <c r="C211" s="14" t="s">
        <v>4043</v>
      </c>
    </row>
    <row r="212" spans="1:3" x14ac:dyDescent="0.25">
      <c r="A212" s="14" t="s">
        <v>4083</v>
      </c>
      <c r="B212" s="14" t="s">
        <v>19</v>
      </c>
      <c r="C212" s="14" t="s">
        <v>1940</v>
      </c>
    </row>
    <row r="213" spans="3:3" x14ac:dyDescent="0.25">
      <c r="C213" s="14" t="s">
        <v>4044</v>
      </c>
    </row>
    <row r="214" spans="1:3" x14ac:dyDescent="0.25">
      <c r="A214" s="14" t="s">
        <v>4084</v>
      </c>
      <c r="B214" s="14" t="s">
        <v>19</v>
      </c>
      <c r="C214" s="14" t="s">
        <v>1952</v>
      </c>
    </row>
    <row r="215" spans="3:3" x14ac:dyDescent="0.25">
      <c r="C215" s="14" t="s">
        <v>4045</v>
      </c>
    </row>
    <row r="216" spans="1:3" x14ac:dyDescent="0.25">
      <c r="A216" s="14" t="s">
        <v>2724</v>
      </c>
      <c r="B216" s="14" t="s">
        <v>19</v>
      </c>
      <c r="C216" s="14" t="s">
        <v>2725</v>
      </c>
    </row>
    <row r="217" spans="3:3" x14ac:dyDescent="0.25">
      <c r="C217" s="14" t="s">
        <v>4085</v>
      </c>
    </row>
    <row r="218" spans="1:3" x14ac:dyDescent="0.25">
      <c r="A218" s="14" t="s">
        <v>2736</v>
      </c>
      <c r="B218" s="14" t="s">
        <v>19</v>
      </c>
      <c r="C218" s="14" t="s">
        <v>2737</v>
      </c>
    </row>
    <row r="219" spans="3:3" x14ac:dyDescent="0.25">
      <c r="C219" s="14" t="s">
        <v>4086</v>
      </c>
    </row>
    <row r="220" spans="3:3" x14ac:dyDescent="0.25">
      <c r="C220" s="14" t="s">
        <v>4087</v>
      </c>
    </row>
    <row r="221" spans="1:3" x14ac:dyDescent="0.25">
      <c r="A221" s="14" t="s">
        <v>2740</v>
      </c>
      <c r="B221" s="14" t="s">
        <v>19</v>
      </c>
      <c r="C221" s="14" t="s">
        <v>2741</v>
      </c>
    </row>
    <row r="222" spans="3:3" x14ac:dyDescent="0.25">
      <c r="C222" s="14" t="s">
        <v>4088</v>
      </c>
    </row>
    <row r="223" spans="3:3" x14ac:dyDescent="0.25">
      <c r="C223" s="14" t="s">
        <v>4089</v>
      </c>
    </row>
    <row r="224" spans="3:3" x14ac:dyDescent="0.25">
      <c r="C224" s="14" t="s">
        <v>4090</v>
      </c>
    </row>
    <row r="225" spans="1:3" x14ac:dyDescent="0.25">
      <c r="A225" s="14" t="s">
        <v>2762</v>
      </c>
      <c r="B225" s="14" t="s">
        <v>19</v>
      </c>
      <c r="C225" s="14" t="s">
        <v>2763</v>
      </c>
    </row>
    <row r="226" spans="3:3" x14ac:dyDescent="0.25">
      <c r="C226" s="14" t="s">
        <v>4091</v>
      </c>
    </row>
    <row r="227" spans="3:3" x14ac:dyDescent="0.25">
      <c r="C227" s="14" t="s">
        <v>4092</v>
      </c>
    </row>
    <row r="228" spans="1:3" x14ac:dyDescent="0.25">
      <c r="A228" s="14" t="s">
        <v>4093</v>
      </c>
      <c r="B228" s="14" t="s">
        <v>19</v>
      </c>
      <c r="C228" s="14" t="s">
        <v>1996</v>
      </c>
    </row>
    <row r="229" spans="3:3" x14ac:dyDescent="0.25">
      <c r="C229" s="14" t="s">
        <v>4046</v>
      </c>
    </row>
    <row r="230" spans="1:3" x14ac:dyDescent="0.25">
      <c r="A230" s="14" t="s">
        <v>4094</v>
      </c>
      <c r="B230" s="14" t="s">
        <v>19</v>
      </c>
      <c r="C230" s="14" t="s">
        <v>871</v>
      </c>
    </row>
    <row r="231" spans="3:3" x14ac:dyDescent="0.25">
      <c r="C231" s="14" t="s">
        <v>3998</v>
      </c>
    </row>
    <row r="232" spans="3:3" x14ac:dyDescent="0.25">
      <c r="C232" s="14" t="s">
        <v>3999</v>
      </c>
    </row>
    <row r="233" spans="1:3" x14ac:dyDescent="0.25">
      <c r="A233" s="14" t="s">
        <v>4095</v>
      </c>
      <c r="B233" s="14" t="s">
        <v>19</v>
      </c>
      <c r="C233" s="14" t="s">
        <v>877</v>
      </c>
    </row>
    <row r="234" spans="3:3" x14ac:dyDescent="0.25">
      <c r="C234" s="14" t="s">
        <v>4000</v>
      </c>
    </row>
    <row r="235" spans="3:3" x14ac:dyDescent="0.25">
      <c r="C235" s="14" t="s">
        <v>3999</v>
      </c>
    </row>
    <row r="236" spans="1:3" x14ac:dyDescent="0.25">
      <c r="A236" s="14" t="s">
        <v>4096</v>
      </c>
      <c r="B236" s="14" t="s">
        <v>19</v>
      </c>
      <c r="C236" s="14" t="s">
        <v>883</v>
      </c>
    </row>
    <row r="237" spans="3:3" x14ac:dyDescent="0.25">
      <c r="C237" s="14" t="s">
        <v>4001</v>
      </c>
    </row>
    <row r="238" spans="3:3" x14ac:dyDescent="0.25">
      <c r="C238" s="14" t="s">
        <v>3999</v>
      </c>
    </row>
    <row r="239" spans="1:3" x14ac:dyDescent="0.25">
      <c r="A239" s="14" t="s">
        <v>4097</v>
      </c>
      <c r="B239" s="14" t="s">
        <v>19</v>
      </c>
      <c r="C239" s="14" t="s">
        <v>889</v>
      </c>
    </row>
    <row r="240" spans="3:3" x14ac:dyDescent="0.25">
      <c r="C240" s="14" t="s">
        <v>3999</v>
      </c>
    </row>
    <row r="241" spans="1:3" x14ac:dyDescent="0.25">
      <c r="A241" s="14" t="s">
        <v>4098</v>
      </c>
      <c r="B241" s="14" t="s">
        <v>19</v>
      </c>
      <c r="C241" s="14" t="s">
        <v>895</v>
      </c>
    </row>
    <row r="242" spans="3:3" x14ac:dyDescent="0.25">
      <c r="C242" s="14" t="s">
        <v>4002</v>
      </c>
    </row>
    <row r="243" spans="3:3" x14ac:dyDescent="0.25">
      <c r="C243" s="14" t="s">
        <v>3999</v>
      </c>
    </row>
    <row r="244" spans="1:3" x14ac:dyDescent="0.25">
      <c r="A244" s="14" t="s">
        <v>4099</v>
      </c>
      <c r="B244" s="14" t="s">
        <v>19</v>
      </c>
      <c r="C244" s="14" t="s">
        <v>889</v>
      </c>
    </row>
    <row r="245" spans="3:3" x14ac:dyDescent="0.25">
      <c r="C245" s="14" t="s">
        <v>3999</v>
      </c>
    </row>
    <row r="246" spans="1:3" x14ac:dyDescent="0.25">
      <c r="A246" s="14" t="s">
        <v>4100</v>
      </c>
      <c r="B246" s="14" t="s">
        <v>19</v>
      </c>
      <c r="C246" s="14" t="s">
        <v>906</v>
      </c>
    </row>
    <row r="247" spans="3:3" x14ac:dyDescent="0.25">
      <c r="C247" s="14" t="s">
        <v>4003</v>
      </c>
    </row>
    <row r="248" spans="1:3" x14ac:dyDescent="0.25">
      <c r="A248" s="14" t="s">
        <v>4101</v>
      </c>
      <c r="B248" s="14" t="s">
        <v>19</v>
      </c>
      <c r="C248" s="14" t="s">
        <v>960</v>
      </c>
    </row>
    <row r="249" spans="3:3" x14ac:dyDescent="0.25">
      <c r="C249" s="14" t="s">
        <v>4004</v>
      </c>
    </row>
    <row r="250" spans="3:3" x14ac:dyDescent="0.25">
      <c r="C250" s="14" t="s">
        <v>4005</v>
      </c>
    </row>
    <row r="251" spans="3:3" x14ac:dyDescent="0.25">
      <c r="C251" s="14" t="s">
        <v>4006</v>
      </c>
    </row>
    <row r="252" spans="3:3" x14ac:dyDescent="0.25">
      <c r="C252" s="14" t="s">
        <v>4007</v>
      </c>
    </row>
    <row r="253" spans="3:3" x14ac:dyDescent="0.25">
      <c r="C253" s="14" t="s">
        <v>4008</v>
      </c>
    </row>
    <row r="254" spans="3:3" x14ac:dyDescent="0.25">
      <c r="C254" s="14" t="s">
        <v>4009</v>
      </c>
    </row>
    <row r="255" spans="3:3" x14ac:dyDescent="0.25">
      <c r="C255" s="14" t="s">
        <v>4010</v>
      </c>
    </row>
    <row r="256" spans="3:3" x14ac:dyDescent="0.25">
      <c r="C256" s="14" t="s">
        <v>4011</v>
      </c>
    </row>
    <row r="257" spans="1:3" x14ac:dyDescent="0.25">
      <c r="A257" s="14" t="s">
        <v>4102</v>
      </c>
      <c r="B257" s="14" t="s">
        <v>19</v>
      </c>
      <c r="C257" s="14" t="s">
        <v>2373</v>
      </c>
    </row>
    <row r="258" spans="3:3" x14ac:dyDescent="0.25">
      <c r="C258" s="14" t="s">
        <v>4048</v>
      </c>
    </row>
    <row r="259" spans="1:3" x14ac:dyDescent="0.25">
      <c r="A259" s="14" t="s">
        <v>2953</v>
      </c>
      <c r="B259" s="14" t="s">
        <v>19</v>
      </c>
      <c r="C259" s="14" t="s">
        <v>286</v>
      </c>
    </row>
    <row r="260" spans="1:3" x14ac:dyDescent="0.25">
      <c r="A260" s="14" t="s">
        <v>4103</v>
      </c>
      <c r="B260" s="14" t="s">
        <v>19</v>
      </c>
      <c r="C260" s="14" t="s">
        <v>479</v>
      </c>
    </row>
    <row r="261" spans="3:3" x14ac:dyDescent="0.25">
      <c r="C261" s="14" t="s">
        <v>3994</v>
      </c>
    </row>
    <row r="262" spans="3:3" x14ac:dyDescent="0.25">
      <c r="C262" s="14" t="s">
        <v>3995</v>
      </c>
    </row>
    <row r="263" spans="1:3" x14ac:dyDescent="0.25">
      <c r="A263" s="14" t="s">
        <v>3255</v>
      </c>
      <c r="B263" s="14" t="s">
        <v>19</v>
      </c>
      <c r="C263" s="14" t="s">
        <v>3256</v>
      </c>
    </row>
    <row r="264" spans="3:3" x14ac:dyDescent="0.25">
      <c r="C264" s="14" t="s">
        <v>4104</v>
      </c>
    </row>
    <row r="265" spans="3:3" x14ac:dyDescent="0.25">
      <c r="C265" s="14" t="s">
        <v>4105</v>
      </c>
    </row>
    <row r="266" spans="1:3" x14ac:dyDescent="0.25">
      <c r="A266" s="14" t="s">
        <v>4106</v>
      </c>
      <c r="B266" s="14" t="s">
        <v>19</v>
      </c>
      <c r="C266" s="14" t="s">
        <v>479</v>
      </c>
    </row>
    <row r="267" spans="3:3" x14ac:dyDescent="0.25">
      <c r="C267" s="14" t="s">
        <v>3994</v>
      </c>
    </row>
    <row r="268" spans="3:3" x14ac:dyDescent="0.25">
      <c r="C268" s="14" t="s">
        <v>3995</v>
      </c>
    </row>
    <row r="269" spans="1:3" x14ac:dyDescent="0.25">
      <c r="A269" s="14" t="s">
        <v>4107</v>
      </c>
      <c r="B269" s="14" t="s">
        <v>19</v>
      </c>
      <c r="C269" s="14" t="s">
        <v>1429</v>
      </c>
    </row>
    <row r="270" spans="3:3" x14ac:dyDescent="0.25">
      <c r="C270" s="14" t="s">
        <v>4012</v>
      </c>
    </row>
    <row r="271" spans="3:3" x14ac:dyDescent="0.25">
      <c r="C271" s="14" t="s">
        <v>4013</v>
      </c>
    </row>
    <row r="272" spans="3:3" x14ac:dyDescent="0.25">
      <c r="C272" s="14" t="s">
        <v>4014</v>
      </c>
    </row>
    <row r="273" spans="3:3" x14ac:dyDescent="0.25">
      <c r="C273" s="14" t="s">
        <v>4015</v>
      </c>
    </row>
    <row r="274" spans="3:3" x14ac:dyDescent="0.25">
      <c r="C274" s="14" t="s">
        <v>4016</v>
      </c>
    </row>
    <row r="275" spans="3:3" x14ac:dyDescent="0.25">
      <c r="C275" s="14" t="s">
        <v>4017</v>
      </c>
    </row>
    <row r="276" spans="3:3" x14ac:dyDescent="0.25">
      <c r="C276" s="14" t="s">
        <v>4018</v>
      </c>
    </row>
    <row r="277" spans="1:3" x14ac:dyDescent="0.25">
      <c r="A277" s="14" t="s">
        <v>4108</v>
      </c>
      <c r="B277" s="14" t="s">
        <v>19</v>
      </c>
      <c r="C277" s="14" t="s">
        <v>960</v>
      </c>
    </row>
    <row r="278" spans="3:3" x14ac:dyDescent="0.25">
      <c r="C278" s="14" t="s">
        <v>4004</v>
      </c>
    </row>
    <row r="279" spans="3:3" x14ac:dyDescent="0.25">
      <c r="C279" s="14" t="s">
        <v>4005</v>
      </c>
    </row>
    <row r="280" spans="3:3" x14ac:dyDescent="0.25">
      <c r="C280" s="14" t="s">
        <v>4006</v>
      </c>
    </row>
    <row r="281" spans="3:3" x14ac:dyDescent="0.25">
      <c r="C281" s="14" t="s">
        <v>4007</v>
      </c>
    </row>
    <row r="282" spans="3:3" x14ac:dyDescent="0.25">
      <c r="C282" s="14" t="s">
        <v>4008</v>
      </c>
    </row>
    <row r="283" spans="3:3" x14ac:dyDescent="0.25">
      <c r="C283" s="14" t="s">
        <v>4009</v>
      </c>
    </row>
    <row r="284" spans="3:3" x14ac:dyDescent="0.25">
      <c r="C284" s="14" t="s">
        <v>4010</v>
      </c>
    </row>
    <row r="285" spans="3:3" x14ac:dyDescent="0.25">
      <c r="C285" s="14" t="s">
        <v>4011</v>
      </c>
    </row>
    <row r="286" spans="1:3" x14ac:dyDescent="0.25">
      <c r="A286" s="14" t="s">
        <v>2371</v>
      </c>
      <c r="B286" s="14" t="s">
        <v>19</v>
      </c>
      <c r="C286" s="14" t="s">
        <v>2373</v>
      </c>
    </row>
    <row r="287" spans="3:3" x14ac:dyDescent="0.25">
      <c r="C287" s="14" t="s">
        <v>4048</v>
      </c>
    </row>
    <row r="288" spans="1:3" x14ac:dyDescent="0.25">
      <c r="A288" s="14" t="s">
        <v>869</v>
      </c>
      <c r="B288" s="14" t="s">
        <v>19</v>
      </c>
      <c r="C288" s="14" t="s">
        <v>871</v>
      </c>
    </row>
    <row r="289" spans="3:3" x14ac:dyDescent="0.25">
      <c r="C289" s="14" t="s">
        <v>3998</v>
      </c>
    </row>
    <row r="290" spans="3:3" x14ac:dyDescent="0.25">
      <c r="C290" s="14" t="s">
        <v>3999</v>
      </c>
    </row>
    <row r="291" spans="1:3" x14ac:dyDescent="0.25">
      <c r="A291" s="14" t="s">
        <v>875</v>
      </c>
      <c r="B291" s="14" t="s">
        <v>19</v>
      </c>
      <c r="C291" s="14" t="s">
        <v>877</v>
      </c>
    </row>
    <row r="292" spans="3:3" x14ac:dyDescent="0.25">
      <c r="C292" s="14" t="s">
        <v>4000</v>
      </c>
    </row>
    <row r="293" spans="3:3" x14ac:dyDescent="0.25">
      <c r="C293" s="14" t="s">
        <v>3999</v>
      </c>
    </row>
    <row r="294" spans="1:3" x14ac:dyDescent="0.25">
      <c r="A294" s="14" t="s">
        <v>881</v>
      </c>
      <c r="B294" s="14" t="s">
        <v>19</v>
      </c>
      <c r="C294" s="14" t="s">
        <v>883</v>
      </c>
    </row>
    <row r="295" spans="3:3" x14ac:dyDescent="0.25">
      <c r="C295" s="14" t="s">
        <v>4001</v>
      </c>
    </row>
    <row r="296" spans="3:3" x14ac:dyDescent="0.25">
      <c r="C296" s="14" t="s">
        <v>3999</v>
      </c>
    </row>
    <row r="297" spans="1:3" x14ac:dyDescent="0.25">
      <c r="A297" s="14" t="s">
        <v>887</v>
      </c>
      <c r="B297" s="14" t="s">
        <v>19</v>
      </c>
      <c r="C297" s="14" t="s">
        <v>889</v>
      </c>
    </row>
    <row r="298" spans="3:3" x14ac:dyDescent="0.25">
      <c r="C298" s="14" t="s">
        <v>3999</v>
      </c>
    </row>
    <row r="299" spans="1:3" x14ac:dyDescent="0.25">
      <c r="A299" s="14" t="s">
        <v>893</v>
      </c>
      <c r="B299" s="14" t="s">
        <v>19</v>
      </c>
      <c r="C299" s="14" t="s">
        <v>895</v>
      </c>
    </row>
    <row r="300" spans="3:3" x14ac:dyDescent="0.25">
      <c r="C300" s="14" t="s">
        <v>4002</v>
      </c>
    </row>
    <row r="301" spans="3:3" x14ac:dyDescent="0.25">
      <c r="C301" s="14" t="s">
        <v>3999</v>
      </c>
    </row>
    <row r="302" spans="1:3" x14ac:dyDescent="0.25">
      <c r="A302" s="14" t="s">
        <v>899</v>
      </c>
      <c r="B302" s="14" t="s">
        <v>19</v>
      </c>
      <c r="C302" s="14" t="s">
        <v>889</v>
      </c>
    </row>
    <row r="303" spans="3:3" x14ac:dyDescent="0.25">
      <c r="C303" s="14" t="s">
        <v>3999</v>
      </c>
    </row>
    <row r="304" spans="1:3" x14ac:dyDescent="0.25">
      <c r="A304" s="14" t="s">
        <v>904</v>
      </c>
      <c r="B304" s="14" t="s">
        <v>19</v>
      </c>
      <c r="C304" s="14" t="s">
        <v>906</v>
      </c>
    </row>
    <row r="305" spans="3:3" x14ac:dyDescent="0.25">
      <c r="C305" s="14" t="s">
        <v>4003</v>
      </c>
    </row>
    <row r="306" spans="1:3" x14ac:dyDescent="0.25">
      <c r="A306" s="14" t="s">
        <v>4109</v>
      </c>
      <c r="B306" s="14" t="s">
        <v>19</v>
      </c>
      <c r="C306" s="14" t="s">
        <v>960</v>
      </c>
    </row>
    <row r="307" spans="3:3" x14ac:dyDescent="0.25">
      <c r="C307" s="14" t="s">
        <v>4004</v>
      </c>
    </row>
    <row r="308" spans="3:3" x14ac:dyDescent="0.25">
      <c r="C308" s="14" t="s">
        <v>4005</v>
      </c>
    </row>
    <row r="309" spans="3:3" x14ac:dyDescent="0.25">
      <c r="C309" s="14" t="s">
        <v>4006</v>
      </c>
    </row>
    <row r="310" spans="3:3" x14ac:dyDescent="0.25">
      <c r="C310" s="14" t="s">
        <v>4007</v>
      </c>
    </row>
    <row r="311" spans="3:3" x14ac:dyDescent="0.25">
      <c r="C311" s="14" t="s">
        <v>4008</v>
      </c>
    </row>
    <row r="312" spans="3:3" x14ac:dyDescent="0.25">
      <c r="C312" s="14" t="s">
        <v>4009</v>
      </c>
    </row>
    <row r="313" spans="3:3" x14ac:dyDescent="0.25">
      <c r="C313" s="14" t="s">
        <v>4010</v>
      </c>
    </row>
    <row r="314" spans="3:3" x14ac:dyDescent="0.25">
      <c r="C314" s="14" t="s">
        <v>4011</v>
      </c>
    </row>
    <row r="315" spans="1:3" x14ac:dyDescent="0.25">
      <c r="A315" s="14" t="s">
        <v>4110</v>
      </c>
      <c r="B315" s="14" t="s">
        <v>19</v>
      </c>
      <c r="C315" s="14" t="s">
        <v>2663</v>
      </c>
    </row>
    <row r="316" spans="3:3" x14ac:dyDescent="0.25">
      <c r="C316" s="14" t="s">
        <v>4067</v>
      </c>
    </row>
    <row r="317" spans="1:3" x14ac:dyDescent="0.25">
      <c r="A317" s="14" t="s">
        <v>4111</v>
      </c>
      <c r="B317" s="14" t="s">
        <v>19</v>
      </c>
      <c r="C317" s="14" t="s">
        <v>1929</v>
      </c>
    </row>
    <row r="318" spans="3:3" x14ac:dyDescent="0.25">
      <c r="C318" s="14" t="s">
        <v>4040</v>
      </c>
    </row>
    <row r="319" spans="3:3" x14ac:dyDescent="0.25">
      <c r="C319" s="14" t="s">
        <v>4041</v>
      </c>
    </row>
    <row r="320" spans="3:3" x14ac:dyDescent="0.25">
      <c r="C320" s="14" t="s">
        <v>4068</v>
      </c>
    </row>
    <row r="321" spans="3:3" x14ac:dyDescent="0.25">
      <c r="C321" s="14" t="s">
        <v>4069</v>
      </c>
    </row>
    <row r="322" spans="3:3" x14ac:dyDescent="0.25">
      <c r="C322" s="14" t="s">
        <v>4070</v>
      </c>
    </row>
    <row r="323" spans="3:3" x14ac:dyDescent="0.25">
      <c r="C323" s="14" t="s">
        <v>4071</v>
      </c>
    </row>
    <row r="324" spans="1:3" x14ac:dyDescent="0.25">
      <c r="A324" s="14" t="s">
        <v>4112</v>
      </c>
      <c r="B324" s="14" t="s">
        <v>19</v>
      </c>
      <c r="C324" s="14" t="s">
        <v>2669</v>
      </c>
    </row>
    <row r="325" spans="3:3" x14ac:dyDescent="0.25">
      <c r="C325" s="14" t="s">
        <v>4072</v>
      </c>
    </row>
    <row r="326" spans="3:3" x14ac:dyDescent="0.25">
      <c r="C326" s="14" t="s">
        <v>4073</v>
      </c>
    </row>
    <row r="327" spans="3:3" x14ac:dyDescent="0.25">
      <c r="C327" s="14" t="s">
        <v>4074</v>
      </c>
    </row>
    <row r="328" spans="3:3" x14ac:dyDescent="0.25">
      <c r="C328" s="14" t="s">
        <v>4075</v>
      </c>
    </row>
    <row r="329" spans="1:3" x14ac:dyDescent="0.25">
      <c r="A329" s="14" t="s">
        <v>4113</v>
      </c>
      <c r="B329" s="14" t="s">
        <v>19</v>
      </c>
      <c r="C329" s="14" t="s">
        <v>2679</v>
      </c>
    </row>
    <row r="330" spans="3:3" x14ac:dyDescent="0.25">
      <c r="C330" s="14" t="s">
        <v>4076</v>
      </c>
    </row>
    <row r="331" spans="3:3" x14ac:dyDescent="0.25">
      <c r="C331" s="14" t="s">
        <v>4077</v>
      </c>
    </row>
    <row r="332" spans="1:3" x14ac:dyDescent="0.25">
      <c r="A332" s="14" t="s">
        <v>4114</v>
      </c>
      <c r="B332" s="14" t="s">
        <v>19</v>
      </c>
      <c r="C332" s="14" t="s">
        <v>2669</v>
      </c>
    </row>
    <row r="333" spans="3:3" x14ac:dyDescent="0.25">
      <c r="C333" s="14" t="s">
        <v>4072</v>
      </c>
    </row>
    <row r="334" spans="3:3" x14ac:dyDescent="0.25">
      <c r="C334" s="14" t="s">
        <v>4073</v>
      </c>
    </row>
    <row r="335" spans="3:3" x14ac:dyDescent="0.25">
      <c r="C335" s="14" t="s">
        <v>4074</v>
      </c>
    </row>
    <row r="336" spans="3:3" x14ac:dyDescent="0.25">
      <c r="C336" s="14" t="s">
        <v>4075</v>
      </c>
    </row>
    <row r="337" spans="1:3" x14ac:dyDescent="0.25">
      <c r="A337" s="14" t="s">
        <v>4115</v>
      </c>
      <c r="B337" s="14" t="s">
        <v>19</v>
      </c>
      <c r="C337" s="14" t="s">
        <v>2707</v>
      </c>
    </row>
    <row r="338" spans="3:3" x14ac:dyDescent="0.25">
      <c r="C338" s="14" t="s">
        <v>4078</v>
      </c>
    </row>
    <row r="339" spans="1:3" x14ac:dyDescent="0.25">
      <c r="A339" s="14" t="s">
        <v>4116</v>
      </c>
      <c r="B339" s="14" t="s">
        <v>19</v>
      </c>
      <c r="C339" s="14" t="s">
        <v>2669</v>
      </c>
    </row>
    <row r="340" spans="3:3" x14ac:dyDescent="0.25">
      <c r="C340" s="14" t="s">
        <v>4072</v>
      </c>
    </row>
    <row r="341" spans="3:3" x14ac:dyDescent="0.25">
      <c r="C341" s="14" t="s">
        <v>4073</v>
      </c>
    </row>
    <row r="342" spans="3:3" x14ac:dyDescent="0.25">
      <c r="C342" s="14" t="s">
        <v>4074</v>
      </c>
    </row>
    <row r="343" spans="3:3" x14ac:dyDescent="0.25">
      <c r="C343" s="14" t="s">
        <v>4075</v>
      </c>
    </row>
    <row r="344" spans="1:3" x14ac:dyDescent="0.25">
      <c r="A344" s="14" t="s">
        <v>4117</v>
      </c>
      <c r="B344" s="14" t="s">
        <v>19</v>
      </c>
      <c r="C344" s="14" t="s">
        <v>2707</v>
      </c>
    </row>
    <row r="345" spans="3:3" x14ac:dyDescent="0.25">
      <c r="C345" s="14" t="s">
        <v>4078</v>
      </c>
    </row>
    <row r="346" spans="1:3" x14ac:dyDescent="0.25">
      <c r="A346" s="14" t="s">
        <v>4118</v>
      </c>
      <c r="B346" s="14" t="s">
        <v>19</v>
      </c>
      <c r="C346" s="14" t="s">
        <v>2711</v>
      </c>
    </row>
    <row r="347" spans="3:3" x14ac:dyDescent="0.25">
      <c r="C347" s="14" t="s">
        <v>4079</v>
      </c>
    </row>
    <row r="348" spans="3:3" x14ac:dyDescent="0.25">
      <c r="C348" s="14" t="s">
        <v>4080</v>
      </c>
    </row>
    <row r="349" spans="1:3" x14ac:dyDescent="0.25">
      <c r="A349" s="14" t="s">
        <v>4119</v>
      </c>
      <c r="B349" s="14" t="s">
        <v>19</v>
      </c>
      <c r="C349" s="14" t="s">
        <v>2635</v>
      </c>
    </row>
    <row r="350" spans="3:3" x14ac:dyDescent="0.25">
      <c r="C350" s="14" t="s">
        <v>4065</v>
      </c>
    </row>
    <row r="351" spans="3:3" x14ac:dyDescent="0.25">
      <c r="C351" s="14" t="s">
        <v>4066</v>
      </c>
    </row>
    <row r="352" spans="1:3" x14ac:dyDescent="0.25">
      <c r="A352" s="14" t="s">
        <v>4120</v>
      </c>
      <c r="B352" s="14" t="s">
        <v>19</v>
      </c>
      <c r="C352" s="14" t="s">
        <v>1810</v>
      </c>
    </row>
    <row r="353" spans="3:3" x14ac:dyDescent="0.25">
      <c r="C353" s="14" t="s">
        <v>4029</v>
      </c>
    </row>
    <row r="354" spans="3:3" x14ac:dyDescent="0.25">
      <c r="C354" s="14" t="s">
        <v>4030</v>
      </c>
    </row>
    <row r="355" spans="1:3" x14ac:dyDescent="0.25">
      <c r="A355" s="14" t="s">
        <v>4121</v>
      </c>
      <c r="B355" s="14" t="s">
        <v>19</v>
      </c>
      <c r="C355" s="14" t="s">
        <v>2663</v>
      </c>
    </row>
    <row r="356" spans="3:3" x14ac:dyDescent="0.25">
      <c r="C356" s="14" t="s">
        <v>4067</v>
      </c>
    </row>
    <row r="357" spans="1:3" x14ac:dyDescent="0.25">
      <c r="A357" s="14" t="s">
        <v>4122</v>
      </c>
      <c r="B357" s="14" t="s">
        <v>19</v>
      </c>
      <c r="C357" s="14" t="s">
        <v>1929</v>
      </c>
    </row>
    <row r="358" spans="3:3" x14ac:dyDescent="0.25">
      <c r="C358" s="14" t="s">
        <v>4040</v>
      </c>
    </row>
    <row r="359" spans="3:3" x14ac:dyDescent="0.25">
      <c r="C359" s="14" t="s">
        <v>4041</v>
      </c>
    </row>
    <row r="360" spans="3:3" x14ac:dyDescent="0.25">
      <c r="C360" s="14" t="s">
        <v>4068</v>
      </c>
    </row>
    <row r="361" spans="3:3" x14ac:dyDescent="0.25">
      <c r="C361" s="14" t="s">
        <v>4069</v>
      </c>
    </row>
    <row r="362" spans="3:3" x14ac:dyDescent="0.25">
      <c r="C362" s="14" t="s">
        <v>4070</v>
      </c>
    </row>
    <row r="363" spans="3:3" x14ac:dyDescent="0.25">
      <c r="C363" s="14" t="s">
        <v>4071</v>
      </c>
    </row>
    <row r="364" spans="1:3" x14ac:dyDescent="0.25">
      <c r="A364" s="14" t="s">
        <v>4123</v>
      </c>
      <c r="B364" s="14" t="s">
        <v>19</v>
      </c>
      <c r="C364" s="14" t="s">
        <v>2669</v>
      </c>
    </row>
    <row r="365" spans="3:3" x14ac:dyDescent="0.25">
      <c r="C365" s="14" t="s">
        <v>4072</v>
      </c>
    </row>
    <row r="366" spans="3:3" x14ac:dyDescent="0.25">
      <c r="C366" s="14" t="s">
        <v>4073</v>
      </c>
    </row>
    <row r="367" spans="3:3" x14ac:dyDescent="0.25">
      <c r="C367" s="14" t="s">
        <v>4074</v>
      </c>
    </row>
    <row r="368" spans="3:3" x14ac:dyDescent="0.25">
      <c r="C368" s="14" t="s">
        <v>4075</v>
      </c>
    </row>
    <row r="369" spans="1:3" x14ac:dyDescent="0.25">
      <c r="A369" s="14" t="s">
        <v>4124</v>
      </c>
      <c r="B369" s="14" t="s">
        <v>19</v>
      </c>
      <c r="C369" s="14" t="s">
        <v>2679</v>
      </c>
    </row>
    <row r="370" spans="3:3" x14ac:dyDescent="0.25">
      <c r="C370" s="14" t="s">
        <v>4076</v>
      </c>
    </row>
    <row r="371" spans="3:3" x14ac:dyDescent="0.25">
      <c r="C371" s="14" t="s">
        <v>4077</v>
      </c>
    </row>
    <row r="372" spans="1:3" x14ac:dyDescent="0.25">
      <c r="A372" s="14" t="s">
        <v>4125</v>
      </c>
      <c r="B372" s="14" t="s">
        <v>19</v>
      </c>
      <c r="C372" s="14" t="s">
        <v>2669</v>
      </c>
    </row>
    <row r="373" spans="3:3" x14ac:dyDescent="0.25">
      <c r="C373" s="14" t="s">
        <v>4072</v>
      </c>
    </row>
    <row r="374" spans="3:3" x14ac:dyDescent="0.25">
      <c r="C374" s="14" t="s">
        <v>4073</v>
      </c>
    </row>
    <row r="375" spans="3:3" x14ac:dyDescent="0.25">
      <c r="C375" s="14" t="s">
        <v>4074</v>
      </c>
    </row>
    <row r="376" spans="3:3" x14ac:dyDescent="0.25">
      <c r="C376" s="14" t="s">
        <v>4075</v>
      </c>
    </row>
    <row r="377" spans="1:3" x14ac:dyDescent="0.25">
      <c r="A377" s="14" t="s">
        <v>4126</v>
      </c>
      <c r="B377" s="14" t="s">
        <v>19</v>
      </c>
      <c r="C377" s="14" t="s">
        <v>2707</v>
      </c>
    </row>
    <row r="378" spans="3:3" x14ac:dyDescent="0.25">
      <c r="C378" s="14" t="s">
        <v>4078</v>
      </c>
    </row>
    <row r="379" spans="1:3" x14ac:dyDescent="0.25">
      <c r="A379" s="14" t="s">
        <v>4127</v>
      </c>
      <c r="B379" s="14" t="s">
        <v>19</v>
      </c>
      <c r="C379" s="14" t="s">
        <v>2711</v>
      </c>
    </row>
    <row r="380" spans="3:3" x14ac:dyDescent="0.25">
      <c r="C380" s="14" t="s">
        <v>4079</v>
      </c>
    </row>
    <row r="381" spans="3:3" x14ac:dyDescent="0.25">
      <c r="C381" s="14" t="s">
        <v>4080</v>
      </c>
    </row>
    <row r="382" spans="1:3" x14ac:dyDescent="0.25">
      <c r="A382" s="14" t="s">
        <v>4128</v>
      </c>
      <c r="B382" s="14" t="s">
        <v>19</v>
      </c>
      <c r="C382" s="14" t="s">
        <v>1819</v>
      </c>
    </row>
    <row r="383" spans="3:3" x14ac:dyDescent="0.25">
      <c r="C383" s="14" t="s">
        <v>4031</v>
      </c>
    </row>
    <row r="384" spans="3:3" x14ac:dyDescent="0.25">
      <c r="C384" s="14" t="s">
        <v>4032</v>
      </c>
    </row>
    <row r="385" spans="1:3" x14ac:dyDescent="0.25">
      <c r="A385" s="14" t="s">
        <v>4129</v>
      </c>
      <c r="B385" s="14" t="s">
        <v>19</v>
      </c>
      <c r="C385" s="14" t="s">
        <v>960</v>
      </c>
    </row>
    <row r="386" spans="3:3" x14ac:dyDescent="0.25">
      <c r="C386" s="14" t="s">
        <v>4004</v>
      </c>
    </row>
    <row r="387" spans="3:3" x14ac:dyDescent="0.25">
      <c r="C387" s="14" t="s">
        <v>4005</v>
      </c>
    </row>
    <row r="388" spans="3:3" x14ac:dyDescent="0.25">
      <c r="C388" s="14" t="s">
        <v>4006</v>
      </c>
    </row>
    <row r="389" spans="3:3" x14ac:dyDescent="0.25">
      <c r="C389" s="14" t="s">
        <v>4007</v>
      </c>
    </row>
    <row r="390" spans="3:3" x14ac:dyDescent="0.25">
      <c r="C390" s="14" t="s">
        <v>4008</v>
      </c>
    </row>
    <row r="391" spans="3:3" x14ac:dyDescent="0.25">
      <c r="C391" s="14" t="s">
        <v>4009</v>
      </c>
    </row>
    <row r="392" spans="3:3" x14ac:dyDescent="0.25">
      <c r="C392" s="14" t="s">
        <v>4010</v>
      </c>
    </row>
    <row r="393" spans="3:3" x14ac:dyDescent="0.25">
      <c r="C393" s="14" t="s">
        <v>4011</v>
      </c>
    </row>
    <row r="394" spans="1:3" x14ac:dyDescent="0.25">
      <c r="A394" s="14" t="s">
        <v>4130</v>
      </c>
      <c r="B394" s="14" t="s">
        <v>19</v>
      </c>
      <c r="C394" s="14" t="s">
        <v>1829</v>
      </c>
    </row>
    <row r="395" spans="3:3" x14ac:dyDescent="0.25">
      <c r="C395" s="14" t="s">
        <v>4034</v>
      </c>
    </row>
    <row r="396" spans="3:3" x14ac:dyDescent="0.25">
      <c r="C396" s="14" t="s">
        <v>4035</v>
      </c>
    </row>
    <row r="397" spans="3:3" x14ac:dyDescent="0.25">
      <c r="C397" s="14" t="s">
        <v>4036</v>
      </c>
    </row>
    <row r="398" spans="1:3" x14ac:dyDescent="0.25">
      <c r="A398" s="14" t="s">
        <v>4131</v>
      </c>
      <c r="B398" s="14" t="s">
        <v>19</v>
      </c>
      <c r="C398" s="14" t="s">
        <v>960</v>
      </c>
    </row>
    <row r="399" spans="3:3" x14ac:dyDescent="0.25">
      <c r="C399" s="14" t="s">
        <v>4004</v>
      </c>
    </row>
    <row r="400" spans="3:3" x14ac:dyDescent="0.25">
      <c r="C400" s="14" t="s">
        <v>4005</v>
      </c>
    </row>
    <row r="401" spans="3:3" x14ac:dyDescent="0.25">
      <c r="C401" s="14" t="s">
        <v>4006</v>
      </c>
    </row>
    <row r="402" spans="3:3" x14ac:dyDescent="0.25">
      <c r="C402" s="14" t="s">
        <v>4007</v>
      </c>
    </row>
    <row r="403" spans="3:3" x14ac:dyDescent="0.25">
      <c r="C403" s="14" t="s">
        <v>4008</v>
      </c>
    </row>
    <row r="404" spans="3:3" x14ac:dyDescent="0.25">
      <c r="C404" s="14" t="s">
        <v>4009</v>
      </c>
    </row>
    <row r="405" spans="3:3" x14ac:dyDescent="0.25">
      <c r="C405" s="14" t="s">
        <v>4010</v>
      </c>
    </row>
    <row r="406" spans="3:3" x14ac:dyDescent="0.25">
      <c r="C406" s="14" t="s">
        <v>4011</v>
      </c>
    </row>
    <row r="407" spans="1:3" x14ac:dyDescent="0.25">
      <c r="A407" s="14" t="s">
        <v>4132</v>
      </c>
      <c r="B407" s="14" t="s">
        <v>19</v>
      </c>
      <c r="C407" s="14" t="s">
        <v>1669</v>
      </c>
    </row>
    <row r="408" spans="3:3" x14ac:dyDescent="0.25">
      <c r="C408" s="14" t="s">
        <v>636</v>
      </c>
    </row>
    <row r="409" spans="3:3" x14ac:dyDescent="0.25">
      <c r="C409" s="14" t="s">
        <v>1691</v>
      </c>
    </row>
    <row r="410" spans="3:3" x14ac:dyDescent="0.25">
      <c r="C410" s="14" t="s">
        <v>1684</v>
      </c>
    </row>
    <row r="411" spans="3:3" x14ac:dyDescent="0.25">
      <c r="C411" s="14" t="s">
        <v>1646</v>
      </c>
    </row>
    <row r="412" spans="3:3" x14ac:dyDescent="0.25">
      <c r="C412" s="14" t="s">
        <v>1624</v>
      </c>
    </row>
    <row r="413" spans="3:3" x14ac:dyDescent="0.25">
      <c r="C413" s="14" t="s">
        <v>4037</v>
      </c>
    </row>
    <row r="414" spans="3:3" x14ac:dyDescent="0.25">
      <c r="C414" s="14" t="s">
        <v>4011</v>
      </c>
    </row>
    <row r="415" spans="1:3" x14ac:dyDescent="0.25">
      <c r="A415" s="14" t="s">
        <v>4133</v>
      </c>
      <c r="B415" s="14" t="s">
        <v>19</v>
      </c>
      <c r="C415" s="14" t="s">
        <v>1909</v>
      </c>
    </row>
    <row r="416" spans="3:3" x14ac:dyDescent="0.25">
      <c r="C416" s="14" t="s">
        <v>4038</v>
      </c>
    </row>
    <row r="417" spans="3:3" x14ac:dyDescent="0.25">
      <c r="C417" s="14" t="s">
        <v>4039</v>
      </c>
    </row>
    <row r="418" spans="1:3" x14ac:dyDescent="0.25">
      <c r="A418" s="14" t="s">
        <v>4134</v>
      </c>
      <c r="B418" s="14" t="s">
        <v>19</v>
      </c>
      <c r="C418" s="14" t="s">
        <v>960</v>
      </c>
    </row>
    <row r="419" spans="3:3" x14ac:dyDescent="0.25">
      <c r="C419" s="14" t="s">
        <v>4004</v>
      </c>
    </row>
    <row r="420" spans="3:3" x14ac:dyDescent="0.25">
      <c r="C420" s="14" t="s">
        <v>4005</v>
      </c>
    </row>
    <row r="421" spans="3:3" x14ac:dyDescent="0.25">
      <c r="C421" s="14" t="s">
        <v>4006</v>
      </c>
    </row>
    <row r="422" spans="3:3" x14ac:dyDescent="0.25">
      <c r="C422" s="14" t="s">
        <v>4007</v>
      </c>
    </row>
    <row r="423" spans="3:3" x14ac:dyDescent="0.25">
      <c r="C423" s="14" t="s">
        <v>4008</v>
      </c>
    </row>
    <row r="424" spans="3:3" x14ac:dyDescent="0.25">
      <c r="C424" s="14" t="s">
        <v>4009</v>
      </c>
    </row>
    <row r="425" spans="3:3" x14ac:dyDescent="0.25">
      <c r="C425" s="14" t="s">
        <v>4010</v>
      </c>
    </row>
    <row r="426" spans="3:3" x14ac:dyDescent="0.25">
      <c r="C426" s="14" t="s">
        <v>4011</v>
      </c>
    </row>
    <row r="427" spans="1:3" x14ac:dyDescent="0.25">
      <c r="A427" s="14" t="s">
        <v>4135</v>
      </c>
      <c r="B427" s="14" t="s">
        <v>19</v>
      </c>
      <c r="C427" s="14" t="s">
        <v>1929</v>
      </c>
    </row>
    <row r="428" spans="3:3" x14ac:dyDescent="0.25">
      <c r="C428" s="14" t="s">
        <v>4040</v>
      </c>
    </row>
    <row r="429" spans="3:3" x14ac:dyDescent="0.25">
      <c r="C429" s="14" t="s">
        <v>4041</v>
      </c>
    </row>
    <row r="430" spans="1:3" x14ac:dyDescent="0.25">
      <c r="A430" s="14" t="s">
        <v>4136</v>
      </c>
      <c r="B430" s="14" t="s">
        <v>19</v>
      </c>
      <c r="C430" s="14" t="s">
        <v>1932</v>
      </c>
    </row>
    <row r="431" spans="3:3" x14ac:dyDescent="0.25">
      <c r="C431" s="14" t="s">
        <v>4042</v>
      </c>
    </row>
    <row r="432" spans="3:3" x14ac:dyDescent="0.25">
      <c r="C432" s="14" t="s">
        <v>4043</v>
      </c>
    </row>
    <row r="433" spans="1:3" x14ac:dyDescent="0.25">
      <c r="A433" s="14" t="s">
        <v>4137</v>
      </c>
      <c r="B433" s="14" t="s">
        <v>19</v>
      </c>
      <c r="C433" s="14" t="s">
        <v>1940</v>
      </c>
    </row>
    <row r="434" spans="3:3" x14ac:dyDescent="0.25">
      <c r="C434" s="14" t="s">
        <v>4044</v>
      </c>
    </row>
    <row r="435" spans="1:3" x14ac:dyDescent="0.25">
      <c r="A435" s="14" t="s">
        <v>4138</v>
      </c>
      <c r="B435" s="14" t="s">
        <v>19</v>
      </c>
      <c r="C435" s="14" t="s">
        <v>1952</v>
      </c>
    </row>
    <row r="436" spans="3:3" x14ac:dyDescent="0.25">
      <c r="C436" s="14" t="s">
        <v>4045</v>
      </c>
    </row>
    <row r="437" spans="1:3" x14ac:dyDescent="0.25">
      <c r="A437" s="14" t="s">
        <v>4139</v>
      </c>
      <c r="B437" s="14" t="s">
        <v>19</v>
      </c>
      <c r="C437" s="14" t="s">
        <v>960</v>
      </c>
    </row>
    <row r="438" spans="3:3" x14ac:dyDescent="0.25">
      <c r="C438" s="14" t="s">
        <v>4004</v>
      </c>
    </row>
    <row r="439" spans="3:3" x14ac:dyDescent="0.25">
      <c r="C439" s="14" t="s">
        <v>4005</v>
      </c>
    </row>
    <row r="440" spans="3:3" x14ac:dyDescent="0.25">
      <c r="C440" s="14" t="s">
        <v>4006</v>
      </c>
    </row>
    <row r="441" spans="3:3" x14ac:dyDescent="0.25">
      <c r="C441" s="14" t="s">
        <v>4007</v>
      </c>
    </row>
    <row r="442" spans="3:3" x14ac:dyDescent="0.25">
      <c r="C442" s="14" t="s">
        <v>4008</v>
      </c>
    </row>
    <row r="443" spans="3:3" x14ac:dyDescent="0.25">
      <c r="C443" s="14" t="s">
        <v>4009</v>
      </c>
    </row>
    <row r="444" spans="3:3" x14ac:dyDescent="0.25">
      <c r="C444" s="14" t="s">
        <v>4010</v>
      </c>
    </row>
    <row r="445" spans="3:3" x14ac:dyDescent="0.25">
      <c r="C445" s="14" t="s">
        <v>4011</v>
      </c>
    </row>
    <row r="446" spans="1:3" x14ac:dyDescent="0.25">
      <c r="A446" s="14" t="s">
        <v>4140</v>
      </c>
      <c r="B446" s="14" t="s">
        <v>19</v>
      </c>
      <c r="C446" s="14" t="s">
        <v>2725</v>
      </c>
    </row>
    <row r="447" spans="3:3" x14ac:dyDescent="0.25">
      <c r="C447" s="14" t="s">
        <v>4085</v>
      </c>
    </row>
    <row r="448" spans="1:3" x14ac:dyDescent="0.25">
      <c r="A448" s="14" t="s">
        <v>4141</v>
      </c>
      <c r="B448" s="14" t="s">
        <v>19</v>
      </c>
      <c r="C448" s="14" t="s">
        <v>2737</v>
      </c>
    </row>
    <row r="449" spans="3:3" x14ac:dyDescent="0.25">
      <c r="C449" s="14" t="s">
        <v>4086</v>
      </c>
    </row>
    <row r="450" spans="3:3" x14ac:dyDescent="0.25">
      <c r="C450" s="14" t="s">
        <v>4087</v>
      </c>
    </row>
    <row r="451" spans="1:3" x14ac:dyDescent="0.25">
      <c r="A451" s="14" t="s">
        <v>4142</v>
      </c>
      <c r="B451" s="14" t="s">
        <v>19</v>
      </c>
      <c r="C451" s="14" t="s">
        <v>2741</v>
      </c>
    </row>
    <row r="452" spans="3:3" x14ac:dyDescent="0.25">
      <c r="C452" s="14" t="s">
        <v>4088</v>
      </c>
    </row>
    <row r="453" spans="3:3" x14ac:dyDescent="0.25">
      <c r="C453" s="14" t="s">
        <v>4089</v>
      </c>
    </row>
    <row r="454" spans="3:3" x14ac:dyDescent="0.25">
      <c r="C454" s="14" t="s">
        <v>4090</v>
      </c>
    </row>
    <row r="455" spans="1:3" x14ac:dyDescent="0.25">
      <c r="A455" s="14" t="s">
        <v>4143</v>
      </c>
      <c r="B455" s="14" t="s">
        <v>19</v>
      </c>
      <c r="C455" s="14" t="s">
        <v>2763</v>
      </c>
    </row>
    <row r="456" spans="3:3" x14ac:dyDescent="0.25">
      <c r="C456" s="14" t="s">
        <v>4091</v>
      </c>
    </row>
    <row r="457" spans="3:3" x14ac:dyDescent="0.25">
      <c r="C457" s="14" t="s">
        <v>4092</v>
      </c>
    </row>
    <row r="458" spans="1:3" x14ac:dyDescent="0.25">
      <c r="A458" s="14" t="s">
        <v>4144</v>
      </c>
      <c r="B458" s="14" t="s">
        <v>19</v>
      </c>
      <c r="C458" s="14" t="s">
        <v>1606</v>
      </c>
    </row>
    <row r="459" spans="3:3" x14ac:dyDescent="0.25">
      <c r="C459" s="14" t="s">
        <v>4019</v>
      </c>
    </row>
    <row r="460" spans="1:3" x14ac:dyDescent="0.25">
      <c r="A460" s="14" t="s">
        <v>4145</v>
      </c>
      <c r="B460" s="14" t="s">
        <v>19</v>
      </c>
      <c r="C460" s="14" t="s">
        <v>1613</v>
      </c>
    </row>
    <row r="461" spans="3:3" x14ac:dyDescent="0.25">
      <c r="C461" s="14" t="s">
        <v>4020</v>
      </c>
    </row>
    <row r="462" spans="3:3" x14ac:dyDescent="0.25">
      <c r="C462" s="14" t="s">
        <v>4021</v>
      </c>
    </row>
    <row r="463" spans="3:3" x14ac:dyDescent="0.25">
      <c r="C463" s="14" t="s">
        <v>4022</v>
      </c>
    </row>
    <row r="464" spans="3:3" x14ac:dyDescent="0.25">
      <c r="C464" s="14" t="s">
        <v>4023</v>
      </c>
    </row>
    <row r="465" spans="1:3" x14ac:dyDescent="0.25">
      <c r="A465" s="14" t="s">
        <v>4146</v>
      </c>
      <c r="B465" s="14" t="s">
        <v>19</v>
      </c>
      <c r="C465" s="14" t="s">
        <v>1606</v>
      </c>
    </row>
    <row r="466" spans="3:3" x14ac:dyDescent="0.25">
      <c r="C466" s="14" t="s">
        <v>4019</v>
      </c>
    </row>
    <row r="467" spans="1:3" x14ac:dyDescent="0.25">
      <c r="A467" s="14" t="s">
        <v>4147</v>
      </c>
      <c r="B467" s="14" t="s">
        <v>19</v>
      </c>
      <c r="C467" s="14" t="s">
        <v>1613</v>
      </c>
    </row>
    <row r="468" spans="3:3" x14ac:dyDescent="0.25">
      <c r="C468" s="14" t="s">
        <v>4020</v>
      </c>
    </row>
    <row r="469" spans="3:3" x14ac:dyDescent="0.25">
      <c r="C469" s="14" t="s">
        <v>4021</v>
      </c>
    </row>
    <row r="470" spans="3:3" x14ac:dyDescent="0.25">
      <c r="C470" s="14" t="s">
        <v>4022</v>
      </c>
    </row>
    <row r="471" spans="3:3" x14ac:dyDescent="0.25">
      <c r="C471" s="14" t="s">
        <v>4023</v>
      </c>
    </row>
    <row r="472" spans="1:3" x14ac:dyDescent="0.25">
      <c r="A472" s="14" t="s">
        <v>4148</v>
      </c>
      <c r="B472" s="14" t="s">
        <v>19</v>
      </c>
      <c r="C472" s="14" t="s">
        <v>1606</v>
      </c>
    </row>
    <row r="473" spans="3:3" x14ac:dyDescent="0.25">
      <c r="C473" s="14" t="s">
        <v>4019</v>
      </c>
    </row>
    <row r="474" spans="1:3" x14ac:dyDescent="0.25">
      <c r="A474" s="14" t="s">
        <v>4149</v>
      </c>
      <c r="B474" s="14" t="s">
        <v>19</v>
      </c>
      <c r="C474" s="14" t="s">
        <v>1613</v>
      </c>
    </row>
    <row r="475" spans="3:3" x14ac:dyDescent="0.25">
      <c r="C475" s="14" t="s">
        <v>4020</v>
      </c>
    </row>
    <row r="476" spans="3:3" x14ac:dyDescent="0.25">
      <c r="C476" s="14" t="s">
        <v>4021</v>
      </c>
    </row>
    <row r="477" spans="3:3" x14ac:dyDescent="0.25">
      <c r="C477" s="14" t="s">
        <v>4022</v>
      </c>
    </row>
    <row r="478" spans="3:3" x14ac:dyDescent="0.25">
      <c r="C478" s="14" t="s">
        <v>4023</v>
      </c>
    </row>
    <row r="479" spans="1:3" x14ac:dyDescent="0.25">
      <c r="A479" s="14" t="s">
        <v>4150</v>
      </c>
      <c r="B479" s="14" t="s">
        <v>19</v>
      </c>
      <c r="C479" s="14" t="s">
        <v>1606</v>
      </c>
    </row>
    <row r="480" spans="3:3" x14ac:dyDescent="0.25">
      <c r="C480" s="14" t="s">
        <v>4019</v>
      </c>
    </row>
    <row r="481" spans="1:3" x14ac:dyDescent="0.25">
      <c r="A481" s="14" t="s">
        <v>4151</v>
      </c>
      <c r="B481" s="14" t="s">
        <v>19</v>
      </c>
      <c r="C481" s="14" t="s">
        <v>1613</v>
      </c>
    </row>
    <row r="482" spans="3:3" x14ac:dyDescent="0.25">
      <c r="C482" s="14" t="s">
        <v>4020</v>
      </c>
    </row>
    <row r="483" spans="3:3" x14ac:dyDescent="0.25">
      <c r="C483" s="14" t="s">
        <v>4021</v>
      </c>
    </row>
    <row r="484" spans="3:3" x14ac:dyDescent="0.25">
      <c r="C484" s="14" t="s">
        <v>4022</v>
      </c>
    </row>
    <row r="485" spans="3:3" x14ac:dyDescent="0.25">
      <c r="C485" s="14" t="s">
        <v>4023</v>
      </c>
    </row>
    <row r="486" spans="1:3" x14ac:dyDescent="0.25">
      <c r="A486" s="14" t="s">
        <v>4152</v>
      </c>
      <c r="B486" s="14" t="s">
        <v>19</v>
      </c>
      <c r="C486" s="14" t="s">
        <v>1635</v>
      </c>
    </row>
    <row r="487" spans="3:3" x14ac:dyDescent="0.25">
      <c r="C487" s="14" t="s">
        <v>4024</v>
      </c>
    </row>
    <row r="488" spans="1:3" x14ac:dyDescent="0.25">
      <c r="A488" s="14" t="s">
        <v>4153</v>
      </c>
      <c r="B488" s="14" t="s">
        <v>19</v>
      </c>
      <c r="C488" s="14" t="s">
        <v>1606</v>
      </c>
    </row>
    <row r="489" spans="3:3" x14ac:dyDescent="0.25">
      <c r="C489" s="14" t="s">
        <v>4019</v>
      </c>
    </row>
    <row r="490" spans="1:3" x14ac:dyDescent="0.25">
      <c r="A490" s="14" t="s">
        <v>4154</v>
      </c>
      <c r="B490" s="14" t="s">
        <v>19</v>
      </c>
      <c r="C490" s="14" t="s">
        <v>1613</v>
      </c>
    </row>
    <row r="491" spans="3:3" x14ac:dyDescent="0.25">
      <c r="C491" s="14" t="s">
        <v>4020</v>
      </c>
    </row>
    <row r="492" spans="3:3" x14ac:dyDescent="0.25">
      <c r="C492" s="14" t="s">
        <v>4021</v>
      </c>
    </row>
    <row r="493" spans="3:3" x14ac:dyDescent="0.25">
      <c r="C493" s="14" t="s">
        <v>4022</v>
      </c>
    </row>
    <row r="494" spans="3:3" x14ac:dyDescent="0.25">
      <c r="C494" s="14" t="s">
        <v>4023</v>
      </c>
    </row>
    <row r="495" spans="1:3" x14ac:dyDescent="0.25">
      <c r="A495" s="14" t="s">
        <v>4155</v>
      </c>
      <c r="B495" s="14" t="s">
        <v>19</v>
      </c>
      <c r="C495" s="14" t="s">
        <v>1606</v>
      </c>
    </row>
    <row r="496" spans="3:3" x14ac:dyDescent="0.25">
      <c r="C496" s="14" t="s">
        <v>4019</v>
      </c>
    </row>
    <row r="497" spans="1:3" x14ac:dyDescent="0.25">
      <c r="A497" s="14" t="s">
        <v>4156</v>
      </c>
      <c r="B497" s="14" t="s">
        <v>19</v>
      </c>
      <c r="C497" s="14" t="s">
        <v>1613</v>
      </c>
    </row>
    <row r="498" spans="3:3" x14ac:dyDescent="0.25">
      <c r="C498" s="14" t="s">
        <v>4020</v>
      </c>
    </row>
    <row r="499" spans="3:3" x14ac:dyDescent="0.25">
      <c r="C499" s="14" t="s">
        <v>4021</v>
      </c>
    </row>
    <row r="500" spans="3:3" x14ac:dyDescent="0.25">
      <c r="C500" s="14" t="s">
        <v>4022</v>
      </c>
    </row>
    <row r="501" spans="3:3" x14ac:dyDescent="0.25">
      <c r="C501" s="14" t="s">
        <v>4023</v>
      </c>
    </row>
    <row r="502" spans="1:3" x14ac:dyDescent="0.25">
      <c r="A502" s="14" t="s">
        <v>4157</v>
      </c>
      <c r="B502" s="14" t="s">
        <v>19</v>
      </c>
      <c r="C502" s="14" t="s">
        <v>1606</v>
      </c>
    </row>
    <row r="503" spans="3:3" x14ac:dyDescent="0.25">
      <c r="C503" s="14" t="s">
        <v>4019</v>
      </c>
    </row>
    <row r="504" spans="1:3" x14ac:dyDescent="0.25">
      <c r="A504" s="14" t="s">
        <v>4158</v>
      </c>
      <c r="B504" s="14" t="s">
        <v>19</v>
      </c>
      <c r="C504" s="14" t="s">
        <v>1613</v>
      </c>
    </row>
    <row r="505" spans="3:3" x14ac:dyDescent="0.25">
      <c r="C505" s="14" t="s">
        <v>4020</v>
      </c>
    </row>
    <row r="506" spans="3:3" x14ac:dyDescent="0.25">
      <c r="C506" s="14" t="s">
        <v>4021</v>
      </c>
    </row>
    <row r="507" spans="3:3" x14ac:dyDescent="0.25">
      <c r="C507" s="14" t="s">
        <v>4022</v>
      </c>
    </row>
    <row r="508" spans="3:3" x14ac:dyDescent="0.25">
      <c r="C508" s="14" t="s">
        <v>4023</v>
      </c>
    </row>
    <row r="509" spans="1:3" x14ac:dyDescent="0.25">
      <c r="A509" s="14" t="s">
        <v>4159</v>
      </c>
      <c r="B509" s="14" t="s">
        <v>19</v>
      </c>
      <c r="C509" s="14" t="s">
        <v>1606</v>
      </c>
    </row>
    <row r="510" spans="3:3" x14ac:dyDescent="0.25">
      <c r="C510" s="14" t="s">
        <v>4019</v>
      </c>
    </row>
    <row r="511" spans="1:3" x14ac:dyDescent="0.25">
      <c r="A511" s="14" t="s">
        <v>4160</v>
      </c>
      <c r="B511" s="14" t="s">
        <v>19</v>
      </c>
      <c r="C511" s="14" t="s">
        <v>1613</v>
      </c>
    </row>
    <row r="512" spans="3:3" x14ac:dyDescent="0.25">
      <c r="C512" s="14" t="s">
        <v>4020</v>
      </c>
    </row>
    <row r="513" spans="3:3" x14ac:dyDescent="0.25">
      <c r="C513" s="14" t="s">
        <v>4021</v>
      </c>
    </row>
    <row r="514" spans="3:3" x14ac:dyDescent="0.25">
      <c r="C514" s="14" t="s">
        <v>4022</v>
      </c>
    </row>
    <row r="515" spans="3:3" x14ac:dyDescent="0.25">
      <c r="C515" s="14" t="s">
        <v>4023</v>
      </c>
    </row>
    <row r="516" spans="1:3" x14ac:dyDescent="0.25">
      <c r="A516" s="14" t="s">
        <v>4161</v>
      </c>
      <c r="B516" s="14" t="s">
        <v>19</v>
      </c>
      <c r="C516" s="14" t="s">
        <v>1606</v>
      </c>
    </row>
    <row r="517" spans="3:3" x14ac:dyDescent="0.25">
      <c r="C517" s="14" t="s">
        <v>4019</v>
      </c>
    </row>
    <row r="518" spans="1:3" x14ac:dyDescent="0.25">
      <c r="A518" s="14" t="s">
        <v>4162</v>
      </c>
      <c r="B518" s="14" t="s">
        <v>19</v>
      </c>
      <c r="C518" s="14" t="s">
        <v>1613</v>
      </c>
    </row>
    <row r="519" spans="3:3" x14ac:dyDescent="0.25">
      <c r="C519" s="14" t="s">
        <v>4020</v>
      </c>
    </row>
    <row r="520" spans="3:3" x14ac:dyDescent="0.25">
      <c r="C520" s="14" t="s">
        <v>4021</v>
      </c>
    </row>
    <row r="521" spans="3:3" x14ac:dyDescent="0.25">
      <c r="C521" s="14" t="s">
        <v>4022</v>
      </c>
    </row>
    <row r="522" spans="3:3" x14ac:dyDescent="0.25">
      <c r="C522" s="14" t="s">
        <v>4023</v>
      </c>
    </row>
    <row r="523" spans="1:3" x14ac:dyDescent="0.25">
      <c r="A523" s="14" t="s">
        <v>4163</v>
      </c>
      <c r="B523" s="14" t="s">
        <v>19</v>
      </c>
      <c r="C523" s="14" t="s">
        <v>1709</v>
      </c>
    </row>
    <row r="524" spans="3:3" x14ac:dyDescent="0.25">
      <c r="C524" s="14" t="s">
        <v>4025</v>
      </c>
    </row>
    <row r="525" spans="1:3" x14ac:dyDescent="0.25">
      <c r="A525" s="14" t="s">
        <v>4164</v>
      </c>
      <c r="B525" s="14" t="s">
        <v>19</v>
      </c>
      <c r="C525" s="14" t="s">
        <v>1713</v>
      </c>
    </row>
    <row r="526" spans="3:3" x14ac:dyDescent="0.25">
      <c r="C526" s="14" t="s">
        <v>4026</v>
      </c>
    </row>
    <row r="527" spans="1:3" x14ac:dyDescent="0.25">
      <c r="A527" s="14" t="s">
        <v>4165</v>
      </c>
      <c r="B527" s="14" t="s">
        <v>19</v>
      </c>
      <c r="C527" s="14" t="s">
        <v>1722</v>
      </c>
    </row>
    <row r="528" spans="3:3" x14ac:dyDescent="0.25">
      <c r="C528" s="14" t="s">
        <v>4027</v>
      </c>
    </row>
    <row r="529" spans="3:3" x14ac:dyDescent="0.25">
      <c r="C529" s="14" t="s">
        <v>4028</v>
      </c>
    </row>
    <row r="530" spans="1:3" x14ac:dyDescent="0.25">
      <c r="A530" s="14" t="s">
        <v>4166</v>
      </c>
      <c r="B530" s="14" t="s">
        <v>19</v>
      </c>
      <c r="C530" s="14" t="s">
        <v>1709</v>
      </c>
    </row>
    <row r="531" spans="3:3" x14ac:dyDescent="0.25">
      <c r="C531" s="14" t="s">
        <v>4025</v>
      </c>
    </row>
    <row r="532" spans="1:3" x14ac:dyDescent="0.25">
      <c r="A532" s="14" t="s">
        <v>4167</v>
      </c>
      <c r="B532" s="14" t="s">
        <v>19</v>
      </c>
      <c r="C532" s="14" t="s">
        <v>1713</v>
      </c>
    </row>
    <row r="533" spans="3:3" x14ac:dyDescent="0.25">
      <c r="C533" s="14" t="s">
        <v>4026</v>
      </c>
    </row>
    <row r="534" spans="1:3" x14ac:dyDescent="0.25">
      <c r="A534" s="14" t="s">
        <v>4168</v>
      </c>
      <c r="B534" s="14" t="s">
        <v>19</v>
      </c>
      <c r="C534" s="14" t="s">
        <v>1606</v>
      </c>
    </row>
    <row r="535" spans="3:3" x14ac:dyDescent="0.25">
      <c r="C535" s="14" t="s">
        <v>4019</v>
      </c>
    </row>
    <row r="536" spans="1:3" x14ac:dyDescent="0.25">
      <c r="A536" s="14" t="s">
        <v>4169</v>
      </c>
      <c r="B536" s="14" t="s">
        <v>19</v>
      </c>
      <c r="C536" s="14" t="s">
        <v>1613</v>
      </c>
    </row>
    <row r="537" spans="3:3" x14ac:dyDescent="0.25">
      <c r="C537" s="14" t="s">
        <v>4020</v>
      </c>
    </row>
    <row r="538" spans="3:3" x14ac:dyDescent="0.25">
      <c r="C538" s="14" t="s">
        <v>4021</v>
      </c>
    </row>
    <row r="539" spans="3:3" x14ac:dyDescent="0.25">
      <c r="C539" s="14" t="s">
        <v>4022</v>
      </c>
    </row>
    <row r="540" spans="3:3" x14ac:dyDescent="0.25">
      <c r="C540" s="14" t="s">
        <v>4023</v>
      </c>
    </row>
    <row r="541" spans="1:3" x14ac:dyDescent="0.25">
      <c r="A541" s="14" t="s">
        <v>4170</v>
      </c>
      <c r="B541" s="14" t="s">
        <v>19</v>
      </c>
      <c r="C541" s="14" t="s">
        <v>1606</v>
      </c>
    </row>
    <row r="542" spans="3:3" x14ac:dyDescent="0.25">
      <c r="C542" s="14" t="s">
        <v>4019</v>
      </c>
    </row>
    <row r="543" spans="1:3" x14ac:dyDescent="0.25">
      <c r="A543" s="14" t="s">
        <v>4171</v>
      </c>
      <c r="B543" s="14" t="s">
        <v>19</v>
      </c>
      <c r="C543" s="14" t="s">
        <v>1613</v>
      </c>
    </row>
    <row r="544" spans="3:3" x14ac:dyDescent="0.25">
      <c r="C544" s="14" t="s">
        <v>4020</v>
      </c>
    </row>
    <row r="545" spans="3:3" x14ac:dyDescent="0.25">
      <c r="C545" s="14" t="s">
        <v>4021</v>
      </c>
    </row>
    <row r="546" spans="3:3" x14ac:dyDescent="0.25">
      <c r="C546" s="14" t="s">
        <v>4022</v>
      </c>
    </row>
    <row r="547" spans="3:3" x14ac:dyDescent="0.25">
      <c r="C547" s="14" t="s">
        <v>4023</v>
      </c>
    </row>
    <row r="548" spans="1:3" x14ac:dyDescent="0.25">
      <c r="A548" s="14" t="s">
        <v>4172</v>
      </c>
      <c r="B548" s="14" t="s">
        <v>19</v>
      </c>
      <c r="C548" s="14" t="s">
        <v>1606</v>
      </c>
    </row>
    <row r="549" spans="3:3" x14ac:dyDescent="0.25">
      <c r="C549" s="14" t="s">
        <v>4019</v>
      </c>
    </row>
    <row r="550" spans="1:3" x14ac:dyDescent="0.25">
      <c r="A550" s="14" t="s">
        <v>4173</v>
      </c>
      <c r="B550" s="14" t="s">
        <v>19</v>
      </c>
      <c r="C550" s="14" t="s">
        <v>1613</v>
      </c>
    </row>
    <row r="551" spans="3:3" x14ac:dyDescent="0.25">
      <c r="C551" s="14" t="s">
        <v>4020</v>
      </c>
    </row>
    <row r="552" spans="3:3" x14ac:dyDescent="0.25">
      <c r="C552" s="14" t="s">
        <v>4021</v>
      </c>
    </row>
    <row r="553" spans="3:3" x14ac:dyDescent="0.25">
      <c r="C553" s="14" t="s">
        <v>4022</v>
      </c>
    </row>
    <row r="554" spans="3:3" x14ac:dyDescent="0.25">
      <c r="C554" s="14" t="s">
        <v>4023</v>
      </c>
    </row>
    <row r="555" spans="1:3" x14ac:dyDescent="0.25">
      <c r="A555" s="14" t="s">
        <v>4174</v>
      </c>
      <c r="B555" s="14" t="s">
        <v>19</v>
      </c>
      <c r="C555" s="14" t="s">
        <v>1606</v>
      </c>
    </row>
    <row r="556" spans="3:3" x14ac:dyDescent="0.25">
      <c r="C556" s="14" t="s">
        <v>4019</v>
      </c>
    </row>
    <row r="557" spans="1:3" x14ac:dyDescent="0.25">
      <c r="A557" s="14" t="s">
        <v>4175</v>
      </c>
      <c r="B557" s="14" t="s">
        <v>19</v>
      </c>
      <c r="C557" s="14" t="s">
        <v>1613</v>
      </c>
    </row>
    <row r="558" spans="3:3" x14ac:dyDescent="0.25">
      <c r="C558" s="14" t="s">
        <v>4020</v>
      </c>
    </row>
    <row r="559" spans="3:3" x14ac:dyDescent="0.25">
      <c r="C559" s="14" t="s">
        <v>4021</v>
      </c>
    </row>
    <row r="560" spans="3:3" x14ac:dyDescent="0.25">
      <c r="C560" s="14" t="s">
        <v>4022</v>
      </c>
    </row>
    <row r="561" spans="3:3" x14ac:dyDescent="0.25">
      <c r="C561" s="14" t="s">
        <v>4023</v>
      </c>
    </row>
    <row r="562" spans="1:3" x14ac:dyDescent="0.25">
      <c r="A562" s="14" t="s">
        <v>4176</v>
      </c>
      <c r="B562" s="14" t="s">
        <v>19</v>
      </c>
      <c r="C562" s="14" t="s">
        <v>1709</v>
      </c>
    </row>
    <row r="563" spans="3:3" x14ac:dyDescent="0.25">
      <c r="C563" s="14" t="s">
        <v>4025</v>
      </c>
    </row>
    <row r="564" spans="1:3" x14ac:dyDescent="0.25">
      <c r="A564" s="14" t="s">
        <v>4177</v>
      </c>
      <c r="B564" s="14" t="s">
        <v>19</v>
      </c>
      <c r="C564" s="14" t="s">
        <v>1713</v>
      </c>
    </row>
    <row r="565" spans="3:3" x14ac:dyDescent="0.25">
      <c r="C565" s="14" t="s">
        <v>4026</v>
      </c>
    </row>
    <row r="566" spans="1:3" x14ac:dyDescent="0.25">
      <c r="A566" s="14" t="s">
        <v>4178</v>
      </c>
      <c r="B566" s="14" t="s">
        <v>19</v>
      </c>
      <c r="C566" s="14" t="s">
        <v>1722</v>
      </c>
    </row>
    <row r="567" spans="3:3" x14ac:dyDescent="0.25">
      <c r="C567" s="14" t="s">
        <v>4027</v>
      </c>
    </row>
    <row r="568" spans="3:3" x14ac:dyDescent="0.25">
      <c r="C568" s="14" t="s">
        <v>4028</v>
      </c>
    </row>
    <row r="569" spans="1:3" x14ac:dyDescent="0.25">
      <c r="A569" s="14" t="s">
        <v>4179</v>
      </c>
      <c r="B569" s="14" t="s">
        <v>19</v>
      </c>
      <c r="C569" s="14" t="s">
        <v>1709</v>
      </c>
    </row>
    <row r="570" spans="3:3" x14ac:dyDescent="0.25">
      <c r="C570" s="14" t="s">
        <v>4025</v>
      </c>
    </row>
    <row r="571" spans="1:3" x14ac:dyDescent="0.25">
      <c r="A571" s="14" t="s">
        <v>4180</v>
      </c>
      <c r="B571" s="14" t="s">
        <v>19</v>
      </c>
      <c r="C571" s="14" t="s">
        <v>1713</v>
      </c>
    </row>
    <row r="572" spans="3:3" x14ac:dyDescent="0.25">
      <c r="C572" s="14" t="s">
        <v>4026</v>
      </c>
    </row>
    <row r="573" spans="1:3" x14ac:dyDescent="0.25">
      <c r="A573" s="14" t="s">
        <v>4181</v>
      </c>
      <c r="B573" s="14" t="s">
        <v>19</v>
      </c>
      <c r="C573" s="14" t="s">
        <v>1606</v>
      </c>
    </row>
    <row r="574" spans="3:3" x14ac:dyDescent="0.25">
      <c r="C574" s="14" t="s">
        <v>4019</v>
      </c>
    </row>
    <row r="575" spans="1:3" x14ac:dyDescent="0.25">
      <c r="A575" s="14" t="s">
        <v>4182</v>
      </c>
      <c r="B575" s="14" t="s">
        <v>19</v>
      </c>
      <c r="C575" s="14" t="s">
        <v>1613</v>
      </c>
    </row>
    <row r="576" spans="3:3" x14ac:dyDescent="0.25">
      <c r="C576" s="14" t="s">
        <v>4020</v>
      </c>
    </row>
    <row r="577" spans="3:3" x14ac:dyDescent="0.25">
      <c r="C577" s="14" t="s">
        <v>4021</v>
      </c>
    </row>
    <row r="578" spans="3:3" x14ac:dyDescent="0.25">
      <c r="C578" s="14" t="s">
        <v>4022</v>
      </c>
    </row>
    <row r="579" spans="3:3" x14ac:dyDescent="0.25">
      <c r="C579" s="14" t="s">
        <v>4023</v>
      </c>
    </row>
    <row r="580" spans="1:3" x14ac:dyDescent="0.25">
      <c r="A580" s="14" t="s">
        <v>4183</v>
      </c>
      <c r="B580" s="14" t="s">
        <v>19</v>
      </c>
      <c r="C580" s="14" t="s">
        <v>1606</v>
      </c>
    </row>
    <row r="581" spans="3:3" x14ac:dyDescent="0.25">
      <c r="C581" s="14" t="s">
        <v>4019</v>
      </c>
    </row>
    <row r="582" spans="1:3" x14ac:dyDescent="0.25">
      <c r="A582" s="14" t="s">
        <v>4184</v>
      </c>
      <c r="B582" s="14" t="s">
        <v>19</v>
      </c>
      <c r="C582" s="14" t="s">
        <v>1613</v>
      </c>
    </row>
    <row r="583" spans="3:3" x14ac:dyDescent="0.25">
      <c r="C583" s="14" t="s">
        <v>4020</v>
      </c>
    </row>
    <row r="584" spans="3:3" x14ac:dyDescent="0.25">
      <c r="C584" s="14" t="s">
        <v>4021</v>
      </c>
    </row>
    <row r="585" spans="3:3" x14ac:dyDescent="0.25">
      <c r="C585" s="14" t="s">
        <v>4022</v>
      </c>
    </row>
    <row r="586" spans="3:3" x14ac:dyDescent="0.25">
      <c r="C586" s="14" t="s">
        <v>4023</v>
      </c>
    </row>
    <row r="587" spans="1:3" x14ac:dyDescent="0.25">
      <c r="A587" s="14" t="s">
        <v>2619</v>
      </c>
      <c r="B587" s="14" t="s">
        <v>19</v>
      </c>
      <c r="C587" s="14" t="s">
        <v>1606</v>
      </c>
    </row>
    <row r="588" spans="3:3" x14ac:dyDescent="0.25">
      <c r="C588" s="14" t="s">
        <v>4019</v>
      </c>
    </row>
    <row r="589" spans="1:3" x14ac:dyDescent="0.25">
      <c r="A589" s="14" t="s">
        <v>2621</v>
      </c>
      <c r="B589" s="14" t="s">
        <v>19</v>
      </c>
      <c r="C589" s="14" t="s">
        <v>1613</v>
      </c>
    </row>
    <row r="590" spans="3:3" x14ac:dyDescent="0.25">
      <c r="C590" s="14" t="s">
        <v>4020</v>
      </c>
    </row>
    <row r="591" spans="3:3" x14ac:dyDescent="0.25">
      <c r="C591" s="14" t="s">
        <v>4021</v>
      </c>
    </row>
    <row r="592" spans="3:3" x14ac:dyDescent="0.25">
      <c r="C592" s="14" t="s">
        <v>4022</v>
      </c>
    </row>
    <row r="593" spans="3:3" x14ac:dyDescent="0.25">
      <c r="C593" s="14" t="s">
        <v>4023</v>
      </c>
    </row>
    <row r="594" spans="1:3" x14ac:dyDescent="0.25">
      <c r="A594" s="14" t="s">
        <v>4185</v>
      </c>
      <c r="B594" s="14" t="s">
        <v>19</v>
      </c>
      <c r="C594" s="14" t="s">
        <v>1635</v>
      </c>
    </row>
    <row r="595" spans="3:3" x14ac:dyDescent="0.25">
      <c r="C595" s="14" t="s">
        <v>4024</v>
      </c>
    </row>
    <row r="596" spans="1:3" x14ac:dyDescent="0.25">
      <c r="A596" s="14" t="s">
        <v>2623</v>
      </c>
      <c r="B596" s="14" t="s">
        <v>19</v>
      </c>
      <c r="C596" s="14" t="s">
        <v>1709</v>
      </c>
    </row>
    <row r="597" spans="3:3" x14ac:dyDescent="0.25">
      <c r="C597" s="14" t="s">
        <v>4025</v>
      </c>
    </row>
    <row r="598" spans="1:3" x14ac:dyDescent="0.25">
      <c r="A598" s="14" t="s">
        <v>2624</v>
      </c>
      <c r="B598" s="14" t="s">
        <v>19</v>
      </c>
      <c r="C598" s="14" t="s">
        <v>1713</v>
      </c>
    </row>
    <row r="599" spans="3:3" x14ac:dyDescent="0.25">
      <c r="C599" s="14" t="s">
        <v>4026</v>
      </c>
    </row>
    <row r="600" spans="1:3" x14ac:dyDescent="0.25">
      <c r="A600" s="14" t="s">
        <v>4186</v>
      </c>
      <c r="B600" s="14" t="s">
        <v>19</v>
      </c>
      <c r="C600" s="14" t="s">
        <v>1722</v>
      </c>
    </row>
    <row r="601" spans="3:3" x14ac:dyDescent="0.25">
      <c r="C601" s="14" t="s">
        <v>4027</v>
      </c>
    </row>
    <row r="602" spans="3:3" x14ac:dyDescent="0.25">
      <c r="C602" s="14" t="s">
        <v>4028</v>
      </c>
    </row>
    <row r="603" spans="1:3" x14ac:dyDescent="0.25">
      <c r="A603" s="14" t="s">
        <v>4187</v>
      </c>
      <c r="B603" s="14" t="s">
        <v>19</v>
      </c>
      <c r="C603" s="14" t="s">
        <v>1709</v>
      </c>
    </row>
    <row r="604" spans="3:3" x14ac:dyDescent="0.25">
      <c r="C604" s="14" t="s">
        <v>4025</v>
      </c>
    </row>
    <row r="605" spans="1:3" x14ac:dyDescent="0.25">
      <c r="A605" s="14" t="s">
        <v>4188</v>
      </c>
      <c r="B605" s="14" t="s">
        <v>19</v>
      </c>
      <c r="C605" s="14" t="s">
        <v>1713</v>
      </c>
    </row>
    <row r="606" spans="3:3" x14ac:dyDescent="0.25">
      <c r="C606" s="14" t="s">
        <v>4026</v>
      </c>
    </row>
    <row r="607" spans="1:3" x14ac:dyDescent="0.25">
      <c r="A607" s="14" t="s">
        <v>1604</v>
      </c>
      <c r="B607" s="14" t="s">
        <v>19</v>
      </c>
      <c r="C607" s="14" t="s">
        <v>1606</v>
      </c>
    </row>
    <row r="608" spans="3:3" x14ac:dyDescent="0.25">
      <c r="C608" s="14" t="s">
        <v>4019</v>
      </c>
    </row>
    <row r="609" spans="1:3" x14ac:dyDescent="0.25">
      <c r="A609" s="14" t="s">
        <v>1611</v>
      </c>
      <c r="B609" s="14" t="s">
        <v>19</v>
      </c>
      <c r="C609" s="14" t="s">
        <v>1613</v>
      </c>
    </row>
    <row r="610" spans="3:3" x14ac:dyDescent="0.25">
      <c r="C610" s="14" t="s">
        <v>4020</v>
      </c>
    </row>
    <row r="611" spans="3:3" x14ac:dyDescent="0.25">
      <c r="C611" s="14" t="s">
        <v>4021</v>
      </c>
    </row>
    <row r="612" spans="3:3" x14ac:dyDescent="0.25">
      <c r="C612" s="14" t="s">
        <v>4022</v>
      </c>
    </row>
    <row r="613" spans="3:3" x14ac:dyDescent="0.25">
      <c r="C613" s="14" t="s">
        <v>4023</v>
      </c>
    </row>
    <row r="614" spans="1:3" x14ac:dyDescent="0.25">
      <c r="A614" s="14" t="s">
        <v>1633</v>
      </c>
      <c r="B614" s="14" t="s">
        <v>19</v>
      </c>
      <c r="C614" s="14" t="s">
        <v>1635</v>
      </c>
    </row>
    <row r="615" spans="3:3" x14ac:dyDescent="0.25">
      <c r="C615" s="14" t="s">
        <v>4024</v>
      </c>
    </row>
    <row r="616" spans="1:3" x14ac:dyDescent="0.25">
      <c r="A616" s="14" t="s">
        <v>1707</v>
      </c>
      <c r="B616" s="14" t="s">
        <v>19</v>
      </c>
      <c r="C616" s="14" t="s">
        <v>1709</v>
      </c>
    </row>
    <row r="617" spans="3:3" x14ac:dyDescent="0.25">
      <c r="C617" s="14" t="s">
        <v>4025</v>
      </c>
    </row>
    <row r="618" spans="1:3" x14ac:dyDescent="0.25">
      <c r="A618" s="14" t="s">
        <v>1711</v>
      </c>
      <c r="B618" s="14" t="s">
        <v>19</v>
      </c>
      <c r="C618" s="14" t="s">
        <v>1713</v>
      </c>
    </row>
    <row r="619" spans="3:3" x14ac:dyDescent="0.25">
      <c r="C619" s="14" t="s">
        <v>4026</v>
      </c>
    </row>
    <row r="620" spans="1:3" x14ac:dyDescent="0.25">
      <c r="A620" s="14" t="s">
        <v>4189</v>
      </c>
      <c r="B620" s="14" t="s">
        <v>19</v>
      </c>
      <c r="C620" s="14" t="s">
        <v>1722</v>
      </c>
    </row>
    <row r="621" spans="3:3" x14ac:dyDescent="0.25">
      <c r="C621" s="14" t="s">
        <v>4027</v>
      </c>
    </row>
    <row r="622" spans="3:3" x14ac:dyDescent="0.25">
      <c r="C622" s="14" t="s">
        <v>4028</v>
      </c>
    </row>
    <row r="623" spans="1:3" x14ac:dyDescent="0.25">
      <c r="A623" s="14" t="s">
        <v>4190</v>
      </c>
      <c r="B623" s="14" t="s">
        <v>19</v>
      </c>
      <c r="C623" s="14" t="s">
        <v>1709</v>
      </c>
    </row>
    <row r="624" spans="3:3" x14ac:dyDescent="0.25">
      <c r="C624" s="14" t="s">
        <v>4025</v>
      </c>
    </row>
    <row r="625" spans="1:3" x14ac:dyDescent="0.25">
      <c r="A625" s="14" t="s">
        <v>4191</v>
      </c>
      <c r="B625" s="14" t="s">
        <v>19</v>
      </c>
      <c r="C625" s="14" t="s">
        <v>1713</v>
      </c>
    </row>
    <row r="626" spans="3:3" x14ac:dyDescent="0.25">
      <c r="C626" s="14" t="s">
        <v>4026</v>
      </c>
    </row>
    <row r="627" spans="1:3" x14ac:dyDescent="0.25">
      <c r="A627" s="14" t="s">
        <v>4192</v>
      </c>
      <c r="B627" s="14" t="s">
        <v>19</v>
      </c>
      <c r="C627" s="14" t="s">
        <v>1810</v>
      </c>
    </row>
    <row r="628" spans="3:3" x14ac:dyDescent="0.25">
      <c r="C628" s="14" t="s">
        <v>4029</v>
      </c>
    </row>
    <row r="629" spans="3:3" x14ac:dyDescent="0.25">
      <c r="C629" s="14" t="s">
        <v>4030</v>
      </c>
    </row>
    <row r="630" spans="1:3" x14ac:dyDescent="0.25">
      <c r="A630" s="14" t="s">
        <v>4193</v>
      </c>
      <c r="B630" s="14" t="s">
        <v>19</v>
      </c>
      <c r="C630" s="14" t="s">
        <v>1819</v>
      </c>
    </row>
    <row r="631" spans="3:3" x14ac:dyDescent="0.25">
      <c r="C631" s="14" t="s">
        <v>4031</v>
      </c>
    </row>
    <row r="632" spans="3:3" x14ac:dyDescent="0.25">
      <c r="C632" s="14" t="s">
        <v>4032</v>
      </c>
    </row>
    <row r="633" spans="1:3" x14ac:dyDescent="0.25">
      <c r="A633" s="14" t="s">
        <v>4194</v>
      </c>
      <c r="B633" s="14" t="s">
        <v>19</v>
      </c>
      <c r="C633" s="14" t="s">
        <v>960</v>
      </c>
    </row>
    <row r="634" spans="3:3" x14ac:dyDescent="0.25">
      <c r="C634" s="14" t="s">
        <v>4004</v>
      </c>
    </row>
    <row r="635" spans="3:3" x14ac:dyDescent="0.25">
      <c r="C635" s="14" t="s">
        <v>4005</v>
      </c>
    </row>
    <row r="636" spans="3:3" x14ac:dyDescent="0.25">
      <c r="C636" s="14" t="s">
        <v>4006</v>
      </c>
    </row>
    <row r="637" spans="3:3" x14ac:dyDescent="0.25">
      <c r="C637" s="14" t="s">
        <v>4007</v>
      </c>
    </row>
    <row r="638" spans="3:3" x14ac:dyDescent="0.25">
      <c r="C638" s="14" t="s">
        <v>4008</v>
      </c>
    </row>
    <row r="639" spans="3:3" x14ac:dyDescent="0.25">
      <c r="C639" s="14" t="s">
        <v>4009</v>
      </c>
    </row>
    <row r="640" spans="3:3" x14ac:dyDescent="0.25">
      <c r="C640" s="14" t="s">
        <v>4010</v>
      </c>
    </row>
    <row r="641" spans="3:3" x14ac:dyDescent="0.25">
      <c r="C641" s="14" t="s">
        <v>4011</v>
      </c>
    </row>
    <row r="642" spans="1:3" x14ac:dyDescent="0.25">
      <c r="A642" s="14" t="s">
        <v>4195</v>
      </c>
      <c r="B642" s="14" t="s">
        <v>19</v>
      </c>
      <c r="C642" s="14" t="s">
        <v>1829</v>
      </c>
    </row>
    <row r="643" spans="3:3" x14ac:dyDescent="0.25">
      <c r="C643" s="14" t="s">
        <v>4034</v>
      </c>
    </row>
    <row r="644" spans="3:3" x14ac:dyDescent="0.25">
      <c r="C644" s="14" t="s">
        <v>4035</v>
      </c>
    </row>
    <row r="645" spans="3:3" x14ac:dyDescent="0.25">
      <c r="C645" s="14" t="s">
        <v>4036</v>
      </c>
    </row>
    <row r="646" spans="1:3" x14ac:dyDescent="0.25">
      <c r="A646" s="14" t="s">
        <v>4196</v>
      </c>
      <c r="B646" s="14" t="s">
        <v>19</v>
      </c>
      <c r="C646" s="14" t="s">
        <v>1669</v>
      </c>
    </row>
    <row r="647" spans="3:3" x14ac:dyDescent="0.25">
      <c r="C647" s="14" t="s">
        <v>636</v>
      </c>
    </row>
    <row r="648" spans="3:3" x14ac:dyDescent="0.25">
      <c r="C648" s="14" t="s">
        <v>1691</v>
      </c>
    </row>
    <row r="649" spans="3:3" x14ac:dyDescent="0.25">
      <c r="C649" s="14" t="s">
        <v>1684</v>
      </c>
    </row>
    <row r="650" spans="3:3" x14ac:dyDescent="0.25">
      <c r="C650" s="14" t="s">
        <v>1646</v>
      </c>
    </row>
    <row r="651" spans="3:3" x14ac:dyDescent="0.25">
      <c r="C651" s="14" t="s">
        <v>1624</v>
      </c>
    </row>
    <row r="652" spans="3:3" x14ac:dyDescent="0.25">
      <c r="C652" s="14" t="s">
        <v>4037</v>
      </c>
    </row>
    <row r="653" spans="3:3" x14ac:dyDescent="0.25">
      <c r="C653" s="14" t="s">
        <v>4011</v>
      </c>
    </row>
    <row r="654" spans="1:3" x14ac:dyDescent="0.25">
      <c r="A654" s="14" t="s">
        <v>4197</v>
      </c>
      <c r="B654" s="14" t="s">
        <v>19</v>
      </c>
      <c r="C654" s="14" t="s">
        <v>1909</v>
      </c>
    </row>
    <row r="655" spans="3:3" x14ac:dyDescent="0.25">
      <c r="C655" s="14" t="s">
        <v>4038</v>
      </c>
    </row>
    <row r="656" spans="3:3" x14ac:dyDescent="0.25">
      <c r="C656" s="14" t="s">
        <v>4039</v>
      </c>
    </row>
    <row r="657" spans="1:3" x14ac:dyDescent="0.25">
      <c r="A657" s="14" t="s">
        <v>2633</v>
      </c>
      <c r="B657" s="14" t="s">
        <v>19</v>
      </c>
      <c r="C657" s="14" t="s">
        <v>2635</v>
      </c>
    </row>
    <row r="658" spans="3:3" x14ac:dyDescent="0.25">
      <c r="C658" s="14" t="s">
        <v>4065</v>
      </c>
    </row>
    <row r="659" spans="3:3" x14ac:dyDescent="0.25">
      <c r="C659" s="14" t="s">
        <v>4066</v>
      </c>
    </row>
    <row r="660" spans="1:3" x14ac:dyDescent="0.25">
      <c r="A660" s="14" t="s">
        <v>2643</v>
      </c>
      <c r="B660" s="14" t="s">
        <v>19</v>
      </c>
      <c r="C660" s="14" t="s">
        <v>1810</v>
      </c>
    </row>
    <row r="661" spans="3:3" x14ac:dyDescent="0.25">
      <c r="C661" s="14" t="s">
        <v>4029</v>
      </c>
    </row>
    <row r="662" spans="3:3" x14ac:dyDescent="0.25">
      <c r="C662" s="14" t="s">
        <v>4030</v>
      </c>
    </row>
    <row r="663" spans="1:3" x14ac:dyDescent="0.25">
      <c r="A663" s="14" t="s">
        <v>2661</v>
      </c>
      <c r="B663" s="14" t="s">
        <v>19</v>
      </c>
      <c r="C663" s="14" t="s">
        <v>2663</v>
      </c>
    </row>
    <row r="664" spans="3:3" x14ac:dyDescent="0.25">
      <c r="C664" s="14" t="s">
        <v>4067</v>
      </c>
    </row>
    <row r="665" spans="1:3" x14ac:dyDescent="0.25">
      <c r="A665" s="14" t="s">
        <v>2665</v>
      </c>
      <c r="B665" s="14" t="s">
        <v>19</v>
      </c>
      <c r="C665" s="14" t="s">
        <v>1929</v>
      </c>
    </row>
    <row r="666" spans="3:3" x14ac:dyDescent="0.25">
      <c r="C666" s="14" t="s">
        <v>4040</v>
      </c>
    </row>
    <row r="667" spans="3:3" x14ac:dyDescent="0.25">
      <c r="C667" s="14" t="s">
        <v>4041</v>
      </c>
    </row>
    <row r="668" spans="3:3" x14ac:dyDescent="0.25">
      <c r="C668" s="14" t="s">
        <v>4068</v>
      </c>
    </row>
    <row r="669" spans="3:3" x14ac:dyDescent="0.25">
      <c r="C669" s="14" t="s">
        <v>4069</v>
      </c>
    </row>
    <row r="670" spans="3:3" x14ac:dyDescent="0.25">
      <c r="C670" s="14" t="s">
        <v>4070</v>
      </c>
    </row>
    <row r="671" spans="3:3" x14ac:dyDescent="0.25">
      <c r="C671" s="14" t="s">
        <v>4071</v>
      </c>
    </row>
    <row r="672" spans="1:3" x14ac:dyDescent="0.25">
      <c r="A672" s="14" t="s">
        <v>2667</v>
      </c>
      <c r="B672" s="14" t="s">
        <v>19</v>
      </c>
      <c r="C672" s="14" t="s">
        <v>2669</v>
      </c>
    </row>
    <row r="673" spans="3:3" x14ac:dyDescent="0.25">
      <c r="C673" s="14" t="s">
        <v>4072</v>
      </c>
    </row>
    <row r="674" spans="3:3" x14ac:dyDescent="0.25">
      <c r="C674" s="14" t="s">
        <v>4073</v>
      </c>
    </row>
    <row r="675" spans="3:3" x14ac:dyDescent="0.25">
      <c r="C675" s="14" t="s">
        <v>4074</v>
      </c>
    </row>
    <row r="676" spans="3:3" x14ac:dyDescent="0.25">
      <c r="C676" s="14" t="s">
        <v>4075</v>
      </c>
    </row>
    <row r="677" spans="1:3" x14ac:dyDescent="0.25">
      <c r="A677" s="14" t="s">
        <v>2677</v>
      </c>
      <c r="B677" s="14" t="s">
        <v>19</v>
      </c>
      <c r="C677" s="14" t="s">
        <v>2679</v>
      </c>
    </row>
    <row r="678" spans="3:3" x14ac:dyDescent="0.25">
      <c r="C678" s="14" t="s">
        <v>4076</v>
      </c>
    </row>
    <row r="679" spans="3:3" x14ac:dyDescent="0.25">
      <c r="C679" s="14" t="s">
        <v>4077</v>
      </c>
    </row>
    <row r="680" spans="1:3" x14ac:dyDescent="0.25">
      <c r="A680" s="14" t="s">
        <v>2699</v>
      </c>
      <c r="B680" s="14" t="s">
        <v>19</v>
      </c>
      <c r="C680" s="14" t="s">
        <v>2669</v>
      </c>
    </row>
    <row r="681" spans="3:3" x14ac:dyDescent="0.25">
      <c r="C681" s="14" t="s">
        <v>4072</v>
      </c>
    </row>
    <row r="682" spans="3:3" x14ac:dyDescent="0.25">
      <c r="C682" s="14" t="s">
        <v>4073</v>
      </c>
    </row>
    <row r="683" spans="3:3" x14ac:dyDescent="0.25">
      <c r="C683" s="14" t="s">
        <v>4074</v>
      </c>
    </row>
    <row r="684" spans="3:3" x14ac:dyDescent="0.25">
      <c r="C684" s="14" t="s">
        <v>4075</v>
      </c>
    </row>
    <row r="685" spans="1:3" x14ac:dyDescent="0.25">
      <c r="A685" s="14" t="s">
        <v>2705</v>
      </c>
      <c r="B685" s="14" t="s">
        <v>19</v>
      </c>
      <c r="C685" s="14" t="s">
        <v>2707</v>
      </c>
    </row>
    <row r="686" spans="3:3" x14ac:dyDescent="0.25">
      <c r="C686" s="14" t="s">
        <v>4078</v>
      </c>
    </row>
    <row r="687" spans="1:3" x14ac:dyDescent="0.25">
      <c r="A687" s="14" t="s">
        <v>2709</v>
      </c>
      <c r="B687" s="14" t="s">
        <v>19</v>
      </c>
      <c r="C687" s="14" t="s">
        <v>2711</v>
      </c>
    </row>
    <row r="688" spans="3:3" x14ac:dyDescent="0.25">
      <c r="C688" s="14" t="s">
        <v>4079</v>
      </c>
    </row>
    <row r="689" spans="3:3" x14ac:dyDescent="0.25">
      <c r="C689" s="14" t="s">
        <v>4080</v>
      </c>
    </row>
    <row r="690" spans="1:3" x14ac:dyDescent="0.25">
      <c r="A690" s="14" t="s">
        <v>4198</v>
      </c>
      <c r="B690" s="14" t="s">
        <v>19</v>
      </c>
      <c r="C690" s="14" t="s">
        <v>1929</v>
      </c>
    </row>
    <row r="691" spans="3:3" x14ac:dyDescent="0.25">
      <c r="C691" s="14" t="s">
        <v>4040</v>
      </c>
    </row>
    <row r="692" spans="3:3" x14ac:dyDescent="0.25">
      <c r="C692" s="14" t="s">
        <v>4041</v>
      </c>
    </row>
    <row r="693" spans="1:3" x14ac:dyDescent="0.25">
      <c r="A693" s="14" t="s">
        <v>4199</v>
      </c>
      <c r="B693" s="14" t="s">
        <v>19</v>
      </c>
      <c r="C693" s="14" t="s">
        <v>1932</v>
      </c>
    </row>
    <row r="694" spans="3:3" x14ac:dyDescent="0.25">
      <c r="C694" s="14" t="s">
        <v>4042</v>
      </c>
    </row>
    <row r="695" spans="3:3" x14ac:dyDescent="0.25">
      <c r="C695" s="14" t="s">
        <v>4043</v>
      </c>
    </row>
    <row r="696" spans="1:3" x14ac:dyDescent="0.25">
      <c r="A696" s="14" t="s">
        <v>4200</v>
      </c>
      <c r="B696" s="14" t="s">
        <v>19</v>
      </c>
      <c r="C696" s="14" t="s">
        <v>1940</v>
      </c>
    </row>
    <row r="697" spans="3:3" x14ac:dyDescent="0.25">
      <c r="C697" s="14" t="s">
        <v>4044</v>
      </c>
    </row>
    <row r="698" spans="1:3" x14ac:dyDescent="0.25">
      <c r="A698" s="14" t="s">
        <v>4201</v>
      </c>
      <c r="B698" s="14" t="s">
        <v>19</v>
      </c>
      <c r="C698" s="14" t="s">
        <v>1952</v>
      </c>
    </row>
    <row r="699" spans="3:3" x14ac:dyDescent="0.25">
      <c r="C699" s="14" t="s">
        <v>4045</v>
      </c>
    </row>
    <row r="700" spans="1:3" x14ac:dyDescent="0.25">
      <c r="A700" s="14" t="s">
        <v>4202</v>
      </c>
      <c r="B700" s="14" t="s">
        <v>19</v>
      </c>
      <c r="C700" s="14" t="s">
        <v>960</v>
      </c>
    </row>
    <row r="701" spans="3:3" x14ac:dyDescent="0.25">
      <c r="C701" s="14" t="s">
        <v>4004</v>
      </c>
    </row>
    <row r="702" spans="3:3" x14ac:dyDescent="0.25">
      <c r="C702" s="14" t="s">
        <v>4005</v>
      </c>
    </row>
    <row r="703" spans="3:3" x14ac:dyDescent="0.25">
      <c r="C703" s="14" t="s">
        <v>4006</v>
      </c>
    </row>
    <row r="704" spans="3:3" x14ac:dyDescent="0.25">
      <c r="C704" s="14" t="s">
        <v>4007</v>
      </c>
    </row>
    <row r="705" spans="3:3" x14ac:dyDescent="0.25">
      <c r="C705" s="14" t="s">
        <v>4008</v>
      </c>
    </row>
    <row r="706" spans="3:3" x14ac:dyDescent="0.25">
      <c r="C706" s="14" t="s">
        <v>4009</v>
      </c>
    </row>
    <row r="707" spans="3:3" x14ac:dyDescent="0.25">
      <c r="C707" s="14" t="s">
        <v>4010</v>
      </c>
    </row>
    <row r="708" spans="3:3" x14ac:dyDescent="0.25">
      <c r="C708" s="14" t="s">
        <v>4011</v>
      </c>
    </row>
    <row r="709" spans="1:3" x14ac:dyDescent="0.25">
      <c r="A709" s="14" t="s">
        <v>2723</v>
      </c>
      <c r="B709" s="14" t="s">
        <v>19</v>
      </c>
      <c r="C709" s="14" t="s">
        <v>2725</v>
      </c>
    </row>
    <row r="710" spans="3:3" x14ac:dyDescent="0.25">
      <c r="C710" s="14" t="s">
        <v>4085</v>
      </c>
    </row>
    <row r="711" spans="1:3" x14ac:dyDescent="0.25">
      <c r="A711" s="14" t="s">
        <v>2735</v>
      </c>
      <c r="B711" s="14" t="s">
        <v>19</v>
      </c>
      <c r="C711" s="14" t="s">
        <v>2737</v>
      </c>
    </row>
    <row r="712" spans="3:3" x14ac:dyDescent="0.25">
      <c r="C712" s="14" t="s">
        <v>4086</v>
      </c>
    </row>
    <row r="713" spans="3:3" x14ac:dyDescent="0.25">
      <c r="C713" s="14" t="s">
        <v>4087</v>
      </c>
    </row>
    <row r="714" spans="1:3" x14ac:dyDescent="0.25">
      <c r="A714" s="14" t="s">
        <v>2739</v>
      </c>
      <c r="B714" s="14" t="s">
        <v>19</v>
      </c>
      <c r="C714" s="14" t="s">
        <v>2741</v>
      </c>
    </row>
    <row r="715" spans="3:3" x14ac:dyDescent="0.25">
      <c r="C715" s="14" t="s">
        <v>4088</v>
      </c>
    </row>
    <row r="716" spans="3:3" x14ac:dyDescent="0.25">
      <c r="C716" s="14" t="s">
        <v>4089</v>
      </c>
    </row>
    <row r="717" spans="3:3" x14ac:dyDescent="0.25">
      <c r="C717" s="14" t="s">
        <v>4090</v>
      </c>
    </row>
    <row r="718" spans="1:3" x14ac:dyDescent="0.25">
      <c r="A718" s="14" t="s">
        <v>2761</v>
      </c>
      <c r="B718" s="14" t="s">
        <v>19</v>
      </c>
      <c r="C718" s="14" t="s">
        <v>2763</v>
      </c>
    </row>
    <row r="719" spans="3:3" x14ac:dyDescent="0.25">
      <c r="C719" s="14" t="s">
        <v>4091</v>
      </c>
    </row>
    <row r="720" spans="3:3" x14ac:dyDescent="0.25">
      <c r="C720" s="14" t="s">
        <v>4092</v>
      </c>
    </row>
    <row r="721" spans="1:3" x14ac:dyDescent="0.25">
      <c r="A721" s="14" t="s">
        <v>4203</v>
      </c>
      <c r="B721" s="14" t="s">
        <v>19</v>
      </c>
      <c r="C721" s="14" t="s">
        <v>1996</v>
      </c>
    </row>
    <row r="722" spans="3:3" x14ac:dyDescent="0.25">
      <c r="C722" s="14" t="s">
        <v>4046</v>
      </c>
    </row>
    <row r="723" spans="1:3" x14ac:dyDescent="0.25">
      <c r="A723" s="14" t="s">
        <v>1808</v>
      </c>
      <c r="B723" s="14" t="s">
        <v>19</v>
      </c>
      <c r="C723" s="14" t="s">
        <v>1810</v>
      </c>
    </row>
    <row r="724" spans="3:3" x14ac:dyDescent="0.25">
      <c r="C724" s="14" t="s">
        <v>4029</v>
      </c>
    </row>
    <row r="725" spans="3:3" x14ac:dyDescent="0.25">
      <c r="C725" s="14" t="s">
        <v>4030</v>
      </c>
    </row>
    <row r="726" spans="1:3" x14ac:dyDescent="0.25">
      <c r="A726" s="14" t="s">
        <v>1817</v>
      </c>
      <c r="B726" s="14" t="s">
        <v>19</v>
      </c>
      <c r="C726" s="14" t="s">
        <v>1819</v>
      </c>
    </row>
    <row r="727" spans="3:3" x14ac:dyDescent="0.25">
      <c r="C727" s="14" t="s">
        <v>4031</v>
      </c>
    </row>
    <row r="728" spans="3:3" x14ac:dyDescent="0.25">
      <c r="C728" s="14" t="s">
        <v>4032</v>
      </c>
    </row>
    <row r="729" spans="1:3" x14ac:dyDescent="0.25">
      <c r="A729" s="14" t="s">
        <v>4204</v>
      </c>
      <c r="B729" s="14" t="s">
        <v>19</v>
      </c>
      <c r="C729" s="14" t="s">
        <v>960</v>
      </c>
    </row>
    <row r="730" spans="3:3" x14ac:dyDescent="0.25">
      <c r="C730" s="14" t="s">
        <v>4004</v>
      </c>
    </row>
    <row r="731" spans="3:3" x14ac:dyDescent="0.25">
      <c r="C731" s="14" t="s">
        <v>4005</v>
      </c>
    </row>
    <row r="732" spans="3:3" x14ac:dyDescent="0.25">
      <c r="C732" s="14" t="s">
        <v>4006</v>
      </c>
    </row>
    <row r="733" spans="3:3" x14ac:dyDescent="0.25">
      <c r="C733" s="14" t="s">
        <v>4007</v>
      </c>
    </row>
    <row r="734" spans="3:3" x14ac:dyDescent="0.25">
      <c r="C734" s="14" t="s">
        <v>4008</v>
      </c>
    </row>
    <row r="735" spans="3:3" x14ac:dyDescent="0.25">
      <c r="C735" s="14" t="s">
        <v>4009</v>
      </c>
    </row>
    <row r="736" spans="3:3" x14ac:dyDescent="0.25">
      <c r="C736" s="14" t="s">
        <v>4010</v>
      </c>
    </row>
    <row r="737" spans="3:3" x14ac:dyDescent="0.25">
      <c r="C737" s="14" t="s">
        <v>4011</v>
      </c>
    </row>
    <row r="738" spans="1:3" x14ac:dyDescent="0.25">
      <c r="A738" s="14" t="s">
        <v>1827</v>
      </c>
      <c r="B738" s="14" t="s">
        <v>19</v>
      </c>
      <c r="C738" s="14" t="s">
        <v>1829</v>
      </c>
    </row>
    <row r="739" spans="3:3" x14ac:dyDescent="0.25">
      <c r="C739" s="14" t="s">
        <v>4034</v>
      </c>
    </row>
    <row r="740" spans="3:3" x14ac:dyDescent="0.25">
      <c r="C740" s="14" t="s">
        <v>4035</v>
      </c>
    </row>
    <row r="741" spans="3:3" x14ac:dyDescent="0.25">
      <c r="C741" s="14" t="s">
        <v>4036</v>
      </c>
    </row>
    <row r="742" spans="1:3" x14ac:dyDescent="0.25">
      <c r="A742" s="14" t="s">
        <v>1892</v>
      </c>
      <c r="B742" s="14" t="s">
        <v>19</v>
      </c>
      <c r="C742" s="14" t="s">
        <v>1669</v>
      </c>
    </row>
    <row r="743" spans="3:3" x14ac:dyDescent="0.25">
      <c r="C743" s="14" t="s">
        <v>636</v>
      </c>
    </row>
    <row r="744" spans="3:3" x14ac:dyDescent="0.25">
      <c r="C744" s="14" t="s">
        <v>1691</v>
      </c>
    </row>
    <row r="745" spans="3:3" x14ac:dyDescent="0.25">
      <c r="C745" s="14" t="s">
        <v>1684</v>
      </c>
    </row>
    <row r="746" spans="3:3" x14ac:dyDescent="0.25">
      <c r="C746" s="14" t="s">
        <v>1646</v>
      </c>
    </row>
    <row r="747" spans="3:3" x14ac:dyDescent="0.25">
      <c r="C747" s="14" t="s">
        <v>1624</v>
      </c>
    </row>
    <row r="748" spans="3:3" x14ac:dyDescent="0.25">
      <c r="C748" s="14" t="s">
        <v>4037</v>
      </c>
    </row>
    <row r="749" spans="3:3" x14ac:dyDescent="0.25">
      <c r="C749" s="14" t="s">
        <v>4011</v>
      </c>
    </row>
    <row r="750" spans="1:3" x14ac:dyDescent="0.25">
      <c r="A750" s="14" t="s">
        <v>1907</v>
      </c>
      <c r="B750" s="14" t="s">
        <v>19</v>
      </c>
      <c r="C750" s="14" t="s">
        <v>1909</v>
      </c>
    </row>
    <row r="751" spans="3:3" x14ac:dyDescent="0.25">
      <c r="C751" s="14" t="s">
        <v>4038</v>
      </c>
    </row>
    <row r="752" spans="3:3" x14ac:dyDescent="0.25">
      <c r="C752" s="14" t="s">
        <v>4039</v>
      </c>
    </row>
    <row r="753" spans="1:3" x14ac:dyDescent="0.25">
      <c r="A753" s="14" t="s">
        <v>1927</v>
      </c>
      <c r="B753" s="14" t="s">
        <v>19</v>
      </c>
      <c r="C753" s="14" t="s">
        <v>1929</v>
      </c>
    </row>
    <row r="754" spans="3:3" x14ac:dyDescent="0.25">
      <c r="C754" s="14" t="s">
        <v>4040</v>
      </c>
    </row>
    <row r="755" spans="3:3" x14ac:dyDescent="0.25">
      <c r="C755" s="14" t="s">
        <v>4041</v>
      </c>
    </row>
    <row r="756" spans="1:3" x14ac:dyDescent="0.25">
      <c r="A756" s="14" t="s">
        <v>1930</v>
      </c>
      <c r="B756" s="14" t="s">
        <v>19</v>
      </c>
      <c r="C756" s="14" t="s">
        <v>1932</v>
      </c>
    </row>
    <row r="757" spans="3:3" x14ac:dyDescent="0.25">
      <c r="C757" s="14" t="s">
        <v>4042</v>
      </c>
    </row>
    <row r="758" spans="3:3" x14ac:dyDescent="0.25">
      <c r="C758" s="14" t="s">
        <v>4043</v>
      </c>
    </row>
    <row r="759" spans="1:3" x14ac:dyDescent="0.25">
      <c r="A759" s="14" t="s">
        <v>1938</v>
      </c>
      <c r="B759" s="14" t="s">
        <v>19</v>
      </c>
      <c r="C759" s="14" t="s">
        <v>1940</v>
      </c>
    </row>
    <row r="760" spans="3:3" x14ac:dyDescent="0.25">
      <c r="C760" s="14" t="s">
        <v>4044</v>
      </c>
    </row>
    <row r="761" spans="1:3" x14ac:dyDescent="0.25">
      <c r="A761" s="14" t="s">
        <v>1950</v>
      </c>
      <c r="B761" s="14" t="s">
        <v>19</v>
      </c>
      <c r="C761" s="14" t="s">
        <v>1952</v>
      </c>
    </row>
    <row r="762" spans="3:3" x14ac:dyDescent="0.25">
      <c r="C762" s="14" t="s">
        <v>4045</v>
      </c>
    </row>
    <row r="763" spans="1:3" x14ac:dyDescent="0.25">
      <c r="A763" s="14" t="s">
        <v>4205</v>
      </c>
      <c r="B763" s="14" t="s">
        <v>19</v>
      </c>
      <c r="C763" s="14" t="s">
        <v>1996</v>
      </c>
    </row>
    <row r="764" spans="3:3" x14ac:dyDescent="0.25">
      <c r="C764" s="14" t="s">
        <v>4046</v>
      </c>
    </row>
    <row r="765" spans="1:3" x14ac:dyDescent="0.25">
      <c r="A765" s="14" t="s">
        <v>3548</v>
      </c>
      <c r="B765" s="14" t="s">
        <v>19</v>
      </c>
      <c r="C765" s="14" t="s">
        <v>3549</v>
      </c>
    </row>
    <row r="766" spans="3:3" x14ac:dyDescent="0.25">
      <c r="C766" s="14" t="s">
        <v>4206</v>
      </c>
    </row>
    <row r="767" spans="1:3" x14ac:dyDescent="0.25">
      <c r="A767" s="14" t="s">
        <v>3572</v>
      </c>
      <c r="B767" s="14" t="s">
        <v>19</v>
      </c>
      <c r="C767" s="14" t="s">
        <v>3573</v>
      </c>
    </row>
    <row r="768" spans="3:3" x14ac:dyDescent="0.25">
      <c r="C768" s="14" t="s">
        <v>286</v>
      </c>
    </row>
    <row r="769" spans="1:3" x14ac:dyDescent="0.25">
      <c r="A769" s="14" t="s">
        <v>3574</v>
      </c>
      <c r="B769" s="14" t="s">
        <v>19</v>
      </c>
      <c r="C769" s="14" t="s">
        <v>2252</v>
      </c>
    </row>
    <row r="770" spans="3:3" x14ac:dyDescent="0.25">
      <c r="C770" s="14" t="s">
        <v>1035</v>
      </c>
    </row>
    <row r="771" spans="1:3" x14ac:dyDescent="0.25">
      <c r="A771" s="14" t="s">
        <v>731</v>
      </c>
      <c r="B771" s="14" t="s">
        <v>19</v>
      </c>
      <c r="C771" s="14" t="s">
        <v>3575</v>
      </c>
    </row>
    <row r="772" spans="1:3" x14ac:dyDescent="0.25">
      <c r="A772" s="14" t="s">
        <v>3547</v>
      </c>
      <c r="B772" s="14" t="s">
        <v>19</v>
      </c>
      <c r="C772" s="14" t="s">
        <v>3549</v>
      </c>
    </row>
    <row r="773" spans="3:3" x14ac:dyDescent="0.25">
      <c r="C773" s="14" t="s">
        <v>4206</v>
      </c>
    </row>
    <row r="774" spans="1:3" x14ac:dyDescent="0.25">
      <c r="A774" s="14" t="s">
        <v>1427</v>
      </c>
      <c r="B774" s="14" t="s">
        <v>19</v>
      </c>
      <c r="C774" s="14" t="s">
        <v>1429</v>
      </c>
    </row>
    <row r="775" spans="3:3" x14ac:dyDescent="0.25">
      <c r="C775" s="14" t="s">
        <v>4012</v>
      </c>
    </row>
    <row r="776" spans="3:3" x14ac:dyDescent="0.25">
      <c r="C776" s="14" t="s">
        <v>4013</v>
      </c>
    </row>
    <row r="777" spans="3:3" x14ac:dyDescent="0.25">
      <c r="C777" s="14" t="s">
        <v>4014</v>
      </c>
    </row>
    <row r="778" spans="3:3" x14ac:dyDescent="0.25">
      <c r="C778" s="14" t="s">
        <v>4015</v>
      </c>
    </row>
    <row r="779" spans="3:3" x14ac:dyDescent="0.25">
      <c r="C779" s="14" t="s">
        <v>4016</v>
      </c>
    </row>
    <row r="780" spans="3:3" x14ac:dyDescent="0.25">
      <c r="C780" s="14" t="s">
        <v>4017</v>
      </c>
    </row>
    <row r="781" spans="3:3" x14ac:dyDescent="0.25">
      <c r="C781" s="14" t="s">
        <v>4018</v>
      </c>
    </row>
    <row r="782" spans="1:3" x14ac:dyDescent="0.25">
      <c r="A782" s="14" t="s">
        <v>346</v>
      </c>
      <c r="B782" s="14" t="s">
        <v>19</v>
      </c>
      <c r="C782" s="14" t="s">
        <v>348</v>
      </c>
    </row>
    <row r="783" spans="3:3" x14ac:dyDescent="0.25">
      <c r="C783" s="14" t="s">
        <v>3993</v>
      </c>
    </row>
    <row r="784" spans="1:3" x14ac:dyDescent="0.25">
      <c r="A784" s="14" t="s">
        <v>4207</v>
      </c>
      <c r="B784" s="14" t="s">
        <v>19</v>
      </c>
      <c r="C784" s="14" t="s">
        <v>479</v>
      </c>
    </row>
    <row r="785" spans="3:3" x14ac:dyDescent="0.25">
      <c r="C785" s="14" t="s">
        <v>3994</v>
      </c>
    </row>
    <row r="786" spans="3:3" x14ac:dyDescent="0.25">
      <c r="C786" s="14" t="s">
        <v>3995</v>
      </c>
    </row>
    <row r="787" spans="1:3" x14ac:dyDescent="0.25">
      <c r="A787" s="14" t="s">
        <v>4208</v>
      </c>
      <c r="B787" s="14" t="s">
        <v>19</v>
      </c>
      <c r="C787" s="14" t="s">
        <v>479</v>
      </c>
    </row>
    <row r="788" spans="3:3" x14ac:dyDescent="0.25">
      <c r="C788" s="14" t="s">
        <v>3994</v>
      </c>
    </row>
    <row r="789" spans="3:3" x14ac:dyDescent="0.25">
      <c r="C789" s="14" t="s">
        <v>3995</v>
      </c>
    </row>
    <row r="790" spans="1:3" x14ac:dyDescent="0.25">
      <c r="A790" s="14" t="s">
        <v>811</v>
      </c>
      <c r="B790" s="14" t="s">
        <v>19</v>
      </c>
      <c r="C790" s="14" t="s">
        <v>479</v>
      </c>
    </row>
    <row r="791" spans="3:3" x14ac:dyDescent="0.25">
      <c r="C791" s="14" t="s">
        <v>3994</v>
      </c>
    </row>
    <row r="792" spans="3:3" x14ac:dyDescent="0.25">
      <c r="C792" s="14" t="s">
        <v>3995</v>
      </c>
    </row>
    <row r="793" spans="1:3" x14ac:dyDescent="0.25">
      <c r="A793" s="14" t="s">
        <v>4209</v>
      </c>
      <c r="B793" s="14" t="s">
        <v>19</v>
      </c>
      <c r="C793" s="14" t="s">
        <v>479</v>
      </c>
    </row>
    <row r="794" spans="3:3" x14ac:dyDescent="0.25">
      <c r="C794" s="14" t="s">
        <v>3994</v>
      </c>
    </row>
    <row r="795" spans="3:3" x14ac:dyDescent="0.25">
      <c r="C795" s="14" t="s">
        <v>3995</v>
      </c>
    </row>
    <row r="796" spans="1:3" x14ac:dyDescent="0.25">
      <c r="A796" s="14" t="s">
        <v>4210</v>
      </c>
      <c r="B796" s="14" t="s">
        <v>19</v>
      </c>
      <c r="C796" s="14" t="s">
        <v>479</v>
      </c>
    </row>
    <row r="797" spans="3:3" x14ac:dyDescent="0.25">
      <c r="C797" s="14" t="s">
        <v>3994</v>
      </c>
    </row>
    <row r="798" spans="3:3" x14ac:dyDescent="0.25">
      <c r="C798" s="14" t="s">
        <v>3995</v>
      </c>
    </row>
    <row r="799" spans="1:3" x14ac:dyDescent="0.25">
      <c r="A799" s="14" t="s">
        <v>477</v>
      </c>
      <c r="B799" s="14" t="s">
        <v>19</v>
      </c>
      <c r="C799" s="14" t="s">
        <v>479</v>
      </c>
    </row>
    <row r="800" spans="3:3" x14ac:dyDescent="0.25">
      <c r="C800" s="14" t="s">
        <v>3994</v>
      </c>
    </row>
    <row r="801" spans="3:3" x14ac:dyDescent="0.25">
      <c r="C801" s="14" t="s">
        <v>3995</v>
      </c>
    </row>
    <row r="802" spans="1:3" x14ac:dyDescent="0.25">
      <c r="A802" s="14" t="s">
        <v>958</v>
      </c>
      <c r="B802" s="14" t="s">
        <v>19</v>
      </c>
      <c r="C802" s="14" t="s">
        <v>960</v>
      </c>
    </row>
    <row r="803" spans="3:3" x14ac:dyDescent="0.25">
      <c r="C803" s="14" t="s">
        <v>4004</v>
      </c>
    </row>
    <row r="804" spans="3:3" x14ac:dyDescent="0.25">
      <c r="C804" s="14" t="s">
        <v>4005</v>
      </c>
    </row>
    <row r="805" spans="3:3" x14ac:dyDescent="0.25">
      <c r="C805" s="14" t="s">
        <v>4006</v>
      </c>
    </row>
    <row r="806" spans="3:3" x14ac:dyDescent="0.25">
      <c r="C806" s="14" t="s">
        <v>4007</v>
      </c>
    </row>
    <row r="807" spans="3:3" x14ac:dyDescent="0.25">
      <c r="C807" s="14" t="s">
        <v>4008</v>
      </c>
    </row>
    <row r="808" spans="3:3" x14ac:dyDescent="0.25">
      <c r="C808" s="14" t="s">
        <v>4009</v>
      </c>
    </row>
    <row r="809" spans="3:3" x14ac:dyDescent="0.25">
      <c r="C809" s="14" t="s">
        <v>4010</v>
      </c>
    </row>
    <row r="810" spans="3:3" x14ac:dyDescent="0.25">
      <c r="C810" s="14" t="s">
        <v>4011</v>
      </c>
    </row>
    <row r="811" spans="1:3" x14ac:dyDescent="0.25">
      <c r="A811" s="14" t="s">
        <v>1994</v>
      </c>
      <c r="B811" s="14" t="s">
        <v>19</v>
      </c>
      <c r="C811" s="14" t="s">
        <v>1996</v>
      </c>
    </row>
    <row r="812" spans="3:3" x14ac:dyDescent="0.25">
      <c r="C812" s="14" t="s">
        <v>4046</v>
      </c>
    </row>
    <row r="813" spans="1:3" x14ac:dyDescent="0.25">
      <c r="A813" s="14" t="s">
        <v>1720</v>
      </c>
      <c r="B813" s="14" t="s">
        <v>19</v>
      </c>
      <c r="C813" s="14" t="s">
        <v>1722</v>
      </c>
    </row>
    <row r="814" spans="3:3" x14ac:dyDescent="0.25">
      <c r="C814" s="14" t="s">
        <v>4027</v>
      </c>
    </row>
    <row r="815" spans="3:3" x14ac:dyDescent="0.25">
      <c r="C815" s="14" t="s">
        <v>4028</v>
      </c>
    </row>
    <row r="816" spans="1:3" x14ac:dyDescent="0.25">
      <c r="A816" s="14" t="s">
        <v>1726</v>
      </c>
      <c r="B816" s="14" t="s">
        <v>19</v>
      </c>
      <c r="C816" s="14" t="s">
        <v>1709</v>
      </c>
    </row>
    <row r="817" spans="3:3" x14ac:dyDescent="0.25">
      <c r="C817" s="14" t="s">
        <v>4025</v>
      </c>
    </row>
    <row r="818" spans="1:3" x14ac:dyDescent="0.25">
      <c r="A818" s="14" t="s">
        <v>1728</v>
      </c>
      <c r="B818" s="14" t="s">
        <v>19</v>
      </c>
      <c r="C818" s="14" t="s">
        <v>1713</v>
      </c>
    </row>
    <row r="819" spans="3:3" x14ac:dyDescent="0.25">
      <c r="C819" s="14" t="s">
        <v>4026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412</vt:i4>
      </vt:variant>
    </vt:vector>
  </HeadingPairs>
  <TitlesOfParts>
    <vt:vector size="412" baseType="lpstr">
      <vt:lpstr>MR 2.2.1 Stakeholder Consultat</vt:lpstr>
      <vt:lpstr>MR 1.9 Double Counting and Par</vt:lpstr>
      <vt:lpstr>1.10 Project Scale (VCS PD 1.1</vt:lpstr>
      <vt:lpstr>5.2 Monitoring Plan (VCS PD 5.</vt:lpstr>
      <vt:lpstr>5. Monitoring</vt:lpstr>
      <vt:lpstr>2. Stakeholder Engagement and</vt:lpstr>
      <vt:lpstr>MR 3.3.2 New Project Activity</vt:lpstr>
      <vt:lpstr>MR 3.3.1 Grouped Project Desig</vt:lpstr>
      <vt:lpstr>1.2 Audit History (VCS PD 1.2)</vt:lpstr>
      <vt:lpstr>MR 5.3 Leakage Emissions (VCS</vt:lpstr>
      <vt:lpstr>VVB Verification Report</vt:lpstr>
      <vt:lpstr>MR 1.7 Project Crediting Perio</vt:lpstr>
      <vt:lpstr>3.2 Applicability and Eligibil</vt:lpstr>
      <vt:lpstr>1.3 Sectoral Scope and Project</vt:lpstr>
      <vt:lpstr>5.2.2 Procedures for Calibrati</vt:lpstr>
      <vt:lpstr>Other GHG Program Row (VCS PD</vt:lpstr>
      <vt:lpstr>MR 2.1 Stakeholder Identificat</vt:lpstr>
      <vt:lpstr>VCS Monitoring Report</vt:lpstr>
      <vt:lpstr>REDD+ Double Counting Assessme</vt:lpstr>
      <vt:lpstr>4.5 Estimated GHG Emission Red</vt:lpstr>
      <vt:lpstr>MR 4.2.6 Sampling Approaches (</vt:lpstr>
      <vt:lpstr>3.5.1 Regulatory Surplus (VCS</vt:lpstr>
      <vt:lpstr>5.1 Data and Parameters (VCS P</vt:lpstr>
      <vt:lpstr>MR 3.2.2 Loss Events (VCS MR 3</vt:lpstr>
      <vt:lpstr>ESG Risk Assessment (VCS PD 2.</vt:lpstr>
      <vt:lpstr>1.13 Description of the Projec</vt:lpstr>
      <vt:lpstr>PP Profile</vt:lpstr>
      <vt:lpstr>SDW Public Distribution Networ</vt:lpstr>
      <vt:lpstr>5.2.6 Sampling Approaches (VCS</vt:lpstr>
      <vt:lpstr>2.3 Stakeholder Input Tracker</vt:lpstr>
      <vt:lpstr>MR 1.11 Sustainable Developmen</vt:lpstr>
      <vt:lpstr>MR 3.1 Methodology Details (VC</vt:lpstr>
      <vt:lpstr>MR 5.1 Baseline Emissions (VCS</vt:lpstr>
      <vt:lpstr>2.4 Grievance Redress Mechanis</vt:lpstr>
      <vt:lpstr>MR 5.5 GHG Emission Reductions</vt:lpstr>
      <vt:lpstr>4.5.1 Quantification of Estima</vt:lpstr>
      <vt:lpstr>5.2.5 Procedures for Handling</vt:lpstr>
      <vt:lpstr>Stakeholder Identification Row</vt:lpstr>
      <vt:lpstr>1.18 Sustainable Development C</vt:lpstr>
      <vt:lpstr>Project Proponent Contact (VCS</vt:lpstr>
      <vt:lpstr>MR 2.3 Benefit-Sharing Mechani</vt:lpstr>
      <vt:lpstr>3.2.1 Eligibility of Methodolo</vt:lpstr>
      <vt:lpstr>MR 1.2 Audit History (VCS MR 1</vt:lpstr>
      <vt:lpstr>MR 3.4.1 Methodology Deviation</vt:lpstr>
      <vt:lpstr>4.1 Baseline Emissions (VCS PD</vt:lpstr>
      <vt:lpstr>4.4 Other Relevant Quantificat</vt:lpstr>
      <vt:lpstr>MR 5.4.1 Non-Permanence Risk A</vt:lpstr>
      <vt:lpstr>2.1.2 Free Prior and Informed</vt:lpstr>
      <vt:lpstr>MR 4.2.4 Procedures for Intern</vt:lpstr>
      <vt:lpstr>MR 3.5 Baseline Reassessment (</vt:lpstr>
      <vt:lpstr>1.12 Conditions Prior to Proje</vt:lpstr>
      <vt:lpstr>VCS Project Description</vt:lpstr>
      <vt:lpstr>MR 4.2.1 GHG Data Collection a</vt:lpstr>
      <vt:lpstr>3.4.1 Baseline Reassessment (V</vt:lpstr>
      <vt:lpstr>1.16 Double Counting and Parti</vt:lpstr>
      <vt:lpstr>MR 2.5 Grievance Redress Mecha</vt:lpstr>
      <vt:lpstr>Estimated GHG Year Row (VCS PD</vt:lpstr>
      <vt:lpstr>4.4.1 Non-Permanence Risk Anal</vt:lpstr>
      <vt:lpstr>MR 1.4 Project Proponent (VCS</vt:lpstr>
      <vt:lpstr>2.5.3 Legal Compliance (VCS PD</vt:lpstr>
      <vt:lpstr>4.5.2 Summary of Estimated Red</vt:lpstr>
      <vt:lpstr>Sensitive Information Row (VCS</vt:lpstr>
      <vt:lpstr>MR 5.4.4 De Minimis Quantifica</vt:lpstr>
      <vt:lpstr>MR 1.12 Additional Information</vt:lpstr>
      <vt:lpstr>MR 5.2 Project Emissions (VCS</vt:lpstr>
      <vt:lpstr>2.5.2 Management Experience (V</vt:lpstr>
      <vt:lpstr>4.4.2 Long-Term Average (VCS P</vt:lpstr>
      <vt:lpstr>MR 2.6.1 Management Experience</vt:lpstr>
      <vt:lpstr>2.5.1 Ecosystem Restoration (V</vt:lpstr>
      <vt:lpstr>Data and Parameters Available</vt:lpstr>
      <vt:lpstr>4.3 Leakage Emissions (VCS PD</vt:lpstr>
      <vt:lpstr>MR 2.2.2 Free Prior and Inform</vt:lpstr>
      <vt:lpstr>MR 4.2 Monitoring Plan (VCS MR</vt:lpstr>
      <vt:lpstr>3.5 Additionality (VCS PD 3.5)</vt:lpstr>
      <vt:lpstr>3.2.2 Applicability of Methodo</vt:lpstr>
      <vt:lpstr>MR 5.5.3 Ex-Ante vs Ex-Post Co</vt:lpstr>
      <vt:lpstr>1. Project Details</vt:lpstr>
      <vt:lpstr>4.2 Project Emissions (VCS PD</vt:lpstr>
      <vt:lpstr>MR 5.4.3 Long-Term Average (VC</vt:lpstr>
      <vt:lpstr>GHG Source Row (VCS PD 3.3)</vt:lpstr>
      <vt:lpstr>2.4.2 Project Grievances (VCS</vt:lpstr>
      <vt:lpstr>1.6 Other Entities Involved in</vt:lpstr>
      <vt:lpstr>MR 4.2.5 Procedures for Handli</vt:lpstr>
      <vt:lpstr>1.17 Double Claiming Other For</vt:lpstr>
      <vt:lpstr>3.5.2 Additionality Methods (V</vt:lpstr>
      <vt:lpstr>Project Location Entry (VCS PD</vt:lpstr>
      <vt:lpstr>MR 4.2.2 Procedures for Calibr</vt:lpstr>
      <vt:lpstr>2.1.1 Stakeholder Consultation</vt:lpstr>
      <vt:lpstr>3.1 Methodology Details (VCS P</vt:lpstr>
      <vt:lpstr>MR 3.2 Implementation Status o</vt:lpstr>
      <vt:lpstr>MR 4.2.3 Monitoring Personnel</vt:lpstr>
      <vt:lpstr>MR 1.3 Sectoral Scope and Proj</vt:lpstr>
      <vt:lpstr>1.14 Project Location (VCS PD</vt:lpstr>
      <vt:lpstr>2.4.1 Design Process and Summa</vt:lpstr>
      <vt:lpstr>Grievance Entry (VCS PD 2.4.2)</vt:lpstr>
      <vt:lpstr>2.1 Stakeholder Engagement and</vt:lpstr>
      <vt:lpstr>1.7 Right to Operate and Right</vt:lpstr>
      <vt:lpstr>2.5 Environmental Social and G</vt:lpstr>
      <vt:lpstr>3.3 Project Boundary (VCS PD 3</vt:lpstr>
      <vt:lpstr>Validation Report</vt:lpstr>
      <vt:lpstr>MR 4.1 Summary of DataParamete</vt:lpstr>
      <vt:lpstr>MR 2.6.2 Legal Compliance (VCS</vt:lpstr>
      <vt:lpstr>4. Quantification of GHG Emiss</vt:lpstr>
      <vt:lpstr>MR 3.2.1 General Implementatio</vt:lpstr>
      <vt:lpstr>MR 1.6 Project Start Date and</vt:lpstr>
      <vt:lpstr>1.5 Project Proponent (VCS PD</vt:lpstr>
      <vt:lpstr>MR 2.6 Environmental Social an</vt:lpstr>
      <vt:lpstr>5.2.3 Monitoring Personnel (VC</vt:lpstr>
      <vt:lpstr>MR 1.8 Project Location (VCS M</vt:lpstr>
      <vt:lpstr>MR 1.1 Summary of Project Impl</vt:lpstr>
      <vt:lpstr>1.19 Additional Information (V</vt:lpstr>
      <vt:lpstr>3.6 Methodology Deviations (VC</vt:lpstr>
      <vt:lpstr>MR 5.4 Other Relevant Quantifi</vt:lpstr>
      <vt:lpstr>MR 1.10 Double Claiming Other</vt:lpstr>
      <vt:lpstr>5.2.4 Procedures for Internal</vt:lpstr>
      <vt:lpstr>VVB Profile</vt:lpstr>
      <vt:lpstr>MR 1.13 Right to Operate and R</vt:lpstr>
      <vt:lpstr>3.3.1 De Minimis GHG Sources a</vt:lpstr>
      <vt:lpstr>MR 4.2.7 Updates to Monitoring</vt:lpstr>
      <vt:lpstr>MR 3.4.2 Project Description D</vt:lpstr>
      <vt:lpstr>Audit History Entry (VCS PD 1.</vt:lpstr>
      <vt:lpstr>MR 2.2 Stakeholder Engagement</vt:lpstr>
      <vt:lpstr>1.7.2 Land or Resource Rights</vt:lpstr>
      <vt:lpstr>1.15 Compliance with Laws and</vt:lpstr>
      <vt:lpstr>1.8 Project Start Date and Ini</vt:lpstr>
      <vt:lpstr>5.2.1 GHG Data Collection and</vt:lpstr>
      <vt:lpstr>Biennial Water Quality Check (</vt:lpstr>
      <vt:lpstr>1.4 Project Eligibility (VCS P</vt:lpstr>
      <vt:lpstr>MR 3.4 Deviations (VCS MR 3.4)</vt:lpstr>
      <vt:lpstr>1.9 Project Crediting Period (</vt:lpstr>
      <vt:lpstr>SDG Contribution Row (VCS PD 1</vt:lpstr>
      <vt:lpstr>3.4 Baseline Scenario (VCS PD</vt:lpstr>
      <vt:lpstr>MR 2.4 Stakeholder Input Track</vt:lpstr>
      <vt:lpstr>3. Application of Methodology</vt:lpstr>
      <vt:lpstr>MR 5.4.2 Buffer Pool Allocatio</vt:lpstr>
      <vt:lpstr>MR 3.3 Grouped Projects (VCS M</vt:lpstr>
      <vt:lpstr>1.1 Summary Description of the</vt:lpstr>
      <vt:lpstr>2.2 Benefit-Sharing Mechanism</vt:lpstr>
      <vt:lpstr>1.11 Project Design (VCS PD 1.</vt:lpstr>
      <vt:lpstr>MR 1.5 Other Entities Involved</vt:lpstr>
      <vt:lpstr>VMR0015 Baseline Fuel Row (fue</vt:lpstr>
      <vt:lpstr>VMR0015 Survey Device Use Row</vt:lpstr>
      <vt:lpstr>VMR0015 Survey Household Row</vt:lpstr>
      <vt:lpstr>VMR0015 Project Section - PD (</vt:lpstr>
      <vt:lpstr>VMR0015 Water Quantity Record</vt:lpstr>
      <vt:lpstr>VMR0015 Water Quantity Reco 2</vt:lpstr>
      <vt:lpstr>VMR0015 Water Quantity Reco 3</vt:lpstr>
      <vt:lpstr>VMR0015 Appliance Functionalit</vt:lpstr>
      <vt:lpstr>VMR0015 Sampling Plan and Resu</vt:lpstr>
      <vt:lpstr>VMR0015 fNRB Determination</vt:lpstr>
      <vt:lpstr>VMR0015 Leakage Adjustment Det</vt:lpstr>
      <vt:lpstr>VMR0015 Additionality</vt:lpstr>
      <vt:lpstr>VMR0015 A2.1 DataParameter Ava</vt:lpstr>
      <vt:lpstr>VMR0015 A2.2 DataParameter Mon</vt:lpstr>
      <vt:lpstr>VMR0015 A2.2 DataParameter  2</vt:lpstr>
      <vt:lpstr>VMR0015 A2.1.1 VMR0015  AMS-II</vt:lpstr>
      <vt:lpstr>VMR0015 A2.1.2 TOOL03 paramete</vt:lpstr>
      <vt:lpstr>VMR0015 A2.1.3 VT0010  VT0011</vt:lpstr>
      <vt:lpstr>VMR0015 A2.1.4 AMS-I.E paramet</vt:lpstr>
      <vt:lpstr>VMR0015 A2.2.1 VMR0015  AMS-II</vt:lpstr>
      <vt:lpstr>VMR0015 A2.2.2 TOOL03 monitore</vt:lpstr>
      <vt:lpstr>VMR0015 A2.2.3 VT0010  VT0011</vt:lpstr>
      <vt:lpstr>VMR0015 A2.2.4 fNRB monitored</vt:lpstr>
      <vt:lpstr>VMR0015 A2.2.1 VMR0015  AMS 2</vt:lpstr>
      <vt:lpstr>VMR0015 A2.2.2 TOOL03 monit 2</vt:lpstr>
      <vt:lpstr>VMR0015 A2.2.3 VT0010  VT00 2</vt:lpstr>
      <vt:lpstr>VMR0015 A2.2.4 fNRB monitor 2</vt:lpstr>
      <vt:lpstr>VMR0015 Appendix 2 - Monitorin</vt:lpstr>
      <vt:lpstr>VMR0015 Appendix 2 - Monito 2</vt:lpstr>
      <vt:lpstr>VMR0015 Project Section - MR (</vt:lpstr>
      <vt:lpstr>VMR0015 Methodology Records -</vt:lpstr>
      <vt:lpstr>VMR0015 Methodology Records 2</vt:lpstr>
      <vt:lpstr>VMR0015 ERR Vintage Row (PD 4.</vt:lpstr>
      <vt:lpstr>VMR0015 ERR Ex-Post Section Re</vt:lpstr>
      <vt:lpstr>VMR0015 ERR Ex-Ante Result (PD</vt:lpstr>
      <vt:lpstr>VMR0015 ERR Ex-Post Result (MR</vt:lpstr>
      <vt:lpstr>VMR0015 Emission Reductions (E</vt:lpstr>
      <vt:lpstr>VMR0015 MR 4.1 Summary row (VC</vt:lpstr>
      <vt:lpstr>1.7 Right to Operate and Ri 2</vt:lpstr>
      <vt:lpstr>VMR0015 VCU Issuance Request</vt:lpstr>
      <vt:lpstr>Report file row</vt:lpstr>
      <vt:lpstr>1. Introduction (VCS Verificat</vt:lpstr>
      <vt:lpstr>2.1 Method and Criteria (VCS V</vt:lpstr>
      <vt:lpstr>2.2 Document Review (VCS Verif</vt:lpstr>
      <vt:lpstr>Interviews (Verification)</vt:lpstr>
      <vt:lpstr>Resolution of CARs CLs and FAR</vt:lpstr>
      <vt:lpstr>2. Verification Process (VCS V</vt:lpstr>
      <vt:lpstr>3.1 Methodology Deviations</vt:lpstr>
      <vt:lpstr>3.2 Project Description Deviat</vt:lpstr>
      <vt:lpstr>3.3 New Project Activity Insta</vt:lpstr>
      <vt:lpstr>3.4 Baseline Reassessment</vt:lpstr>
      <vt:lpstr>3. Validation Findings (VCS Ve</vt:lpstr>
      <vt:lpstr>4.1.1 General Implementation S</vt:lpstr>
      <vt:lpstr>4.1.2 Loss Events</vt:lpstr>
      <vt:lpstr>4.1 Implementation Status of t</vt:lpstr>
      <vt:lpstr>4.2.1 Audit History</vt:lpstr>
      <vt:lpstr>4.2.2 Sectoral Scope and Proje</vt:lpstr>
      <vt:lpstr>4.2.3 Project Location</vt:lpstr>
      <vt:lpstr>4.2.4.1 No Double Issuance</vt:lpstr>
      <vt:lpstr>4.2.4.2 Registration with Othe</vt:lpstr>
      <vt:lpstr>4.2.4 Double Counting and Part</vt:lpstr>
      <vt:lpstr>4.2.5.1 No Double Claiming wit</vt:lpstr>
      <vt:lpstr>4.2.5.2 No Double Claiming wit</vt:lpstr>
      <vt:lpstr>4.2.5.3 Supply chain (Scope 3)</vt:lpstr>
      <vt:lpstr>4.2.5 Double Claiming Other Fo</vt:lpstr>
      <vt:lpstr>4.2.6 Sustainable Development</vt:lpstr>
      <vt:lpstr>4.2.7.1 Sensitive Information</vt:lpstr>
      <vt:lpstr>4.2.7.2 Core Carbon Principles</vt:lpstr>
      <vt:lpstr>4.2.7.3 CORSIA Label Eligibili</vt:lpstr>
      <vt:lpstr>4.2.7 Additional Information (</vt:lpstr>
      <vt:lpstr>4.2 Project Details (VCS Verif</vt:lpstr>
      <vt:lpstr>4.4.1 Accuracy of Reduction an</vt:lpstr>
      <vt:lpstr>4.4.2 Quality of Evidence to D</vt:lpstr>
      <vt:lpstr>4.4.3.1 Non-Permanence Risk An</vt:lpstr>
      <vt:lpstr>4.4.3.2 Buffer Pool Allocation</vt:lpstr>
      <vt:lpstr>4.4.3.3 Long-Term Average</vt:lpstr>
      <vt:lpstr>4.4.3.4 De Minimis Quantificat</vt:lpstr>
      <vt:lpstr>4.4.3 Other Relevant Quantific</vt:lpstr>
      <vt:lpstr>4.4 Quantification of Reductio</vt:lpstr>
      <vt:lpstr>Data and parameter row (Verifi</vt:lpstr>
      <vt:lpstr>4.5.2 Monitoring Plan</vt:lpstr>
      <vt:lpstr>4.5 Monitoring (VCS Verificati</vt:lpstr>
      <vt:lpstr>4. Verification Findings (VCS</vt:lpstr>
      <vt:lpstr>4.3 Stakeholder Engagement and</vt:lpstr>
      <vt:lpstr>5.1 Verification Conclusion Su</vt:lpstr>
      <vt:lpstr>Achieved reductions by vintage</vt:lpstr>
      <vt:lpstr>Buffer pool allocation by vint</vt:lpstr>
      <vt:lpstr>Vintage summary row</vt:lpstr>
      <vt:lpstr>5.2 Conclusion on Achieved Red</vt:lpstr>
      <vt:lpstr>Ex-ante vs ex-post row</vt:lpstr>
      <vt:lpstr>5.3 Ex-Ante vs Ex-Post Compari</vt:lpstr>
      <vt:lpstr>5. Verification Opinion (VCS V</vt:lpstr>
      <vt:lpstr>Appendix 1 row (Validation and</vt:lpstr>
      <vt:lpstr>Appendix 2 row (Validation and</vt:lpstr>
      <vt:lpstr>Appendix 3 row (Validation and</vt:lpstr>
      <vt:lpstr>Report file row (Validation)</vt:lpstr>
      <vt:lpstr>1. Introduction (VCS Validatio</vt:lpstr>
      <vt:lpstr>Schedule milestone (Validation</vt:lpstr>
      <vt:lpstr>2.1 Method and Criteria (VC 2</vt:lpstr>
      <vt:lpstr>Document review summary (Valid</vt:lpstr>
      <vt:lpstr>Document list row (Validation</vt:lpstr>
      <vt:lpstr>2.2 Document Review (VCS Valid</vt:lpstr>
      <vt:lpstr>Interviewee row (Validation an</vt:lpstr>
      <vt:lpstr>Interviews (Validation)</vt:lpstr>
      <vt:lpstr>Site visits (Validation and Ve</vt:lpstr>
      <vt:lpstr>CARCLFAR reference row (Valida</vt:lpstr>
      <vt:lpstr>Resolution of CARs CLs and  2</vt:lpstr>
      <vt:lpstr>2. Validation Process (VCS Val</vt:lpstr>
      <vt:lpstr>3.1.1 Summary Description of P</vt:lpstr>
      <vt:lpstr>3.1.2 Audit History</vt:lpstr>
      <vt:lpstr>3.1.3 Sectoral Scope and Proje</vt:lpstr>
      <vt:lpstr>3.1.4 Project Eligibility</vt:lpstr>
      <vt:lpstr>3.1.6 Project Start Date and I</vt:lpstr>
      <vt:lpstr>3.1.7 Project Crediting Period</vt:lpstr>
      <vt:lpstr>3.1.8 Project Scale</vt:lpstr>
      <vt:lpstr>3.1.9 Project Design</vt:lpstr>
      <vt:lpstr>3.1.10 Conditions Prior to Pro</vt:lpstr>
      <vt:lpstr>3.1.11 Description of the Proj</vt:lpstr>
      <vt:lpstr>3.1.12 Project Location</vt:lpstr>
      <vt:lpstr>3.1.13 Compliance with Laws an</vt:lpstr>
      <vt:lpstr>3.1.14 Double Counting and Par</vt:lpstr>
      <vt:lpstr>3.1.15 Double Claiming Other F</vt:lpstr>
      <vt:lpstr>3.1.16 Sustainable Development</vt:lpstr>
      <vt:lpstr>3.1.17 Additional Information</vt:lpstr>
      <vt:lpstr>3.1 Project Details (VCS Valid</vt:lpstr>
      <vt:lpstr>3.3.1 Methodology Details</vt:lpstr>
      <vt:lpstr>3.3.2 Applicability and Eligib</vt:lpstr>
      <vt:lpstr>3.3.3 Project Boundary</vt:lpstr>
      <vt:lpstr>3.3.4 Baseline Scenario</vt:lpstr>
      <vt:lpstr>3.3.5 Additionality</vt:lpstr>
      <vt:lpstr>3.3.6 Methodology Deviations</vt:lpstr>
      <vt:lpstr>3.3 Application of Methodology</vt:lpstr>
      <vt:lpstr>3.4.1 Quantification of Baseli</vt:lpstr>
      <vt:lpstr>3.4.2 Other Relevant Quantific</vt:lpstr>
      <vt:lpstr>3.4 Quantification of Estimate</vt:lpstr>
      <vt:lpstr>Data and parameter row (Valida</vt:lpstr>
      <vt:lpstr>3.5.2 Monitoring Plan</vt:lpstr>
      <vt:lpstr>3.5 Monitoring (VCS Validation</vt:lpstr>
      <vt:lpstr>3. Validation Findings (VCS Va</vt:lpstr>
      <vt:lpstr>Safeguards assessment row item</vt:lpstr>
      <vt:lpstr>3.2 Stakeholder Engagement and</vt:lpstr>
      <vt:lpstr>4.1 Validation Conclusion Summ</vt:lpstr>
      <vt:lpstr>Estimated reductions by vintag</vt:lpstr>
      <vt:lpstr>4.2 Conclusion on Estimated Re</vt:lpstr>
      <vt:lpstr>4. Validation Opinion (VCS Val</vt:lpstr>
      <vt:lpstr>Appendix X row (Validation and</vt:lpstr>
      <vt:lpstr>Evidence item</vt:lpstr>
      <vt:lpstr>Project device record (VMR0015</vt:lpstr>
      <vt:lpstr>Interactive effects survey res</vt:lpstr>
      <vt:lpstr>Summary of reductions and remo</vt:lpstr>
      <vt:lpstr>Sampling check row (ERR)</vt:lpstr>
      <vt:lpstr>3.1.5 Right to Operate and Rig</vt:lpstr>
      <vt:lpstr>4.2.8 Right to Operate and Rig</vt:lpstr>
      <vt:lpstr>3.1.4.1 Deadlines for Particip</vt:lpstr>
      <vt:lpstr>3.1.4.2 AFOLU Project Eligibil</vt:lpstr>
      <vt:lpstr>3.1.4.3 Eligibility of Project</vt:lpstr>
      <vt:lpstr>3.1.4.4 Capacity Limit Eligibi</vt:lpstr>
      <vt:lpstr>3.1.14.1 No Double Issuance (V</vt:lpstr>
      <vt:lpstr>3.1.14.2 Registration with Oth</vt:lpstr>
      <vt:lpstr>3.1.14.3 Projects Rejected by</vt:lpstr>
      <vt:lpstr>3.1.15.1 No Double Claiming wi</vt:lpstr>
      <vt:lpstr>3.1.15.2 No Double Claiming wi</vt:lpstr>
      <vt:lpstr>3.1.15.3 Supply Chain (Scope 3</vt:lpstr>
      <vt:lpstr>3.1.17.1 Leakage Management (V</vt:lpstr>
      <vt:lpstr>3.1.17.2 Sensitive Information</vt:lpstr>
      <vt:lpstr>3.1.17.3 Further Information (</vt:lpstr>
      <vt:lpstr>3.3.2.1 Eligibility of Methodo</vt:lpstr>
      <vt:lpstr>3.3.2.2 Applicability conditio</vt:lpstr>
      <vt:lpstr>3.3.2.2 Applicability of Metho</vt:lpstr>
      <vt:lpstr>3.3.3.1 De Minimis GHG Sources</vt:lpstr>
      <vt:lpstr>3.3.4.1 Baseline Reassessment</vt:lpstr>
      <vt:lpstr>3.3.5.1 Regulatory Surplus (VC</vt:lpstr>
      <vt:lpstr>3.3.5.2 Additionality Methods</vt:lpstr>
      <vt:lpstr>3.4.2.1 Non-Permanence Risk An</vt:lpstr>
      <vt:lpstr>3.4.2.2 Buffer Pool Allocation</vt:lpstr>
      <vt:lpstr>3.4.2.3 Long-Term Average (VCS</vt:lpstr>
      <vt:lpstr>4.4.2 Buffer pool allocation r</vt:lpstr>
      <vt:lpstr>4.4.2 Buffer pool allocatio 2</vt:lpstr>
      <vt:lpstr>4.4.1.1 Buffer Pool Allocation</vt:lpstr>
      <vt:lpstr>Leakage Management (VCS Valida</vt:lpstr>
      <vt:lpstr>Benefit-Sharing Mechanism (Oth</vt:lpstr>
      <vt:lpstr>Right to Operate and Right to</vt:lpstr>
      <vt:lpstr>Regulatory Surplus (VCS Valida</vt:lpstr>
      <vt:lpstr>Project boundary carbon pools</vt:lpstr>
      <vt:lpstr>De minimis quantification per</vt:lpstr>
      <vt:lpstr>Sensitive information row ( 2</vt:lpstr>
      <vt:lpstr>Laws and other regulatory fram</vt:lpstr>
      <vt:lpstr>Deadlines for Participation ro</vt:lpstr>
      <vt:lpstr>1.13 Evidence of right to oper</vt:lpstr>
      <vt:lpstr>Grievance Redress Mechanism (V</vt:lpstr>
      <vt:lpstr>Laws reviewed for regulatory s</vt:lpstr>
      <vt:lpstr>Reductions and removals claime</vt:lpstr>
      <vt:lpstr>Benefit-sharing mechanism row</vt:lpstr>
      <vt:lpstr>Project Description Deviations</vt:lpstr>
      <vt:lpstr>Ecosystem Restoration (VCS Val</vt:lpstr>
      <vt:lpstr>CORSIA Label Eligibility (VCS</vt:lpstr>
      <vt:lpstr>1.7 Evidence of right to opera</vt:lpstr>
      <vt:lpstr>No Double Issuance (VCS Valida</vt:lpstr>
      <vt:lpstr>3.3 Methodology details row (V</vt:lpstr>
      <vt:lpstr>Registration with Other GHG Pr</vt:lpstr>
      <vt:lpstr>Supply Chain (Scope 3) Emissio</vt:lpstr>
      <vt:lpstr>4.4 Buffer pool allocation (re</vt:lpstr>
      <vt:lpstr>Sensitive Information (VCS Val</vt:lpstr>
      <vt:lpstr>1.11 Sustainable development c</vt:lpstr>
      <vt:lpstr>Core Carbon Principles Label E</vt:lpstr>
      <vt:lpstr>Grievance Redress Mechanism 2</vt:lpstr>
      <vt:lpstr>3.3 Applicability of methodolo</vt:lpstr>
      <vt:lpstr>Right to Operate and Right  2</vt:lpstr>
      <vt:lpstr>Sensitive Information (VCS Ver</vt:lpstr>
      <vt:lpstr>2.1 Stakeholder consultation a</vt:lpstr>
      <vt:lpstr>Methodology details row (VCS P</vt:lpstr>
      <vt:lpstr>Estimated reductions and remov</vt:lpstr>
      <vt:lpstr>Supply Chain (Scope 3) Emis 2</vt:lpstr>
      <vt:lpstr>Baseline Reassessment (VCS Val</vt:lpstr>
      <vt:lpstr>De Minimis Quantification (VCS</vt:lpstr>
      <vt:lpstr>Document history row (VCS v5.0</vt:lpstr>
      <vt:lpstr>Further Information (VCS Valid</vt:lpstr>
      <vt:lpstr>Methodology Deviations (VCS Ve</vt:lpstr>
      <vt:lpstr>Stakeholder Input Tracker (VCS</vt:lpstr>
      <vt:lpstr>2.2 Stakeholder consultation a</vt:lpstr>
      <vt:lpstr>Management Expertise (VCS Vali</vt:lpstr>
      <vt:lpstr>No Double Claiming with Emissi</vt:lpstr>
      <vt:lpstr>Benefit-Sharing for Other Righ</vt:lpstr>
      <vt:lpstr>Implementation schedule row (V</vt:lpstr>
      <vt:lpstr>Free Prior and Informed Consen</vt:lpstr>
      <vt:lpstr>Stakeholder Identification (VC</vt:lpstr>
      <vt:lpstr>Estimated net reductions and r</vt:lpstr>
      <vt:lpstr>Capacity Limit Eligibility (VC</vt:lpstr>
      <vt:lpstr>Environmental Social and Gover</vt:lpstr>
      <vt:lpstr>Land or Resource Rights Analys</vt:lpstr>
      <vt:lpstr>Eligibility criteria per eligi</vt:lpstr>
      <vt:lpstr>Stakeholder Input Tracker ( 2</vt:lpstr>
      <vt:lpstr>Stakeholder Consultation and O</vt:lpstr>
      <vt:lpstr>No Double Claiming with Emi 2</vt:lpstr>
      <vt:lpstr>Project activity instances row</vt:lpstr>
      <vt:lpstr>Baseline Reassessment (VCS Ver</vt:lpstr>
      <vt:lpstr>Technology system or equipment</vt:lpstr>
      <vt:lpstr>Stakeholder Consultation an 2</vt:lpstr>
      <vt:lpstr>De Minimis GHG Sources and Car</vt:lpstr>
      <vt:lpstr>Management Expertise (VCS Veri</vt:lpstr>
      <vt:lpstr>Registration with Other GHG 2</vt:lpstr>
      <vt:lpstr>Environmental Social and Go 2</vt:lpstr>
      <vt:lpstr>Deadlines for Participation (V</vt:lpstr>
      <vt:lpstr>Ex-ante vs ex-post comparison</vt:lpstr>
      <vt:lpstr>De minimis comparison period r</vt:lpstr>
      <vt:lpstr>3.2 Applicability of methodolo</vt:lpstr>
      <vt:lpstr>No Double Issuance (VCS Verifi</vt:lpstr>
      <vt:lpstr>General implementation status</vt:lpstr>
      <vt:lpstr>Non-permanence risk rating row</vt:lpstr>
      <vt:lpstr>Grouped project eligibility ar</vt:lpstr>
      <vt:lpstr>Document review details row (V</vt:lpstr>
      <vt:lpstr>Stakeholder Identification  2</vt:lpstr>
      <vt:lpstr>Eligibility of Projects Regist</vt:lpstr>
      <vt:lpstr>New Project Activity Instances</vt:lpstr>
      <vt:lpstr>Free prior and informed con 2</vt:lpstr>
      <vt:lpstr>Methodology deviation row (VCS</vt:lpstr>
      <vt:lpstr>Project boundary GHG sources a</vt:lpstr>
      <vt:lpstr>Additionality Methods (VCS Val</vt:lpstr>
      <vt:lpstr>Project description deviation</vt:lpstr>
      <vt:lpstr>Land or Resource Rights Ana 2</vt:lpstr>
      <vt:lpstr>Loss events row (VCS v5.0B)</vt:lpstr>
      <vt:lpstr>5.4 Buffer pool allocation (re</vt:lpstr>
      <vt:lpstr>Free Prior and Informed Con 3</vt:lpstr>
      <vt:lpstr>1.18 Sustainable developmen 2</vt:lpstr>
      <vt:lpstr>Document history row (VVB Veri</vt:lpstr>
      <vt:lpstr>5.4 Buffer pool allocation (co</vt:lpstr>
      <vt:lpstr>Document history row (Validati</vt:lpstr>
      <vt:lpstr>Document history row (VCS Moni</vt:lpstr>
      <vt:lpstr>VT0010 grid load row (load L;</vt:lpstr>
      <vt:lpstr>TOOL03 fuel combustion row (fu</vt:lpstr>
      <vt:lpstr>VT0010 shared plant fuel row (</vt:lpstr>
      <vt:lpstr>Enums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2026-10-22T10:25:39Z</dcterms:created>
  <dcterms:modified xsi:type="dcterms:W3CDTF">2026-10-22T10:25:39Z</dcterms:modified>
</cp:coreProperties>
</file>